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l\Desktop\EXCEL\AQI-Analysis\Data\Processed\"/>
    </mc:Choice>
  </mc:AlternateContent>
  <xr:revisionPtr revIDLastSave="0" documentId="13_ncr:1_{1D3A67C6-85BD-4DB5-9DF6-45355F5FB30F}" xr6:coauthVersionLast="47" xr6:coauthVersionMax="47" xr10:uidLastSave="{00000000-0000-0000-0000-000000000000}"/>
  <bookViews>
    <workbookView xWindow="-120" yWindow="-120" windowWidth="29040" windowHeight="15720" xr2:uid="{42A9091C-51CD-41C5-9F15-678B67827130}"/>
  </bookViews>
  <sheets>
    <sheet name="Daily_AQI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7" i="2" l="1"/>
  <c r="M367" i="2" s="1"/>
  <c r="F367" i="2"/>
  <c r="L367" i="2" s="1"/>
  <c r="E367" i="2"/>
  <c r="K367" i="2" s="1"/>
  <c r="D367" i="2"/>
  <c r="J367" i="2" s="1"/>
  <c r="C367" i="2"/>
  <c r="I367" i="2" s="1"/>
  <c r="B367" i="2"/>
  <c r="H367" i="2" s="1"/>
  <c r="K366" i="2"/>
  <c r="J366" i="2"/>
  <c r="I366" i="2"/>
  <c r="H366" i="2"/>
  <c r="G366" i="2"/>
  <c r="M366" i="2" s="1"/>
  <c r="F366" i="2"/>
  <c r="L366" i="2" s="1"/>
  <c r="E366" i="2"/>
  <c r="D366" i="2"/>
  <c r="C366" i="2"/>
  <c r="B366" i="2"/>
  <c r="M365" i="2"/>
  <c r="K365" i="2"/>
  <c r="J365" i="2"/>
  <c r="G365" i="2"/>
  <c r="F365" i="2"/>
  <c r="L365" i="2" s="1"/>
  <c r="E365" i="2"/>
  <c r="D365" i="2"/>
  <c r="C365" i="2"/>
  <c r="I365" i="2" s="1"/>
  <c r="B365" i="2"/>
  <c r="H365" i="2" s="1"/>
  <c r="G364" i="2"/>
  <c r="M364" i="2" s="1"/>
  <c r="F364" i="2"/>
  <c r="L364" i="2" s="1"/>
  <c r="E364" i="2"/>
  <c r="K364" i="2" s="1"/>
  <c r="D364" i="2"/>
  <c r="J364" i="2" s="1"/>
  <c r="C364" i="2"/>
  <c r="I364" i="2" s="1"/>
  <c r="B364" i="2"/>
  <c r="H364" i="2" s="1"/>
  <c r="K363" i="2"/>
  <c r="J363" i="2"/>
  <c r="I363" i="2"/>
  <c r="G363" i="2"/>
  <c r="M363" i="2" s="1"/>
  <c r="F363" i="2"/>
  <c r="L363" i="2" s="1"/>
  <c r="E363" i="2"/>
  <c r="D363" i="2"/>
  <c r="C363" i="2"/>
  <c r="B363" i="2"/>
  <c r="H363" i="2" s="1"/>
  <c r="M362" i="2"/>
  <c r="K362" i="2"/>
  <c r="J362" i="2"/>
  <c r="G362" i="2"/>
  <c r="F362" i="2"/>
  <c r="L362" i="2" s="1"/>
  <c r="E362" i="2"/>
  <c r="D362" i="2"/>
  <c r="C362" i="2"/>
  <c r="I362" i="2" s="1"/>
  <c r="B362" i="2"/>
  <c r="H362" i="2" s="1"/>
  <c r="J361" i="2"/>
  <c r="G361" i="2"/>
  <c r="M361" i="2" s="1"/>
  <c r="F361" i="2"/>
  <c r="L361" i="2" s="1"/>
  <c r="E361" i="2"/>
  <c r="K361" i="2" s="1"/>
  <c r="D361" i="2"/>
  <c r="C361" i="2"/>
  <c r="I361" i="2" s="1"/>
  <c r="B361" i="2"/>
  <c r="H361" i="2" s="1"/>
  <c r="K360" i="2"/>
  <c r="J360" i="2"/>
  <c r="I360" i="2"/>
  <c r="G360" i="2"/>
  <c r="M360" i="2" s="1"/>
  <c r="F360" i="2"/>
  <c r="L360" i="2" s="1"/>
  <c r="E360" i="2"/>
  <c r="D360" i="2"/>
  <c r="C360" i="2"/>
  <c r="B360" i="2"/>
  <c r="H360" i="2" s="1"/>
  <c r="N360" i="2" s="1"/>
  <c r="M359" i="2"/>
  <c r="K359" i="2"/>
  <c r="J359" i="2"/>
  <c r="G359" i="2"/>
  <c r="F359" i="2"/>
  <c r="L359" i="2" s="1"/>
  <c r="E359" i="2"/>
  <c r="D359" i="2"/>
  <c r="C359" i="2"/>
  <c r="I359" i="2" s="1"/>
  <c r="B359" i="2"/>
  <c r="H359" i="2" s="1"/>
  <c r="J358" i="2"/>
  <c r="G358" i="2"/>
  <c r="M358" i="2" s="1"/>
  <c r="F358" i="2"/>
  <c r="L358" i="2" s="1"/>
  <c r="E358" i="2"/>
  <c r="K358" i="2" s="1"/>
  <c r="D358" i="2"/>
  <c r="C358" i="2"/>
  <c r="I358" i="2" s="1"/>
  <c r="B358" i="2"/>
  <c r="H358" i="2" s="1"/>
  <c r="N358" i="2" s="1"/>
  <c r="K357" i="2"/>
  <c r="J357" i="2"/>
  <c r="I357" i="2"/>
  <c r="G357" i="2"/>
  <c r="M357" i="2" s="1"/>
  <c r="F357" i="2"/>
  <c r="L357" i="2" s="1"/>
  <c r="E357" i="2"/>
  <c r="D357" i="2"/>
  <c r="C357" i="2"/>
  <c r="B357" i="2"/>
  <c r="H357" i="2" s="1"/>
  <c r="N357" i="2" s="1"/>
  <c r="M356" i="2"/>
  <c r="K356" i="2"/>
  <c r="J356" i="2"/>
  <c r="G356" i="2"/>
  <c r="F356" i="2"/>
  <c r="L356" i="2" s="1"/>
  <c r="E356" i="2"/>
  <c r="D356" i="2"/>
  <c r="C356" i="2"/>
  <c r="I356" i="2" s="1"/>
  <c r="B356" i="2"/>
  <c r="H356" i="2" s="1"/>
  <c r="J355" i="2"/>
  <c r="G355" i="2"/>
  <c r="M355" i="2" s="1"/>
  <c r="F355" i="2"/>
  <c r="L355" i="2" s="1"/>
  <c r="E355" i="2"/>
  <c r="K355" i="2" s="1"/>
  <c r="D355" i="2"/>
  <c r="C355" i="2"/>
  <c r="I355" i="2" s="1"/>
  <c r="B355" i="2"/>
  <c r="H355" i="2" s="1"/>
  <c r="K354" i="2"/>
  <c r="J354" i="2"/>
  <c r="I354" i="2"/>
  <c r="G354" i="2"/>
  <c r="M354" i="2" s="1"/>
  <c r="F354" i="2"/>
  <c r="L354" i="2" s="1"/>
  <c r="E354" i="2"/>
  <c r="D354" i="2"/>
  <c r="C354" i="2"/>
  <c r="B354" i="2"/>
  <c r="H354" i="2" s="1"/>
  <c r="M353" i="2"/>
  <c r="K353" i="2"/>
  <c r="J353" i="2"/>
  <c r="G353" i="2"/>
  <c r="F353" i="2"/>
  <c r="L353" i="2" s="1"/>
  <c r="E353" i="2"/>
  <c r="D353" i="2"/>
  <c r="C353" i="2"/>
  <c r="I353" i="2" s="1"/>
  <c r="B353" i="2"/>
  <c r="H353" i="2" s="1"/>
  <c r="J352" i="2"/>
  <c r="G352" i="2"/>
  <c r="M352" i="2" s="1"/>
  <c r="F352" i="2"/>
  <c r="L352" i="2" s="1"/>
  <c r="E352" i="2"/>
  <c r="K352" i="2" s="1"/>
  <c r="D352" i="2"/>
  <c r="C352" i="2"/>
  <c r="I352" i="2" s="1"/>
  <c r="B352" i="2"/>
  <c r="H352" i="2" s="1"/>
  <c r="K351" i="2"/>
  <c r="J351" i="2"/>
  <c r="I351" i="2"/>
  <c r="G351" i="2"/>
  <c r="M351" i="2" s="1"/>
  <c r="F351" i="2"/>
  <c r="L351" i="2" s="1"/>
  <c r="E351" i="2"/>
  <c r="D351" i="2"/>
  <c r="C351" i="2"/>
  <c r="B351" i="2"/>
  <c r="H351" i="2" s="1"/>
  <c r="N351" i="2" s="1"/>
  <c r="M350" i="2"/>
  <c r="K350" i="2"/>
  <c r="J350" i="2"/>
  <c r="G350" i="2"/>
  <c r="F350" i="2"/>
  <c r="L350" i="2" s="1"/>
  <c r="E350" i="2"/>
  <c r="D350" i="2"/>
  <c r="C350" i="2"/>
  <c r="I350" i="2" s="1"/>
  <c r="B350" i="2"/>
  <c r="H350" i="2" s="1"/>
  <c r="N350" i="2" s="1"/>
  <c r="J349" i="2"/>
  <c r="G349" i="2"/>
  <c r="M349" i="2" s="1"/>
  <c r="F349" i="2"/>
  <c r="L349" i="2" s="1"/>
  <c r="E349" i="2"/>
  <c r="K349" i="2" s="1"/>
  <c r="D349" i="2"/>
  <c r="C349" i="2"/>
  <c r="I349" i="2" s="1"/>
  <c r="B349" i="2"/>
  <c r="H349" i="2" s="1"/>
  <c r="K348" i="2"/>
  <c r="J348" i="2"/>
  <c r="I348" i="2"/>
  <c r="G348" i="2"/>
  <c r="M348" i="2" s="1"/>
  <c r="F348" i="2"/>
  <c r="L348" i="2" s="1"/>
  <c r="E348" i="2"/>
  <c r="D348" i="2"/>
  <c r="C348" i="2"/>
  <c r="B348" i="2"/>
  <c r="H348" i="2" s="1"/>
  <c r="M347" i="2"/>
  <c r="K347" i="2"/>
  <c r="J347" i="2"/>
  <c r="G347" i="2"/>
  <c r="F347" i="2"/>
  <c r="L347" i="2" s="1"/>
  <c r="E347" i="2"/>
  <c r="D347" i="2"/>
  <c r="C347" i="2"/>
  <c r="I347" i="2" s="1"/>
  <c r="B347" i="2"/>
  <c r="H347" i="2" s="1"/>
  <c r="N347" i="2" s="1"/>
  <c r="J346" i="2"/>
  <c r="G346" i="2"/>
  <c r="M346" i="2" s="1"/>
  <c r="F346" i="2"/>
  <c r="L346" i="2" s="1"/>
  <c r="E346" i="2"/>
  <c r="K346" i="2" s="1"/>
  <c r="D346" i="2"/>
  <c r="C346" i="2"/>
  <c r="I346" i="2" s="1"/>
  <c r="B346" i="2"/>
  <c r="H346" i="2" s="1"/>
  <c r="K345" i="2"/>
  <c r="J345" i="2"/>
  <c r="I345" i="2"/>
  <c r="G345" i="2"/>
  <c r="M345" i="2" s="1"/>
  <c r="F345" i="2"/>
  <c r="L345" i="2" s="1"/>
  <c r="E345" i="2"/>
  <c r="D345" i="2"/>
  <c r="C345" i="2"/>
  <c r="B345" i="2"/>
  <c r="H345" i="2" s="1"/>
  <c r="M344" i="2"/>
  <c r="K344" i="2"/>
  <c r="J344" i="2"/>
  <c r="G344" i="2"/>
  <c r="F344" i="2"/>
  <c r="L344" i="2" s="1"/>
  <c r="E344" i="2"/>
  <c r="D344" i="2"/>
  <c r="C344" i="2"/>
  <c r="I344" i="2" s="1"/>
  <c r="B344" i="2"/>
  <c r="H344" i="2" s="1"/>
  <c r="N344" i="2" s="1"/>
  <c r="J343" i="2"/>
  <c r="G343" i="2"/>
  <c r="M343" i="2" s="1"/>
  <c r="F343" i="2"/>
  <c r="L343" i="2" s="1"/>
  <c r="E343" i="2"/>
  <c r="K343" i="2" s="1"/>
  <c r="D343" i="2"/>
  <c r="C343" i="2"/>
  <c r="I343" i="2" s="1"/>
  <c r="B343" i="2"/>
  <c r="H343" i="2" s="1"/>
  <c r="K342" i="2"/>
  <c r="J342" i="2"/>
  <c r="I342" i="2"/>
  <c r="G342" i="2"/>
  <c r="M342" i="2" s="1"/>
  <c r="F342" i="2"/>
  <c r="L342" i="2" s="1"/>
  <c r="E342" i="2"/>
  <c r="D342" i="2"/>
  <c r="C342" i="2"/>
  <c r="B342" i="2"/>
  <c r="H342" i="2" s="1"/>
  <c r="M341" i="2"/>
  <c r="K341" i="2"/>
  <c r="J341" i="2"/>
  <c r="G341" i="2"/>
  <c r="F341" i="2"/>
  <c r="L341" i="2" s="1"/>
  <c r="E341" i="2"/>
  <c r="D341" i="2"/>
  <c r="C341" i="2"/>
  <c r="I341" i="2" s="1"/>
  <c r="N341" i="2" s="1"/>
  <c r="B341" i="2"/>
  <c r="H341" i="2" s="1"/>
  <c r="J340" i="2"/>
  <c r="G340" i="2"/>
  <c r="M340" i="2" s="1"/>
  <c r="F340" i="2"/>
  <c r="L340" i="2" s="1"/>
  <c r="E340" i="2"/>
  <c r="K340" i="2" s="1"/>
  <c r="D340" i="2"/>
  <c r="C340" i="2"/>
  <c r="I340" i="2" s="1"/>
  <c r="B340" i="2"/>
  <c r="H340" i="2" s="1"/>
  <c r="K339" i="2"/>
  <c r="J339" i="2"/>
  <c r="I339" i="2"/>
  <c r="G339" i="2"/>
  <c r="M339" i="2" s="1"/>
  <c r="F339" i="2"/>
  <c r="L339" i="2" s="1"/>
  <c r="E339" i="2"/>
  <c r="D339" i="2"/>
  <c r="C339" i="2"/>
  <c r="B339" i="2"/>
  <c r="H339" i="2" s="1"/>
  <c r="N339" i="2" s="1"/>
  <c r="M338" i="2"/>
  <c r="K338" i="2"/>
  <c r="J338" i="2"/>
  <c r="G338" i="2"/>
  <c r="F338" i="2"/>
  <c r="L338" i="2" s="1"/>
  <c r="E338" i="2"/>
  <c r="D338" i="2"/>
  <c r="C338" i="2"/>
  <c r="I338" i="2" s="1"/>
  <c r="B338" i="2"/>
  <c r="H338" i="2" s="1"/>
  <c r="N338" i="2" s="1"/>
  <c r="J337" i="2"/>
  <c r="G337" i="2"/>
  <c r="M337" i="2" s="1"/>
  <c r="F337" i="2"/>
  <c r="L337" i="2" s="1"/>
  <c r="E337" i="2"/>
  <c r="K337" i="2" s="1"/>
  <c r="D337" i="2"/>
  <c r="C337" i="2"/>
  <c r="I337" i="2" s="1"/>
  <c r="B337" i="2"/>
  <c r="H337" i="2" s="1"/>
  <c r="K336" i="2"/>
  <c r="J336" i="2"/>
  <c r="I336" i="2"/>
  <c r="G336" i="2"/>
  <c r="M336" i="2" s="1"/>
  <c r="F336" i="2"/>
  <c r="L336" i="2" s="1"/>
  <c r="E336" i="2"/>
  <c r="D336" i="2"/>
  <c r="C336" i="2"/>
  <c r="B336" i="2"/>
  <c r="H336" i="2" s="1"/>
  <c r="M335" i="2"/>
  <c r="K335" i="2"/>
  <c r="J335" i="2"/>
  <c r="G335" i="2"/>
  <c r="F335" i="2"/>
  <c r="L335" i="2" s="1"/>
  <c r="E335" i="2"/>
  <c r="D335" i="2"/>
  <c r="C335" i="2"/>
  <c r="I335" i="2" s="1"/>
  <c r="B335" i="2"/>
  <c r="H335" i="2" s="1"/>
  <c r="N335" i="2" s="1"/>
  <c r="J334" i="2"/>
  <c r="G334" i="2"/>
  <c r="M334" i="2" s="1"/>
  <c r="F334" i="2"/>
  <c r="L334" i="2" s="1"/>
  <c r="E334" i="2"/>
  <c r="K334" i="2" s="1"/>
  <c r="D334" i="2"/>
  <c r="C334" i="2"/>
  <c r="I334" i="2" s="1"/>
  <c r="B334" i="2"/>
  <c r="H334" i="2" s="1"/>
  <c r="K333" i="2"/>
  <c r="J333" i="2"/>
  <c r="I333" i="2"/>
  <c r="G333" i="2"/>
  <c r="M333" i="2" s="1"/>
  <c r="F333" i="2"/>
  <c r="L333" i="2" s="1"/>
  <c r="E333" i="2"/>
  <c r="D333" i="2"/>
  <c r="C333" i="2"/>
  <c r="B333" i="2"/>
  <c r="H333" i="2" s="1"/>
  <c r="M332" i="2"/>
  <c r="K332" i="2"/>
  <c r="J332" i="2"/>
  <c r="G332" i="2"/>
  <c r="F332" i="2"/>
  <c r="L332" i="2" s="1"/>
  <c r="E332" i="2"/>
  <c r="D332" i="2"/>
  <c r="C332" i="2"/>
  <c r="I332" i="2" s="1"/>
  <c r="B332" i="2"/>
  <c r="H332" i="2" s="1"/>
  <c r="N332" i="2" s="1"/>
  <c r="J331" i="2"/>
  <c r="G331" i="2"/>
  <c r="M331" i="2" s="1"/>
  <c r="F331" i="2"/>
  <c r="L331" i="2" s="1"/>
  <c r="E331" i="2"/>
  <c r="K331" i="2" s="1"/>
  <c r="D331" i="2"/>
  <c r="C331" i="2"/>
  <c r="I331" i="2" s="1"/>
  <c r="B331" i="2"/>
  <c r="H331" i="2" s="1"/>
  <c r="K330" i="2"/>
  <c r="J330" i="2"/>
  <c r="I330" i="2"/>
  <c r="G330" i="2"/>
  <c r="M330" i="2" s="1"/>
  <c r="F330" i="2"/>
  <c r="L330" i="2" s="1"/>
  <c r="E330" i="2"/>
  <c r="D330" i="2"/>
  <c r="C330" i="2"/>
  <c r="B330" i="2"/>
  <c r="H330" i="2" s="1"/>
  <c r="M329" i="2"/>
  <c r="K329" i="2"/>
  <c r="J329" i="2"/>
  <c r="G329" i="2"/>
  <c r="F329" i="2"/>
  <c r="L329" i="2" s="1"/>
  <c r="E329" i="2"/>
  <c r="D329" i="2"/>
  <c r="C329" i="2"/>
  <c r="I329" i="2" s="1"/>
  <c r="N329" i="2" s="1"/>
  <c r="B329" i="2"/>
  <c r="H329" i="2" s="1"/>
  <c r="J328" i="2"/>
  <c r="G328" i="2"/>
  <c r="M328" i="2" s="1"/>
  <c r="F328" i="2"/>
  <c r="L328" i="2" s="1"/>
  <c r="E328" i="2"/>
  <c r="K328" i="2" s="1"/>
  <c r="D328" i="2"/>
  <c r="C328" i="2"/>
  <c r="I328" i="2" s="1"/>
  <c r="B328" i="2"/>
  <c r="H328" i="2" s="1"/>
  <c r="K327" i="2"/>
  <c r="J327" i="2"/>
  <c r="I327" i="2"/>
  <c r="G327" i="2"/>
  <c r="M327" i="2" s="1"/>
  <c r="F327" i="2"/>
  <c r="L327" i="2" s="1"/>
  <c r="E327" i="2"/>
  <c r="D327" i="2"/>
  <c r="C327" i="2"/>
  <c r="B327" i="2"/>
  <c r="H327" i="2" s="1"/>
  <c r="N327" i="2" s="1"/>
  <c r="M326" i="2"/>
  <c r="K326" i="2"/>
  <c r="J326" i="2"/>
  <c r="G326" i="2"/>
  <c r="F326" i="2"/>
  <c r="L326" i="2" s="1"/>
  <c r="E326" i="2"/>
  <c r="D326" i="2"/>
  <c r="C326" i="2"/>
  <c r="I326" i="2" s="1"/>
  <c r="B326" i="2"/>
  <c r="H326" i="2" s="1"/>
  <c r="N326" i="2" s="1"/>
  <c r="J325" i="2"/>
  <c r="G325" i="2"/>
  <c r="M325" i="2" s="1"/>
  <c r="F325" i="2"/>
  <c r="L325" i="2" s="1"/>
  <c r="E325" i="2"/>
  <c r="K325" i="2" s="1"/>
  <c r="D325" i="2"/>
  <c r="C325" i="2"/>
  <c r="I325" i="2" s="1"/>
  <c r="B325" i="2"/>
  <c r="H325" i="2" s="1"/>
  <c r="K324" i="2"/>
  <c r="J324" i="2"/>
  <c r="I324" i="2"/>
  <c r="N324" i="2" s="1"/>
  <c r="G324" i="2"/>
  <c r="M324" i="2" s="1"/>
  <c r="F324" i="2"/>
  <c r="L324" i="2" s="1"/>
  <c r="E324" i="2"/>
  <c r="D324" i="2"/>
  <c r="C324" i="2"/>
  <c r="B324" i="2"/>
  <c r="H324" i="2" s="1"/>
  <c r="K323" i="2"/>
  <c r="J323" i="2"/>
  <c r="G323" i="2"/>
  <c r="M323" i="2" s="1"/>
  <c r="F323" i="2"/>
  <c r="L323" i="2" s="1"/>
  <c r="E323" i="2"/>
  <c r="D323" i="2"/>
  <c r="C323" i="2"/>
  <c r="I323" i="2" s="1"/>
  <c r="B323" i="2"/>
  <c r="H323" i="2" s="1"/>
  <c r="J322" i="2"/>
  <c r="G322" i="2"/>
  <c r="M322" i="2" s="1"/>
  <c r="F322" i="2"/>
  <c r="L322" i="2" s="1"/>
  <c r="E322" i="2"/>
  <c r="K322" i="2" s="1"/>
  <c r="D322" i="2"/>
  <c r="C322" i="2"/>
  <c r="I322" i="2" s="1"/>
  <c r="B322" i="2"/>
  <c r="H322" i="2" s="1"/>
  <c r="N322" i="2" s="1"/>
  <c r="K321" i="2"/>
  <c r="J321" i="2"/>
  <c r="G321" i="2"/>
  <c r="M321" i="2" s="1"/>
  <c r="F321" i="2"/>
  <c r="L321" i="2" s="1"/>
  <c r="E321" i="2"/>
  <c r="D321" i="2"/>
  <c r="C321" i="2"/>
  <c r="I321" i="2" s="1"/>
  <c r="B321" i="2"/>
  <c r="H321" i="2" s="1"/>
  <c r="N321" i="2" s="1"/>
  <c r="K320" i="2"/>
  <c r="J320" i="2"/>
  <c r="G320" i="2"/>
  <c r="M320" i="2" s="1"/>
  <c r="F320" i="2"/>
  <c r="L320" i="2" s="1"/>
  <c r="E320" i="2"/>
  <c r="D320" i="2"/>
  <c r="C320" i="2"/>
  <c r="I320" i="2" s="1"/>
  <c r="B320" i="2"/>
  <c r="H320" i="2" s="1"/>
  <c r="J319" i="2"/>
  <c r="G319" i="2"/>
  <c r="M319" i="2" s="1"/>
  <c r="F319" i="2"/>
  <c r="L319" i="2" s="1"/>
  <c r="E319" i="2"/>
  <c r="K319" i="2" s="1"/>
  <c r="D319" i="2"/>
  <c r="C319" i="2"/>
  <c r="I319" i="2" s="1"/>
  <c r="B319" i="2"/>
  <c r="H319" i="2" s="1"/>
  <c r="K318" i="2"/>
  <c r="J318" i="2"/>
  <c r="G318" i="2"/>
  <c r="M318" i="2" s="1"/>
  <c r="F318" i="2"/>
  <c r="L318" i="2" s="1"/>
  <c r="E318" i="2"/>
  <c r="D318" i="2"/>
  <c r="C318" i="2"/>
  <c r="I318" i="2" s="1"/>
  <c r="B318" i="2"/>
  <c r="H318" i="2" s="1"/>
  <c r="M317" i="2"/>
  <c r="K317" i="2"/>
  <c r="J317" i="2"/>
  <c r="G317" i="2"/>
  <c r="F317" i="2"/>
  <c r="L317" i="2" s="1"/>
  <c r="E317" i="2"/>
  <c r="D317" i="2"/>
  <c r="C317" i="2"/>
  <c r="I317" i="2" s="1"/>
  <c r="B317" i="2"/>
  <c r="H317" i="2" s="1"/>
  <c r="N317" i="2" s="1"/>
  <c r="J316" i="2"/>
  <c r="G316" i="2"/>
  <c r="M316" i="2" s="1"/>
  <c r="F316" i="2"/>
  <c r="L316" i="2" s="1"/>
  <c r="E316" i="2"/>
  <c r="K316" i="2" s="1"/>
  <c r="D316" i="2"/>
  <c r="C316" i="2"/>
  <c r="I316" i="2" s="1"/>
  <c r="B316" i="2"/>
  <c r="H316" i="2" s="1"/>
  <c r="N316" i="2" s="1"/>
  <c r="K315" i="2"/>
  <c r="J315" i="2"/>
  <c r="G315" i="2"/>
  <c r="M315" i="2" s="1"/>
  <c r="F315" i="2"/>
  <c r="L315" i="2" s="1"/>
  <c r="E315" i="2"/>
  <c r="D315" i="2"/>
  <c r="C315" i="2"/>
  <c r="I315" i="2" s="1"/>
  <c r="N315" i="2" s="1"/>
  <c r="B315" i="2"/>
  <c r="H315" i="2" s="1"/>
  <c r="M314" i="2"/>
  <c r="K314" i="2"/>
  <c r="J314" i="2"/>
  <c r="G314" i="2"/>
  <c r="F314" i="2"/>
  <c r="L314" i="2" s="1"/>
  <c r="E314" i="2"/>
  <c r="D314" i="2"/>
  <c r="C314" i="2"/>
  <c r="I314" i="2" s="1"/>
  <c r="B314" i="2"/>
  <c r="H314" i="2" s="1"/>
  <c r="K313" i="2"/>
  <c r="J313" i="2"/>
  <c r="G313" i="2"/>
  <c r="M313" i="2" s="1"/>
  <c r="F313" i="2"/>
  <c r="L313" i="2" s="1"/>
  <c r="E313" i="2"/>
  <c r="D313" i="2"/>
  <c r="C313" i="2"/>
  <c r="I313" i="2" s="1"/>
  <c r="B313" i="2"/>
  <c r="H313" i="2" s="1"/>
  <c r="K312" i="2"/>
  <c r="J312" i="2"/>
  <c r="I312" i="2"/>
  <c r="N312" i="2" s="1"/>
  <c r="G312" i="2"/>
  <c r="M312" i="2" s="1"/>
  <c r="F312" i="2"/>
  <c r="L312" i="2" s="1"/>
  <c r="E312" i="2"/>
  <c r="D312" i="2"/>
  <c r="C312" i="2"/>
  <c r="B312" i="2"/>
  <c r="H312" i="2" s="1"/>
  <c r="K311" i="2"/>
  <c r="J311" i="2"/>
  <c r="G311" i="2"/>
  <c r="M311" i="2" s="1"/>
  <c r="F311" i="2"/>
  <c r="L311" i="2" s="1"/>
  <c r="E311" i="2"/>
  <c r="D311" i="2"/>
  <c r="C311" i="2"/>
  <c r="I311" i="2" s="1"/>
  <c r="B311" i="2"/>
  <c r="H311" i="2" s="1"/>
  <c r="J310" i="2"/>
  <c r="G310" i="2"/>
  <c r="M310" i="2" s="1"/>
  <c r="F310" i="2"/>
  <c r="L310" i="2" s="1"/>
  <c r="E310" i="2"/>
  <c r="K310" i="2" s="1"/>
  <c r="D310" i="2"/>
  <c r="C310" i="2"/>
  <c r="I310" i="2" s="1"/>
  <c r="B310" i="2"/>
  <c r="H310" i="2" s="1"/>
  <c r="K309" i="2"/>
  <c r="J309" i="2"/>
  <c r="G309" i="2"/>
  <c r="M309" i="2" s="1"/>
  <c r="F309" i="2"/>
  <c r="L309" i="2" s="1"/>
  <c r="E309" i="2"/>
  <c r="D309" i="2"/>
  <c r="C309" i="2"/>
  <c r="I309" i="2" s="1"/>
  <c r="B309" i="2"/>
  <c r="H309" i="2" s="1"/>
  <c r="N309" i="2" s="1"/>
  <c r="K308" i="2"/>
  <c r="J308" i="2"/>
  <c r="G308" i="2"/>
  <c r="M308" i="2" s="1"/>
  <c r="F308" i="2"/>
  <c r="L308" i="2" s="1"/>
  <c r="E308" i="2"/>
  <c r="D308" i="2"/>
  <c r="C308" i="2"/>
  <c r="I308" i="2" s="1"/>
  <c r="B308" i="2"/>
  <c r="H308" i="2" s="1"/>
  <c r="J307" i="2"/>
  <c r="G307" i="2"/>
  <c r="M307" i="2" s="1"/>
  <c r="F307" i="2"/>
  <c r="L307" i="2" s="1"/>
  <c r="E307" i="2"/>
  <c r="K307" i="2" s="1"/>
  <c r="D307" i="2"/>
  <c r="C307" i="2"/>
  <c r="I307" i="2" s="1"/>
  <c r="B307" i="2"/>
  <c r="H307" i="2" s="1"/>
  <c r="K306" i="2"/>
  <c r="J306" i="2"/>
  <c r="G306" i="2"/>
  <c r="M306" i="2" s="1"/>
  <c r="F306" i="2"/>
  <c r="L306" i="2" s="1"/>
  <c r="E306" i="2"/>
  <c r="D306" i="2"/>
  <c r="C306" i="2"/>
  <c r="I306" i="2" s="1"/>
  <c r="B306" i="2"/>
  <c r="H306" i="2" s="1"/>
  <c r="M305" i="2"/>
  <c r="K305" i="2"/>
  <c r="J305" i="2"/>
  <c r="G305" i="2"/>
  <c r="F305" i="2"/>
  <c r="L305" i="2" s="1"/>
  <c r="E305" i="2"/>
  <c r="D305" i="2"/>
  <c r="C305" i="2"/>
  <c r="I305" i="2" s="1"/>
  <c r="B305" i="2"/>
  <c r="H305" i="2" s="1"/>
  <c r="N305" i="2" s="1"/>
  <c r="J304" i="2"/>
  <c r="G304" i="2"/>
  <c r="M304" i="2" s="1"/>
  <c r="F304" i="2"/>
  <c r="L304" i="2" s="1"/>
  <c r="E304" i="2"/>
  <c r="K304" i="2" s="1"/>
  <c r="D304" i="2"/>
  <c r="C304" i="2"/>
  <c r="I304" i="2" s="1"/>
  <c r="B304" i="2"/>
  <c r="H304" i="2" s="1"/>
  <c r="N304" i="2" s="1"/>
  <c r="K303" i="2"/>
  <c r="J303" i="2"/>
  <c r="G303" i="2"/>
  <c r="M303" i="2" s="1"/>
  <c r="F303" i="2"/>
  <c r="L303" i="2" s="1"/>
  <c r="E303" i="2"/>
  <c r="D303" i="2"/>
  <c r="C303" i="2"/>
  <c r="I303" i="2" s="1"/>
  <c r="N303" i="2" s="1"/>
  <c r="B303" i="2"/>
  <c r="H303" i="2" s="1"/>
  <c r="M302" i="2"/>
  <c r="K302" i="2"/>
  <c r="J302" i="2"/>
  <c r="G302" i="2"/>
  <c r="F302" i="2"/>
  <c r="L302" i="2" s="1"/>
  <c r="E302" i="2"/>
  <c r="D302" i="2"/>
  <c r="C302" i="2"/>
  <c r="I302" i="2" s="1"/>
  <c r="B302" i="2"/>
  <c r="H302" i="2" s="1"/>
  <c r="K301" i="2"/>
  <c r="J301" i="2"/>
  <c r="G301" i="2"/>
  <c r="M301" i="2" s="1"/>
  <c r="F301" i="2"/>
  <c r="L301" i="2" s="1"/>
  <c r="E301" i="2"/>
  <c r="D301" i="2"/>
  <c r="C301" i="2"/>
  <c r="I301" i="2" s="1"/>
  <c r="B301" i="2"/>
  <c r="H301" i="2" s="1"/>
  <c r="K300" i="2"/>
  <c r="J300" i="2"/>
  <c r="I300" i="2"/>
  <c r="N300" i="2" s="1"/>
  <c r="G300" i="2"/>
  <c r="M300" i="2" s="1"/>
  <c r="F300" i="2"/>
  <c r="L300" i="2" s="1"/>
  <c r="E300" i="2"/>
  <c r="D300" i="2"/>
  <c r="C300" i="2"/>
  <c r="B300" i="2"/>
  <c r="H300" i="2" s="1"/>
  <c r="K299" i="2"/>
  <c r="J299" i="2"/>
  <c r="G299" i="2"/>
  <c r="M299" i="2" s="1"/>
  <c r="F299" i="2"/>
  <c r="L299" i="2" s="1"/>
  <c r="E299" i="2"/>
  <c r="D299" i="2"/>
  <c r="C299" i="2"/>
  <c r="I299" i="2" s="1"/>
  <c r="B299" i="2"/>
  <c r="H299" i="2" s="1"/>
  <c r="N299" i="2" s="1"/>
  <c r="J298" i="2"/>
  <c r="G298" i="2"/>
  <c r="M298" i="2" s="1"/>
  <c r="F298" i="2"/>
  <c r="L298" i="2" s="1"/>
  <c r="E298" i="2"/>
  <c r="K298" i="2" s="1"/>
  <c r="D298" i="2"/>
  <c r="C298" i="2"/>
  <c r="I298" i="2" s="1"/>
  <c r="B298" i="2"/>
  <c r="H298" i="2" s="1"/>
  <c r="K297" i="2"/>
  <c r="J297" i="2"/>
  <c r="G297" i="2"/>
  <c r="M297" i="2" s="1"/>
  <c r="F297" i="2"/>
  <c r="L297" i="2" s="1"/>
  <c r="E297" i="2"/>
  <c r="D297" i="2"/>
  <c r="C297" i="2"/>
  <c r="I297" i="2" s="1"/>
  <c r="B297" i="2"/>
  <c r="H297" i="2" s="1"/>
  <c r="N297" i="2" s="1"/>
  <c r="K296" i="2"/>
  <c r="J296" i="2"/>
  <c r="G296" i="2"/>
  <c r="M296" i="2" s="1"/>
  <c r="F296" i="2"/>
  <c r="L296" i="2" s="1"/>
  <c r="E296" i="2"/>
  <c r="D296" i="2"/>
  <c r="C296" i="2"/>
  <c r="I296" i="2" s="1"/>
  <c r="B296" i="2"/>
  <c r="H296" i="2" s="1"/>
  <c r="N296" i="2" s="1"/>
  <c r="J295" i="2"/>
  <c r="G295" i="2"/>
  <c r="M295" i="2" s="1"/>
  <c r="F295" i="2"/>
  <c r="L295" i="2" s="1"/>
  <c r="E295" i="2"/>
  <c r="K295" i="2" s="1"/>
  <c r="D295" i="2"/>
  <c r="C295" i="2"/>
  <c r="I295" i="2" s="1"/>
  <c r="B295" i="2"/>
  <c r="H295" i="2" s="1"/>
  <c r="K294" i="2"/>
  <c r="J294" i="2"/>
  <c r="G294" i="2"/>
  <c r="M294" i="2" s="1"/>
  <c r="F294" i="2"/>
  <c r="L294" i="2" s="1"/>
  <c r="E294" i="2"/>
  <c r="D294" i="2"/>
  <c r="C294" i="2"/>
  <c r="I294" i="2" s="1"/>
  <c r="B294" i="2"/>
  <c r="H294" i="2" s="1"/>
  <c r="M293" i="2"/>
  <c r="K293" i="2"/>
  <c r="J293" i="2"/>
  <c r="G293" i="2"/>
  <c r="F293" i="2"/>
  <c r="L293" i="2" s="1"/>
  <c r="E293" i="2"/>
  <c r="D293" i="2"/>
  <c r="C293" i="2"/>
  <c r="I293" i="2" s="1"/>
  <c r="B293" i="2"/>
  <c r="H293" i="2" s="1"/>
  <c r="N293" i="2" s="1"/>
  <c r="J292" i="2"/>
  <c r="G292" i="2"/>
  <c r="M292" i="2" s="1"/>
  <c r="F292" i="2"/>
  <c r="L292" i="2" s="1"/>
  <c r="E292" i="2"/>
  <c r="K292" i="2" s="1"/>
  <c r="D292" i="2"/>
  <c r="C292" i="2"/>
  <c r="I292" i="2" s="1"/>
  <c r="B292" i="2"/>
  <c r="H292" i="2" s="1"/>
  <c r="K291" i="2"/>
  <c r="J291" i="2"/>
  <c r="G291" i="2"/>
  <c r="M291" i="2" s="1"/>
  <c r="F291" i="2"/>
  <c r="L291" i="2" s="1"/>
  <c r="E291" i="2"/>
  <c r="D291" i="2"/>
  <c r="C291" i="2"/>
  <c r="I291" i="2" s="1"/>
  <c r="N291" i="2" s="1"/>
  <c r="B291" i="2"/>
  <c r="H291" i="2" s="1"/>
  <c r="M290" i="2"/>
  <c r="K290" i="2"/>
  <c r="J290" i="2"/>
  <c r="G290" i="2"/>
  <c r="F290" i="2"/>
  <c r="L290" i="2" s="1"/>
  <c r="E290" i="2"/>
  <c r="D290" i="2"/>
  <c r="C290" i="2"/>
  <c r="I290" i="2" s="1"/>
  <c r="B290" i="2"/>
  <c r="H290" i="2" s="1"/>
  <c r="K289" i="2"/>
  <c r="J289" i="2"/>
  <c r="G289" i="2"/>
  <c r="M289" i="2" s="1"/>
  <c r="F289" i="2"/>
  <c r="L289" i="2" s="1"/>
  <c r="E289" i="2"/>
  <c r="D289" i="2"/>
  <c r="C289" i="2"/>
  <c r="I289" i="2" s="1"/>
  <c r="B289" i="2"/>
  <c r="H289" i="2" s="1"/>
  <c r="K288" i="2"/>
  <c r="J288" i="2"/>
  <c r="G288" i="2"/>
  <c r="M288" i="2" s="1"/>
  <c r="F288" i="2"/>
  <c r="L288" i="2" s="1"/>
  <c r="E288" i="2"/>
  <c r="D288" i="2"/>
  <c r="C288" i="2"/>
  <c r="I288" i="2" s="1"/>
  <c r="B288" i="2"/>
  <c r="H288" i="2" s="1"/>
  <c r="M287" i="2"/>
  <c r="L287" i="2"/>
  <c r="K287" i="2"/>
  <c r="G287" i="2"/>
  <c r="F287" i="2"/>
  <c r="E287" i="2"/>
  <c r="D287" i="2"/>
  <c r="J287" i="2" s="1"/>
  <c r="N287" i="2" s="1"/>
  <c r="C287" i="2"/>
  <c r="I287" i="2" s="1"/>
  <c r="B287" i="2"/>
  <c r="H287" i="2" s="1"/>
  <c r="I286" i="2"/>
  <c r="G286" i="2"/>
  <c r="M286" i="2" s="1"/>
  <c r="F286" i="2"/>
  <c r="L286" i="2" s="1"/>
  <c r="E286" i="2"/>
  <c r="K286" i="2" s="1"/>
  <c r="D286" i="2"/>
  <c r="J286" i="2" s="1"/>
  <c r="C286" i="2"/>
  <c r="B286" i="2"/>
  <c r="H286" i="2" s="1"/>
  <c r="N286" i="2" s="1"/>
  <c r="O286" i="2" s="1"/>
  <c r="K285" i="2"/>
  <c r="J285" i="2"/>
  <c r="I285" i="2"/>
  <c r="H285" i="2"/>
  <c r="N285" i="2" s="1"/>
  <c r="G285" i="2"/>
  <c r="M285" i="2" s="1"/>
  <c r="F285" i="2"/>
  <c r="L285" i="2" s="1"/>
  <c r="E285" i="2"/>
  <c r="D285" i="2"/>
  <c r="C285" i="2"/>
  <c r="B285" i="2"/>
  <c r="L284" i="2"/>
  <c r="K284" i="2"/>
  <c r="J284" i="2"/>
  <c r="G284" i="2"/>
  <c r="M284" i="2" s="1"/>
  <c r="F284" i="2"/>
  <c r="E284" i="2"/>
  <c r="D284" i="2"/>
  <c r="C284" i="2"/>
  <c r="I284" i="2" s="1"/>
  <c r="B284" i="2"/>
  <c r="H284" i="2" s="1"/>
  <c r="L283" i="2"/>
  <c r="J283" i="2"/>
  <c r="G283" i="2"/>
  <c r="M283" i="2" s="1"/>
  <c r="F283" i="2"/>
  <c r="E283" i="2"/>
  <c r="K283" i="2" s="1"/>
  <c r="D283" i="2"/>
  <c r="C283" i="2"/>
  <c r="I283" i="2" s="1"/>
  <c r="B283" i="2"/>
  <c r="H283" i="2" s="1"/>
  <c r="N282" i="2"/>
  <c r="I282" i="2"/>
  <c r="G282" i="2"/>
  <c r="M282" i="2" s="1"/>
  <c r="F282" i="2"/>
  <c r="L282" i="2" s="1"/>
  <c r="E282" i="2"/>
  <c r="K282" i="2" s="1"/>
  <c r="D282" i="2"/>
  <c r="J282" i="2" s="1"/>
  <c r="C282" i="2"/>
  <c r="B282" i="2"/>
  <c r="H282" i="2" s="1"/>
  <c r="M281" i="2"/>
  <c r="K281" i="2"/>
  <c r="J281" i="2"/>
  <c r="I281" i="2"/>
  <c r="H281" i="2"/>
  <c r="N281" i="2" s="1"/>
  <c r="G281" i="2"/>
  <c r="F281" i="2"/>
  <c r="L281" i="2" s="1"/>
  <c r="E281" i="2"/>
  <c r="D281" i="2"/>
  <c r="C281" i="2"/>
  <c r="B281" i="2"/>
  <c r="M280" i="2"/>
  <c r="L280" i="2"/>
  <c r="J280" i="2"/>
  <c r="N280" i="2" s="1"/>
  <c r="G280" i="2"/>
  <c r="F280" i="2"/>
  <c r="E280" i="2"/>
  <c r="K280" i="2" s="1"/>
  <c r="D280" i="2"/>
  <c r="C280" i="2"/>
  <c r="I280" i="2" s="1"/>
  <c r="B280" i="2"/>
  <c r="H280" i="2" s="1"/>
  <c r="I279" i="2"/>
  <c r="G279" i="2"/>
  <c r="M279" i="2" s="1"/>
  <c r="F279" i="2"/>
  <c r="L279" i="2" s="1"/>
  <c r="E279" i="2"/>
  <c r="K279" i="2" s="1"/>
  <c r="D279" i="2"/>
  <c r="J279" i="2" s="1"/>
  <c r="C279" i="2"/>
  <c r="B279" i="2"/>
  <c r="H279" i="2" s="1"/>
  <c r="N279" i="2" s="1"/>
  <c r="M278" i="2"/>
  <c r="K278" i="2"/>
  <c r="J278" i="2"/>
  <c r="I278" i="2"/>
  <c r="H278" i="2"/>
  <c r="G278" i="2"/>
  <c r="F278" i="2"/>
  <c r="L278" i="2" s="1"/>
  <c r="E278" i="2"/>
  <c r="D278" i="2"/>
  <c r="C278" i="2"/>
  <c r="B278" i="2"/>
  <c r="N277" i="2"/>
  <c r="M277" i="2"/>
  <c r="L277" i="2"/>
  <c r="J277" i="2"/>
  <c r="G277" i="2"/>
  <c r="F277" i="2"/>
  <c r="E277" i="2"/>
  <c r="K277" i="2" s="1"/>
  <c r="D277" i="2"/>
  <c r="C277" i="2"/>
  <c r="I277" i="2" s="1"/>
  <c r="B277" i="2"/>
  <c r="H277" i="2" s="1"/>
  <c r="I276" i="2"/>
  <c r="G276" i="2"/>
  <c r="M276" i="2" s="1"/>
  <c r="N276" i="2" s="1"/>
  <c r="F276" i="2"/>
  <c r="L276" i="2" s="1"/>
  <c r="E276" i="2"/>
  <c r="K276" i="2" s="1"/>
  <c r="D276" i="2"/>
  <c r="J276" i="2" s="1"/>
  <c r="C276" i="2"/>
  <c r="B276" i="2"/>
  <c r="H276" i="2" s="1"/>
  <c r="K275" i="2"/>
  <c r="J275" i="2"/>
  <c r="H275" i="2"/>
  <c r="G275" i="2"/>
  <c r="M275" i="2" s="1"/>
  <c r="F275" i="2"/>
  <c r="L275" i="2" s="1"/>
  <c r="E275" i="2"/>
  <c r="D275" i="2"/>
  <c r="C275" i="2"/>
  <c r="I275" i="2" s="1"/>
  <c r="B275" i="2"/>
  <c r="J274" i="2"/>
  <c r="G274" i="2"/>
  <c r="M274" i="2" s="1"/>
  <c r="F274" i="2"/>
  <c r="L274" i="2" s="1"/>
  <c r="E274" i="2"/>
  <c r="K274" i="2" s="1"/>
  <c r="D274" i="2"/>
  <c r="C274" i="2"/>
  <c r="I274" i="2" s="1"/>
  <c r="B274" i="2"/>
  <c r="H274" i="2" s="1"/>
  <c r="N274" i="2" s="1"/>
  <c r="G273" i="2"/>
  <c r="M273" i="2" s="1"/>
  <c r="F273" i="2"/>
  <c r="L273" i="2" s="1"/>
  <c r="E273" i="2"/>
  <c r="K273" i="2" s="1"/>
  <c r="D273" i="2"/>
  <c r="J273" i="2" s="1"/>
  <c r="C273" i="2"/>
  <c r="I273" i="2" s="1"/>
  <c r="B273" i="2"/>
  <c r="H273" i="2" s="1"/>
  <c r="N273" i="2" s="1"/>
  <c r="K272" i="2"/>
  <c r="J272" i="2"/>
  <c r="G272" i="2"/>
  <c r="M272" i="2" s="1"/>
  <c r="F272" i="2"/>
  <c r="L272" i="2" s="1"/>
  <c r="E272" i="2"/>
  <c r="D272" i="2"/>
  <c r="C272" i="2"/>
  <c r="I272" i="2" s="1"/>
  <c r="B272" i="2"/>
  <c r="H272" i="2" s="1"/>
  <c r="K271" i="2"/>
  <c r="J271" i="2"/>
  <c r="G271" i="2"/>
  <c r="M271" i="2" s="1"/>
  <c r="F271" i="2"/>
  <c r="L271" i="2" s="1"/>
  <c r="E271" i="2"/>
  <c r="D271" i="2"/>
  <c r="C271" i="2"/>
  <c r="I271" i="2" s="1"/>
  <c r="B271" i="2"/>
  <c r="H271" i="2" s="1"/>
  <c r="N271" i="2" s="1"/>
  <c r="K270" i="2"/>
  <c r="J270" i="2"/>
  <c r="G270" i="2"/>
  <c r="M270" i="2" s="1"/>
  <c r="F270" i="2"/>
  <c r="L270" i="2" s="1"/>
  <c r="E270" i="2"/>
  <c r="D270" i="2"/>
  <c r="C270" i="2"/>
  <c r="I270" i="2" s="1"/>
  <c r="B270" i="2"/>
  <c r="H270" i="2" s="1"/>
  <c r="N270" i="2" s="1"/>
  <c r="K269" i="2"/>
  <c r="J269" i="2"/>
  <c r="G269" i="2"/>
  <c r="M269" i="2" s="1"/>
  <c r="F269" i="2"/>
  <c r="L269" i="2" s="1"/>
  <c r="E269" i="2"/>
  <c r="D269" i="2"/>
  <c r="C269" i="2"/>
  <c r="I269" i="2" s="1"/>
  <c r="B269" i="2"/>
  <c r="H269" i="2" s="1"/>
  <c r="K268" i="2"/>
  <c r="J268" i="2"/>
  <c r="G268" i="2"/>
  <c r="M268" i="2" s="1"/>
  <c r="F268" i="2"/>
  <c r="L268" i="2" s="1"/>
  <c r="E268" i="2"/>
  <c r="D268" i="2"/>
  <c r="C268" i="2"/>
  <c r="I268" i="2" s="1"/>
  <c r="B268" i="2"/>
  <c r="H268" i="2" s="1"/>
  <c r="N268" i="2" s="1"/>
  <c r="K267" i="2"/>
  <c r="J267" i="2"/>
  <c r="G267" i="2"/>
  <c r="M267" i="2" s="1"/>
  <c r="F267" i="2"/>
  <c r="L267" i="2" s="1"/>
  <c r="E267" i="2"/>
  <c r="D267" i="2"/>
  <c r="C267" i="2"/>
  <c r="I267" i="2" s="1"/>
  <c r="B267" i="2"/>
  <c r="H267" i="2" s="1"/>
  <c r="N267" i="2" s="1"/>
  <c r="K266" i="2"/>
  <c r="J266" i="2"/>
  <c r="G266" i="2"/>
  <c r="M266" i="2" s="1"/>
  <c r="F266" i="2"/>
  <c r="L266" i="2" s="1"/>
  <c r="E266" i="2"/>
  <c r="D266" i="2"/>
  <c r="C266" i="2"/>
  <c r="I266" i="2" s="1"/>
  <c r="B266" i="2"/>
  <c r="H266" i="2" s="1"/>
  <c r="K265" i="2"/>
  <c r="J265" i="2"/>
  <c r="G265" i="2"/>
  <c r="M265" i="2" s="1"/>
  <c r="F265" i="2"/>
  <c r="L265" i="2" s="1"/>
  <c r="E265" i="2"/>
  <c r="D265" i="2"/>
  <c r="C265" i="2"/>
  <c r="I265" i="2" s="1"/>
  <c r="B265" i="2"/>
  <c r="H265" i="2" s="1"/>
  <c r="N265" i="2" s="1"/>
  <c r="K264" i="2"/>
  <c r="J264" i="2"/>
  <c r="G264" i="2"/>
  <c r="M264" i="2" s="1"/>
  <c r="F264" i="2"/>
  <c r="L264" i="2" s="1"/>
  <c r="E264" i="2"/>
  <c r="D264" i="2"/>
  <c r="C264" i="2"/>
  <c r="I264" i="2" s="1"/>
  <c r="B264" i="2"/>
  <c r="H264" i="2" s="1"/>
  <c r="N264" i="2" s="1"/>
  <c r="K263" i="2"/>
  <c r="J263" i="2"/>
  <c r="G263" i="2"/>
  <c r="M263" i="2" s="1"/>
  <c r="F263" i="2"/>
  <c r="L263" i="2" s="1"/>
  <c r="E263" i="2"/>
  <c r="D263" i="2"/>
  <c r="C263" i="2"/>
  <c r="I263" i="2" s="1"/>
  <c r="B263" i="2"/>
  <c r="H263" i="2" s="1"/>
  <c r="N263" i="2" s="1"/>
  <c r="K262" i="2"/>
  <c r="J262" i="2"/>
  <c r="N262" i="2" s="1"/>
  <c r="G262" i="2"/>
  <c r="M262" i="2" s="1"/>
  <c r="F262" i="2"/>
  <c r="L262" i="2" s="1"/>
  <c r="E262" i="2"/>
  <c r="D262" i="2"/>
  <c r="C262" i="2"/>
  <c r="I262" i="2" s="1"/>
  <c r="B262" i="2"/>
  <c r="H262" i="2" s="1"/>
  <c r="K261" i="2"/>
  <c r="J261" i="2"/>
  <c r="G261" i="2"/>
  <c r="M261" i="2" s="1"/>
  <c r="F261" i="2"/>
  <c r="L261" i="2" s="1"/>
  <c r="E261" i="2"/>
  <c r="D261" i="2"/>
  <c r="C261" i="2"/>
  <c r="I261" i="2" s="1"/>
  <c r="B261" i="2"/>
  <c r="H261" i="2" s="1"/>
  <c r="N261" i="2" s="1"/>
  <c r="K260" i="2"/>
  <c r="J260" i="2"/>
  <c r="G260" i="2"/>
  <c r="M260" i="2" s="1"/>
  <c r="F260" i="2"/>
  <c r="L260" i="2" s="1"/>
  <c r="E260" i="2"/>
  <c r="D260" i="2"/>
  <c r="C260" i="2"/>
  <c r="I260" i="2" s="1"/>
  <c r="B260" i="2"/>
  <c r="H260" i="2" s="1"/>
  <c r="N260" i="2" s="1"/>
  <c r="K259" i="2"/>
  <c r="J259" i="2"/>
  <c r="G259" i="2"/>
  <c r="M259" i="2" s="1"/>
  <c r="F259" i="2"/>
  <c r="L259" i="2" s="1"/>
  <c r="E259" i="2"/>
  <c r="D259" i="2"/>
  <c r="C259" i="2"/>
  <c r="I259" i="2" s="1"/>
  <c r="B259" i="2"/>
  <c r="H259" i="2" s="1"/>
  <c r="N259" i="2" s="1"/>
  <c r="K258" i="2"/>
  <c r="J258" i="2"/>
  <c r="N258" i="2" s="1"/>
  <c r="G258" i="2"/>
  <c r="M258" i="2" s="1"/>
  <c r="F258" i="2"/>
  <c r="L258" i="2" s="1"/>
  <c r="E258" i="2"/>
  <c r="D258" i="2"/>
  <c r="C258" i="2"/>
  <c r="I258" i="2" s="1"/>
  <c r="B258" i="2"/>
  <c r="H258" i="2" s="1"/>
  <c r="K257" i="2"/>
  <c r="J257" i="2"/>
  <c r="G257" i="2"/>
  <c r="M257" i="2" s="1"/>
  <c r="F257" i="2"/>
  <c r="L257" i="2" s="1"/>
  <c r="E257" i="2"/>
  <c r="D257" i="2"/>
  <c r="C257" i="2"/>
  <c r="I257" i="2" s="1"/>
  <c r="B257" i="2"/>
  <c r="H257" i="2" s="1"/>
  <c r="N257" i="2" s="1"/>
  <c r="K256" i="2"/>
  <c r="J256" i="2"/>
  <c r="G256" i="2"/>
  <c r="M256" i="2" s="1"/>
  <c r="F256" i="2"/>
  <c r="L256" i="2" s="1"/>
  <c r="E256" i="2"/>
  <c r="D256" i="2"/>
  <c r="C256" i="2"/>
  <c r="I256" i="2" s="1"/>
  <c r="B256" i="2"/>
  <c r="H256" i="2" s="1"/>
  <c r="N256" i="2" s="1"/>
  <c r="N255" i="2"/>
  <c r="K255" i="2"/>
  <c r="J255" i="2"/>
  <c r="G255" i="2"/>
  <c r="M255" i="2" s="1"/>
  <c r="F255" i="2"/>
  <c r="L255" i="2" s="1"/>
  <c r="E255" i="2"/>
  <c r="D255" i="2"/>
  <c r="C255" i="2"/>
  <c r="I255" i="2" s="1"/>
  <c r="B255" i="2"/>
  <c r="H255" i="2" s="1"/>
  <c r="K254" i="2"/>
  <c r="J254" i="2"/>
  <c r="N254" i="2" s="1"/>
  <c r="G254" i="2"/>
  <c r="M254" i="2" s="1"/>
  <c r="F254" i="2"/>
  <c r="L254" i="2" s="1"/>
  <c r="E254" i="2"/>
  <c r="D254" i="2"/>
  <c r="C254" i="2"/>
  <c r="I254" i="2" s="1"/>
  <c r="B254" i="2"/>
  <c r="H254" i="2" s="1"/>
  <c r="K253" i="2"/>
  <c r="J253" i="2"/>
  <c r="N253" i="2" s="1"/>
  <c r="G253" i="2"/>
  <c r="M253" i="2" s="1"/>
  <c r="F253" i="2"/>
  <c r="L253" i="2" s="1"/>
  <c r="E253" i="2"/>
  <c r="D253" i="2"/>
  <c r="C253" i="2"/>
  <c r="I253" i="2" s="1"/>
  <c r="B253" i="2"/>
  <c r="H253" i="2" s="1"/>
  <c r="K252" i="2"/>
  <c r="J252" i="2"/>
  <c r="G252" i="2"/>
  <c r="M252" i="2" s="1"/>
  <c r="F252" i="2"/>
  <c r="L252" i="2" s="1"/>
  <c r="E252" i="2"/>
  <c r="D252" i="2"/>
  <c r="C252" i="2"/>
  <c r="I252" i="2" s="1"/>
  <c r="B252" i="2"/>
  <c r="H252" i="2" s="1"/>
  <c r="N252" i="2" s="1"/>
  <c r="K251" i="2"/>
  <c r="J251" i="2"/>
  <c r="G251" i="2"/>
  <c r="M251" i="2" s="1"/>
  <c r="F251" i="2"/>
  <c r="L251" i="2" s="1"/>
  <c r="E251" i="2"/>
  <c r="D251" i="2"/>
  <c r="C251" i="2"/>
  <c r="I251" i="2" s="1"/>
  <c r="B251" i="2"/>
  <c r="H251" i="2" s="1"/>
  <c r="N251" i="2" s="1"/>
  <c r="K250" i="2"/>
  <c r="J250" i="2"/>
  <c r="G250" i="2"/>
  <c r="M250" i="2" s="1"/>
  <c r="F250" i="2"/>
  <c r="L250" i="2" s="1"/>
  <c r="E250" i="2"/>
  <c r="D250" i="2"/>
  <c r="C250" i="2"/>
  <c r="I250" i="2" s="1"/>
  <c r="B250" i="2"/>
  <c r="H250" i="2" s="1"/>
  <c r="N250" i="2" s="1"/>
  <c r="N249" i="2"/>
  <c r="P249" i="2" s="1" a="1"/>
  <c r="P249" i="2" s="1"/>
  <c r="K249" i="2"/>
  <c r="J249" i="2"/>
  <c r="G249" i="2"/>
  <c r="M249" i="2" s="1"/>
  <c r="F249" i="2"/>
  <c r="L249" i="2" s="1"/>
  <c r="E249" i="2"/>
  <c r="D249" i="2"/>
  <c r="C249" i="2"/>
  <c r="I249" i="2" s="1"/>
  <c r="B249" i="2"/>
  <c r="H249" i="2" s="1"/>
  <c r="K248" i="2"/>
  <c r="J248" i="2"/>
  <c r="G248" i="2"/>
  <c r="M248" i="2" s="1"/>
  <c r="F248" i="2"/>
  <c r="L248" i="2" s="1"/>
  <c r="E248" i="2"/>
  <c r="D248" i="2"/>
  <c r="C248" i="2"/>
  <c r="I248" i="2" s="1"/>
  <c r="B248" i="2"/>
  <c r="H248" i="2" s="1"/>
  <c r="N248" i="2" s="1"/>
  <c r="K247" i="2"/>
  <c r="J247" i="2"/>
  <c r="N247" i="2" s="1"/>
  <c r="G247" i="2"/>
  <c r="M247" i="2" s="1"/>
  <c r="F247" i="2"/>
  <c r="L247" i="2" s="1"/>
  <c r="E247" i="2"/>
  <c r="D247" i="2"/>
  <c r="C247" i="2"/>
  <c r="I247" i="2" s="1"/>
  <c r="B247" i="2"/>
  <c r="H247" i="2" s="1"/>
  <c r="K246" i="2"/>
  <c r="G246" i="2"/>
  <c r="M246" i="2" s="1"/>
  <c r="F246" i="2"/>
  <c r="L246" i="2" s="1"/>
  <c r="E246" i="2"/>
  <c r="D246" i="2"/>
  <c r="J246" i="2" s="1"/>
  <c r="N246" i="2" s="1"/>
  <c r="C246" i="2"/>
  <c r="I246" i="2" s="1"/>
  <c r="B246" i="2"/>
  <c r="H246" i="2" s="1"/>
  <c r="K245" i="2"/>
  <c r="J245" i="2"/>
  <c r="H245" i="2"/>
  <c r="G245" i="2"/>
  <c r="M245" i="2" s="1"/>
  <c r="F245" i="2"/>
  <c r="L245" i="2" s="1"/>
  <c r="N245" i="2" s="1"/>
  <c r="E245" i="2"/>
  <c r="D245" i="2"/>
  <c r="C245" i="2"/>
  <c r="I245" i="2" s="1"/>
  <c r="B245" i="2"/>
  <c r="L244" i="2"/>
  <c r="K244" i="2"/>
  <c r="J244" i="2"/>
  <c r="G244" i="2"/>
  <c r="M244" i="2" s="1"/>
  <c r="F244" i="2"/>
  <c r="E244" i="2"/>
  <c r="D244" i="2"/>
  <c r="C244" i="2"/>
  <c r="I244" i="2" s="1"/>
  <c r="B244" i="2"/>
  <c r="H244" i="2" s="1"/>
  <c r="N244" i="2" s="1"/>
  <c r="K243" i="2"/>
  <c r="G243" i="2"/>
  <c r="M243" i="2" s="1"/>
  <c r="F243" i="2"/>
  <c r="L243" i="2" s="1"/>
  <c r="E243" i="2"/>
  <c r="D243" i="2"/>
  <c r="J243" i="2" s="1"/>
  <c r="C243" i="2"/>
  <c r="I243" i="2" s="1"/>
  <c r="B243" i="2"/>
  <c r="H243" i="2" s="1"/>
  <c r="K242" i="2"/>
  <c r="J242" i="2"/>
  <c r="G242" i="2"/>
  <c r="M242" i="2" s="1"/>
  <c r="F242" i="2"/>
  <c r="L242" i="2" s="1"/>
  <c r="E242" i="2"/>
  <c r="D242" i="2"/>
  <c r="C242" i="2"/>
  <c r="I242" i="2" s="1"/>
  <c r="B242" i="2"/>
  <c r="H242" i="2" s="1"/>
  <c r="N242" i="2" s="1"/>
  <c r="K241" i="2"/>
  <c r="J241" i="2"/>
  <c r="G241" i="2"/>
  <c r="M241" i="2" s="1"/>
  <c r="F241" i="2"/>
  <c r="L241" i="2" s="1"/>
  <c r="E241" i="2"/>
  <c r="D241" i="2"/>
  <c r="C241" i="2"/>
  <c r="I241" i="2" s="1"/>
  <c r="B241" i="2"/>
  <c r="H241" i="2" s="1"/>
  <c r="K240" i="2"/>
  <c r="G240" i="2"/>
  <c r="M240" i="2" s="1"/>
  <c r="F240" i="2"/>
  <c r="L240" i="2" s="1"/>
  <c r="E240" i="2"/>
  <c r="D240" i="2"/>
  <c r="J240" i="2" s="1"/>
  <c r="C240" i="2"/>
  <c r="I240" i="2" s="1"/>
  <c r="B240" i="2"/>
  <c r="H240" i="2" s="1"/>
  <c r="K239" i="2"/>
  <c r="J239" i="2"/>
  <c r="G239" i="2"/>
  <c r="M239" i="2" s="1"/>
  <c r="F239" i="2"/>
  <c r="L239" i="2" s="1"/>
  <c r="E239" i="2"/>
  <c r="D239" i="2"/>
  <c r="C239" i="2"/>
  <c r="I239" i="2" s="1"/>
  <c r="B239" i="2"/>
  <c r="H239" i="2" s="1"/>
  <c r="N239" i="2" s="1"/>
  <c r="L238" i="2"/>
  <c r="K238" i="2"/>
  <c r="J238" i="2"/>
  <c r="G238" i="2"/>
  <c r="M238" i="2" s="1"/>
  <c r="F238" i="2"/>
  <c r="E238" i="2"/>
  <c r="D238" i="2"/>
  <c r="C238" i="2"/>
  <c r="I238" i="2" s="1"/>
  <c r="N238" i="2" s="1"/>
  <c r="B238" i="2"/>
  <c r="H238" i="2" s="1"/>
  <c r="M237" i="2"/>
  <c r="K237" i="2"/>
  <c r="G237" i="2"/>
  <c r="F237" i="2"/>
  <c r="L237" i="2" s="1"/>
  <c r="E237" i="2"/>
  <c r="D237" i="2"/>
  <c r="J237" i="2" s="1"/>
  <c r="C237" i="2"/>
  <c r="I237" i="2" s="1"/>
  <c r="B237" i="2"/>
  <c r="H237" i="2" s="1"/>
  <c r="K236" i="2"/>
  <c r="J236" i="2"/>
  <c r="G236" i="2"/>
  <c r="M236" i="2" s="1"/>
  <c r="F236" i="2"/>
  <c r="L236" i="2" s="1"/>
  <c r="E236" i="2"/>
  <c r="D236" i="2"/>
  <c r="C236" i="2"/>
  <c r="I236" i="2" s="1"/>
  <c r="B236" i="2"/>
  <c r="H236" i="2" s="1"/>
  <c r="N236" i="2" s="1"/>
  <c r="M235" i="2"/>
  <c r="K235" i="2"/>
  <c r="J235" i="2"/>
  <c r="G235" i="2"/>
  <c r="F235" i="2"/>
  <c r="L235" i="2" s="1"/>
  <c r="E235" i="2"/>
  <c r="D235" i="2"/>
  <c r="C235" i="2"/>
  <c r="I235" i="2" s="1"/>
  <c r="B235" i="2"/>
  <c r="H235" i="2" s="1"/>
  <c r="G234" i="2"/>
  <c r="M234" i="2" s="1"/>
  <c r="F234" i="2"/>
  <c r="L234" i="2" s="1"/>
  <c r="E234" i="2"/>
  <c r="K234" i="2" s="1"/>
  <c r="D234" i="2"/>
  <c r="J234" i="2" s="1"/>
  <c r="C234" i="2"/>
  <c r="I234" i="2" s="1"/>
  <c r="B234" i="2"/>
  <c r="H234" i="2" s="1"/>
  <c r="K233" i="2"/>
  <c r="J233" i="2"/>
  <c r="I233" i="2"/>
  <c r="H233" i="2"/>
  <c r="G233" i="2"/>
  <c r="M233" i="2" s="1"/>
  <c r="F233" i="2"/>
  <c r="L233" i="2" s="1"/>
  <c r="E233" i="2"/>
  <c r="D233" i="2"/>
  <c r="C233" i="2"/>
  <c r="B233" i="2"/>
  <c r="K232" i="2"/>
  <c r="J232" i="2"/>
  <c r="I232" i="2"/>
  <c r="G232" i="2"/>
  <c r="M232" i="2" s="1"/>
  <c r="F232" i="2"/>
  <c r="L232" i="2" s="1"/>
  <c r="E232" i="2"/>
  <c r="D232" i="2"/>
  <c r="C232" i="2"/>
  <c r="B232" i="2"/>
  <c r="H232" i="2" s="1"/>
  <c r="M231" i="2"/>
  <c r="K231" i="2"/>
  <c r="N231" i="2" s="1"/>
  <c r="J231" i="2"/>
  <c r="I231" i="2"/>
  <c r="G231" i="2"/>
  <c r="F231" i="2"/>
  <c r="L231" i="2" s="1"/>
  <c r="E231" i="2"/>
  <c r="D231" i="2"/>
  <c r="C231" i="2"/>
  <c r="B231" i="2"/>
  <c r="H231" i="2" s="1"/>
  <c r="M230" i="2"/>
  <c r="J230" i="2"/>
  <c r="G230" i="2"/>
  <c r="F230" i="2"/>
  <c r="L230" i="2" s="1"/>
  <c r="E230" i="2"/>
  <c r="K230" i="2" s="1"/>
  <c r="D230" i="2"/>
  <c r="C230" i="2"/>
  <c r="I230" i="2" s="1"/>
  <c r="B230" i="2"/>
  <c r="H230" i="2" s="1"/>
  <c r="J229" i="2"/>
  <c r="G229" i="2"/>
  <c r="M229" i="2" s="1"/>
  <c r="F229" i="2"/>
  <c r="L229" i="2" s="1"/>
  <c r="E229" i="2"/>
  <c r="K229" i="2" s="1"/>
  <c r="D229" i="2"/>
  <c r="C229" i="2"/>
  <c r="I229" i="2" s="1"/>
  <c r="B229" i="2"/>
  <c r="H229" i="2" s="1"/>
  <c r="G228" i="2"/>
  <c r="M228" i="2" s="1"/>
  <c r="F228" i="2"/>
  <c r="L228" i="2" s="1"/>
  <c r="E228" i="2"/>
  <c r="K228" i="2" s="1"/>
  <c r="D228" i="2"/>
  <c r="J228" i="2" s="1"/>
  <c r="C228" i="2"/>
  <c r="I228" i="2" s="1"/>
  <c r="B228" i="2"/>
  <c r="H228" i="2" s="1"/>
  <c r="K227" i="2"/>
  <c r="J227" i="2"/>
  <c r="I227" i="2"/>
  <c r="H227" i="2"/>
  <c r="G227" i="2"/>
  <c r="M227" i="2" s="1"/>
  <c r="F227" i="2"/>
  <c r="L227" i="2" s="1"/>
  <c r="E227" i="2"/>
  <c r="D227" i="2"/>
  <c r="C227" i="2"/>
  <c r="B227" i="2"/>
  <c r="L226" i="2"/>
  <c r="K226" i="2"/>
  <c r="J226" i="2"/>
  <c r="I226" i="2"/>
  <c r="G226" i="2"/>
  <c r="M226" i="2" s="1"/>
  <c r="F226" i="2"/>
  <c r="E226" i="2"/>
  <c r="D226" i="2"/>
  <c r="C226" i="2"/>
  <c r="B226" i="2"/>
  <c r="H226" i="2" s="1"/>
  <c r="N226" i="2" s="1"/>
  <c r="M225" i="2"/>
  <c r="G225" i="2"/>
  <c r="F225" i="2"/>
  <c r="L225" i="2" s="1"/>
  <c r="E225" i="2"/>
  <c r="K225" i="2" s="1"/>
  <c r="D225" i="2"/>
  <c r="J225" i="2" s="1"/>
  <c r="C225" i="2"/>
  <c r="I225" i="2" s="1"/>
  <c r="B225" i="2"/>
  <c r="H225" i="2" s="1"/>
  <c r="H224" i="2"/>
  <c r="G224" i="2"/>
  <c r="M224" i="2" s="1"/>
  <c r="F224" i="2"/>
  <c r="L224" i="2" s="1"/>
  <c r="E224" i="2"/>
  <c r="K224" i="2" s="1"/>
  <c r="D224" i="2"/>
  <c r="J224" i="2" s="1"/>
  <c r="C224" i="2"/>
  <c r="I224" i="2" s="1"/>
  <c r="B224" i="2"/>
  <c r="K223" i="2"/>
  <c r="J223" i="2"/>
  <c r="I223" i="2"/>
  <c r="H223" i="2"/>
  <c r="G223" i="2"/>
  <c r="M223" i="2" s="1"/>
  <c r="F223" i="2"/>
  <c r="L223" i="2" s="1"/>
  <c r="E223" i="2"/>
  <c r="D223" i="2"/>
  <c r="C223" i="2"/>
  <c r="B223" i="2"/>
  <c r="M222" i="2"/>
  <c r="L222" i="2"/>
  <c r="K222" i="2"/>
  <c r="J222" i="2"/>
  <c r="I222" i="2"/>
  <c r="G222" i="2"/>
  <c r="F222" i="2"/>
  <c r="E222" i="2"/>
  <c r="D222" i="2"/>
  <c r="C222" i="2"/>
  <c r="B222" i="2"/>
  <c r="H222" i="2" s="1"/>
  <c r="N222" i="2" s="1"/>
  <c r="M221" i="2"/>
  <c r="J221" i="2"/>
  <c r="G221" i="2"/>
  <c r="F221" i="2"/>
  <c r="L221" i="2" s="1"/>
  <c r="E221" i="2"/>
  <c r="K221" i="2" s="1"/>
  <c r="D221" i="2"/>
  <c r="C221" i="2"/>
  <c r="I221" i="2" s="1"/>
  <c r="B221" i="2"/>
  <c r="H221" i="2" s="1"/>
  <c r="M220" i="2"/>
  <c r="H220" i="2"/>
  <c r="G220" i="2"/>
  <c r="F220" i="2"/>
  <c r="L220" i="2" s="1"/>
  <c r="E220" i="2"/>
  <c r="K220" i="2" s="1"/>
  <c r="D220" i="2"/>
  <c r="J220" i="2" s="1"/>
  <c r="C220" i="2"/>
  <c r="I220" i="2" s="1"/>
  <c r="B220" i="2"/>
  <c r="L219" i="2"/>
  <c r="J219" i="2"/>
  <c r="I219" i="2"/>
  <c r="H219" i="2"/>
  <c r="N219" i="2" s="1"/>
  <c r="G219" i="2"/>
  <c r="M219" i="2" s="1"/>
  <c r="F219" i="2"/>
  <c r="E219" i="2"/>
  <c r="K219" i="2" s="1"/>
  <c r="D219" i="2"/>
  <c r="C219" i="2"/>
  <c r="B219" i="2"/>
  <c r="M218" i="2"/>
  <c r="L218" i="2"/>
  <c r="K218" i="2"/>
  <c r="I218" i="2"/>
  <c r="G218" i="2"/>
  <c r="F218" i="2"/>
  <c r="E218" i="2"/>
  <c r="D218" i="2"/>
  <c r="J218" i="2" s="1"/>
  <c r="C218" i="2"/>
  <c r="B218" i="2"/>
  <c r="H218" i="2" s="1"/>
  <c r="N218" i="2" s="1"/>
  <c r="H217" i="2"/>
  <c r="G217" i="2"/>
  <c r="M217" i="2" s="1"/>
  <c r="F217" i="2"/>
  <c r="L217" i="2" s="1"/>
  <c r="E217" i="2"/>
  <c r="K217" i="2" s="1"/>
  <c r="D217" i="2"/>
  <c r="J217" i="2" s="1"/>
  <c r="C217" i="2"/>
  <c r="I217" i="2" s="1"/>
  <c r="B217" i="2"/>
  <c r="J216" i="2"/>
  <c r="I216" i="2"/>
  <c r="H216" i="2"/>
  <c r="G216" i="2"/>
  <c r="M216" i="2" s="1"/>
  <c r="F216" i="2"/>
  <c r="L216" i="2" s="1"/>
  <c r="E216" i="2"/>
  <c r="K216" i="2" s="1"/>
  <c r="D216" i="2"/>
  <c r="C216" i="2"/>
  <c r="B216" i="2"/>
  <c r="M215" i="2"/>
  <c r="L215" i="2"/>
  <c r="K215" i="2"/>
  <c r="G215" i="2"/>
  <c r="F215" i="2"/>
  <c r="E215" i="2"/>
  <c r="D215" i="2"/>
  <c r="J215" i="2" s="1"/>
  <c r="C215" i="2"/>
  <c r="I215" i="2" s="1"/>
  <c r="B215" i="2"/>
  <c r="H215" i="2" s="1"/>
  <c r="N215" i="2" s="1"/>
  <c r="G214" i="2"/>
  <c r="M214" i="2" s="1"/>
  <c r="F214" i="2"/>
  <c r="L214" i="2" s="1"/>
  <c r="E214" i="2"/>
  <c r="K214" i="2" s="1"/>
  <c r="D214" i="2"/>
  <c r="J214" i="2" s="1"/>
  <c r="C214" i="2"/>
  <c r="I214" i="2" s="1"/>
  <c r="B214" i="2"/>
  <c r="H214" i="2" s="1"/>
  <c r="K213" i="2"/>
  <c r="J213" i="2"/>
  <c r="I213" i="2"/>
  <c r="H213" i="2"/>
  <c r="G213" i="2"/>
  <c r="M213" i="2" s="1"/>
  <c r="F213" i="2"/>
  <c r="L213" i="2" s="1"/>
  <c r="E213" i="2"/>
  <c r="D213" i="2"/>
  <c r="C213" i="2"/>
  <c r="B213" i="2"/>
  <c r="M212" i="2"/>
  <c r="K212" i="2"/>
  <c r="J212" i="2"/>
  <c r="G212" i="2"/>
  <c r="F212" i="2"/>
  <c r="L212" i="2" s="1"/>
  <c r="E212" i="2"/>
  <c r="D212" i="2"/>
  <c r="C212" i="2"/>
  <c r="I212" i="2" s="1"/>
  <c r="B212" i="2"/>
  <c r="H212" i="2" s="1"/>
  <c r="N212" i="2" s="1"/>
  <c r="G211" i="2"/>
  <c r="M211" i="2" s="1"/>
  <c r="F211" i="2"/>
  <c r="L211" i="2" s="1"/>
  <c r="E211" i="2"/>
  <c r="K211" i="2" s="1"/>
  <c r="D211" i="2"/>
  <c r="J211" i="2" s="1"/>
  <c r="C211" i="2"/>
  <c r="I211" i="2" s="1"/>
  <c r="B211" i="2"/>
  <c r="H211" i="2" s="1"/>
  <c r="K210" i="2"/>
  <c r="J210" i="2"/>
  <c r="I210" i="2"/>
  <c r="G210" i="2"/>
  <c r="M210" i="2" s="1"/>
  <c r="F210" i="2"/>
  <c r="L210" i="2" s="1"/>
  <c r="E210" i="2"/>
  <c r="D210" i="2"/>
  <c r="C210" i="2"/>
  <c r="B210" i="2"/>
  <c r="H210" i="2" s="1"/>
  <c r="M209" i="2"/>
  <c r="K209" i="2"/>
  <c r="J209" i="2"/>
  <c r="G209" i="2"/>
  <c r="F209" i="2"/>
  <c r="L209" i="2" s="1"/>
  <c r="E209" i="2"/>
  <c r="D209" i="2"/>
  <c r="C209" i="2"/>
  <c r="I209" i="2" s="1"/>
  <c r="B209" i="2"/>
  <c r="H209" i="2" s="1"/>
  <c r="N209" i="2" s="1"/>
  <c r="J208" i="2"/>
  <c r="G208" i="2"/>
  <c r="M208" i="2" s="1"/>
  <c r="F208" i="2"/>
  <c r="L208" i="2" s="1"/>
  <c r="E208" i="2"/>
  <c r="K208" i="2" s="1"/>
  <c r="D208" i="2"/>
  <c r="C208" i="2"/>
  <c r="I208" i="2" s="1"/>
  <c r="B208" i="2"/>
  <c r="H208" i="2" s="1"/>
  <c r="K207" i="2"/>
  <c r="J207" i="2"/>
  <c r="I207" i="2"/>
  <c r="G207" i="2"/>
  <c r="M207" i="2" s="1"/>
  <c r="F207" i="2"/>
  <c r="L207" i="2" s="1"/>
  <c r="E207" i="2"/>
  <c r="D207" i="2"/>
  <c r="C207" i="2"/>
  <c r="B207" i="2"/>
  <c r="H207" i="2" s="1"/>
  <c r="M206" i="2"/>
  <c r="K206" i="2"/>
  <c r="J206" i="2"/>
  <c r="G206" i="2"/>
  <c r="F206" i="2"/>
  <c r="L206" i="2" s="1"/>
  <c r="E206" i="2"/>
  <c r="D206" i="2"/>
  <c r="C206" i="2"/>
  <c r="I206" i="2" s="1"/>
  <c r="B206" i="2"/>
  <c r="H206" i="2" s="1"/>
  <c r="J205" i="2"/>
  <c r="G205" i="2"/>
  <c r="M205" i="2" s="1"/>
  <c r="F205" i="2"/>
  <c r="L205" i="2" s="1"/>
  <c r="E205" i="2"/>
  <c r="K205" i="2" s="1"/>
  <c r="D205" i="2"/>
  <c r="C205" i="2"/>
  <c r="I205" i="2" s="1"/>
  <c r="B205" i="2"/>
  <c r="H205" i="2" s="1"/>
  <c r="K204" i="2"/>
  <c r="J204" i="2"/>
  <c r="I204" i="2"/>
  <c r="G204" i="2"/>
  <c r="M204" i="2" s="1"/>
  <c r="F204" i="2"/>
  <c r="L204" i="2" s="1"/>
  <c r="E204" i="2"/>
  <c r="D204" i="2"/>
  <c r="C204" i="2"/>
  <c r="B204" i="2"/>
  <c r="H204" i="2" s="1"/>
  <c r="M203" i="2"/>
  <c r="K203" i="2"/>
  <c r="J203" i="2"/>
  <c r="G203" i="2"/>
  <c r="F203" i="2"/>
  <c r="L203" i="2" s="1"/>
  <c r="E203" i="2"/>
  <c r="D203" i="2"/>
  <c r="C203" i="2"/>
  <c r="I203" i="2" s="1"/>
  <c r="B203" i="2"/>
  <c r="H203" i="2" s="1"/>
  <c r="J202" i="2"/>
  <c r="G202" i="2"/>
  <c r="M202" i="2" s="1"/>
  <c r="F202" i="2"/>
  <c r="L202" i="2" s="1"/>
  <c r="E202" i="2"/>
  <c r="K202" i="2" s="1"/>
  <c r="D202" i="2"/>
  <c r="C202" i="2"/>
  <c r="I202" i="2" s="1"/>
  <c r="B202" i="2"/>
  <c r="H202" i="2" s="1"/>
  <c r="K201" i="2"/>
  <c r="J201" i="2"/>
  <c r="I201" i="2"/>
  <c r="G201" i="2"/>
  <c r="M201" i="2" s="1"/>
  <c r="F201" i="2"/>
  <c r="L201" i="2" s="1"/>
  <c r="E201" i="2"/>
  <c r="D201" i="2"/>
  <c r="C201" i="2"/>
  <c r="B201" i="2"/>
  <c r="H201" i="2" s="1"/>
  <c r="N201" i="2" s="1"/>
  <c r="M200" i="2"/>
  <c r="K200" i="2"/>
  <c r="J200" i="2"/>
  <c r="G200" i="2"/>
  <c r="F200" i="2"/>
  <c r="L200" i="2" s="1"/>
  <c r="E200" i="2"/>
  <c r="D200" i="2"/>
  <c r="C200" i="2"/>
  <c r="I200" i="2" s="1"/>
  <c r="B200" i="2"/>
  <c r="H200" i="2" s="1"/>
  <c r="J199" i="2"/>
  <c r="G199" i="2"/>
  <c r="M199" i="2" s="1"/>
  <c r="F199" i="2"/>
  <c r="L199" i="2" s="1"/>
  <c r="E199" i="2"/>
  <c r="K199" i="2" s="1"/>
  <c r="D199" i="2"/>
  <c r="C199" i="2"/>
  <c r="I199" i="2" s="1"/>
  <c r="B199" i="2"/>
  <c r="H199" i="2" s="1"/>
  <c r="N199" i="2" s="1"/>
  <c r="K198" i="2"/>
  <c r="J198" i="2"/>
  <c r="I198" i="2"/>
  <c r="G198" i="2"/>
  <c r="M198" i="2" s="1"/>
  <c r="F198" i="2"/>
  <c r="L198" i="2" s="1"/>
  <c r="E198" i="2"/>
  <c r="D198" i="2"/>
  <c r="C198" i="2"/>
  <c r="B198" i="2"/>
  <c r="H198" i="2" s="1"/>
  <c r="M197" i="2"/>
  <c r="K197" i="2"/>
  <c r="J197" i="2"/>
  <c r="G197" i="2"/>
  <c r="F197" i="2"/>
  <c r="L197" i="2" s="1"/>
  <c r="E197" i="2"/>
  <c r="D197" i="2"/>
  <c r="C197" i="2"/>
  <c r="I197" i="2" s="1"/>
  <c r="B197" i="2"/>
  <c r="H197" i="2" s="1"/>
  <c r="J196" i="2"/>
  <c r="G196" i="2"/>
  <c r="M196" i="2" s="1"/>
  <c r="F196" i="2"/>
  <c r="L196" i="2" s="1"/>
  <c r="E196" i="2"/>
  <c r="K196" i="2" s="1"/>
  <c r="D196" i="2"/>
  <c r="C196" i="2"/>
  <c r="I196" i="2" s="1"/>
  <c r="B196" i="2"/>
  <c r="H196" i="2" s="1"/>
  <c r="N196" i="2" s="1"/>
  <c r="P196" i="2" s="1" a="1"/>
  <c r="P196" i="2" s="1"/>
  <c r="K195" i="2"/>
  <c r="J195" i="2"/>
  <c r="I195" i="2"/>
  <c r="G195" i="2"/>
  <c r="M195" i="2" s="1"/>
  <c r="F195" i="2"/>
  <c r="L195" i="2" s="1"/>
  <c r="E195" i="2"/>
  <c r="D195" i="2"/>
  <c r="C195" i="2"/>
  <c r="B195" i="2"/>
  <c r="H195" i="2" s="1"/>
  <c r="M194" i="2"/>
  <c r="K194" i="2"/>
  <c r="J194" i="2"/>
  <c r="G194" i="2"/>
  <c r="F194" i="2"/>
  <c r="L194" i="2" s="1"/>
  <c r="E194" i="2"/>
  <c r="D194" i="2"/>
  <c r="C194" i="2"/>
  <c r="I194" i="2" s="1"/>
  <c r="B194" i="2"/>
  <c r="H194" i="2" s="1"/>
  <c r="J193" i="2"/>
  <c r="G193" i="2"/>
  <c r="M193" i="2" s="1"/>
  <c r="F193" i="2"/>
  <c r="L193" i="2" s="1"/>
  <c r="E193" i="2"/>
  <c r="K193" i="2" s="1"/>
  <c r="D193" i="2"/>
  <c r="C193" i="2"/>
  <c r="I193" i="2" s="1"/>
  <c r="B193" i="2"/>
  <c r="H193" i="2" s="1"/>
  <c r="K192" i="2"/>
  <c r="J192" i="2"/>
  <c r="I192" i="2"/>
  <c r="G192" i="2"/>
  <c r="M192" i="2" s="1"/>
  <c r="F192" i="2"/>
  <c r="L192" i="2" s="1"/>
  <c r="E192" i="2"/>
  <c r="D192" i="2"/>
  <c r="C192" i="2"/>
  <c r="B192" i="2"/>
  <c r="H192" i="2" s="1"/>
  <c r="N192" i="2" s="1"/>
  <c r="M191" i="2"/>
  <c r="K191" i="2"/>
  <c r="J191" i="2"/>
  <c r="G191" i="2"/>
  <c r="F191" i="2"/>
  <c r="L191" i="2" s="1"/>
  <c r="E191" i="2"/>
  <c r="D191" i="2"/>
  <c r="C191" i="2"/>
  <c r="I191" i="2" s="1"/>
  <c r="B191" i="2"/>
  <c r="H191" i="2" s="1"/>
  <c r="J190" i="2"/>
  <c r="G190" i="2"/>
  <c r="M190" i="2" s="1"/>
  <c r="F190" i="2"/>
  <c r="L190" i="2" s="1"/>
  <c r="E190" i="2"/>
  <c r="K190" i="2" s="1"/>
  <c r="D190" i="2"/>
  <c r="C190" i="2"/>
  <c r="I190" i="2" s="1"/>
  <c r="B190" i="2"/>
  <c r="H190" i="2" s="1"/>
  <c r="K189" i="2"/>
  <c r="J189" i="2"/>
  <c r="I189" i="2"/>
  <c r="G189" i="2"/>
  <c r="M189" i="2" s="1"/>
  <c r="F189" i="2"/>
  <c r="L189" i="2" s="1"/>
  <c r="E189" i="2"/>
  <c r="D189" i="2"/>
  <c r="C189" i="2"/>
  <c r="B189" i="2"/>
  <c r="H189" i="2" s="1"/>
  <c r="M188" i="2"/>
  <c r="K188" i="2"/>
  <c r="J188" i="2"/>
  <c r="G188" i="2"/>
  <c r="F188" i="2"/>
  <c r="L188" i="2" s="1"/>
  <c r="E188" i="2"/>
  <c r="D188" i="2"/>
  <c r="C188" i="2"/>
  <c r="I188" i="2" s="1"/>
  <c r="B188" i="2"/>
  <c r="H188" i="2" s="1"/>
  <c r="N188" i="2" s="1"/>
  <c r="J187" i="2"/>
  <c r="G187" i="2"/>
  <c r="M187" i="2" s="1"/>
  <c r="F187" i="2"/>
  <c r="L187" i="2" s="1"/>
  <c r="E187" i="2"/>
  <c r="K187" i="2" s="1"/>
  <c r="D187" i="2"/>
  <c r="C187" i="2"/>
  <c r="I187" i="2" s="1"/>
  <c r="B187" i="2"/>
  <c r="H187" i="2" s="1"/>
  <c r="K186" i="2"/>
  <c r="J186" i="2"/>
  <c r="I186" i="2"/>
  <c r="G186" i="2"/>
  <c r="M186" i="2" s="1"/>
  <c r="F186" i="2"/>
  <c r="L186" i="2" s="1"/>
  <c r="E186" i="2"/>
  <c r="D186" i="2"/>
  <c r="C186" i="2"/>
  <c r="B186" i="2"/>
  <c r="H186" i="2" s="1"/>
  <c r="M185" i="2"/>
  <c r="K185" i="2"/>
  <c r="J185" i="2"/>
  <c r="G185" i="2"/>
  <c r="F185" i="2"/>
  <c r="L185" i="2" s="1"/>
  <c r="E185" i="2"/>
  <c r="D185" i="2"/>
  <c r="C185" i="2"/>
  <c r="I185" i="2" s="1"/>
  <c r="B185" i="2"/>
  <c r="H185" i="2" s="1"/>
  <c r="N185" i="2" s="1"/>
  <c r="J184" i="2"/>
  <c r="G184" i="2"/>
  <c r="M184" i="2" s="1"/>
  <c r="F184" i="2"/>
  <c r="L184" i="2" s="1"/>
  <c r="E184" i="2"/>
  <c r="K184" i="2" s="1"/>
  <c r="D184" i="2"/>
  <c r="C184" i="2"/>
  <c r="I184" i="2" s="1"/>
  <c r="B184" i="2"/>
  <c r="H184" i="2" s="1"/>
  <c r="K183" i="2"/>
  <c r="J183" i="2"/>
  <c r="I183" i="2"/>
  <c r="G183" i="2"/>
  <c r="M183" i="2" s="1"/>
  <c r="F183" i="2"/>
  <c r="L183" i="2" s="1"/>
  <c r="E183" i="2"/>
  <c r="D183" i="2"/>
  <c r="C183" i="2"/>
  <c r="B183" i="2"/>
  <c r="H183" i="2" s="1"/>
  <c r="K182" i="2"/>
  <c r="J182" i="2"/>
  <c r="G182" i="2"/>
  <c r="M182" i="2" s="1"/>
  <c r="F182" i="2"/>
  <c r="L182" i="2" s="1"/>
  <c r="E182" i="2"/>
  <c r="D182" i="2"/>
  <c r="C182" i="2"/>
  <c r="I182" i="2" s="1"/>
  <c r="B182" i="2"/>
  <c r="H182" i="2" s="1"/>
  <c r="N182" i="2" s="1"/>
  <c r="J181" i="2"/>
  <c r="G181" i="2"/>
  <c r="M181" i="2" s="1"/>
  <c r="F181" i="2"/>
  <c r="L181" i="2" s="1"/>
  <c r="E181" i="2"/>
  <c r="K181" i="2" s="1"/>
  <c r="D181" i="2"/>
  <c r="C181" i="2"/>
  <c r="I181" i="2" s="1"/>
  <c r="N181" i="2" s="1"/>
  <c r="B181" i="2"/>
  <c r="H181" i="2" s="1"/>
  <c r="K180" i="2"/>
  <c r="J180" i="2"/>
  <c r="G180" i="2"/>
  <c r="M180" i="2" s="1"/>
  <c r="F180" i="2"/>
  <c r="L180" i="2" s="1"/>
  <c r="E180" i="2"/>
  <c r="D180" i="2"/>
  <c r="C180" i="2"/>
  <c r="I180" i="2" s="1"/>
  <c r="N180" i="2" s="1"/>
  <c r="B180" i="2"/>
  <c r="H180" i="2" s="1"/>
  <c r="N179" i="2"/>
  <c r="P179" i="2" s="1" a="1"/>
  <c r="P179" i="2" s="1"/>
  <c r="K179" i="2"/>
  <c r="J179" i="2"/>
  <c r="G179" i="2"/>
  <c r="M179" i="2" s="1"/>
  <c r="F179" i="2"/>
  <c r="L179" i="2" s="1"/>
  <c r="E179" i="2"/>
  <c r="D179" i="2"/>
  <c r="C179" i="2"/>
  <c r="I179" i="2" s="1"/>
  <c r="B179" i="2"/>
  <c r="H179" i="2" s="1"/>
  <c r="K178" i="2"/>
  <c r="J178" i="2"/>
  <c r="G178" i="2"/>
  <c r="M178" i="2" s="1"/>
  <c r="F178" i="2"/>
  <c r="L178" i="2" s="1"/>
  <c r="E178" i="2"/>
  <c r="D178" i="2"/>
  <c r="C178" i="2"/>
  <c r="I178" i="2" s="1"/>
  <c r="B178" i="2"/>
  <c r="H178" i="2" s="1"/>
  <c r="N178" i="2" s="1"/>
  <c r="K177" i="2"/>
  <c r="J177" i="2"/>
  <c r="G177" i="2"/>
  <c r="M177" i="2" s="1"/>
  <c r="F177" i="2"/>
  <c r="L177" i="2" s="1"/>
  <c r="E177" i="2"/>
  <c r="D177" i="2"/>
  <c r="C177" i="2"/>
  <c r="I177" i="2" s="1"/>
  <c r="B177" i="2"/>
  <c r="H177" i="2" s="1"/>
  <c r="N177" i="2" s="1"/>
  <c r="K176" i="2"/>
  <c r="J176" i="2"/>
  <c r="G176" i="2"/>
  <c r="M176" i="2" s="1"/>
  <c r="F176" i="2"/>
  <c r="L176" i="2" s="1"/>
  <c r="E176" i="2"/>
  <c r="D176" i="2"/>
  <c r="C176" i="2"/>
  <c r="I176" i="2" s="1"/>
  <c r="B176" i="2"/>
  <c r="H176" i="2" s="1"/>
  <c r="N176" i="2" s="1"/>
  <c r="K175" i="2"/>
  <c r="J175" i="2"/>
  <c r="G175" i="2"/>
  <c r="M175" i="2" s="1"/>
  <c r="F175" i="2"/>
  <c r="L175" i="2" s="1"/>
  <c r="E175" i="2"/>
  <c r="D175" i="2"/>
  <c r="C175" i="2"/>
  <c r="I175" i="2" s="1"/>
  <c r="B175" i="2"/>
  <c r="H175" i="2" s="1"/>
  <c r="N175" i="2" s="1"/>
  <c r="K174" i="2"/>
  <c r="J174" i="2"/>
  <c r="G174" i="2"/>
  <c r="M174" i="2" s="1"/>
  <c r="F174" i="2"/>
  <c r="L174" i="2" s="1"/>
  <c r="E174" i="2"/>
  <c r="D174" i="2"/>
  <c r="C174" i="2"/>
  <c r="I174" i="2" s="1"/>
  <c r="B174" i="2"/>
  <c r="H174" i="2" s="1"/>
  <c r="N174" i="2" s="1"/>
  <c r="K173" i="2"/>
  <c r="J173" i="2"/>
  <c r="G173" i="2"/>
  <c r="M173" i="2" s="1"/>
  <c r="N173" i="2" s="1"/>
  <c r="F173" i="2"/>
  <c r="L173" i="2" s="1"/>
  <c r="E173" i="2"/>
  <c r="D173" i="2"/>
  <c r="C173" i="2"/>
  <c r="I173" i="2" s="1"/>
  <c r="B173" i="2"/>
  <c r="H173" i="2" s="1"/>
  <c r="J172" i="2"/>
  <c r="G172" i="2"/>
  <c r="M172" i="2" s="1"/>
  <c r="F172" i="2"/>
  <c r="L172" i="2" s="1"/>
  <c r="E172" i="2"/>
  <c r="K172" i="2" s="1"/>
  <c r="N172" i="2" s="1"/>
  <c r="D172" i="2"/>
  <c r="C172" i="2"/>
  <c r="I172" i="2" s="1"/>
  <c r="B172" i="2"/>
  <c r="H172" i="2" s="1"/>
  <c r="K171" i="2"/>
  <c r="J171" i="2"/>
  <c r="G171" i="2"/>
  <c r="M171" i="2" s="1"/>
  <c r="F171" i="2"/>
  <c r="L171" i="2" s="1"/>
  <c r="E171" i="2"/>
  <c r="D171" i="2"/>
  <c r="C171" i="2"/>
  <c r="I171" i="2" s="1"/>
  <c r="N171" i="2" s="1"/>
  <c r="B171" i="2"/>
  <c r="H171" i="2" s="1"/>
  <c r="K170" i="2"/>
  <c r="J170" i="2"/>
  <c r="G170" i="2"/>
  <c r="M170" i="2" s="1"/>
  <c r="F170" i="2"/>
  <c r="L170" i="2" s="1"/>
  <c r="E170" i="2"/>
  <c r="D170" i="2"/>
  <c r="C170" i="2"/>
  <c r="I170" i="2" s="1"/>
  <c r="B170" i="2"/>
  <c r="H170" i="2" s="1"/>
  <c r="K169" i="2"/>
  <c r="J169" i="2"/>
  <c r="G169" i="2"/>
  <c r="M169" i="2" s="1"/>
  <c r="F169" i="2"/>
  <c r="L169" i="2" s="1"/>
  <c r="E169" i="2"/>
  <c r="D169" i="2"/>
  <c r="C169" i="2"/>
  <c r="I169" i="2" s="1"/>
  <c r="B169" i="2"/>
  <c r="H169" i="2" s="1"/>
  <c r="K168" i="2"/>
  <c r="J168" i="2"/>
  <c r="G168" i="2"/>
  <c r="M168" i="2" s="1"/>
  <c r="F168" i="2"/>
  <c r="L168" i="2" s="1"/>
  <c r="E168" i="2"/>
  <c r="D168" i="2"/>
  <c r="C168" i="2"/>
  <c r="I168" i="2" s="1"/>
  <c r="B168" i="2"/>
  <c r="H168" i="2" s="1"/>
  <c r="N168" i="2" s="1"/>
  <c r="K167" i="2"/>
  <c r="J167" i="2"/>
  <c r="G167" i="2"/>
  <c r="M167" i="2" s="1"/>
  <c r="F167" i="2"/>
  <c r="L167" i="2" s="1"/>
  <c r="E167" i="2"/>
  <c r="D167" i="2"/>
  <c r="C167" i="2"/>
  <c r="I167" i="2" s="1"/>
  <c r="B167" i="2"/>
  <c r="H167" i="2" s="1"/>
  <c r="K166" i="2"/>
  <c r="J166" i="2"/>
  <c r="G166" i="2"/>
  <c r="M166" i="2" s="1"/>
  <c r="F166" i="2"/>
  <c r="L166" i="2" s="1"/>
  <c r="E166" i="2"/>
  <c r="D166" i="2"/>
  <c r="C166" i="2"/>
  <c r="I166" i="2" s="1"/>
  <c r="B166" i="2"/>
  <c r="H166" i="2" s="1"/>
  <c r="K165" i="2"/>
  <c r="J165" i="2"/>
  <c r="G165" i="2"/>
  <c r="M165" i="2" s="1"/>
  <c r="F165" i="2"/>
  <c r="L165" i="2" s="1"/>
  <c r="E165" i="2"/>
  <c r="D165" i="2"/>
  <c r="C165" i="2"/>
  <c r="I165" i="2" s="1"/>
  <c r="B165" i="2"/>
  <c r="H165" i="2" s="1"/>
  <c r="N165" i="2" s="1"/>
  <c r="K164" i="2"/>
  <c r="J164" i="2"/>
  <c r="G164" i="2"/>
  <c r="M164" i="2" s="1"/>
  <c r="F164" i="2"/>
  <c r="L164" i="2" s="1"/>
  <c r="E164" i="2"/>
  <c r="D164" i="2"/>
  <c r="C164" i="2"/>
  <c r="I164" i="2" s="1"/>
  <c r="B164" i="2"/>
  <c r="H164" i="2" s="1"/>
  <c r="K163" i="2"/>
  <c r="J163" i="2"/>
  <c r="G163" i="2"/>
  <c r="M163" i="2" s="1"/>
  <c r="F163" i="2"/>
  <c r="L163" i="2" s="1"/>
  <c r="E163" i="2"/>
  <c r="D163" i="2"/>
  <c r="C163" i="2"/>
  <c r="I163" i="2" s="1"/>
  <c r="B163" i="2"/>
  <c r="H163" i="2" s="1"/>
  <c r="K162" i="2"/>
  <c r="J162" i="2"/>
  <c r="G162" i="2"/>
  <c r="M162" i="2" s="1"/>
  <c r="F162" i="2"/>
  <c r="L162" i="2" s="1"/>
  <c r="E162" i="2"/>
  <c r="D162" i="2"/>
  <c r="C162" i="2"/>
  <c r="I162" i="2" s="1"/>
  <c r="B162" i="2"/>
  <c r="H162" i="2" s="1"/>
  <c r="N162" i="2" s="1"/>
  <c r="K161" i="2"/>
  <c r="J161" i="2"/>
  <c r="G161" i="2"/>
  <c r="M161" i="2" s="1"/>
  <c r="F161" i="2"/>
  <c r="L161" i="2" s="1"/>
  <c r="E161" i="2"/>
  <c r="D161" i="2"/>
  <c r="C161" i="2"/>
  <c r="I161" i="2" s="1"/>
  <c r="B161" i="2"/>
  <c r="H161" i="2" s="1"/>
  <c r="N161" i="2" s="1"/>
  <c r="K160" i="2"/>
  <c r="J160" i="2"/>
  <c r="G160" i="2"/>
  <c r="M160" i="2" s="1"/>
  <c r="F160" i="2"/>
  <c r="L160" i="2" s="1"/>
  <c r="E160" i="2"/>
  <c r="D160" i="2"/>
  <c r="C160" i="2"/>
  <c r="I160" i="2" s="1"/>
  <c r="B160" i="2"/>
  <c r="H160" i="2" s="1"/>
  <c r="K159" i="2"/>
  <c r="J159" i="2"/>
  <c r="G159" i="2"/>
  <c r="M159" i="2" s="1"/>
  <c r="F159" i="2"/>
  <c r="L159" i="2" s="1"/>
  <c r="E159" i="2"/>
  <c r="D159" i="2"/>
  <c r="C159" i="2"/>
  <c r="I159" i="2" s="1"/>
  <c r="B159" i="2"/>
  <c r="H159" i="2" s="1"/>
  <c r="K158" i="2"/>
  <c r="J158" i="2"/>
  <c r="G158" i="2"/>
  <c r="M158" i="2" s="1"/>
  <c r="F158" i="2"/>
  <c r="L158" i="2" s="1"/>
  <c r="E158" i="2"/>
  <c r="D158" i="2"/>
  <c r="C158" i="2"/>
  <c r="I158" i="2" s="1"/>
  <c r="B158" i="2"/>
  <c r="H158" i="2" s="1"/>
  <c r="N158" i="2" s="1"/>
  <c r="K157" i="2"/>
  <c r="J157" i="2"/>
  <c r="G157" i="2"/>
  <c r="M157" i="2" s="1"/>
  <c r="F157" i="2"/>
  <c r="L157" i="2" s="1"/>
  <c r="E157" i="2"/>
  <c r="D157" i="2"/>
  <c r="C157" i="2"/>
  <c r="I157" i="2" s="1"/>
  <c r="B157" i="2"/>
  <c r="H157" i="2" s="1"/>
  <c r="K156" i="2"/>
  <c r="H156" i="2"/>
  <c r="G156" i="2"/>
  <c r="M156" i="2" s="1"/>
  <c r="F156" i="2"/>
  <c r="L156" i="2" s="1"/>
  <c r="E156" i="2"/>
  <c r="D156" i="2"/>
  <c r="J156" i="2" s="1"/>
  <c r="C156" i="2"/>
  <c r="I156" i="2" s="1"/>
  <c r="B156" i="2"/>
  <c r="L155" i="2"/>
  <c r="K155" i="2"/>
  <c r="J155" i="2"/>
  <c r="H155" i="2"/>
  <c r="G155" i="2"/>
  <c r="M155" i="2" s="1"/>
  <c r="F155" i="2"/>
  <c r="E155" i="2"/>
  <c r="D155" i="2"/>
  <c r="C155" i="2"/>
  <c r="I155" i="2" s="1"/>
  <c r="B155" i="2"/>
  <c r="K154" i="2"/>
  <c r="J154" i="2"/>
  <c r="G154" i="2"/>
  <c r="M154" i="2" s="1"/>
  <c r="F154" i="2"/>
  <c r="L154" i="2" s="1"/>
  <c r="E154" i="2"/>
  <c r="D154" i="2"/>
  <c r="C154" i="2"/>
  <c r="I154" i="2" s="1"/>
  <c r="B154" i="2"/>
  <c r="H154" i="2" s="1"/>
  <c r="K153" i="2"/>
  <c r="J153" i="2"/>
  <c r="I153" i="2"/>
  <c r="H153" i="2"/>
  <c r="N153" i="2" s="1"/>
  <c r="G153" i="2"/>
  <c r="M153" i="2" s="1"/>
  <c r="F153" i="2"/>
  <c r="L153" i="2" s="1"/>
  <c r="E153" i="2"/>
  <c r="D153" i="2"/>
  <c r="C153" i="2"/>
  <c r="B153" i="2"/>
  <c r="L152" i="2"/>
  <c r="K152" i="2"/>
  <c r="J152" i="2"/>
  <c r="H152" i="2"/>
  <c r="N152" i="2" s="1"/>
  <c r="G152" i="2"/>
  <c r="M152" i="2" s="1"/>
  <c r="F152" i="2"/>
  <c r="E152" i="2"/>
  <c r="D152" i="2"/>
  <c r="C152" i="2"/>
  <c r="I152" i="2" s="1"/>
  <c r="B152" i="2"/>
  <c r="L151" i="2"/>
  <c r="K151" i="2"/>
  <c r="J151" i="2"/>
  <c r="G151" i="2"/>
  <c r="M151" i="2" s="1"/>
  <c r="F151" i="2"/>
  <c r="E151" i="2"/>
  <c r="D151" i="2"/>
  <c r="C151" i="2"/>
  <c r="I151" i="2" s="1"/>
  <c r="B151" i="2"/>
  <c r="H151" i="2" s="1"/>
  <c r="N151" i="2" s="1"/>
  <c r="L150" i="2"/>
  <c r="K150" i="2"/>
  <c r="G150" i="2"/>
  <c r="M150" i="2" s="1"/>
  <c r="F150" i="2"/>
  <c r="E150" i="2"/>
  <c r="D150" i="2"/>
  <c r="J150" i="2" s="1"/>
  <c r="C150" i="2"/>
  <c r="I150" i="2" s="1"/>
  <c r="B150" i="2"/>
  <c r="H150" i="2" s="1"/>
  <c r="M149" i="2"/>
  <c r="K149" i="2"/>
  <c r="G149" i="2"/>
  <c r="F149" i="2"/>
  <c r="L149" i="2" s="1"/>
  <c r="E149" i="2"/>
  <c r="D149" i="2"/>
  <c r="J149" i="2" s="1"/>
  <c r="C149" i="2"/>
  <c r="I149" i="2" s="1"/>
  <c r="B149" i="2"/>
  <c r="H149" i="2" s="1"/>
  <c r="L148" i="2"/>
  <c r="H148" i="2"/>
  <c r="G148" i="2"/>
  <c r="M148" i="2" s="1"/>
  <c r="F148" i="2"/>
  <c r="E148" i="2"/>
  <c r="K148" i="2" s="1"/>
  <c r="D148" i="2"/>
  <c r="J148" i="2" s="1"/>
  <c r="C148" i="2"/>
  <c r="I148" i="2" s="1"/>
  <c r="B148" i="2"/>
  <c r="L147" i="2"/>
  <c r="K147" i="2"/>
  <c r="J147" i="2"/>
  <c r="I147" i="2"/>
  <c r="H147" i="2"/>
  <c r="N147" i="2" s="1"/>
  <c r="G147" i="2"/>
  <c r="M147" i="2" s="1"/>
  <c r="F147" i="2"/>
  <c r="E147" i="2"/>
  <c r="D147" i="2"/>
  <c r="C147" i="2"/>
  <c r="B147" i="2"/>
  <c r="M146" i="2"/>
  <c r="L146" i="2"/>
  <c r="K146" i="2"/>
  <c r="J146" i="2"/>
  <c r="G146" i="2"/>
  <c r="F146" i="2"/>
  <c r="E146" i="2"/>
  <c r="D146" i="2"/>
  <c r="C146" i="2"/>
  <c r="I146" i="2" s="1"/>
  <c r="B146" i="2"/>
  <c r="H146" i="2" s="1"/>
  <c r="N146" i="2" s="1"/>
  <c r="G145" i="2"/>
  <c r="M145" i="2" s="1"/>
  <c r="F145" i="2"/>
  <c r="L145" i="2" s="1"/>
  <c r="E145" i="2"/>
  <c r="K145" i="2" s="1"/>
  <c r="D145" i="2"/>
  <c r="J145" i="2" s="1"/>
  <c r="C145" i="2"/>
  <c r="I145" i="2" s="1"/>
  <c r="B145" i="2"/>
  <c r="H145" i="2" s="1"/>
  <c r="K144" i="2"/>
  <c r="J144" i="2"/>
  <c r="I144" i="2"/>
  <c r="H144" i="2"/>
  <c r="G144" i="2"/>
  <c r="M144" i="2" s="1"/>
  <c r="F144" i="2"/>
  <c r="L144" i="2" s="1"/>
  <c r="E144" i="2"/>
  <c r="D144" i="2"/>
  <c r="C144" i="2"/>
  <c r="B144" i="2"/>
  <c r="M143" i="2"/>
  <c r="L143" i="2"/>
  <c r="K143" i="2"/>
  <c r="J143" i="2"/>
  <c r="G143" i="2"/>
  <c r="F143" i="2"/>
  <c r="E143" i="2"/>
  <c r="D143" i="2"/>
  <c r="C143" i="2"/>
  <c r="I143" i="2" s="1"/>
  <c r="B143" i="2"/>
  <c r="H143" i="2" s="1"/>
  <c r="G142" i="2"/>
  <c r="M142" i="2" s="1"/>
  <c r="F142" i="2"/>
  <c r="L142" i="2" s="1"/>
  <c r="E142" i="2"/>
  <c r="K142" i="2" s="1"/>
  <c r="D142" i="2"/>
  <c r="J142" i="2" s="1"/>
  <c r="C142" i="2"/>
  <c r="I142" i="2" s="1"/>
  <c r="B142" i="2"/>
  <c r="H142" i="2" s="1"/>
  <c r="K141" i="2"/>
  <c r="J141" i="2"/>
  <c r="I141" i="2"/>
  <c r="H141" i="2"/>
  <c r="N141" i="2" s="1"/>
  <c r="G141" i="2"/>
  <c r="M141" i="2" s="1"/>
  <c r="F141" i="2"/>
  <c r="L141" i="2" s="1"/>
  <c r="E141" i="2"/>
  <c r="D141" i="2"/>
  <c r="C141" i="2"/>
  <c r="B141" i="2"/>
  <c r="M140" i="2"/>
  <c r="K140" i="2"/>
  <c r="J140" i="2"/>
  <c r="G140" i="2"/>
  <c r="F140" i="2"/>
  <c r="L140" i="2" s="1"/>
  <c r="E140" i="2"/>
  <c r="D140" i="2"/>
  <c r="C140" i="2"/>
  <c r="I140" i="2" s="1"/>
  <c r="B140" i="2"/>
  <c r="H140" i="2" s="1"/>
  <c r="N140" i="2" s="1"/>
  <c r="G139" i="2"/>
  <c r="M139" i="2" s="1"/>
  <c r="F139" i="2"/>
  <c r="L139" i="2" s="1"/>
  <c r="E139" i="2"/>
  <c r="K139" i="2" s="1"/>
  <c r="D139" i="2"/>
  <c r="J139" i="2" s="1"/>
  <c r="C139" i="2"/>
  <c r="I139" i="2" s="1"/>
  <c r="B139" i="2"/>
  <c r="H139" i="2" s="1"/>
  <c r="K138" i="2"/>
  <c r="J138" i="2"/>
  <c r="I138" i="2"/>
  <c r="G138" i="2"/>
  <c r="M138" i="2" s="1"/>
  <c r="F138" i="2"/>
  <c r="L138" i="2" s="1"/>
  <c r="E138" i="2"/>
  <c r="D138" i="2"/>
  <c r="C138" i="2"/>
  <c r="B138" i="2"/>
  <c r="H138" i="2" s="1"/>
  <c r="M137" i="2"/>
  <c r="K137" i="2"/>
  <c r="J137" i="2"/>
  <c r="G137" i="2"/>
  <c r="F137" i="2"/>
  <c r="L137" i="2" s="1"/>
  <c r="E137" i="2"/>
  <c r="D137" i="2"/>
  <c r="C137" i="2"/>
  <c r="I137" i="2" s="1"/>
  <c r="B137" i="2"/>
  <c r="H137" i="2" s="1"/>
  <c r="N137" i="2" s="1"/>
  <c r="J136" i="2"/>
  <c r="G136" i="2"/>
  <c r="M136" i="2" s="1"/>
  <c r="F136" i="2"/>
  <c r="L136" i="2" s="1"/>
  <c r="E136" i="2"/>
  <c r="K136" i="2" s="1"/>
  <c r="D136" i="2"/>
  <c r="C136" i="2"/>
  <c r="I136" i="2" s="1"/>
  <c r="B136" i="2"/>
  <c r="H136" i="2" s="1"/>
  <c r="K135" i="2"/>
  <c r="J135" i="2"/>
  <c r="I135" i="2"/>
  <c r="G135" i="2"/>
  <c r="M135" i="2" s="1"/>
  <c r="F135" i="2"/>
  <c r="L135" i="2" s="1"/>
  <c r="E135" i="2"/>
  <c r="D135" i="2"/>
  <c r="C135" i="2"/>
  <c r="B135" i="2"/>
  <c r="H135" i="2" s="1"/>
  <c r="M134" i="2"/>
  <c r="K134" i="2"/>
  <c r="J134" i="2"/>
  <c r="G134" i="2"/>
  <c r="F134" i="2"/>
  <c r="L134" i="2" s="1"/>
  <c r="E134" i="2"/>
  <c r="D134" i="2"/>
  <c r="C134" i="2"/>
  <c r="I134" i="2" s="1"/>
  <c r="B134" i="2"/>
  <c r="H134" i="2" s="1"/>
  <c r="J133" i="2"/>
  <c r="G133" i="2"/>
  <c r="M133" i="2" s="1"/>
  <c r="F133" i="2"/>
  <c r="L133" i="2" s="1"/>
  <c r="E133" i="2"/>
  <c r="K133" i="2" s="1"/>
  <c r="D133" i="2"/>
  <c r="C133" i="2"/>
  <c r="I133" i="2" s="1"/>
  <c r="B133" i="2"/>
  <c r="H133" i="2" s="1"/>
  <c r="K132" i="2"/>
  <c r="J132" i="2"/>
  <c r="I132" i="2"/>
  <c r="G132" i="2"/>
  <c r="M132" i="2" s="1"/>
  <c r="F132" i="2"/>
  <c r="L132" i="2" s="1"/>
  <c r="E132" i="2"/>
  <c r="D132" i="2"/>
  <c r="C132" i="2"/>
  <c r="B132" i="2"/>
  <c r="H132" i="2" s="1"/>
  <c r="M131" i="2"/>
  <c r="K131" i="2"/>
  <c r="J131" i="2"/>
  <c r="G131" i="2"/>
  <c r="F131" i="2"/>
  <c r="L131" i="2" s="1"/>
  <c r="E131" i="2"/>
  <c r="D131" i="2"/>
  <c r="C131" i="2"/>
  <c r="I131" i="2" s="1"/>
  <c r="B131" i="2"/>
  <c r="H131" i="2" s="1"/>
  <c r="N131" i="2" s="1"/>
  <c r="J130" i="2"/>
  <c r="G130" i="2"/>
  <c r="M130" i="2" s="1"/>
  <c r="F130" i="2"/>
  <c r="L130" i="2" s="1"/>
  <c r="E130" i="2"/>
  <c r="K130" i="2" s="1"/>
  <c r="D130" i="2"/>
  <c r="C130" i="2"/>
  <c r="I130" i="2" s="1"/>
  <c r="B130" i="2"/>
  <c r="H130" i="2" s="1"/>
  <c r="K129" i="2"/>
  <c r="J129" i="2"/>
  <c r="I129" i="2"/>
  <c r="G129" i="2"/>
  <c r="M129" i="2" s="1"/>
  <c r="F129" i="2"/>
  <c r="L129" i="2" s="1"/>
  <c r="E129" i="2"/>
  <c r="D129" i="2"/>
  <c r="C129" i="2"/>
  <c r="B129" i="2"/>
  <c r="H129" i="2" s="1"/>
  <c r="M128" i="2"/>
  <c r="K128" i="2"/>
  <c r="J128" i="2"/>
  <c r="G128" i="2"/>
  <c r="F128" i="2"/>
  <c r="L128" i="2" s="1"/>
  <c r="E128" i="2"/>
  <c r="D128" i="2"/>
  <c r="C128" i="2"/>
  <c r="I128" i="2" s="1"/>
  <c r="B128" i="2"/>
  <c r="H128" i="2" s="1"/>
  <c r="J127" i="2"/>
  <c r="G127" i="2"/>
  <c r="M127" i="2" s="1"/>
  <c r="F127" i="2"/>
  <c r="L127" i="2" s="1"/>
  <c r="E127" i="2"/>
  <c r="K127" i="2" s="1"/>
  <c r="D127" i="2"/>
  <c r="C127" i="2"/>
  <c r="I127" i="2" s="1"/>
  <c r="B127" i="2"/>
  <c r="H127" i="2" s="1"/>
  <c r="N127" i="2" s="1"/>
  <c r="K126" i="2"/>
  <c r="J126" i="2"/>
  <c r="I126" i="2"/>
  <c r="G126" i="2"/>
  <c r="M126" i="2" s="1"/>
  <c r="F126" i="2"/>
  <c r="L126" i="2" s="1"/>
  <c r="E126" i="2"/>
  <c r="D126" i="2"/>
  <c r="C126" i="2"/>
  <c r="B126" i="2"/>
  <c r="H126" i="2" s="1"/>
  <c r="K125" i="2"/>
  <c r="J125" i="2"/>
  <c r="G125" i="2"/>
  <c r="M125" i="2" s="1"/>
  <c r="F125" i="2"/>
  <c r="L125" i="2" s="1"/>
  <c r="E125" i="2"/>
  <c r="D125" i="2"/>
  <c r="C125" i="2"/>
  <c r="I125" i="2" s="1"/>
  <c r="B125" i="2"/>
  <c r="H125" i="2" s="1"/>
  <c r="N125" i="2" s="1"/>
  <c r="J124" i="2"/>
  <c r="G124" i="2"/>
  <c r="M124" i="2" s="1"/>
  <c r="F124" i="2"/>
  <c r="L124" i="2" s="1"/>
  <c r="N124" i="2" s="1"/>
  <c r="E124" i="2"/>
  <c r="K124" i="2" s="1"/>
  <c r="D124" i="2"/>
  <c r="C124" i="2"/>
  <c r="I124" i="2" s="1"/>
  <c r="B124" i="2"/>
  <c r="H124" i="2" s="1"/>
  <c r="K123" i="2"/>
  <c r="J123" i="2"/>
  <c r="G123" i="2"/>
  <c r="M123" i="2" s="1"/>
  <c r="F123" i="2"/>
  <c r="L123" i="2" s="1"/>
  <c r="E123" i="2"/>
  <c r="D123" i="2"/>
  <c r="C123" i="2"/>
  <c r="I123" i="2" s="1"/>
  <c r="B123" i="2"/>
  <c r="H123" i="2" s="1"/>
  <c r="N123" i="2" s="1"/>
  <c r="N122" i="2"/>
  <c r="P122" i="2" s="1" a="1"/>
  <c r="P122" i="2" s="1"/>
  <c r="K122" i="2"/>
  <c r="J122" i="2"/>
  <c r="G122" i="2"/>
  <c r="M122" i="2" s="1"/>
  <c r="F122" i="2"/>
  <c r="L122" i="2" s="1"/>
  <c r="E122" i="2"/>
  <c r="D122" i="2"/>
  <c r="C122" i="2"/>
  <c r="I122" i="2" s="1"/>
  <c r="B122" i="2"/>
  <c r="H122" i="2" s="1"/>
  <c r="J121" i="2"/>
  <c r="G121" i="2"/>
  <c r="M121" i="2" s="1"/>
  <c r="N121" i="2" s="1"/>
  <c r="F121" i="2"/>
  <c r="L121" i="2" s="1"/>
  <c r="E121" i="2"/>
  <c r="K121" i="2" s="1"/>
  <c r="D121" i="2"/>
  <c r="C121" i="2"/>
  <c r="I121" i="2" s="1"/>
  <c r="B121" i="2"/>
  <c r="H121" i="2" s="1"/>
  <c r="K120" i="2"/>
  <c r="J120" i="2"/>
  <c r="G120" i="2"/>
  <c r="M120" i="2" s="1"/>
  <c r="F120" i="2"/>
  <c r="L120" i="2" s="1"/>
  <c r="E120" i="2"/>
  <c r="D120" i="2"/>
  <c r="C120" i="2"/>
  <c r="I120" i="2" s="1"/>
  <c r="B120" i="2"/>
  <c r="H120" i="2" s="1"/>
  <c r="K119" i="2"/>
  <c r="J119" i="2"/>
  <c r="G119" i="2"/>
  <c r="M119" i="2" s="1"/>
  <c r="F119" i="2"/>
  <c r="L119" i="2" s="1"/>
  <c r="E119" i="2"/>
  <c r="D119" i="2"/>
  <c r="C119" i="2"/>
  <c r="I119" i="2" s="1"/>
  <c r="B119" i="2"/>
  <c r="H119" i="2" s="1"/>
  <c r="N119" i="2" s="1"/>
  <c r="K118" i="2"/>
  <c r="J118" i="2"/>
  <c r="G118" i="2"/>
  <c r="M118" i="2" s="1"/>
  <c r="F118" i="2"/>
  <c r="L118" i="2" s="1"/>
  <c r="E118" i="2"/>
  <c r="D118" i="2"/>
  <c r="C118" i="2"/>
  <c r="I118" i="2" s="1"/>
  <c r="N118" i="2" s="1"/>
  <c r="B118" i="2"/>
  <c r="H118" i="2" s="1"/>
  <c r="K117" i="2"/>
  <c r="J117" i="2"/>
  <c r="G117" i="2"/>
  <c r="M117" i="2" s="1"/>
  <c r="F117" i="2"/>
  <c r="L117" i="2" s="1"/>
  <c r="E117" i="2"/>
  <c r="D117" i="2"/>
  <c r="C117" i="2"/>
  <c r="I117" i="2" s="1"/>
  <c r="B117" i="2"/>
  <c r="H117" i="2" s="1"/>
  <c r="K116" i="2"/>
  <c r="N116" i="2" s="1"/>
  <c r="J116" i="2"/>
  <c r="G116" i="2"/>
  <c r="M116" i="2" s="1"/>
  <c r="F116" i="2"/>
  <c r="L116" i="2" s="1"/>
  <c r="E116" i="2"/>
  <c r="D116" i="2"/>
  <c r="C116" i="2"/>
  <c r="I116" i="2" s="1"/>
  <c r="B116" i="2"/>
  <c r="H116" i="2" s="1"/>
  <c r="K115" i="2"/>
  <c r="J115" i="2"/>
  <c r="G115" i="2"/>
  <c r="M115" i="2" s="1"/>
  <c r="F115" i="2"/>
  <c r="L115" i="2" s="1"/>
  <c r="E115" i="2"/>
  <c r="D115" i="2"/>
  <c r="C115" i="2"/>
  <c r="I115" i="2" s="1"/>
  <c r="B115" i="2"/>
  <c r="H115" i="2" s="1"/>
  <c r="N115" i="2" s="1"/>
  <c r="K114" i="2"/>
  <c r="J114" i="2"/>
  <c r="G114" i="2"/>
  <c r="M114" i="2" s="1"/>
  <c r="F114" i="2"/>
  <c r="L114" i="2" s="1"/>
  <c r="E114" i="2"/>
  <c r="D114" i="2"/>
  <c r="C114" i="2"/>
  <c r="I114" i="2" s="1"/>
  <c r="B114" i="2"/>
  <c r="H114" i="2" s="1"/>
  <c r="K113" i="2"/>
  <c r="J113" i="2"/>
  <c r="G113" i="2"/>
  <c r="M113" i="2" s="1"/>
  <c r="F113" i="2"/>
  <c r="L113" i="2" s="1"/>
  <c r="E113" i="2"/>
  <c r="D113" i="2"/>
  <c r="C113" i="2"/>
  <c r="I113" i="2" s="1"/>
  <c r="B113" i="2"/>
  <c r="H113" i="2" s="1"/>
  <c r="N113" i="2" s="1"/>
  <c r="K112" i="2"/>
  <c r="J112" i="2"/>
  <c r="G112" i="2"/>
  <c r="M112" i="2" s="1"/>
  <c r="F112" i="2"/>
  <c r="L112" i="2" s="1"/>
  <c r="E112" i="2"/>
  <c r="D112" i="2"/>
  <c r="C112" i="2"/>
  <c r="I112" i="2" s="1"/>
  <c r="B112" i="2"/>
  <c r="H112" i="2" s="1"/>
  <c r="N112" i="2" s="1"/>
  <c r="K111" i="2"/>
  <c r="J111" i="2"/>
  <c r="G111" i="2"/>
  <c r="M111" i="2" s="1"/>
  <c r="F111" i="2"/>
  <c r="L111" i="2" s="1"/>
  <c r="E111" i="2"/>
  <c r="D111" i="2"/>
  <c r="C111" i="2"/>
  <c r="I111" i="2" s="1"/>
  <c r="B111" i="2"/>
  <c r="H111" i="2" s="1"/>
  <c r="K110" i="2"/>
  <c r="J110" i="2"/>
  <c r="G110" i="2"/>
  <c r="M110" i="2" s="1"/>
  <c r="F110" i="2"/>
  <c r="L110" i="2" s="1"/>
  <c r="E110" i="2"/>
  <c r="D110" i="2"/>
  <c r="C110" i="2"/>
  <c r="I110" i="2" s="1"/>
  <c r="B110" i="2"/>
  <c r="H110" i="2" s="1"/>
  <c r="N110" i="2" s="1"/>
  <c r="K109" i="2"/>
  <c r="J109" i="2"/>
  <c r="I109" i="2"/>
  <c r="G109" i="2"/>
  <c r="M109" i="2" s="1"/>
  <c r="F109" i="2"/>
  <c r="L109" i="2" s="1"/>
  <c r="E109" i="2"/>
  <c r="D109" i="2"/>
  <c r="C109" i="2"/>
  <c r="B109" i="2"/>
  <c r="H109" i="2" s="1"/>
  <c r="N109" i="2" s="1"/>
  <c r="M108" i="2"/>
  <c r="K108" i="2"/>
  <c r="J108" i="2"/>
  <c r="G108" i="2"/>
  <c r="F108" i="2"/>
  <c r="L108" i="2" s="1"/>
  <c r="E108" i="2"/>
  <c r="D108" i="2"/>
  <c r="C108" i="2"/>
  <c r="I108" i="2" s="1"/>
  <c r="B108" i="2"/>
  <c r="H108" i="2" s="1"/>
  <c r="N108" i="2" s="1"/>
  <c r="K107" i="2"/>
  <c r="J107" i="2"/>
  <c r="G107" i="2"/>
  <c r="M107" i="2" s="1"/>
  <c r="F107" i="2"/>
  <c r="L107" i="2" s="1"/>
  <c r="E107" i="2"/>
  <c r="D107" i="2"/>
  <c r="C107" i="2"/>
  <c r="I107" i="2" s="1"/>
  <c r="B107" i="2"/>
  <c r="H107" i="2" s="1"/>
  <c r="N107" i="2" s="1"/>
  <c r="K106" i="2"/>
  <c r="J106" i="2"/>
  <c r="I106" i="2"/>
  <c r="G106" i="2"/>
  <c r="M106" i="2" s="1"/>
  <c r="F106" i="2"/>
  <c r="L106" i="2" s="1"/>
  <c r="E106" i="2"/>
  <c r="D106" i="2"/>
  <c r="C106" i="2"/>
  <c r="B106" i="2"/>
  <c r="H106" i="2" s="1"/>
  <c r="N106" i="2" s="1"/>
  <c r="M105" i="2"/>
  <c r="K105" i="2"/>
  <c r="J105" i="2"/>
  <c r="G105" i="2"/>
  <c r="F105" i="2"/>
  <c r="L105" i="2" s="1"/>
  <c r="E105" i="2"/>
  <c r="D105" i="2"/>
  <c r="C105" i="2"/>
  <c r="I105" i="2" s="1"/>
  <c r="B105" i="2"/>
  <c r="H105" i="2" s="1"/>
  <c r="N105" i="2" s="1"/>
  <c r="J104" i="2"/>
  <c r="G104" i="2"/>
  <c r="M104" i="2" s="1"/>
  <c r="F104" i="2"/>
  <c r="L104" i="2" s="1"/>
  <c r="E104" i="2"/>
  <c r="K104" i="2" s="1"/>
  <c r="D104" i="2"/>
  <c r="C104" i="2"/>
  <c r="I104" i="2" s="1"/>
  <c r="B104" i="2"/>
  <c r="H104" i="2" s="1"/>
  <c r="K103" i="2"/>
  <c r="J103" i="2"/>
  <c r="G103" i="2"/>
  <c r="M103" i="2" s="1"/>
  <c r="F103" i="2"/>
  <c r="L103" i="2" s="1"/>
  <c r="E103" i="2"/>
  <c r="D103" i="2"/>
  <c r="C103" i="2"/>
  <c r="I103" i="2" s="1"/>
  <c r="N103" i="2" s="1"/>
  <c r="B103" i="2"/>
  <c r="H103" i="2" s="1"/>
  <c r="M102" i="2"/>
  <c r="K102" i="2"/>
  <c r="J102" i="2"/>
  <c r="G102" i="2"/>
  <c r="F102" i="2"/>
  <c r="L102" i="2" s="1"/>
  <c r="E102" i="2"/>
  <c r="D102" i="2"/>
  <c r="C102" i="2"/>
  <c r="I102" i="2" s="1"/>
  <c r="B102" i="2"/>
  <c r="H102" i="2" s="1"/>
  <c r="N102" i="2" s="1"/>
  <c r="K101" i="2"/>
  <c r="J101" i="2"/>
  <c r="G101" i="2"/>
  <c r="M101" i="2" s="1"/>
  <c r="F101" i="2"/>
  <c r="L101" i="2" s="1"/>
  <c r="E101" i="2"/>
  <c r="D101" i="2"/>
  <c r="C101" i="2"/>
  <c r="I101" i="2" s="1"/>
  <c r="B101" i="2"/>
  <c r="H101" i="2" s="1"/>
  <c r="N101" i="2" s="1"/>
  <c r="K100" i="2"/>
  <c r="J100" i="2"/>
  <c r="G100" i="2"/>
  <c r="M100" i="2" s="1"/>
  <c r="F100" i="2"/>
  <c r="L100" i="2" s="1"/>
  <c r="E100" i="2"/>
  <c r="D100" i="2"/>
  <c r="C100" i="2"/>
  <c r="I100" i="2" s="1"/>
  <c r="B100" i="2"/>
  <c r="H100" i="2" s="1"/>
  <c r="N100" i="2" s="1"/>
  <c r="K99" i="2"/>
  <c r="J99" i="2"/>
  <c r="G99" i="2"/>
  <c r="M99" i="2" s="1"/>
  <c r="F99" i="2"/>
  <c r="L99" i="2" s="1"/>
  <c r="E99" i="2"/>
  <c r="D99" i="2"/>
  <c r="C99" i="2"/>
  <c r="I99" i="2" s="1"/>
  <c r="B99" i="2"/>
  <c r="H99" i="2" s="1"/>
  <c r="J98" i="2"/>
  <c r="G98" i="2"/>
  <c r="M98" i="2" s="1"/>
  <c r="F98" i="2"/>
  <c r="L98" i="2" s="1"/>
  <c r="E98" i="2"/>
  <c r="K98" i="2" s="1"/>
  <c r="D98" i="2"/>
  <c r="C98" i="2"/>
  <c r="I98" i="2" s="1"/>
  <c r="B98" i="2"/>
  <c r="H98" i="2" s="1"/>
  <c r="K97" i="2"/>
  <c r="J97" i="2"/>
  <c r="G97" i="2"/>
  <c r="M97" i="2" s="1"/>
  <c r="F97" i="2"/>
  <c r="L97" i="2" s="1"/>
  <c r="E97" i="2"/>
  <c r="D97" i="2"/>
  <c r="C97" i="2"/>
  <c r="I97" i="2" s="1"/>
  <c r="N97" i="2" s="1"/>
  <c r="B97" i="2"/>
  <c r="H97" i="2" s="1"/>
  <c r="J96" i="2"/>
  <c r="G96" i="2"/>
  <c r="M96" i="2" s="1"/>
  <c r="F96" i="2"/>
  <c r="L96" i="2" s="1"/>
  <c r="E96" i="2"/>
  <c r="K96" i="2" s="1"/>
  <c r="D96" i="2"/>
  <c r="C96" i="2"/>
  <c r="I96" i="2" s="1"/>
  <c r="B96" i="2"/>
  <c r="H96" i="2" s="1"/>
  <c r="J95" i="2"/>
  <c r="G95" i="2"/>
  <c r="M95" i="2" s="1"/>
  <c r="F95" i="2"/>
  <c r="L95" i="2" s="1"/>
  <c r="E95" i="2"/>
  <c r="K95" i="2" s="1"/>
  <c r="D95" i="2"/>
  <c r="C95" i="2"/>
  <c r="I95" i="2" s="1"/>
  <c r="B95" i="2"/>
  <c r="H95" i="2" s="1"/>
  <c r="K94" i="2"/>
  <c r="J94" i="2"/>
  <c r="G94" i="2"/>
  <c r="M94" i="2" s="1"/>
  <c r="F94" i="2"/>
  <c r="L94" i="2" s="1"/>
  <c r="E94" i="2"/>
  <c r="D94" i="2"/>
  <c r="C94" i="2"/>
  <c r="I94" i="2" s="1"/>
  <c r="B94" i="2"/>
  <c r="H94" i="2" s="1"/>
  <c r="J93" i="2"/>
  <c r="G93" i="2"/>
  <c r="M93" i="2" s="1"/>
  <c r="F93" i="2"/>
  <c r="L93" i="2" s="1"/>
  <c r="E93" i="2"/>
  <c r="K93" i="2" s="1"/>
  <c r="D93" i="2"/>
  <c r="C93" i="2"/>
  <c r="I93" i="2" s="1"/>
  <c r="B93" i="2"/>
  <c r="H93" i="2" s="1"/>
  <c r="J92" i="2"/>
  <c r="G92" i="2"/>
  <c r="M92" i="2" s="1"/>
  <c r="F92" i="2"/>
  <c r="L92" i="2" s="1"/>
  <c r="E92" i="2"/>
  <c r="K92" i="2" s="1"/>
  <c r="D92" i="2"/>
  <c r="C92" i="2"/>
  <c r="I92" i="2" s="1"/>
  <c r="B92" i="2"/>
  <c r="H92" i="2" s="1"/>
  <c r="K91" i="2"/>
  <c r="J91" i="2"/>
  <c r="G91" i="2"/>
  <c r="M91" i="2" s="1"/>
  <c r="F91" i="2"/>
  <c r="L91" i="2" s="1"/>
  <c r="E91" i="2"/>
  <c r="D91" i="2"/>
  <c r="C91" i="2"/>
  <c r="I91" i="2" s="1"/>
  <c r="B91" i="2"/>
  <c r="H91" i="2" s="1"/>
  <c r="J90" i="2"/>
  <c r="G90" i="2"/>
  <c r="M90" i="2" s="1"/>
  <c r="F90" i="2"/>
  <c r="L90" i="2" s="1"/>
  <c r="E90" i="2"/>
  <c r="K90" i="2" s="1"/>
  <c r="D90" i="2"/>
  <c r="C90" i="2"/>
  <c r="I90" i="2" s="1"/>
  <c r="N90" i="2" s="1"/>
  <c r="B90" i="2"/>
  <c r="H90" i="2" s="1"/>
  <c r="J89" i="2"/>
  <c r="I89" i="2"/>
  <c r="G89" i="2"/>
  <c r="M89" i="2" s="1"/>
  <c r="F89" i="2"/>
  <c r="L89" i="2" s="1"/>
  <c r="E89" i="2"/>
  <c r="K89" i="2" s="1"/>
  <c r="D89" i="2"/>
  <c r="C89" i="2"/>
  <c r="B89" i="2"/>
  <c r="H89" i="2" s="1"/>
  <c r="N89" i="2" s="1"/>
  <c r="K88" i="2"/>
  <c r="J88" i="2"/>
  <c r="I88" i="2"/>
  <c r="G88" i="2"/>
  <c r="M88" i="2" s="1"/>
  <c r="F88" i="2"/>
  <c r="L88" i="2" s="1"/>
  <c r="E88" i="2"/>
  <c r="D88" i="2"/>
  <c r="C88" i="2"/>
  <c r="B88" i="2"/>
  <c r="H88" i="2" s="1"/>
  <c r="M87" i="2"/>
  <c r="J87" i="2"/>
  <c r="I87" i="2"/>
  <c r="G87" i="2"/>
  <c r="F87" i="2"/>
  <c r="L87" i="2" s="1"/>
  <c r="E87" i="2"/>
  <c r="K87" i="2" s="1"/>
  <c r="D87" i="2"/>
  <c r="C87" i="2"/>
  <c r="B87" i="2"/>
  <c r="H87" i="2" s="1"/>
  <c r="K86" i="2"/>
  <c r="J86" i="2"/>
  <c r="H86" i="2"/>
  <c r="G86" i="2"/>
  <c r="M86" i="2" s="1"/>
  <c r="F86" i="2"/>
  <c r="L86" i="2" s="1"/>
  <c r="E86" i="2"/>
  <c r="D86" i="2"/>
  <c r="C86" i="2"/>
  <c r="I86" i="2" s="1"/>
  <c r="B86" i="2"/>
  <c r="M85" i="2"/>
  <c r="L85" i="2"/>
  <c r="J85" i="2"/>
  <c r="G85" i="2"/>
  <c r="F85" i="2"/>
  <c r="E85" i="2"/>
  <c r="K85" i="2" s="1"/>
  <c r="D85" i="2"/>
  <c r="C85" i="2"/>
  <c r="I85" i="2" s="1"/>
  <c r="N85" i="2" s="1"/>
  <c r="B85" i="2"/>
  <c r="H85" i="2" s="1"/>
  <c r="G84" i="2"/>
  <c r="M84" i="2" s="1"/>
  <c r="F84" i="2"/>
  <c r="L84" i="2" s="1"/>
  <c r="E84" i="2"/>
  <c r="K84" i="2" s="1"/>
  <c r="D84" i="2"/>
  <c r="J84" i="2" s="1"/>
  <c r="C84" i="2"/>
  <c r="I84" i="2" s="1"/>
  <c r="B84" i="2"/>
  <c r="H84" i="2" s="1"/>
  <c r="J83" i="2"/>
  <c r="I83" i="2"/>
  <c r="G83" i="2"/>
  <c r="M83" i="2" s="1"/>
  <c r="F83" i="2"/>
  <c r="L83" i="2" s="1"/>
  <c r="E83" i="2"/>
  <c r="K83" i="2" s="1"/>
  <c r="D83" i="2"/>
  <c r="C83" i="2"/>
  <c r="B83" i="2"/>
  <c r="H83" i="2" s="1"/>
  <c r="N83" i="2" s="1"/>
  <c r="K82" i="2"/>
  <c r="J82" i="2"/>
  <c r="I82" i="2"/>
  <c r="G82" i="2"/>
  <c r="M82" i="2" s="1"/>
  <c r="F82" i="2"/>
  <c r="L82" i="2" s="1"/>
  <c r="E82" i="2"/>
  <c r="D82" i="2"/>
  <c r="C82" i="2"/>
  <c r="B82" i="2"/>
  <c r="H82" i="2" s="1"/>
  <c r="N82" i="2" s="1"/>
  <c r="M81" i="2"/>
  <c r="J81" i="2"/>
  <c r="I81" i="2"/>
  <c r="N81" i="2" s="1"/>
  <c r="G81" i="2"/>
  <c r="F81" i="2"/>
  <c r="L81" i="2" s="1"/>
  <c r="E81" i="2"/>
  <c r="K81" i="2" s="1"/>
  <c r="D81" i="2"/>
  <c r="C81" i="2"/>
  <c r="B81" i="2"/>
  <c r="H81" i="2" s="1"/>
  <c r="K80" i="2"/>
  <c r="J80" i="2"/>
  <c r="H80" i="2"/>
  <c r="G80" i="2"/>
  <c r="M80" i="2" s="1"/>
  <c r="F80" i="2"/>
  <c r="L80" i="2" s="1"/>
  <c r="E80" i="2"/>
  <c r="D80" i="2"/>
  <c r="C80" i="2"/>
  <c r="I80" i="2" s="1"/>
  <c r="B80" i="2"/>
  <c r="M79" i="2"/>
  <c r="L79" i="2"/>
  <c r="J79" i="2"/>
  <c r="G79" i="2"/>
  <c r="F79" i="2"/>
  <c r="E79" i="2"/>
  <c r="K79" i="2" s="1"/>
  <c r="D79" i="2"/>
  <c r="C79" i="2"/>
  <c r="I79" i="2" s="1"/>
  <c r="B79" i="2"/>
  <c r="H79" i="2" s="1"/>
  <c r="H78" i="2"/>
  <c r="G78" i="2"/>
  <c r="M78" i="2" s="1"/>
  <c r="F78" i="2"/>
  <c r="L78" i="2" s="1"/>
  <c r="E78" i="2"/>
  <c r="K78" i="2" s="1"/>
  <c r="D78" i="2"/>
  <c r="J78" i="2" s="1"/>
  <c r="C78" i="2"/>
  <c r="I78" i="2" s="1"/>
  <c r="B78" i="2"/>
  <c r="K77" i="2"/>
  <c r="J77" i="2"/>
  <c r="I77" i="2"/>
  <c r="H77" i="2"/>
  <c r="G77" i="2"/>
  <c r="M77" i="2" s="1"/>
  <c r="F77" i="2"/>
  <c r="L77" i="2" s="1"/>
  <c r="E77" i="2"/>
  <c r="D77" i="2"/>
  <c r="C77" i="2"/>
  <c r="B77" i="2"/>
  <c r="K76" i="2"/>
  <c r="J76" i="2"/>
  <c r="I76" i="2"/>
  <c r="G76" i="2"/>
  <c r="M76" i="2" s="1"/>
  <c r="F76" i="2"/>
  <c r="L76" i="2" s="1"/>
  <c r="E76" i="2"/>
  <c r="D76" i="2"/>
  <c r="C76" i="2"/>
  <c r="B76" i="2"/>
  <c r="H76" i="2" s="1"/>
  <c r="N76" i="2" s="1"/>
  <c r="M75" i="2"/>
  <c r="J75" i="2"/>
  <c r="G75" i="2"/>
  <c r="F75" i="2"/>
  <c r="L75" i="2" s="1"/>
  <c r="E75" i="2"/>
  <c r="K75" i="2" s="1"/>
  <c r="D75" i="2"/>
  <c r="C75" i="2"/>
  <c r="I75" i="2" s="1"/>
  <c r="B75" i="2"/>
  <c r="H75" i="2" s="1"/>
  <c r="J74" i="2"/>
  <c r="H74" i="2"/>
  <c r="N74" i="2" s="1"/>
  <c r="G74" i="2"/>
  <c r="M74" i="2" s="1"/>
  <c r="F74" i="2"/>
  <c r="L74" i="2" s="1"/>
  <c r="E74" i="2"/>
  <c r="K74" i="2" s="1"/>
  <c r="D74" i="2"/>
  <c r="C74" i="2"/>
  <c r="I74" i="2" s="1"/>
  <c r="B74" i="2"/>
  <c r="K73" i="2"/>
  <c r="G73" i="2"/>
  <c r="M73" i="2" s="1"/>
  <c r="F73" i="2"/>
  <c r="L73" i="2" s="1"/>
  <c r="E73" i="2"/>
  <c r="D73" i="2"/>
  <c r="J73" i="2" s="1"/>
  <c r="C73" i="2"/>
  <c r="I73" i="2" s="1"/>
  <c r="B73" i="2"/>
  <c r="H73" i="2" s="1"/>
  <c r="K72" i="2"/>
  <c r="J72" i="2"/>
  <c r="I72" i="2"/>
  <c r="G72" i="2"/>
  <c r="M72" i="2" s="1"/>
  <c r="F72" i="2"/>
  <c r="L72" i="2" s="1"/>
  <c r="E72" i="2"/>
  <c r="D72" i="2"/>
  <c r="C72" i="2"/>
  <c r="B72" i="2"/>
  <c r="H72" i="2" s="1"/>
  <c r="N72" i="2" s="1"/>
  <c r="M71" i="2"/>
  <c r="L71" i="2"/>
  <c r="J71" i="2"/>
  <c r="G71" i="2"/>
  <c r="F71" i="2"/>
  <c r="E71" i="2"/>
  <c r="K71" i="2" s="1"/>
  <c r="D71" i="2"/>
  <c r="C71" i="2"/>
  <c r="I71" i="2" s="1"/>
  <c r="B71" i="2"/>
  <c r="H71" i="2" s="1"/>
  <c r="N71" i="2" s="1"/>
  <c r="G70" i="2"/>
  <c r="M70" i="2" s="1"/>
  <c r="F70" i="2"/>
  <c r="L70" i="2" s="1"/>
  <c r="E70" i="2"/>
  <c r="K70" i="2" s="1"/>
  <c r="D70" i="2"/>
  <c r="J70" i="2" s="1"/>
  <c r="C70" i="2"/>
  <c r="I70" i="2" s="1"/>
  <c r="N70" i="2" s="1"/>
  <c r="B70" i="2"/>
  <c r="H70" i="2" s="1"/>
  <c r="K69" i="2"/>
  <c r="I69" i="2"/>
  <c r="H69" i="2"/>
  <c r="G69" i="2"/>
  <c r="M69" i="2" s="1"/>
  <c r="F69" i="2"/>
  <c r="L69" i="2" s="1"/>
  <c r="E69" i="2"/>
  <c r="D69" i="2"/>
  <c r="J69" i="2" s="1"/>
  <c r="C69" i="2"/>
  <c r="B69" i="2"/>
  <c r="L68" i="2"/>
  <c r="K68" i="2"/>
  <c r="J68" i="2"/>
  <c r="I68" i="2"/>
  <c r="G68" i="2"/>
  <c r="M68" i="2" s="1"/>
  <c r="F68" i="2"/>
  <c r="E68" i="2"/>
  <c r="D68" i="2"/>
  <c r="C68" i="2"/>
  <c r="B68" i="2"/>
  <c r="H68" i="2" s="1"/>
  <c r="N68" i="2" s="1"/>
  <c r="M67" i="2"/>
  <c r="L67" i="2"/>
  <c r="G67" i="2"/>
  <c r="F67" i="2"/>
  <c r="E67" i="2"/>
  <c r="K67" i="2" s="1"/>
  <c r="D67" i="2"/>
  <c r="J67" i="2" s="1"/>
  <c r="C67" i="2"/>
  <c r="I67" i="2" s="1"/>
  <c r="B67" i="2"/>
  <c r="H67" i="2" s="1"/>
  <c r="H66" i="2"/>
  <c r="G66" i="2"/>
  <c r="M66" i="2" s="1"/>
  <c r="F66" i="2"/>
  <c r="L66" i="2" s="1"/>
  <c r="E66" i="2"/>
  <c r="K66" i="2" s="1"/>
  <c r="D66" i="2"/>
  <c r="J66" i="2" s="1"/>
  <c r="C66" i="2"/>
  <c r="I66" i="2" s="1"/>
  <c r="B66" i="2"/>
  <c r="K65" i="2"/>
  <c r="J65" i="2"/>
  <c r="I65" i="2"/>
  <c r="H65" i="2"/>
  <c r="G65" i="2"/>
  <c r="M65" i="2" s="1"/>
  <c r="F65" i="2"/>
  <c r="L65" i="2" s="1"/>
  <c r="E65" i="2"/>
  <c r="D65" i="2"/>
  <c r="C65" i="2"/>
  <c r="B65" i="2"/>
  <c r="K64" i="2"/>
  <c r="J64" i="2"/>
  <c r="I64" i="2"/>
  <c r="G64" i="2"/>
  <c r="M64" i="2" s="1"/>
  <c r="F64" i="2"/>
  <c r="L64" i="2" s="1"/>
  <c r="E64" i="2"/>
  <c r="D64" i="2"/>
  <c r="C64" i="2"/>
  <c r="B64" i="2"/>
  <c r="H64" i="2" s="1"/>
  <c r="M63" i="2"/>
  <c r="J63" i="2"/>
  <c r="G63" i="2"/>
  <c r="F63" i="2"/>
  <c r="L63" i="2" s="1"/>
  <c r="E63" i="2"/>
  <c r="K63" i="2" s="1"/>
  <c r="D63" i="2"/>
  <c r="C63" i="2"/>
  <c r="I63" i="2" s="1"/>
  <c r="B63" i="2"/>
  <c r="H63" i="2" s="1"/>
  <c r="J62" i="2"/>
  <c r="H62" i="2"/>
  <c r="G62" i="2"/>
  <c r="M62" i="2" s="1"/>
  <c r="F62" i="2"/>
  <c r="L62" i="2" s="1"/>
  <c r="E62" i="2"/>
  <c r="K62" i="2" s="1"/>
  <c r="D62" i="2"/>
  <c r="C62" i="2"/>
  <c r="I62" i="2" s="1"/>
  <c r="B62" i="2"/>
  <c r="L61" i="2"/>
  <c r="J61" i="2"/>
  <c r="I61" i="2"/>
  <c r="H61" i="2"/>
  <c r="N61" i="2" s="1"/>
  <c r="G61" i="2"/>
  <c r="M61" i="2" s="1"/>
  <c r="F61" i="2"/>
  <c r="E61" i="2"/>
  <c r="K61" i="2" s="1"/>
  <c r="D61" i="2"/>
  <c r="C61" i="2"/>
  <c r="B61" i="2"/>
  <c r="M60" i="2"/>
  <c r="L60" i="2"/>
  <c r="K60" i="2"/>
  <c r="G60" i="2"/>
  <c r="F60" i="2"/>
  <c r="E60" i="2"/>
  <c r="D60" i="2"/>
  <c r="J60" i="2" s="1"/>
  <c r="C60" i="2"/>
  <c r="I60" i="2" s="1"/>
  <c r="B60" i="2"/>
  <c r="H60" i="2" s="1"/>
  <c r="N60" i="2" s="1"/>
  <c r="H59" i="2"/>
  <c r="G59" i="2"/>
  <c r="M59" i="2" s="1"/>
  <c r="F59" i="2"/>
  <c r="L59" i="2" s="1"/>
  <c r="E59" i="2"/>
  <c r="K59" i="2" s="1"/>
  <c r="D59" i="2"/>
  <c r="J59" i="2" s="1"/>
  <c r="C59" i="2"/>
  <c r="I59" i="2" s="1"/>
  <c r="B59" i="2"/>
  <c r="L58" i="2"/>
  <c r="K58" i="2"/>
  <c r="J58" i="2"/>
  <c r="I58" i="2"/>
  <c r="H58" i="2"/>
  <c r="G58" i="2"/>
  <c r="M58" i="2" s="1"/>
  <c r="F58" i="2"/>
  <c r="E58" i="2"/>
  <c r="D58" i="2"/>
  <c r="C58" i="2"/>
  <c r="B58" i="2"/>
  <c r="M57" i="2"/>
  <c r="L57" i="2"/>
  <c r="K57" i="2"/>
  <c r="G57" i="2"/>
  <c r="F57" i="2"/>
  <c r="E57" i="2"/>
  <c r="D57" i="2"/>
  <c r="J57" i="2" s="1"/>
  <c r="C57" i="2"/>
  <c r="I57" i="2" s="1"/>
  <c r="B57" i="2"/>
  <c r="H57" i="2" s="1"/>
  <c r="H56" i="2"/>
  <c r="G56" i="2"/>
  <c r="M56" i="2" s="1"/>
  <c r="F56" i="2"/>
  <c r="L56" i="2" s="1"/>
  <c r="E56" i="2"/>
  <c r="K56" i="2" s="1"/>
  <c r="D56" i="2"/>
  <c r="J56" i="2" s="1"/>
  <c r="C56" i="2"/>
  <c r="I56" i="2" s="1"/>
  <c r="B56" i="2"/>
  <c r="L55" i="2"/>
  <c r="K55" i="2"/>
  <c r="J55" i="2"/>
  <c r="I55" i="2"/>
  <c r="H55" i="2"/>
  <c r="G55" i="2"/>
  <c r="M55" i="2" s="1"/>
  <c r="F55" i="2"/>
  <c r="E55" i="2"/>
  <c r="D55" i="2"/>
  <c r="C55" i="2"/>
  <c r="B55" i="2"/>
  <c r="M54" i="2"/>
  <c r="L54" i="2"/>
  <c r="K54" i="2"/>
  <c r="G54" i="2"/>
  <c r="F54" i="2"/>
  <c r="E54" i="2"/>
  <c r="D54" i="2"/>
  <c r="J54" i="2" s="1"/>
  <c r="C54" i="2"/>
  <c r="I54" i="2" s="1"/>
  <c r="B54" i="2"/>
  <c r="H54" i="2" s="1"/>
  <c r="H53" i="2"/>
  <c r="N53" i="2" s="1"/>
  <c r="G53" i="2"/>
  <c r="M53" i="2" s="1"/>
  <c r="F53" i="2"/>
  <c r="L53" i="2" s="1"/>
  <c r="E53" i="2"/>
  <c r="K53" i="2" s="1"/>
  <c r="D53" i="2"/>
  <c r="J53" i="2" s="1"/>
  <c r="C53" i="2"/>
  <c r="I53" i="2" s="1"/>
  <c r="B53" i="2"/>
  <c r="L52" i="2"/>
  <c r="K52" i="2"/>
  <c r="J52" i="2"/>
  <c r="I52" i="2"/>
  <c r="H52" i="2"/>
  <c r="G52" i="2"/>
  <c r="M52" i="2" s="1"/>
  <c r="F52" i="2"/>
  <c r="E52" i="2"/>
  <c r="D52" i="2"/>
  <c r="C52" i="2"/>
  <c r="B52" i="2"/>
  <c r="L51" i="2"/>
  <c r="K51" i="2"/>
  <c r="G51" i="2"/>
  <c r="M51" i="2" s="1"/>
  <c r="F51" i="2"/>
  <c r="E51" i="2"/>
  <c r="D51" i="2"/>
  <c r="J51" i="2" s="1"/>
  <c r="C51" i="2"/>
  <c r="I51" i="2" s="1"/>
  <c r="B51" i="2"/>
  <c r="H51" i="2" s="1"/>
  <c r="H50" i="2"/>
  <c r="N50" i="2" s="1"/>
  <c r="G50" i="2"/>
  <c r="M50" i="2" s="1"/>
  <c r="F50" i="2"/>
  <c r="L50" i="2" s="1"/>
  <c r="E50" i="2"/>
  <c r="K50" i="2" s="1"/>
  <c r="D50" i="2"/>
  <c r="J50" i="2" s="1"/>
  <c r="C50" i="2"/>
  <c r="I50" i="2" s="1"/>
  <c r="B50" i="2"/>
  <c r="L49" i="2"/>
  <c r="K49" i="2"/>
  <c r="J49" i="2"/>
  <c r="H49" i="2"/>
  <c r="N49" i="2" s="1"/>
  <c r="G49" i="2"/>
  <c r="M49" i="2" s="1"/>
  <c r="F49" i="2"/>
  <c r="E49" i="2"/>
  <c r="D49" i="2"/>
  <c r="C49" i="2"/>
  <c r="I49" i="2" s="1"/>
  <c r="B49" i="2"/>
  <c r="L48" i="2"/>
  <c r="K48" i="2"/>
  <c r="G48" i="2"/>
  <c r="M48" i="2" s="1"/>
  <c r="F48" i="2"/>
  <c r="E48" i="2"/>
  <c r="D48" i="2"/>
  <c r="J48" i="2" s="1"/>
  <c r="C48" i="2"/>
  <c r="I48" i="2" s="1"/>
  <c r="B48" i="2"/>
  <c r="H48" i="2" s="1"/>
  <c r="K47" i="2"/>
  <c r="H47" i="2"/>
  <c r="G47" i="2"/>
  <c r="M47" i="2" s="1"/>
  <c r="F47" i="2"/>
  <c r="L47" i="2" s="1"/>
  <c r="E47" i="2"/>
  <c r="D47" i="2"/>
  <c r="J47" i="2" s="1"/>
  <c r="C47" i="2"/>
  <c r="I47" i="2" s="1"/>
  <c r="B47" i="2"/>
  <c r="L46" i="2"/>
  <c r="K46" i="2"/>
  <c r="J46" i="2"/>
  <c r="H46" i="2"/>
  <c r="G46" i="2"/>
  <c r="M46" i="2" s="1"/>
  <c r="F46" i="2"/>
  <c r="E46" i="2"/>
  <c r="D46" i="2"/>
  <c r="C46" i="2"/>
  <c r="I46" i="2" s="1"/>
  <c r="B46" i="2"/>
  <c r="L45" i="2"/>
  <c r="K45" i="2"/>
  <c r="G45" i="2"/>
  <c r="M45" i="2" s="1"/>
  <c r="F45" i="2"/>
  <c r="E45" i="2"/>
  <c r="D45" i="2"/>
  <c r="J45" i="2" s="1"/>
  <c r="C45" i="2"/>
  <c r="I45" i="2" s="1"/>
  <c r="B45" i="2"/>
  <c r="H45" i="2" s="1"/>
  <c r="K44" i="2"/>
  <c r="H44" i="2"/>
  <c r="G44" i="2"/>
  <c r="M44" i="2" s="1"/>
  <c r="F44" i="2"/>
  <c r="L44" i="2" s="1"/>
  <c r="E44" i="2"/>
  <c r="D44" i="2"/>
  <c r="J44" i="2" s="1"/>
  <c r="C44" i="2"/>
  <c r="I44" i="2" s="1"/>
  <c r="B44" i="2"/>
  <c r="L43" i="2"/>
  <c r="K43" i="2"/>
  <c r="J43" i="2"/>
  <c r="H43" i="2"/>
  <c r="G43" i="2"/>
  <c r="M43" i="2" s="1"/>
  <c r="F43" i="2"/>
  <c r="E43" i="2"/>
  <c r="D43" i="2"/>
  <c r="C43" i="2"/>
  <c r="I43" i="2" s="1"/>
  <c r="B43" i="2"/>
  <c r="L42" i="2"/>
  <c r="K42" i="2"/>
  <c r="G42" i="2"/>
  <c r="M42" i="2" s="1"/>
  <c r="F42" i="2"/>
  <c r="E42" i="2"/>
  <c r="D42" i="2"/>
  <c r="J42" i="2" s="1"/>
  <c r="C42" i="2"/>
  <c r="I42" i="2" s="1"/>
  <c r="B42" i="2"/>
  <c r="H42" i="2" s="1"/>
  <c r="K41" i="2"/>
  <c r="H41" i="2"/>
  <c r="N41" i="2" s="1"/>
  <c r="P41" i="2" s="1" a="1"/>
  <c r="P41" i="2" s="1"/>
  <c r="G41" i="2"/>
  <c r="M41" i="2" s="1"/>
  <c r="F41" i="2"/>
  <c r="L41" i="2" s="1"/>
  <c r="E41" i="2"/>
  <c r="D41" i="2"/>
  <c r="J41" i="2" s="1"/>
  <c r="C41" i="2"/>
  <c r="I41" i="2" s="1"/>
  <c r="B41" i="2"/>
  <c r="K40" i="2"/>
  <c r="J40" i="2"/>
  <c r="H40" i="2"/>
  <c r="G40" i="2"/>
  <c r="M40" i="2" s="1"/>
  <c r="F40" i="2"/>
  <c r="L40" i="2" s="1"/>
  <c r="E40" i="2"/>
  <c r="D40" i="2"/>
  <c r="C40" i="2"/>
  <c r="I40" i="2" s="1"/>
  <c r="B40" i="2"/>
  <c r="L39" i="2"/>
  <c r="K39" i="2"/>
  <c r="G39" i="2"/>
  <c r="M39" i="2" s="1"/>
  <c r="F39" i="2"/>
  <c r="E39" i="2"/>
  <c r="D39" i="2"/>
  <c r="J39" i="2" s="1"/>
  <c r="C39" i="2"/>
  <c r="I39" i="2" s="1"/>
  <c r="B39" i="2"/>
  <c r="H39" i="2" s="1"/>
  <c r="N39" i="2" s="1"/>
  <c r="K38" i="2"/>
  <c r="G38" i="2"/>
  <c r="M38" i="2" s="1"/>
  <c r="F38" i="2"/>
  <c r="L38" i="2" s="1"/>
  <c r="E38" i="2"/>
  <c r="D38" i="2"/>
  <c r="J38" i="2" s="1"/>
  <c r="C38" i="2"/>
  <c r="I38" i="2" s="1"/>
  <c r="B38" i="2"/>
  <c r="H38" i="2" s="1"/>
  <c r="K37" i="2"/>
  <c r="J37" i="2"/>
  <c r="H37" i="2"/>
  <c r="N37" i="2" s="1"/>
  <c r="G37" i="2"/>
  <c r="M37" i="2" s="1"/>
  <c r="F37" i="2"/>
  <c r="L37" i="2" s="1"/>
  <c r="E37" i="2"/>
  <c r="D37" i="2"/>
  <c r="C37" i="2"/>
  <c r="I37" i="2" s="1"/>
  <c r="B37" i="2"/>
  <c r="L36" i="2"/>
  <c r="K36" i="2"/>
  <c r="J36" i="2"/>
  <c r="G36" i="2"/>
  <c r="M36" i="2" s="1"/>
  <c r="F36" i="2"/>
  <c r="E36" i="2"/>
  <c r="D36" i="2"/>
  <c r="C36" i="2"/>
  <c r="I36" i="2" s="1"/>
  <c r="B36" i="2"/>
  <c r="H36" i="2" s="1"/>
  <c r="N36" i="2" s="1"/>
  <c r="K35" i="2"/>
  <c r="G35" i="2"/>
  <c r="M35" i="2" s="1"/>
  <c r="F35" i="2"/>
  <c r="L35" i="2" s="1"/>
  <c r="E35" i="2"/>
  <c r="D35" i="2"/>
  <c r="J35" i="2" s="1"/>
  <c r="C35" i="2"/>
  <c r="I35" i="2" s="1"/>
  <c r="B35" i="2"/>
  <c r="H35" i="2" s="1"/>
  <c r="N35" i="2" s="1"/>
  <c r="L34" i="2"/>
  <c r="K34" i="2"/>
  <c r="J34" i="2"/>
  <c r="H34" i="2"/>
  <c r="G34" i="2"/>
  <c r="M34" i="2" s="1"/>
  <c r="F34" i="2"/>
  <c r="E34" i="2"/>
  <c r="D34" i="2"/>
  <c r="C34" i="2"/>
  <c r="I34" i="2" s="1"/>
  <c r="B34" i="2"/>
  <c r="K33" i="2"/>
  <c r="G33" i="2"/>
  <c r="M33" i="2" s="1"/>
  <c r="F33" i="2"/>
  <c r="L33" i="2" s="1"/>
  <c r="E33" i="2"/>
  <c r="D33" i="2"/>
  <c r="J33" i="2" s="1"/>
  <c r="C33" i="2"/>
  <c r="I33" i="2" s="1"/>
  <c r="B33" i="2"/>
  <c r="H33" i="2" s="1"/>
  <c r="K32" i="2"/>
  <c r="G32" i="2"/>
  <c r="M32" i="2" s="1"/>
  <c r="F32" i="2"/>
  <c r="L32" i="2" s="1"/>
  <c r="E32" i="2"/>
  <c r="D32" i="2"/>
  <c r="J32" i="2" s="1"/>
  <c r="C32" i="2"/>
  <c r="I32" i="2" s="1"/>
  <c r="B32" i="2"/>
  <c r="H32" i="2" s="1"/>
  <c r="N32" i="2" s="1"/>
  <c r="L31" i="2"/>
  <c r="K31" i="2"/>
  <c r="J31" i="2"/>
  <c r="H31" i="2"/>
  <c r="G31" i="2"/>
  <c r="M31" i="2" s="1"/>
  <c r="F31" i="2"/>
  <c r="E31" i="2"/>
  <c r="D31" i="2"/>
  <c r="C31" i="2"/>
  <c r="I31" i="2" s="1"/>
  <c r="B31" i="2"/>
  <c r="K30" i="2"/>
  <c r="G30" i="2"/>
  <c r="M30" i="2" s="1"/>
  <c r="F30" i="2"/>
  <c r="L30" i="2" s="1"/>
  <c r="E30" i="2"/>
  <c r="D30" i="2"/>
  <c r="J30" i="2" s="1"/>
  <c r="N30" i="2" s="1"/>
  <c r="C30" i="2"/>
  <c r="I30" i="2" s="1"/>
  <c r="B30" i="2"/>
  <c r="H30" i="2" s="1"/>
  <c r="K29" i="2"/>
  <c r="G29" i="2"/>
  <c r="M29" i="2" s="1"/>
  <c r="F29" i="2"/>
  <c r="L29" i="2" s="1"/>
  <c r="E29" i="2"/>
  <c r="D29" i="2"/>
  <c r="J29" i="2" s="1"/>
  <c r="C29" i="2"/>
  <c r="I29" i="2" s="1"/>
  <c r="B29" i="2"/>
  <c r="H29" i="2" s="1"/>
  <c r="N29" i="2" s="1"/>
  <c r="L28" i="2"/>
  <c r="K28" i="2"/>
  <c r="J28" i="2"/>
  <c r="G28" i="2"/>
  <c r="M28" i="2" s="1"/>
  <c r="F28" i="2"/>
  <c r="E28" i="2"/>
  <c r="D28" i="2"/>
  <c r="C28" i="2"/>
  <c r="I28" i="2" s="1"/>
  <c r="B28" i="2"/>
  <c r="H28" i="2" s="1"/>
  <c r="N28" i="2" s="1"/>
  <c r="K27" i="2"/>
  <c r="G27" i="2"/>
  <c r="M27" i="2" s="1"/>
  <c r="F27" i="2"/>
  <c r="L27" i="2" s="1"/>
  <c r="E27" i="2"/>
  <c r="D27" i="2"/>
  <c r="J27" i="2" s="1"/>
  <c r="C27" i="2"/>
  <c r="I27" i="2" s="1"/>
  <c r="B27" i="2"/>
  <c r="H27" i="2" s="1"/>
  <c r="K26" i="2"/>
  <c r="G26" i="2"/>
  <c r="M26" i="2" s="1"/>
  <c r="F26" i="2"/>
  <c r="L26" i="2" s="1"/>
  <c r="E26" i="2"/>
  <c r="D26" i="2"/>
  <c r="J26" i="2" s="1"/>
  <c r="C26" i="2"/>
  <c r="I26" i="2" s="1"/>
  <c r="B26" i="2"/>
  <c r="H26" i="2" s="1"/>
  <c r="L25" i="2"/>
  <c r="K25" i="2"/>
  <c r="J25" i="2"/>
  <c r="G25" i="2"/>
  <c r="M25" i="2" s="1"/>
  <c r="F25" i="2"/>
  <c r="E25" i="2"/>
  <c r="D25" i="2"/>
  <c r="C25" i="2"/>
  <c r="I25" i="2" s="1"/>
  <c r="B25" i="2"/>
  <c r="H25" i="2" s="1"/>
  <c r="N25" i="2" s="1"/>
  <c r="L24" i="2"/>
  <c r="K24" i="2"/>
  <c r="I24" i="2"/>
  <c r="G24" i="2"/>
  <c r="M24" i="2" s="1"/>
  <c r="F24" i="2"/>
  <c r="E24" i="2"/>
  <c r="D24" i="2"/>
  <c r="J24" i="2" s="1"/>
  <c r="N24" i="2" s="1"/>
  <c r="C24" i="2"/>
  <c r="B24" i="2"/>
  <c r="H24" i="2" s="1"/>
  <c r="K23" i="2"/>
  <c r="J23" i="2"/>
  <c r="H23" i="2"/>
  <c r="G23" i="2"/>
  <c r="M23" i="2" s="1"/>
  <c r="F23" i="2"/>
  <c r="L23" i="2" s="1"/>
  <c r="E23" i="2"/>
  <c r="D23" i="2"/>
  <c r="C23" i="2"/>
  <c r="I23" i="2" s="1"/>
  <c r="B23" i="2"/>
  <c r="J22" i="2"/>
  <c r="G22" i="2"/>
  <c r="M22" i="2" s="1"/>
  <c r="F22" i="2"/>
  <c r="L22" i="2" s="1"/>
  <c r="E22" i="2"/>
  <c r="K22" i="2" s="1"/>
  <c r="D22" i="2"/>
  <c r="C22" i="2"/>
  <c r="I22" i="2" s="1"/>
  <c r="B22" i="2"/>
  <c r="H22" i="2" s="1"/>
  <c r="N22" i="2" s="1"/>
  <c r="K21" i="2"/>
  <c r="G21" i="2"/>
  <c r="M21" i="2" s="1"/>
  <c r="F21" i="2"/>
  <c r="L21" i="2" s="1"/>
  <c r="E21" i="2"/>
  <c r="D21" i="2"/>
  <c r="J21" i="2" s="1"/>
  <c r="C21" i="2"/>
  <c r="I21" i="2" s="1"/>
  <c r="B21" i="2"/>
  <c r="H21" i="2" s="1"/>
  <c r="K20" i="2"/>
  <c r="H20" i="2"/>
  <c r="G20" i="2"/>
  <c r="M20" i="2" s="1"/>
  <c r="F20" i="2"/>
  <c r="L20" i="2" s="1"/>
  <c r="E20" i="2"/>
  <c r="D20" i="2"/>
  <c r="J20" i="2" s="1"/>
  <c r="C20" i="2"/>
  <c r="I20" i="2" s="1"/>
  <c r="B20" i="2"/>
  <c r="J19" i="2"/>
  <c r="H19" i="2"/>
  <c r="G19" i="2"/>
  <c r="M19" i="2" s="1"/>
  <c r="F19" i="2"/>
  <c r="L19" i="2" s="1"/>
  <c r="E19" i="2"/>
  <c r="K19" i="2" s="1"/>
  <c r="D19" i="2"/>
  <c r="C19" i="2"/>
  <c r="I19" i="2" s="1"/>
  <c r="B19" i="2"/>
  <c r="K18" i="2"/>
  <c r="J18" i="2"/>
  <c r="I18" i="2"/>
  <c r="G18" i="2"/>
  <c r="M18" i="2" s="1"/>
  <c r="F18" i="2"/>
  <c r="L18" i="2" s="1"/>
  <c r="E18" i="2"/>
  <c r="D18" i="2"/>
  <c r="C18" i="2"/>
  <c r="B18" i="2"/>
  <c r="H18" i="2" s="1"/>
  <c r="N18" i="2" s="1"/>
  <c r="K17" i="2"/>
  <c r="J17" i="2"/>
  <c r="G17" i="2"/>
  <c r="M17" i="2" s="1"/>
  <c r="F17" i="2"/>
  <c r="L17" i="2" s="1"/>
  <c r="E17" i="2"/>
  <c r="D17" i="2"/>
  <c r="C17" i="2"/>
  <c r="I17" i="2" s="1"/>
  <c r="B17" i="2"/>
  <c r="H17" i="2" s="1"/>
  <c r="L16" i="2"/>
  <c r="K16" i="2"/>
  <c r="J16" i="2"/>
  <c r="H16" i="2"/>
  <c r="N16" i="2" s="1"/>
  <c r="G16" i="2"/>
  <c r="M16" i="2" s="1"/>
  <c r="F16" i="2"/>
  <c r="E16" i="2"/>
  <c r="D16" i="2"/>
  <c r="C16" i="2"/>
  <c r="I16" i="2" s="1"/>
  <c r="B16" i="2"/>
  <c r="L15" i="2"/>
  <c r="K15" i="2"/>
  <c r="J15" i="2"/>
  <c r="N15" i="2" s="1"/>
  <c r="I15" i="2"/>
  <c r="G15" i="2"/>
  <c r="M15" i="2" s="1"/>
  <c r="F15" i="2"/>
  <c r="E15" i="2"/>
  <c r="D15" i="2"/>
  <c r="C15" i="2"/>
  <c r="B15" i="2"/>
  <c r="H15" i="2" s="1"/>
  <c r="M14" i="2"/>
  <c r="K14" i="2"/>
  <c r="J14" i="2"/>
  <c r="G14" i="2"/>
  <c r="F14" i="2"/>
  <c r="L14" i="2" s="1"/>
  <c r="E14" i="2"/>
  <c r="D14" i="2"/>
  <c r="C14" i="2"/>
  <c r="I14" i="2" s="1"/>
  <c r="B14" i="2"/>
  <c r="H14" i="2" s="1"/>
  <c r="N14" i="2" s="1"/>
  <c r="L13" i="2"/>
  <c r="J13" i="2"/>
  <c r="H13" i="2"/>
  <c r="G13" i="2"/>
  <c r="M13" i="2" s="1"/>
  <c r="F13" i="2"/>
  <c r="E13" i="2"/>
  <c r="K13" i="2" s="1"/>
  <c r="D13" i="2"/>
  <c r="C13" i="2"/>
  <c r="I13" i="2" s="1"/>
  <c r="B13" i="2"/>
  <c r="K12" i="2"/>
  <c r="J12" i="2"/>
  <c r="H12" i="2"/>
  <c r="G12" i="2"/>
  <c r="M12" i="2" s="1"/>
  <c r="F12" i="2"/>
  <c r="L12" i="2" s="1"/>
  <c r="E12" i="2"/>
  <c r="D12" i="2"/>
  <c r="C12" i="2"/>
  <c r="I12" i="2" s="1"/>
  <c r="B12" i="2"/>
  <c r="K11" i="2"/>
  <c r="J11" i="2"/>
  <c r="G11" i="2"/>
  <c r="M11" i="2" s="1"/>
  <c r="F11" i="2"/>
  <c r="L11" i="2" s="1"/>
  <c r="E11" i="2"/>
  <c r="D11" i="2"/>
  <c r="C11" i="2"/>
  <c r="I11" i="2" s="1"/>
  <c r="B11" i="2"/>
  <c r="H11" i="2" s="1"/>
  <c r="N11" i="2" s="1"/>
  <c r="L10" i="2"/>
  <c r="I10" i="2"/>
  <c r="G10" i="2"/>
  <c r="M10" i="2" s="1"/>
  <c r="F10" i="2"/>
  <c r="E10" i="2"/>
  <c r="K10" i="2" s="1"/>
  <c r="D10" i="2"/>
  <c r="J10" i="2" s="1"/>
  <c r="C10" i="2"/>
  <c r="B10" i="2"/>
  <c r="H10" i="2" s="1"/>
  <c r="M9" i="2"/>
  <c r="I9" i="2"/>
  <c r="H9" i="2"/>
  <c r="G9" i="2"/>
  <c r="F9" i="2"/>
  <c r="L9" i="2" s="1"/>
  <c r="E9" i="2"/>
  <c r="K9" i="2" s="1"/>
  <c r="D9" i="2"/>
  <c r="J9" i="2" s="1"/>
  <c r="C9" i="2"/>
  <c r="B9" i="2"/>
  <c r="M8" i="2"/>
  <c r="L8" i="2"/>
  <c r="J8" i="2"/>
  <c r="I8" i="2"/>
  <c r="H8" i="2"/>
  <c r="G8" i="2"/>
  <c r="F8" i="2"/>
  <c r="E8" i="2"/>
  <c r="K8" i="2" s="1"/>
  <c r="D8" i="2"/>
  <c r="C8" i="2"/>
  <c r="B8" i="2"/>
  <c r="M7" i="2"/>
  <c r="L7" i="2"/>
  <c r="I7" i="2"/>
  <c r="G7" i="2"/>
  <c r="F7" i="2"/>
  <c r="E7" i="2"/>
  <c r="K7" i="2" s="1"/>
  <c r="D7" i="2"/>
  <c r="J7" i="2" s="1"/>
  <c r="C7" i="2"/>
  <c r="B7" i="2"/>
  <c r="H7" i="2" s="1"/>
  <c r="N7" i="2" s="1"/>
  <c r="M6" i="2"/>
  <c r="I6" i="2"/>
  <c r="H6" i="2"/>
  <c r="G6" i="2"/>
  <c r="F6" i="2"/>
  <c r="L6" i="2" s="1"/>
  <c r="E6" i="2"/>
  <c r="K6" i="2" s="1"/>
  <c r="D6" i="2"/>
  <c r="J6" i="2" s="1"/>
  <c r="C6" i="2"/>
  <c r="B6" i="2"/>
  <c r="M5" i="2"/>
  <c r="L5" i="2"/>
  <c r="J5" i="2"/>
  <c r="I5" i="2"/>
  <c r="H5" i="2"/>
  <c r="G5" i="2"/>
  <c r="F5" i="2"/>
  <c r="E5" i="2"/>
  <c r="K5" i="2" s="1"/>
  <c r="D5" i="2"/>
  <c r="C5" i="2"/>
  <c r="B5" i="2"/>
  <c r="M4" i="2"/>
  <c r="L4" i="2"/>
  <c r="I4" i="2"/>
  <c r="G4" i="2"/>
  <c r="F4" i="2"/>
  <c r="E4" i="2"/>
  <c r="K4" i="2" s="1"/>
  <c r="D4" i="2"/>
  <c r="J4" i="2" s="1"/>
  <c r="C4" i="2"/>
  <c r="B4" i="2"/>
  <c r="H4" i="2" s="1"/>
  <c r="M3" i="2"/>
  <c r="I3" i="2"/>
  <c r="H3" i="2"/>
  <c r="G3" i="2"/>
  <c r="F3" i="2"/>
  <c r="L3" i="2" s="1"/>
  <c r="E3" i="2"/>
  <c r="K3" i="2" s="1"/>
  <c r="D3" i="2"/>
  <c r="J3" i="2" s="1"/>
  <c r="C3" i="2"/>
  <c r="B3" i="2"/>
  <c r="L2" i="2"/>
  <c r="J2" i="2"/>
  <c r="I2" i="2"/>
  <c r="H2" i="2"/>
  <c r="G2" i="2"/>
  <c r="M2" i="2" s="1"/>
  <c r="F2" i="2"/>
  <c r="E2" i="2"/>
  <c r="K2" i="2" s="1"/>
  <c r="D2" i="2"/>
  <c r="C2" i="2"/>
  <c r="B2" i="2"/>
  <c r="P28" i="2" l="1" a="1"/>
  <c r="P28" i="2" s="1"/>
  <c r="O28" i="2"/>
  <c r="N23" i="2"/>
  <c r="P25" i="2" a="1"/>
  <c r="P25" i="2" s="1"/>
  <c r="O25" i="2"/>
  <c r="N13" i="2"/>
  <c r="P11" i="2" a="1"/>
  <c r="P11" i="2" s="1"/>
  <c r="O11" i="2"/>
  <c r="N9" i="2"/>
  <c r="N6" i="2"/>
  <c r="N12" i="2"/>
  <c r="P14" i="2" a="1"/>
  <c r="P14" i="2" s="1"/>
  <c r="O14" i="2"/>
  <c r="N20" i="2"/>
  <c r="N4" i="2"/>
  <c r="N8" i="2"/>
  <c r="N3" i="2"/>
  <c r="P16" i="2" a="1"/>
  <c r="P16" i="2" s="1"/>
  <c r="O16" i="2"/>
  <c r="P18" i="2" a="1"/>
  <c r="P18" i="2" s="1"/>
  <c r="O18" i="2"/>
  <c r="N33" i="2"/>
  <c r="P36" i="2" a="1"/>
  <c r="P36" i="2" s="1"/>
  <c r="O36" i="2"/>
  <c r="P7" i="2" a="1"/>
  <c r="P7" i="2" s="1"/>
  <c r="O7" i="2"/>
  <c r="P22" i="2" a="1"/>
  <c r="P22" i="2" s="1"/>
  <c r="O22" i="2"/>
  <c r="N10" i="2"/>
  <c r="N21" i="2"/>
  <c r="P39" i="2" a="1"/>
  <c r="P39" i="2" s="1"/>
  <c r="O39" i="2"/>
  <c r="N2" i="2"/>
  <c r="P24" i="2" a="1"/>
  <c r="P24" i="2" s="1"/>
  <c r="O24" i="2"/>
  <c r="P30" i="2" a="1"/>
  <c r="P30" i="2" s="1"/>
  <c r="O30" i="2"/>
  <c r="P15" i="2" a="1"/>
  <c r="P15" i="2" s="1"/>
  <c r="O15" i="2"/>
  <c r="N19" i="2"/>
  <c r="N27" i="2"/>
  <c r="N17" i="2"/>
  <c r="P29" i="2" a="1"/>
  <c r="P29" i="2" s="1"/>
  <c r="O29" i="2"/>
  <c r="P32" i="2" a="1"/>
  <c r="P32" i="2" s="1"/>
  <c r="O32" i="2"/>
  <c r="P35" i="2" a="1"/>
  <c r="P35" i="2" s="1"/>
  <c r="O35" i="2"/>
  <c r="N26" i="2"/>
  <c r="N5" i="2"/>
  <c r="P37" i="2" a="1"/>
  <c r="P37" i="2" s="1"/>
  <c r="O37" i="2"/>
  <c r="N52" i="2"/>
  <c r="N54" i="2"/>
  <c r="N77" i="2"/>
  <c r="N79" i="2"/>
  <c r="N92" i="2"/>
  <c r="P106" i="2" a="1"/>
  <c r="P106" i="2" s="1"/>
  <c r="O106" i="2"/>
  <c r="P49" i="2" a="1"/>
  <c r="P49" i="2" s="1"/>
  <c r="O49" i="2"/>
  <c r="P53" i="2" a="1"/>
  <c r="P53" i="2" s="1"/>
  <c r="O53" i="2"/>
  <c r="P70" i="2" a="1"/>
  <c r="P70" i="2" s="1"/>
  <c r="O70" i="2"/>
  <c r="P74" i="2" a="1"/>
  <c r="P74" i="2" s="1"/>
  <c r="O74" i="2"/>
  <c r="P81" i="2" a="1"/>
  <c r="P81" i="2" s="1"/>
  <c r="O81" i="2"/>
  <c r="P83" i="2" a="1"/>
  <c r="P83" i="2" s="1"/>
  <c r="O83" i="2"/>
  <c r="P100" i="2" a="1"/>
  <c r="P100" i="2" s="1"/>
  <c r="O100" i="2"/>
  <c r="P110" i="2" a="1"/>
  <c r="P110" i="2" s="1"/>
  <c r="O110" i="2"/>
  <c r="P113" i="2" a="1"/>
  <c r="P113" i="2" s="1"/>
  <c r="O113" i="2"/>
  <c r="P119" i="2" a="1"/>
  <c r="P119" i="2" s="1"/>
  <c r="O119" i="2"/>
  <c r="O41" i="2"/>
  <c r="P72" i="2" a="1"/>
  <c r="P72" i="2" s="1"/>
  <c r="O72" i="2"/>
  <c r="N75" i="2"/>
  <c r="N87" i="2"/>
  <c r="P89" i="2" a="1"/>
  <c r="P89" i="2" s="1"/>
  <c r="O89" i="2"/>
  <c r="P97" i="2" a="1"/>
  <c r="P97" i="2" s="1"/>
  <c r="O97" i="2"/>
  <c r="P103" i="2" a="1"/>
  <c r="P103" i="2" s="1"/>
  <c r="O103" i="2"/>
  <c r="N38" i="2"/>
  <c r="N40" i="2"/>
  <c r="N42" i="2"/>
  <c r="N56" i="2"/>
  <c r="N80" i="2"/>
  <c r="P82" i="2" a="1"/>
  <c r="P82" i="2" s="1"/>
  <c r="O82" i="2"/>
  <c r="P85" i="2" a="1"/>
  <c r="P85" i="2" s="1"/>
  <c r="O85" i="2"/>
  <c r="P109" i="2" a="1"/>
  <c r="P109" i="2" s="1"/>
  <c r="O109" i="2"/>
  <c r="N44" i="2"/>
  <c r="N55" i="2"/>
  <c r="N57" i="2"/>
  <c r="P68" i="2" a="1"/>
  <c r="P68" i="2" s="1"/>
  <c r="O68" i="2"/>
  <c r="N94" i="2"/>
  <c r="N99" i="2"/>
  <c r="P102" i="2" a="1"/>
  <c r="P102" i="2" s="1"/>
  <c r="O102" i="2"/>
  <c r="P105" i="2" a="1"/>
  <c r="P105" i="2" s="1"/>
  <c r="O105" i="2"/>
  <c r="P112" i="2" a="1"/>
  <c r="P112" i="2" s="1"/>
  <c r="O112" i="2"/>
  <c r="P115" i="2" a="1"/>
  <c r="P115" i="2" s="1"/>
  <c r="O115" i="2"/>
  <c r="P127" i="2" a="1"/>
  <c r="P127" i="2" s="1"/>
  <c r="O127" i="2"/>
  <c r="N34" i="2"/>
  <c r="P71" i="2" a="1"/>
  <c r="P71" i="2" s="1"/>
  <c r="O71" i="2"/>
  <c r="N86" i="2"/>
  <c r="N88" i="2"/>
  <c r="N91" i="2"/>
  <c r="P118" i="2" a="1"/>
  <c r="P118" i="2" s="1"/>
  <c r="O118" i="2"/>
  <c r="N43" i="2"/>
  <c r="N59" i="2"/>
  <c r="N64" i="2"/>
  <c r="N96" i="2"/>
  <c r="P108" i="2" a="1"/>
  <c r="P108" i="2" s="1"/>
  <c r="O108" i="2"/>
  <c r="N45" i="2"/>
  <c r="N47" i="2"/>
  <c r="N58" i="2"/>
  <c r="P60" i="2" a="1"/>
  <c r="P60" i="2" s="1"/>
  <c r="O60" i="2"/>
  <c r="N66" i="2"/>
  <c r="P116" i="2" a="1"/>
  <c r="P116" i="2" s="1"/>
  <c r="O116" i="2"/>
  <c r="N62" i="2"/>
  <c r="N69" i="2"/>
  <c r="N84" i="2"/>
  <c r="N93" i="2"/>
  <c r="P101" i="2" a="1"/>
  <c r="P101" i="2" s="1"/>
  <c r="O101" i="2"/>
  <c r="P124" i="2" a="1"/>
  <c r="P124" i="2" s="1"/>
  <c r="O124" i="2"/>
  <c r="N31" i="2"/>
  <c r="N46" i="2"/>
  <c r="N65" i="2"/>
  <c r="N67" i="2"/>
  <c r="N98" i="2"/>
  <c r="N104" i="2"/>
  <c r="P121" i="2" a="1"/>
  <c r="P121" i="2" s="1"/>
  <c r="O121" i="2"/>
  <c r="N48" i="2"/>
  <c r="P50" i="2" a="1"/>
  <c r="P50" i="2" s="1"/>
  <c r="O50" i="2"/>
  <c r="P61" i="2" a="1"/>
  <c r="P61" i="2" s="1"/>
  <c r="O61" i="2"/>
  <c r="N63" i="2"/>
  <c r="P76" i="2" a="1"/>
  <c r="P76" i="2" s="1"/>
  <c r="O76" i="2"/>
  <c r="P107" i="2" a="1"/>
  <c r="P107" i="2" s="1"/>
  <c r="O107" i="2"/>
  <c r="N51" i="2"/>
  <c r="N73" i="2"/>
  <c r="N78" i="2"/>
  <c r="P90" i="2" a="1"/>
  <c r="P90" i="2" s="1"/>
  <c r="O90" i="2"/>
  <c r="N95" i="2"/>
  <c r="P125" i="2" a="1"/>
  <c r="P125" i="2" s="1"/>
  <c r="O125" i="2"/>
  <c r="P131" i="2" a="1"/>
  <c r="P131" i="2" s="1"/>
  <c r="O131" i="2"/>
  <c r="P172" i="2" a="1"/>
  <c r="P172" i="2" s="1"/>
  <c r="O172" i="2"/>
  <c r="P174" i="2" a="1"/>
  <c r="P174" i="2" s="1"/>
  <c r="O174" i="2"/>
  <c r="P177" i="2" a="1"/>
  <c r="P177" i="2" s="1"/>
  <c r="O177" i="2"/>
  <c r="O122" i="2"/>
  <c r="N134" i="2"/>
  <c r="N159" i="2"/>
  <c r="P162" i="2" a="1"/>
  <c r="P162" i="2" s="1"/>
  <c r="O162" i="2"/>
  <c r="P165" i="2" a="1"/>
  <c r="P165" i="2" s="1"/>
  <c r="O165" i="2"/>
  <c r="P168" i="2" a="1"/>
  <c r="P168" i="2" s="1"/>
  <c r="O168" i="2"/>
  <c r="P123" i="2" a="1"/>
  <c r="P123" i="2" s="1"/>
  <c r="O123" i="2"/>
  <c r="P137" i="2" a="1"/>
  <c r="P137" i="2" s="1"/>
  <c r="O137" i="2"/>
  <c r="P140" i="2" a="1"/>
  <c r="P140" i="2" s="1"/>
  <c r="O140" i="2"/>
  <c r="P151" i="2" a="1"/>
  <c r="P151" i="2" s="1"/>
  <c r="O151" i="2"/>
  <c r="P171" i="2" a="1"/>
  <c r="P171" i="2" s="1"/>
  <c r="O171" i="2"/>
  <c r="P180" i="2" a="1"/>
  <c r="P180" i="2" s="1"/>
  <c r="O180" i="2"/>
  <c r="N114" i="2"/>
  <c r="N143" i="2"/>
  <c r="P153" i="2" a="1"/>
  <c r="P153" i="2" s="1"/>
  <c r="O153" i="2"/>
  <c r="N126" i="2"/>
  <c r="N130" i="2"/>
  <c r="P176" i="2" a="1"/>
  <c r="P176" i="2" s="1"/>
  <c r="O176" i="2"/>
  <c r="P182" i="2" a="1"/>
  <c r="P182" i="2" s="1"/>
  <c r="O182" i="2"/>
  <c r="P185" i="2" a="1"/>
  <c r="P185" i="2" s="1"/>
  <c r="O185" i="2"/>
  <c r="P141" i="2" a="1"/>
  <c r="P141" i="2" s="1"/>
  <c r="O141" i="2"/>
  <c r="P146" i="2" a="1"/>
  <c r="P146" i="2" s="1"/>
  <c r="O146" i="2"/>
  <c r="P152" i="2" a="1"/>
  <c r="P152" i="2" s="1"/>
  <c r="O152" i="2"/>
  <c r="P158" i="2" a="1"/>
  <c r="P158" i="2" s="1"/>
  <c r="O158" i="2"/>
  <c r="P161" i="2" a="1"/>
  <c r="P161" i="2" s="1"/>
  <c r="O161" i="2"/>
  <c r="N164" i="2"/>
  <c r="N167" i="2"/>
  <c r="N170" i="2"/>
  <c r="P188" i="2" a="1"/>
  <c r="P188" i="2" s="1"/>
  <c r="O188" i="2"/>
  <c r="N133" i="2"/>
  <c r="N150" i="2"/>
  <c r="N117" i="2"/>
  <c r="N129" i="2"/>
  <c r="N136" i="2"/>
  <c r="N144" i="2"/>
  <c r="N154" i="2"/>
  <c r="N156" i="2"/>
  <c r="N139" i="2"/>
  <c r="N148" i="2"/>
  <c r="P175" i="2" a="1"/>
  <c r="P175" i="2" s="1"/>
  <c r="O175" i="2"/>
  <c r="P178" i="2" a="1"/>
  <c r="P178" i="2" s="1"/>
  <c r="O178" i="2"/>
  <c r="N132" i="2"/>
  <c r="N142" i="2"/>
  <c r="P147" i="2" a="1"/>
  <c r="P147" i="2" s="1"/>
  <c r="O147" i="2"/>
  <c r="N155" i="2"/>
  <c r="N157" i="2"/>
  <c r="N160" i="2"/>
  <c r="N163" i="2"/>
  <c r="N166" i="2"/>
  <c r="N169" i="2"/>
  <c r="P173" i="2" a="1"/>
  <c r="P173" i="2" s="1"/>
  <c r="O173" i="2"/>
  <c r="N128" i="2"/>
  <c r="N135" i="2"/>
  <c r="N149" i="2"/>
  <c r="P181" i="2" a="1"/>
  <c r="P181" i="2" s="1"/>
  <c r="O181" i="2"/>
  <c r="N111" i="2"/>
  <c r="N120" i="2"/>
  <c r="N138" i="2"/>
  <c r="N145" i="2"/>
  <c r="P209" i="2" a="1"/>
  <c r="P209" i="2" s="1"/>
  <c r="O209" i="2"/>
  <c r="P212" i="2" a="1"/>
  <c r="P212" i="2" s="1"/>
  <c r="O212" i="2"/>
  <c r="P247" i="2" a="1"/>
  <c r="P247" i="2" s="1"/>
  <c r="O247" i="2"/>
  <c r="P261" i="2" a="1"/>
  <c r="P261" i="2" s="1"/>
  <c r="O261" i="2"/>
  <c r="P264" i="2" a="1"/>
  <c r="P264" i="2" s="1"/>
  <c r="O264" i="2"/>
  <c r="P267" i="2" a="1"/>
  <c r="P267" i="2" s="1"/>
  <c r="O267" i="2"/>
  <c r="P270" i="2" a="1"/>
  <c r="P270" i="2" s="1"/>
  <c r="O270" i="2"/>
  <c r="P273" i="2" a="1"/>
  <c r="P273" i="2" s="1"/>
  <c r="O273" i="2"/>
  <c r="O179" i="2"/>
  <c r="P192" i="2" a="1"/>
  <c r="P192" i="2" s="1"/>
  <c r="O192" i="2"/>
  <c r="P215" i="2" a="1"/>
  <c r="P215" i="2" s="1"/>
  <c r="O215" i="2"/>
  <c r="N217" i="2"/>
  <c r="P226" i="2" a="1"/>
  <c r="P226" i="2" s="1"/>
  <c r="O226" i="2"/>
  <c r="P246" i="2" a="1"/>
  <c r="P246" i="2" s="1"/>
  <c r="O246" i="2"/>
  <c r="P253" i="2" a="1"/>
  <c r="P253" i="2" s="1"/>
  <c r="O253" i="2"/>
  <c r="P287" i="2" a="1"/>
  <c r="P287" i="2" s="1"/>
  <c r="O287" i="2"/>
  <c r="N184" i="2"/>
  <c r="P199" i="2" a="1"/>
  <c r="P199" i="2" s="1"/>
  <c r="O199" i="2"/>
  <c r="P218" i="2" a="1"/>
  <c r="P218" i="2" s="1"/>
  <c r="O218" i="2"/>
  <c r="P222" i="2" a="1"/>
  <c r="P222" i="2" s="1"/>
  <c r="O222" i="2"/>
  <c r="P231" i="2" a="1"/>
  <c r="P231" i="2" s="1"/>
  <c r="O231" i="2"/>
  <c r="P236" i="2" a="1"/>
  <c r="P236" i="2" s="1"/>
  <c r="O236" i="2"/>
  <c r="P242" i="2" a="1"/>
  <c r="P242" i="2" s="1"/>
  <c r="O242" i="2"/>
  <c r="P248" i="2" a="1"/>
  <c r="P248" i="2" s="1"/>
  <c r="O248" i="2"/>
  <c r="P262" i="2" a="1"/>
  <c r="P262" i="2" s="1"/>
  <c r="O262" i="2"/>
  <c r="P279" i="2" a="1"/>
  <c r="P279" i="2" s="1"/>
  <c r="O279" i="2"/>
  <c r="N195" i="2"/>
  <c r="N202" i="2"/>
  <c r="N213" i="2"/>
  <c r="N229" i="2"/>
  <c r="P239" i="2" a="1"/>
  <c r="P239" i="2" s="1"/>
  <c r="O239" i="2"/>
  <c r="P251" i="2" a="1"/>
  <c r="P251" i="2" s="1"/>
  <c r="O251" i="2"/>
  <c r="P276" i="2" a="1"/>
  <c r="P276" i="2" s="1"/>
  <c r="O276" i="2"/>
  <c r="P280" i="2" a="1"/>
  <c r="P280" i="2" s="1"/>
  <c r="O280" i="2"/>
  <c r="N191" i="2"/>
  <c r="N205" i="2"/>
  <c r="N216" i="2"/>
  <c r="N220" i="2"/>
  <c r="P257" i="2" a="1"/>
  <c r="P257" i="2" s="1"/>
  <c r="O257" i="2"/>
  <c r="N183" i="2"/>
  <c r="N187" i="2"/>
  <c r="N198" i="2"/>
  <c r="N208" i="2"/>
  <c r="N224" i="2"/>
  <c r="N227" i="2"/>
  <c r="N235" i="2"/>
  <c r="P244" i="2" a="1"/>
  <c r="P244" i="2" s="1"/>
  <c r="O244" i="2"/>
  <c r="N194" i="2"/>
  <c r="P201" i="2" a="1"/>
  <c r="P201" i="2" s="1"/>
  <c r="O201" i="2"/>
  <c r="N211" i="2"/>
  <c r="P219" i="2" a="1"/>
  <c r="P219" i="2" s="1"/>
  <c r="O219" i="2"/>
  <c r="N221" i="2"/>
  <c r="N225" i="2"/>
  <c r="N241" i="2"/>
  <c r="P245" i="2" a="1"/>
  <c r="P245" i="2" s="1"/>
  <c r="O245" i="2"/>
  <c r="P258" i="2" a="1"/>
  <c r="P258" i="2" s="1"/>
  <c r="O258" i="2"/>
  <c r="P274" i="2" a="1"/>
  <c r="P274" i="2" s="1"/>
  <c r="O274" i="2"/>
  <c r="O196" i="2"/>
  <c r="N204" i="2"/>
  <c r="N214" i="2"/>
  <c r="N223" i="2"/>
  <c r="N233" i="2"/>
  <c r="P238" i="2" a="1"/>
  <c r="P238" i="2" s="1"/>
  <c r="O238" i="2"/>
  <c r="P250" i="2" a="1"/>
  <c r="P250" i="2" s="1"/>
  <c r="O250" i="2"/>
  <c r="N186" i="2"/>
  <c r="N190" i="2"/>
  <c r="N197" i="2"/>
  <c r="N207" i="2"/>
  <c r="P256" i="2" a="1"/>
  <c r="P256" i="2" s="1"/>
  <c r="O256" i="2"/>
  <c r="P259" i="2" a="1"/>
  <c r="P259" i="2" s="1"/>
  <c r="O259" i="2"/>
  <c r="P265" i="2" a="1"/>
  <c r="P265" i="2" s="1"/>
  <c r="O265" i="2"/>
  <c r="P268" i="2" a="1"/>
  <c r="P268" i="2" s="1"/>
  <c r="O268" i="2"/>
  <c r="P271" i="2" a="1"/>
  <c r="P271" i="2" s="1"/>
  <c r="O271" i="2"/>
  <c r="N200" i="2"/>
  <c r="N210" i="2"/>
  <c r="N228" i="2"/>
  <c r="P254" i="2" a="1"/>
  <c r="P254" i="2" s="1"/>
  <c r="O254" i="2"/>
  <c r="N193" i="2"/>
  <c r="N203" i="2"/>
  <c r="N230" i="2"/>
  <c r="N232" i="2"/>
  <c r="N237" i="2"/>
  <c r="N243" i="2"/>
  <c r="P291" i="2" a="1"/>
  <c r="P291" i="2" s="1"/>
  <c r="O291" i="2"/>
  <c r="P303" i="2" a="1"/>
  <c r="P303" i="2" s="1"/>
  <c r="O303" i="2"/>
  <c r="P315" i="2" a="1"/>
  <c r="P315" i="2" s="1"/>
  <c r="O315" i="2"/>
  <c r="N189" i="2"/>
  <c r="N206" i="2"/>
  <c r="N234" i="2"/>
  <c r="N240" i="2"/>
  <c r="P252" i="2" a="1"/>
  <c r="P252" i="2" s="1"/>
  <c r="O252" i="2"/>
  <c r="N272" i="2"/>
  <c r="P286" i="2" a="1"/>
  <c r="P286" i="2" s="1"/>
  <c r="N307" i="2"/>
  <c r="P335" i="2" a="1"/>
  <c r="P335" i="2" s="1"/>
  <c r="O335" i="2"/>
  <c r="P255" i="2" a="1"/>
  <c r="P255" i="2" s="1"/>
  <c r="O255" i="2"/>
  <c r="P277" i="2" a="1"/>
  <c r="P277" i="2" s="1"/>
  <c r="O277" i="2"/>
  <c r="P281" i="2" a="1"/>
  <c r="P281" i="2" s="1"/>
  <c r="O281" i="2"/>
  <c r="P282" i="2" a="1"/>
  <c r="P282" i="2" s="1"/>
  <c r="O282" i="2"/>
  <c r="P285" i="2" a="1"/>
  <c r="P285" i="2" s="1"/>
  <c r="O285" i="2"/>
  <c r="P297" i="2" a="1"/>
  <c r="P297" i="2" s="1"/>
  <c r="O297" i="2"/>
  <c r="P316" i="2" a="1"/>
  <c r="P316" i="2" s="1"/>
  <c r="O316" i="2"/>
  <c r="P322" i="2" a="1"/>
  <c r="P322" i="2" s="1"/>
  <c r="O322" i="2"/>
  <c r="O249" i="2"/>
  <c r="N283" i="2"/>
  <c r="N294" i="2"/>
  <c r="N319" i="2"/>
  <c r="P338" i="2" a="1"/>
  <c r="P338" i="2" s="1"/>
  <c r="O338" i="2"/>
  <c r="P309" i="2" a="1"/>
  <c r="P309" i="2" s="1"/>
  <c r="O309" i="2"/>
  <c r="P358" i="2" a="1"/>
  <c r="P358" i="2" s="1"/>
  <c r="O358" i="2"/>
  <c r="P260" i="2" a="1"/>
  <c r="P260" i="2" s="1"/>
  <c r="O260" i="2"/>
  <c r="N290" i="2"/>
  <c r="P299" i="2" a="1"/>
  <c r="P299" i="2" s="1"/>
  <c r="O299" i="2"/>
  <c r="N306" i="2"/>
  <c r="P341" i="2" a="1"/>
  <c r="P341" i="2" s="1"/>
  <c r="O341" i="2"/>
  <c r="P344" i="2" a="1"/>
  <c r="P344" i="2" s="1"/>
  <c r="O344" i="2"/>
  <c r="N275" i="2"/>
  <c r="P293" i="2" a="1"/>
  <c r="P293" i="2" s="1"/>
  <c r="O293" i="2"/>
  <c r="P296" i="2" a="1"/>
  <c r="P296" i="2" s="1"/>
  <c r="O296" i="2"/>
  <c r="P321" i="2" a="1"/>
  <c r="P321" i="2" s="1"/>
  <c r="O321" i="2"/>
  <c r="P347" i="2" a="1"/>
  <c r="P347" i="2" s="1"/>
  <c r="O347" i="2"/>
  <c r="P263" i="2" a="1"/>
  <c r="P263" i="2" s="1"/>
  <c r="O263" i="2"/>
  <c r="P300" i="2" a="1"/>
  <c r="P300" i="2" s="1"/>
  <c r="O300" i="2"/>
  <c r="N302" i="2"/>
  <c r="N311" i="2"/>
  <c r="N318" i="2"/>
  <c r="N289" i="2"/>
  <c r="P305" i="2" a="1"/>
  <c r="P305" i="2" s="1"/>
  <c r="O305" i="2"/>
  <c r="N308" i="2"/>
  <c r="P350" i="2" a="1"/>
  <c r="P350" i="2" s="1"/>
  <c r="O350" i="2"/>
  <c r="N266" i="2"/>
  <c r="N278" i="2"/>
  <c r="P312" i="2" a="1"/>
  <c r="P312" i="2" s="1"/>
  <c r="O312" i="2"/>
  <c r="N314" i="2"/>
  <c r="N323" i="2"/>
  <c r="N292" i="2"/>
  <c r="N298" i="2"/>
  <c r="N301" i="2"/>
  <c r="P317" i="2" a="1"/>
  <c r="P317" i="2" s="1"/>
  <c r="O317" i="2"/>
  <c r="N320" i="2"/>
  <c r="P326" i="2" a="1"/>
  <c r="P326" i="2" s="1"/>
  <c r="O326" i="2"/>
  <c r="N269" i="2"/>
  <c r="N284" i="2"/>
  <c r="N295" i="2"/>
  <c r="P324" i="2" a="1"/>
  <c r="P324" i="2" s="1"/>
  <c r="O324" i="2"/>
  <c r="N288" i="2"/>
  <c r="P304" i="2" a="1"/>
  <c r="P304" i="2" s="1"/>
  <c r="O304" i="2"/>
  <c r="N310" i="2"/>
  <c r="N313" i="2"/>
  <c r="P329" i="2" a="1"/>
  <c r="P329" i="2" s="1"/>
  <c r="O329" i="2"/>
  <c r="P332" i="2" a="1"/>
  <c r="P332" i="2" s="1"/>
  <c r="O332" i="2"/>
  <c r="N354" i="2"/>
  <c r="N330" i="2"/>
  <c r="N334" i="2"/>
  <c r="N342" i="2"/>
  <c r="N346" i="2"/>
  <c r="N361" i="2"/>
  <c r="N366" i="2"/>
  <c r="P357" i="2" a="1"/>
  <c r="P357" i="2" s="1"/>
  <c r="O357" i="2"/>
  <c r="N325" i="2"/>
  <c r="N353" i="2"/>
  <c r="N364" i="2"/>
  <c r="N333" i="2"/>
  <c r="N337" i="2"/>
  <c r="N345" i="2"/>
  <c r="N349" i="2"/>
  <c r="P360" i="2" a="1"/>
  <c r="P360" i="2" s="1"/>
  <c r="O360" i="2"/>
  <c r="N356" i="2"/>
  <c r="N367" i="2"/>
  <c r="N363" i="2"/>
  <c r="N328" i="2"/>
  <c r="N336" i="2"/>
  <c r="N340" i="2"/>
  <c r="N348" i="2"/>
  <c r="N352" i="2"/>
  <c r="N359" i="2"/>
  <c r="N355" i="2"/>
  <c r="N362" i="2"/>
  <c r="P327" i="2" a="1"/>
  <c r="P327" i="2" s="1"/>
  <c r="O327" i="2"/>
  <c r="N331" i="2"/>
  <c r="P339" i="2" a="1"/>
  <c r="P339" i="2" s="1"/>
  <c r="O339" i="2"/>
  <c r="N343" i="2"/>
  <c r="P351" i="2" a="1"/>
  <c r="P351" i="2" s="1"/>
  <c r="O351" i="2"/>
  <c r="N365" i="2"/>
  <c r="P343" i="2" l="1" a="1"/>
  <c r="P343" i="2" s="1"/>
  <c r="O343" i="2"/>
  <c r="P336" i="2" a="1"/>
  <c r="P336" i="2" s="1"/>
  <c r="O336" i="2"/>
  <c r="P353" i="2" a="1"/>
  <c r="P353" i="2" s="1"/>
  <c r="O353" i="2"/>
  <c r="P269" i="2" a="1"/>
  <c r="P269" i="2" s="1"/>
  <c r="O269" i="2"/>
  <c r="P275" i="2" a="1"/>
  <c r="P275" i="2" s="1"/>
  <c r="O275" i="2"/>
  <c r="P223" i="2" a="1"/>
  <c r="P223" i="2" s="1"/>
  <c r="O223" i="2"/>
  <c r="P221" i="2" a="1"/>
  <c r="P221" i="2" s="1"/>
  <c r="O221" i="2"/>
  <c r="P208" i="2" a="1"/>
  <c r="P208" i="2" s="1"/>
  <c r="O208" i="2"/>
  <c r="P138" i="2" a="1"/>
  <c r="P138" i="2" s="1"/>
  <c r="O138" i="2"/>
  <c r="P163" i="2" a="1"/>
  <c r="P163" i="2" s="1"/>
  <c r="O163" i="2"/>
  <c r="P148" i="2" a="1"/>
  <c r="P148" i="2" s="1"/>
  <c r="O148" i="2"/>
  <c r="P170" i="2" a="1"/>
  <c r="P170" i="2" s="1"/>
  <c r="O170" i="2"/>
  <c r="P114" i="2" a="1"/>
  <c r="P114" i="2" s="1"/>
  <c r="O114" i="2"/>
  <c r="P73" i="2" a="1"/>
  <c r="P73" i="2" s="1"/>
  <c r="O73" i="2"/>
  <c r="P93" i="2" a="1"/>
  <c r="P93" i="2" s="1"/>
  <c r="O93" i="2"/>
  <c r="P99" i="2" a="1"/>
  <c r="P99" i="2" s="1"/>
  <c r="O99" i="2"/>
  <c r="P87" i="2" a="1"/>
  <c r="P87" i="2" s="1"/>
  <c r="O87" i="2"/>
  <c r="P328" i="2" a="1"/>
  <c r="P328" i="2" s="1"/>
  <c r="O328" i="2"/>
  <c r="P325" i="2" a="1"/>
  <c r="P325" i="2" s="1"/>
  <c r="O325" i="2"/>
  <c r="P278" i="2" a="1"/>
  <c r="P278" i="2" s="1"/>
  <c r="O278" i="2"/>
  <c r="P214" i="2" a="1"/>
  <c r="P214" i="2" s="1"/>
  <c r="O214" i="2"/>
  <c r="P198" i="2" a="1"/>
  <c r="P198" i="2" s="1"/>
  <c r="O198" i="2"/>
  <c r="P217" i="2" a="1"/>
  <c r="P217" i="2" s="1"/>
  <c r="O217" i="2"/>
  <c r="P120" i="2" a="1"/>
  <c r="P120" i="2" s="1"/>
  <c r="O120" i="2"/>
  <c r="P160" i="2" a="1"/>
  <c r="P160" i="2" s="1"/>
  <c r="O160" i="2"/>
  <c r="P139" i="2" a="1"/>
  <c r="P139" i="2" s="1"/>
  <c r="O139" i="2"/>
  <c r="P167" i="2" a="1"/>
  <c r="P167" i="2" s="1"/>
  <c r="O167" i="2"/>
  <c r="P51" i="2" a="1"/>
  <c r="P51" i="2" s="1"/>
  <c r="O51" i="2"/>
  <c r="P84" i="2" a="1"/>
  <c r="P84" i="2" s="1"/>
  <c r="O84" i="2"/>
  <c r="P34" i="2" a="1"/>
  <c r="P34" i="2" s="1"/>
  <c r="O34" i="2"/>
  <c r="P94" i="2" a="1"/>
  <c r="P94" i="2" s="1"/>
  <c r="O94" i="2"/>
  <c r="P80" i="2" a="1"/>
  <c r="P80" i="2" s="1"/>
  <c r="O80" i="2"/>
  <c r="P75" i="2" a="1"/>
  <c r="P75" i="2" s="1"/>
  <c r="O75" i="2"/>
  <c r="P12" i="2" a="1"/>
  <c r="P12" i="2" s="1"/>
  <c r="O12" i="2"/>
  <c r="P363" i="2" a="1"/>
  <c r="P363" i="2" s="1"/>
  <c r="O363" i="2"/>
  <c r="P266" i="2" a="1"/>
  <c r="P266" i="2" s="1"/>
  <c r="O266" i="2"/>
  <c r="P228" i="2" a="1"/>
  <c r="P228" i="2" s="1"/>
  <c r="O228" i="2"/>
  <c r="P204" i="2" a="1"/>
  <c r="P204" i="2" s="1"/>
  <c r="O204" i="2"/>
  <c r="P187" i="2" a="1"/>
  <c r="P187" i="2" s="1"/>
  <c r="O187" i="2"/>
  <c r="P111" i="2" a="1"/>
  <c r="P111" i="2" s="1"/>
  <c r="O111" i="2"/>
  <c r="P157" i="2" a="1"/>
  <c r="P157" i="2" s="1"/>
  <c r="O157" i="2"/>
  <c r="P156" i="2" a="1"/>
  <c r="P156" i="2" s="1"/>
  <c r="O156" i="2"/>
  <c r="P164" i="2" a="1"/>
  <c r="P164" i="2" s="1"/>
  <c r="O164" i="2"/>
  <c r="P104" i="2" a="1"/>
  <c r="P104" i="2" s="1"/>
  <c r="O104" i="2"/>
  <c r="P69" i="2" a="1"/>
  <c r="P69" i="2" s="1"/>
  <c r="O69" i="2"/>
  <c r="P96" i="2" a="1"/>
  <c r="P96" i="2" s="1"/>
  <c r="O96" i="2"/>
  <c r="P56" i="2" a="1"/>
  <c r="P56" i="2" s="1"/>
  <c r="O56" i="2"/>
  <c r="P33" i="2" a="1"/>
  <c r="P33" i="2" s="1"/>
  <c r="O33" i="2"/>
  <c r="P6" i="2" a="1"/>
  <c r="P6" i="2" s="1"/>
  <c r="O6" i="2"/>
  <c r="P331" i="2" a="1"/>
  <c r="P331" i="2" s="1"/>
  <c r="O331" i="2"/>
  <c r="P367" i="2" a="1"/>
  <c r="P367" i="2" s="1"/>
  <c r="O367" i="2"/>
  <c r="P313" i="2" a="1"/>
  <c r="P313" i="2" s="1"/>
  <c r="O313" i="2"/>
  <c r="P320" i="2" a="1"/>
  <c r="P320" i="2" s="1"/>
  <c r="O320" i="2"/>
  <c r="P307" i="2" a="1"/>
  <c r="P307" i="2" s="1"/>
  <c r="O307" i="2"/>
  <c r="P210" i="2" a="1"/>
  <c r="P210" i="2" s="1"/>
  <c r="O210" i="2"/>
  <c r="P207" i="2" a="1"/>
  <c r="P207" i="2" s="1"/>
  <c r="O207" i="2"/>
  <c r="P211" i="2" a="1"/>
  <c r="P211" i="2" s="1"/>
  <c r="O211" i="2"/>
  <c r="P183" i="2" a="1"/>
  <c r="P183" i="2" s="1"/>
  <c r="O183" i="2"/>
  <c r="P155" i="2" a="1"/>
  <c r="P155" i="2" s="1"/>
  <c r="O155" i="2"/>
  <c r="P154" i="2" a="1"/>
  <c r="P154" i="2" s="1"/>
  <c r="O154" i="2"/>
  <c r="P98" i="2" a="1"/>
  <c r="P98" i="2" s="1"/>
  <c r="O98" i="2"/>
  <c r="P62" i="2" a="1"/>
  <c r="P62" i="2" s="1"/>
  <c r="O62" i="2"/>
  <c r="P64" i="2" a="1"/>
  <c r="P64" i="2" s="1"/>
  <c r="O64" i="2"/>
  <c r="P42" i="2" a="1"/>
  <c r="P42" i="2" s="1"/>
  <c r="O42" i="2"/>
  <c r="P92" i="2" a="1"/>
  <c r="P92" i="2" s="1"/>
  <c r="O92" i="2"/>
  <c r="P2" i="2" a="1"/>
  <c r="P2" i="2" s="1"/>
  <c r="O2" i="2"/>
  <c r="P9" i="2" a="1"/>
  <c r="P9" i="2" s="1"/>
  <c r="O9" i="2"/>
  <c r="P356" i="2" a="1"/>
  <c r="P356" i="2" s="1"/>
  <c r="O356" i="2"/>
  <c r="P366" i="2" a="1"/>
  <c r="P366" i="2" s="1"/>
  <c r="O366" i="2"/>
  <c r="P310" i="2" a="1"/>
  <c r="P310" i="2" s="1"/>
  <c r="O310" i="2"/>
  <c r="P200" i="2" a="1"/>
  <c r="P200" i="2" s="1"/>
  <c r="O200" i="2"/>
  <c r="P197" i="2" a="1"/>
  <c r="P197" i="2" s="1"/>
  <c r="O197" i="2"/>
  <c r="P184" i="2" a="1"/>
  <c r="P184" i="2" s="1"/>
  <c r="O184" i="2"/>
  <c r="P144" i="2" a="1"/>
  <c r="P144" i="2" s="1"/>
  <c r="O144" i="2"/>
  <c r="P67" i="2" a="1"/>
  <c r="P67" i="2" s="1"/>
  <c r="O67" i="2"/>
  <c r="P59" i="2" a="1"/>
  <c r="P59" i="2" s="1"/>
  <c r="O59" i="2"/>
  <c r="P57" i="2" a="1"/>
  <c r="P57" i="2" s="1"/>
  <c r="O57" i="2"/>
  <c r="P40" i="2" a="1"/>
  <c r="P40" i="2" s="1"/>
  <c r="O40" i="2"/>
  <c r="P79" i="2" a="1"/>
  <c r="P79" i="2" s="1"/>
  <c r="O79" i="2"/>
  <c r="P361" i="2" a="1"/>
  <c r="P361" i="2" s="1"/>
  <c r="O361" i="2"/>
  <c r="P308" i="2" a="1"/>
  <c r="P308" i="2" s="1"/>
  <c r="O308" i="2"/>
  <c r="P306" i="2" a="1"/>
  <c r="P306" i="2" s="1"/>
  <c r="O306" i="2"/>
  <c r="P319" i="2" a="1"/>
  <c r="P319" i="2" s="1"/>
  <c r="O319" i="2"/>
  <c r="P272" i="2" a="1"/>
  <c r="P272" i="2" s="1"/>
  <c r="O272" i="2"/>
  <c r="P190" i="2" a="1"/>
  <c r="P190" i="2" s="1"/>
  <c r="O190" i="2"/>
  <c r="P149" i="2" a="1"/>
  <c r="P149" i="2" s="1"/>
  <c r="O149" i="2"/>
  <c r="P136" i="2" a="1"/>
  <c r="P136" i="2" s="1"/>
  <c r="O136" i="2"/>
  <c r="P65" i="2" a="1"/>
  <c r="P65" i="2" s="1"/>
  <c r="O65" i="2"/>
  <c r="P43" i="2" a="1"/>
  <c r="P43" i="2" s="1"/>
  <c r="O43" i="2"/>
  <c r="P55" i="2" a="1"/>
  <c r="P55" i="2" s="1"/>
  <c r="O55" i="2"/>
  <c r="P38" i="2" a="1"/>
  <c r="P38" i="2" s="1"/>
  <c r="O38" i="2"/>
  <c r="P77" i="2" a="1"/>
  <c r="P77" i="2" s="1"/>
  <c r="O77" i="2"/>
  <c r="P362" i="2" a="1"/>
  <c r="P362" i="2" s="1"/>
  <c r="O362" i="2"/>
  <c r="P346" i="2" a="1"/>
  <c r="P346" i="2" s="1"/>
  <c r="O346" i="2"/>
  <c r="P301" i="2" a="1"/>
  <c r="P301" i="2" s="1"/>
  <c r="O301" i="2"/>
  <c r="P294" i="2" a="1"/>
  <c r="P294" i="2" s="1"/>
  <c r="O294" i="2"/>
  <c r="P243" i="2" a="1"/>
  <c r="P243" i="2" s="1"/>
  <c r="O243" i="2"/>
  <c r="P186" i="2" a="1"/>
  <c r="P186" i="2" s="1"/>
  <c r="O186" i="2"/>
  <c r="P194" i="2" a="1"/>
  <c r="P194" i="2" s="1"/>
  <c r="O194" i="2"/>
  <c r="P220" i="2" a="1"/>
  <c r="P220" i="2" s="1"/>
  <c r="O220" i="2"/>
  <c r="P229" i="2" a="1"/>
  <c r="P229" i="2" s="1"/>
  <c r="O229" i="2"/>
  <c r="P135" i="2" a="1"/>
  <c r="P135" i="2" s="1"/>
  <c r="O135" i="2"/>
  <c r="P142" i="2" a="1"/>
  <c r="P142" i="2" s="1"/>
  <c r="O142" i="2"/>
  <c r="P129" i="2" a="1"/>
  <c r="P129" i="2" s="1"/>
  <c r="O129" i="2"/>
  <c r="P63" i="2" a="1"/>
  <c r="P63" i="2" s="1"/>
  <c r="O63" i="2"/>
  <c r="P46" i="2" a="1"/>
  <c r="P46" i="2" s="1"/>
  <c r="O46" i="2"/>
  <c r="P66" i="2" a="1"/>
  <c r="P66" i="2" s="1"/>
  <c r="O66" i="2"/>
  <c r="P44" i="2" a="1"/>
  <c r="P44" i="2" s="1"/>
  <c r="O44" i="2"/>
  <c r="P54" i="2" a="1"/>
  <c r="P54" i="2" s="1"/>
  <c r="O54" i="2"/>
  <c r="P17" i="2" a="1"/>
  <c r="P17" i="2" s="1"/>
  <c r="O17" i="2"/>
  <c r="P21" i="2" a="1"/>
  <c r="P21" i="2" s="1"/>
  <c r="O21" i="2"/>
  <c r="P13" i="2" a="1"/>
  <c r="P13" i="2" s="1"/>
  <c r="O13" i="2"/>
  <c r="P355" i="2" a="1"/>
  <c r="P355" i="2" s="1"/>
  <c r="O355" i="2"/>
  <c r="P349" i="2" a="1"/>
  <c r="P349" i="2" s="1"/>
  <c r="O349" i="2"/>
  <c r="P342" i="2" a="1"/>
  <c r="P342" i="2" s="1"/>
  <c r="O342" i="2"/>
  <c r="P288" i="2" a="1"/>
  <c r="P288" i="2" s="1"/>
  <c r="O288" i="2"/>
  <c r="P298" i="2" a="1"/>
  <c r="P298" i="2" s="1"/>
  <c r="O298" i="2"/>
  <c r="P283" i="2" a="1"/>
  <c r="P283" i="2" s="1"/>
  <c r="O283" i="2"/>
  <c r="P237" i="2" a="1"/>
  <c r="P237" i="2" s="1"/>
  <c r="O237" i="2"/>
  <c r="P216" i="2" a="1"/>
  <c r="P216" i="2" s="1"/>
  <c r="O216" i="2"/>
  <c r="P213" i="2" a="1"/>
  <c r="P213" i="2" s="1"/>
  <c r="O213" i="2"/>
  <c r="P128" i="2" a="1"/>
  <c r="P128" i="2" s="1"/>
  <c r="O128" i="2"/>
  <c r="P132" i="2" a="1"/>
  <c r="P132" i="2" s="1"/>
  <c r="O132" i="2"/>
  <c r="P117" i="2" a="1"/>
  <c r="P117" i="2" s="1"/>
  <c r="O117" i="2"/>
  <c r="P130" i="2" a="1"/>
  <c r="P130" i="2" s="1"/>
  <c r="O130" i="2"/>
  <c r="P159" i="2" a="1"/>
  <c r="P159" i="2" s="1"/>
  <c r="O159" i="2"/>
  <c r="P31" i="2" a="1"/>
  <c r="P31" i="2" s="1"/>
  <c r="O31" i="2"/>
  <c r="P52" i="2" a="1"/>
  <c r="P52" i="2" s="1"/>
  <c r="O52" i="2"/>
  <c r="P27" i="2" a="1"/>
  <c r="P27" i="2" s="1"/>
  <c r="O27" i="2"/>
  <c r="P10" i="2" a="1"/>
  <c r="P10" i="2" s="1"/>
  <c r="O10" i="2"/>
  <c r="P3" i="2" a="1"/>
  <c r="P3" i="2" s="1"/>
  <c r="O3" i="2"/>
  <c r="P359" i="2" a="1"/>
  <c r="P359" i="2" s="1"/>
  <c r="O359" i="2"/>
  <c r="P345" i="2" a="1"/>
  <c r="P345" i="2" s="1"/>
  <c r="O345" i="2"/>
  <c r="P334" i="2" a="1"/>
  <c r="P334" i="2" s="1"/>
  <c r="O334" i="2"/>
  <c r="P292" i="2" a="1"/>
  <c r="P292" i="2" s="1"/>
  <c r="O292" i="2"/>
  <c r="P289" i="2" a="1"/>
  <c r="P289" i="2" s="1"/>
  <c r="O289" i="2"/>
  <c r="P290" i="2" a="1"/>
  <c r="P290" i="2" s="1"/>
  <c r="O290" i="2"/>
  <c r="O240" i="2"/>
  <c r="P240" i="2" a="1"/>
  <c r="P240" i="2" s="1"/>
  <c r="P232" i="2" a="1"/>
  <c r="P232" i="2" s="1"/>
  <c r="O232" i="2"/>
  <c r="P205" i="2" a="1"/>
  <c r="P205" i="2" s="1"/>
  <c r="O205" i="2"/>
  <c r="P202" i="2" a="1"/>
  <c r="P202" i="2" s="1"/>
  <c r="O202" i="2"/>
  <c r="P150" i="2" a="1"/>
  <c r="P150" i="2" s="1"/>
  <c r="O150" i="2"/>
  <c r="P126" i="2" a="1"/>
  <c r="P126" i="2" s="1"/>
  <c r="O126" i="2"/>
  <c r="P134" i="2" a="1"/>
  <c r="P134" i="2" s="1"/>
  <c r="O134" i="2"/>
  <c r="P95" i="2" a="1"/>
  <c r="P95" i="2" s="1"/>
  <c r="O95" i="2"/>
  <c r="P91" i="2" a="1"/>
  <c r="P91" i="2" s="1"/>
  <c r="O91" i="2"/>
  <c r="P19" i="2" a="1"/>
  <c r="P19" i="2" s="1"/>
  <c r="O19" i="2"/>
  <c r="P8" i="2" a="1"/>
  <c r="P8" i="2" s="1"/>
  <c r="O8" i="2"/>
  <c r="P365" i="2" a="1"/>
  <c r="P365" i="2" s="1"/>
  <c r="O365" i="2"/>
  <c r="P352" i="2" a="1"/>
  <c r="P352" i="2" s="1"/>
  <c r="O352" i="2"/>
  <c r="P337" i="2" a="1"/>
  <c r="P337" i="2" s="1"/>
  <c r="O337" i="2"/>
  <c r="P330" i="2" a="1"/>
  <c r="P330" i="2" s="1"/>
  <c r="O330" i="2"/>
  <c r="P323" i="2" a="1"/>
  <c r="P323" i="2" s="1"/>
  <c r="O323" i="2"/>
  <c r="P318" i="2" a="1"/>
  <c r="P318" i="2" s="1"/>
  <c r="O318" i="2"/>
  <c r="P234" i="2" a="1"/>
  <c r="P234" i="2" s="1"/>
  <c r="O234" i="2"/>
  <c r="P230" i="2" a="1"/>
  <c r="P230" i="2" s="1"/>
  <c r="O230" i="2"/>
  <c r="P235" i="2" a="1"/>
  <c r="P235" i="2" s="1"/>
  <c r="O235" i="2"/>
  <c r="P191" i="2" a="1"/>
  <c r="P191" i="2" s="1"/>
  <c r="O191" i="2"/>
  <c r="P195" i="2" a="1"/>
  <c r="P195" i="2" s="1"/>
  <c r="O195" i="2"/>
  <c r="P133" i="2" a="1"/>
  <c r="P133" i="2" s="1"/>
  <c r="O133" i="2"/>
  <c r="P58" i="2" a="1"/>
  <c r="P58" i="2" s="1"/>
  <c r="O58" i="2"/>
  <c r="P88" i="2" a="1"/>
  <c r="P88" i="2" s="1"/>
  <c r="O88" i="2"/>
  <c r="P4" i="2" a="1"/>
  <c r="P4" i="2" s="1"/>
  <c r="O4" i="2"/>
  <c r="O23" i="2"/>
  <c r="P23" i="2" a="1"/>
  <c r="P23" i="2" s="1"/>
  <c r="P348" i="2" a="1"/>
  <c r="P348" i="2" s="1"/>
  <c r="O348" i="2"/>
  <c r="P333" i="2" a="1"/>
  <c r="P333" i="2" s="1"/>
  <c r="O333" i="2"/>
  <c r="P354" i="2" a="1"/>
  <c r="P354" i="2" s="1"/>
  <c r="O354" i="2"/>
  <c r="P295" i="2" a="1"/>
  <c r="P295" i="2" s="1"/>
  <c r="O295" i="2"/>
  <c r="P314" i="2" a="1"/>
  <c r="P314" i="2" s="1"/>
  <c r="O314" i="2"/>
  <c r="P311" i="2" a="1"/>
  <c r="P311" i="2" s="1"/>
  <c r="O311" i="2"/>
  <c r="P206" i="2" a="1"/>
  <c r="P206" i="2" s="1"/>
  <c r="O206" i="2"/>
  <c r="P203" i="2" a="1"/>
  <c r="P203" i="2" s="1"/>
  <c r="O203" i="2"/>
  <c r="P241" i="2" a="1"/>
  <c r="P241" i="2" s="1"/>
  <c r="O241" i="2"/>
  <c r="P227" i="2" a="1"/>
  <c r="P227" i="2" s="1"/>
  <c r="O227" i="2"/>
  <c r="P169" i="2" a="1"/>
  <c r="P169" i="2" s="1"/>
  <c r="O169" i="2"/>
  <c r="P47" i="2" a="1"/>
  <c r="P47" i="2" s="1"/>
  <c r="O47" i="2"/>
  <c r="P86" i="2" a="1"/>
  <c r="P86" i="2" s="1"/>
  <c r="O86" i="2"/>
  <c r="P5" i="2" a="1"/>
  <c r="P5" i="2" s="1"/>
  <c r="O5" i="2"/>
  <c r="P20" i="2" a="1"/>
  <c r="P20" i="2" s="1"/>
  <c r="O20" i="2"/>
  <c r="P340" i="2" a="1"/>
  <c r="P340" i="2" s="1"/>
  <c r="O340" i="2"/>
  <c r="P364" i="2" a="1"/>
  <c r="P364" i="2" s="1"/>
  <c r="O364" i="2"/>
  <c r="P284" i="2" a="1"/>
  <c r="P284" i="2" s="1"/>
  <c r="O284" i="2"/>
  <c r="P302" i="2" a="1"/>
  <c r="P302" i="2" s="1"/>
  <c r="O302" i="2"/>
  <c r="P189" i="2" a="1"/>
  <c r="P189" i="2" s="1"/>
  <c r="O189" i="2"/>
  <c r="P193" i="2" a="1"/>
  <c r="P193" i="2" s="1"/>
  <c r="O193" i="2"/>
  <c r="P233" i="2" a="1"/>
  <c r="P233" i="2" s="1"/>
  <c r="O233" i="2"/>
  <c r="P225" i="2" a="1"/>
  <c r="P225" i="2" s="1"/>
  <c r="O225" i="2"/>
  <c r="P224" i="2" a="1"/>
  <c r="P224" i="2" s="1"/>
  <c r="O224" i="2"/>
  <c r="P145" i="2" a="1"/>
  <c r="P145" i="2" s="1"/>
  <c r="O145" i="2"/>
  <c r="P166" i="2" a="1"/>
  <c r="P166" i="2" s="1"/>
  <c r="O166" i="2"/>
  <c r="P143" i="2" a="1"/>
  <c r="P143" i="2" s="1"/>
  <c r="O143" i="2"/>
  <c r="P78" i="2" a="1"/>
  <c r="P78" i="2" s="1"/>
  <c r="O78" i="2"/>
  <c r="P48" i="2" a="1"/>
  <c r="P48" i="2" s="1"/>
  <c r="O48" i="2"/>
  <c r="P45" i="2" a="1"/>
  <c r="P45" i="2" s="1"/>
  <c r="O45" i="2"/>
  <c r="P26" i="2" a="1"/>
  <c r="P26" i="2" s="1"/>
  <c r="O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<sst xmlns="http://schemas.openxmlformats.org/spreadsheetml/2006/main" count="16" uniqueCount="16">
  <si>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DATE</t>
  </si>
  <si>
    <t>PM2.5</t>
  </si>
  <si>
    <t>PM10</t>
  </si>
  <si>
    <t>NO2</t>
  </si>
  <si>
    <t>SO2</t>
  </si>
  <si>
    <t>CO</t>
  </si>
  <si>
    <t>Ozone</t>
  </si>
  <si>
    <t>AQI_PM2.5</t>
  </si>
  <si>
    <t>AQI_PM10</t>
  </si>
  <si>
    <t>AQI_NO2</t>
  </si>
  <si>
    <t>AQI_SO2</t>
  </si>
  <si>
    <t>AQI_CO</t>
  </si>
  <si>
    <t>AQI_O3</t>
  </si>
  <si>
    <t>OVERALL_AQI</t>
  </si>
  <si>
    <t>CATEGORY</t>
  </si>
  <si>
    <t>DOMINAN_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</si>
</sst>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l\Desktop\EXCEL\AQI.xlsx" TargetMode="External"/><Relationship Id="rId1" Type="http://schemas.openxmlformats.org/officeDocument/2006/relationships/externalLinkPath" Target="/Users/scl/Desktop/EXCEL/AQ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URLY_DATA"/>
      <sheetName val="DAILY_DATA"/>
      <sheetName val="CALCULATIONS"/>
      <sheetName val="WORST_AQI"/>
      <sheetName val="BREAKPOINT"/>
      <sheetName val="MONTHLY_DATA"/>
      <sheetName val="GRAPHS"/>
    </sheetNames>
    <sheetDataSet>
      <sheetData sheetId="0">
        <row r="2">
          <cell r="B2">
            <v>37.9</v>
          </cell>
          <cell r="C2">
            <v>83.74</v>
          </cell>
          <cell r="D2">
            <v>18.670000000000002</v>
          </cell>
          <cell r="E2">
            <v>7.39</v>
          </cell>
          <cell r="H2">
            <v>45292</v>
          </cell>
          <cell r="I2">
            <v>0.56000000000000005</v>
          </cell>
          <cell r="J2">
            <v>28.69</v>
          </cell>
        </row>
        <row r="3">
          <cell r="B3">
            <v>46.54</v>
          </cell>
          <cell r="C3">
            <v>88.74</v>
          </cell>
          <cell r="D3">
            <v>18.57</v>
          </cell>
          <cell r="E3">
            <v>7.15</v>
          </cell>
          <cell r="H3">
            <v>45292</v>
          </cell>
          <cell r="I3">
            <v>0.57000000000000006</v>
          </cell>
          <cell r="J3">
            <v>28.774999999999999</v>
          </cell>
        </row>
        <row r="4">
          <cell r="B4">
            <v>43.62</v>
          </cell>
          <cell r="C4">
            <v>89.61</v>
          </cell>
          <cell r="D4">
            <v>18.079999999999998</v>
          </cell>
          <cell r="E4">
            <v>7.19</v>
          </cell>
          <cell r="H4">
            <v>45292</v>
          </cell>
          <cell r="I4">
            <v>0.55666666666666675</v>
          </cell>
          <cell r="J4">
            <v>28.28</v>
          </cell>
        </row>
        <row r="5">
          <cell r="B5">
            <v>40.39</v>
          </cell>
          <cell r="C5">
            <v>87.49</v>
          </cell>
          <cell r="D5">
            <v>17.96</v>
          </cell>
          <cell r="E5">
            <v>7.33</v>
          </cell>
          <cell r="H5">
            <v>45292</v>
          </cell>
          <cell r="I5">
            <v>0.55249999999999999</v>
          </cell>
          <cell r="J5">
            <v>28.4175</v>
          </cell>
        </row>
        <row r="6">
          <cell r="B6">
            <v>41.36</v>
          </cell>
          <cell r="C6">
            <v>87.18</v>
          </cell>
          <cell r="D6">
            <v>17.61</v>
          </cell>
          <cell r="E6">
            <v>7.52</v>
          </cell>
          <cell r="H6">
            <v>45292</v>
          </cell>
          <cell r="I6">
            <v>0.54800000000000004</v>
          </cell>
          <cell r="J6">
            <v>28.904000000000003</v>
          </cell>
        </row>
        <row r="7">
          <cell r="B7">
            <v>43.26</v>
          </cell>
          <cell r="C7">
            <v>83.84</v>
          </cell>
          <cell r="D7">
            <v>17.77</v>
          </cell>
          <cell r="E7">
            <v>8.4600000000000009</v>
          </cell>
          <cell r="H7">
            <v>45292</v>
          </cell>
          <cell r="I7">
            <v>0.54833333333333334</v>
          </cell>
          <cell r="J7">
            <v>29.138333333333335</v>
          </cell>
        </row>
        <row r="8">
          <cell r="B8">
            <v>48.65</v>
          </cell>
          <cell r="C8">
            <v>89.09</v>
          </cell>
          <cell r="D8">
            <v>18.010000000000002</v>
          </cell>
          <cell r="E8">
            <v>8.26</v>
          </cell>
          <cell r="H8">
            <v>45292</v>
          </cell>
          <cell r="I8">
            <v>0.55428571428571427</v>
          </cell>
          <cell r="J8">
            <v>29.104285714285716</v>
          </cell>
        </row>
        <row r="9">
          <cell r="B9">
            <v>53.38</v>
          </cell>
          <cell r="C9">
            <v>99.79</v>
          </cell>
          <cell r="D9">
            <v>18.27</v>
          </cell>
          <cell r="E9">
            <v>8.4600000000000009</v>
          </cell>
          <cell r="H9">
            <v>45292</v>
          </cell>
          <cell r="I9">
            <v>0.57499999999999996</v>
          </cell>
          <cell r="J9">
            <v>28.85125</v>
          </cell>
        </row>
        <row r="10">
          <cell r="B10">
            <v>53.36</v>
          </cell>
          <cell r="C10">
            <v>103.26</v>
          </cell>
          <cell r="D10">
            <v>18.36</v>
          </cell>
          <cell r="E10">
            <v>8.1199999999999992</v>
          </cell>
          <cell r="H10">
            <v>45292</v>
          </cell>
          <cell r="I10">
            <v>0.59111111111111103</v>
          </cell>
          <cell r="J10">
            <v>28.914444444444445</v>
          </cell>
        </row>
        <row r="11">
          <cell r="B11">
            <v>46.07</v>
          </cell>
          <cell r="C11">
            <v>98.94</v>
          </cell>
          <cell r="D11">
            <v>18.18</v>
          </cell>
          <cell r="E11">
            <v>7.83</v>
          </cell>
          <cell r="H11">
            <v>45292</v>
          </cell>
          <cell r="I11">
            <v>0.61222222222222211</v>
          </cell>
          <cell r="J11">
            <v>29.484444444444446</v>
          </cell>
        </row>
        <row r="12">
          <cell r="B12">
            <v>42.11</v>
          </cell>
          <cell r="C12">
            <v>95.29</v>
          </cell>
          <cell r="D12">
            <v>17.75</v>
          </cell>
          <cell r="E12">
            <v>7.86</v>
          </cell>
          <cell r="H12">
            <v>45292</v>
          </cell>
          <cell r="I12">
            <v>0.64</v>
          </cell>
          <cell r="J12">
            <v>30.424444444444443</v>
          </cell>
        </row>
        <row r="13">
          <cell r="B13">
            <v>40.86</v>
          </cell>
          <cell r="C13">
            <v>92.24</v>
          </cell>
          <cell r="D13">
            <v>17.850000000000001</v>
          </cell>
          <cell r="E13">
            <v>8.66</v>
          </cell>
          <cell r="H13">
            <v>45292</v>
          </cell>
          <cell r="I13">
            <v>0.64999999999999991</v>
          </cell>
          <cell r="J13">
            <v>32.518888888888881</v>
          </cell>
        </row>
        <row r="14">
          <cell r="B14">
            <v>36.979999999999997</v>
          </cell>
          <cell r="C14">
            <v>83.77</v>
          </cell>
          <cell r="D14">
            <v>16.75</v>
          </cell>
          <cell r="E14">
            <v>8.16</v>
          </cell>
          <cell r="H14">
            <v>45292</v>
          </cell>
          <cell r="I14">
            <v>0.6677777777777778</v>
          </cell>
          <cell r="J14">
            <v>34.588888888888881</v>
          </cell>
        </row>
        <row r="15">
          <cell r="B15">
            <v>35.53</v>
          </cell>
          <cell r="C15">
            <v>78.98</v>
          </cell>
          <cell r="D15">
            <v>17.079999999999998</v>
          </cell>
          <cell r="E15">
            <v>8.19</v>
          </cell>
          <cell r="H15">
            <v>45292</v>
          </cell>
          <cell r="I15">
            <v>0.67444444444444451</v>
          </cell>
          <cell r="J15">
            <v>36.348888888888887</v>
          </cell>
        </row>
        <row r="16">
          <cell r="B16">
            <v>34.44</v>
          </cell>
          <cell r="C16">
            <v>77.19</v>
          </cell>
          <cell r="D16">
            <v>16.98</v>
          </cell>
          <cell r="E16">
            <v>7.94</v>
          </cell>
          <cell r="H16">
            <v>45292</v>
          </cell>
          <cell r="I16">
            <v>0.67777777777777781</v>
          </cell>
          <cell r="J16">
            <v>38.318888888888893</v>
          </cell>
        </row>
        <row r="17">
          <cell r="B17">
            <v>33.82</v>
          </cell>
          <cell r="C17">
            <v>72.73</v>
          </cell>
          <cell r="D17">
            <v>17.14</v>
          </cell>
          <cell r="E17">
            <v>7.95</v>
          </cell>
          <cell r="H17">
            <v>45292</v>
          </cell>
          <cell r="I17">
            <v>0.67888888888888888</v>
          </cell>
          <cell r="J17">
            <v>40.36666666666666</v>
          </cell>
        </row>
        <row r="18">
          <cell r="B18">
            <v>35.869999999999997</v>
          </cell>
          <cell r="C18">
            <v>71.84</v>
          </cell>
          <cell r="D18">
            <v>16.7</v>
          </cell>
          <cell r="E18">
            <v>7.84</v>
          </cell>
          <cell r="H18">
            <v>45292</v>
          </cell>
          <cell r="I18">
            <v>0.66999999999999993</v>
          </cell>
          <cell r="J18">
            <v>42.038888888888884</v>
          </cell>
        </row>
        <row r="19">
          <cell r="B19">
            <v>32.83</v>
          </cell>
          <cell r="C19">
            <v>75.75</v>
          </cell>
          <cell r="D19">
            <v>18.27</v>
          </cell>
          <cell r="E19">
            <v>8.26</v>
          </cell>
          <cell r="H19">
            <v>45292</v>
          </cell>
          <cell r="I19">
            <v>0.66888888888888887</v>
          </cell>
          <cell r="J19">
            <v>42.615555555555559</v>
          </cell>
        </row>
        <row r="20">
          <cell r="B20">
            <v>41.5</v>
          </cell>
          <cell r="C20">
            <v>86.27</v>
          </cell>
          <cell r="D20">
            <v>19.329999999999998</v>
          </cell>
          <cell r="E20">
            <v>7.9</v>
          </cell>
          <cell r="H20">
            <v>45292</v>
          </cell>
          <cell r="I20">
            <v>0.66888888888888887</v>
          </cell>
          <cell r="J20">
            <v>42.302222222222227</v>
          </cell>
        </row>
        <row r="21">
          <cell r="B21">
            <v>45.88</v>
          </cell>
          <cell r="C21">
            <v>97.02</v>
          </cell>
          <cell r="D21">
            <v>19.71</v>
          </cell>
          <cell r="E21">
            <v>8.5299999999999994</v>
          </cell>
          <cell r="H21">
            <v>45292</v>
          </cell>
          <cell r="I21">
            <v>0.66555555555555546</v>
          </cell>
          <cell r="J21">
            <v>41.341111111111111</v>
          </cell>
        </row>
        <row r="22">
          <cell r="B22">
            <v>47.19</v>
          </cell>
          <cell r="C22">
            <v>102.54</v>
          </cell>
          <cell r="D22">
            <v>19.399999999999999</v>
          </cell>
          <cell r="E22">
            <v>8.2899999999999991</v>
          </cell>
          <cell r="H22">
            <v>45292</v>
          </cell>
          <cell r="I22">
            <v>0.67555555555555558</v>
          </cell>
          <cell r="J22">
            <v>39.538888888888891</v>
          </cell>
        </row>
        <row r="23">
          <cell r="B23">
            <v>46.01</v>
          </cell>
          <cell r="C23">
            <v>95.04</v>
          </cell>
          <cell r="D23">
            <v>18.7</v>
          </cell>
          <cell r="E23">
            <v>7.94</v>
          </cell>
          <cell r="H23">
            <v>45292</v>
          </cell>
          <cell r="I23">
            <v>0.66333333333333333</v>
          </cell>
          <cell r="J23">
            <v>37.818888888888893</v>
          </cell>
        </row>
        <row r="24">
          <cell r="B24">
            <v>43.07</v>
          </cell>
          <cell r="C24">
            <v>84.51</v>
          </cell>
          <cell r="D24">
            <v>18.36</v>
          </cell>
          <cell r="E24">
            <v>8.17</v>
          </cell>
          <cell r="H24">
            <v>45292</v>
          </cell>
          <cell r="I24">
            <v>0.65999999999999992</v>
          </cell>
          <cell r="J24">
            <v>36.180000000000007</v>
          </cell>
        </row>
        <row r="25">
          <cell r="B25">
            <v>37.270000000000003</v>
          </cell>
          <cell r="C25">
            <v>81.72</v>
          </cell>
          <cell r="D25">
            <v>18.11</v>
          </cell>
          <cell r="E25">
            <v>7.53</v>
          </cell>
          <cell r="H25">
            <v>45292</v>
          </cell>
          <cell r="I25">
            <v>0.65444444444444438</v>
          </cell>
          <cell r="J25">
            <v>34.404444444444451</v>
          </cell>
        </row>
        <row r="26">
          <cell r="B26">
            <v>38.11</v>
          </cell>
          <cell r="C26">
            <v>80.260000000000005</v>
          </cell>
          <cell r="D26">
            <v>18.23</v>
          </cell>
          <cell r="E26">
            <v>7.6</v>
          </cell>
          <cell r="H26">
            <v>45293</v>
          </cell>
          <cell r="I26">
            <v>0.64888888888888885</v>
          </cell>
          <cell r="J26">
            <v>32.701111111111118</v>
          </cell>
        </row>
        <row r="27">
          <cell r="B27">
            <v>38.840000000000003</v>
          </cell>
          <cell r="C27">
            <v>82.65</v>
          </cell>
          <cell r="D27">
            <v>17.82</v>
          </cell>
          <cell r="E27">
            <v>7.47</v>
          </cell>
          <cell r="H27">
            <v>45293</v>
          </cell>
          <cell r="I27">
            <v>0.64111111111111108</v>
          </cell>
          <cell r="J27">
            <v>31.596666666666668</v>
          </cell>
        </row>
        <row r="28">
          <cell r="B28">
            <v>42.34</v>
          </cell>
          <cell r="C28">
            <v>86.48</v>
          </cell>
          <cell r="D28">
            <v>17.89</v>
          </cell>
          <cell r="E28">
            <v>7.23</v>
          </cell>
          <cell r="H28">
            <v>45293</v>
          </cell>
          <cell r="I28">
            <v>0.62333333333333329</v>
          </cell>
          <cell r="J28">
            <v>31.512222222222224</v>
          </cell>
        </row>
        <row r="29">
          <cell r="B29">
            <v>44.98</v>
          </cell>
          <cell r="C29">
            <v>88.5</v>
          </cell>
          <cell r="D29">
            <v>17.78</v>
          </cell>
          <cell r="E29">
            <v>7.67</v>
          </cell>
          <cell r="H29">
            <v>45293</v>
          </cell>
          <cell r="I29">
            <v>0.59777777777777785</v>
          </cell>
          <cell r="J29">
            <v>31.937777777777779</v>
          </cell>
        </row>
        <row r="30">
          <cell r="B30">
            <v>50</v>
          </cell>
          <cell r="C30">
            <v>91.35</v>
          </cell>
          <cell r="D30">
            <v>17.87</v>
          </cell>
          <cell r="E30">
            <v>7.54</v>
          </cell>
          <cell r="H30">
            <v>45293</v>
          </cell>
          <cell r="I30">
            <v>0.56888888888888889</v>
          </cell>
          <cell r="J30">
            <v>32.64</v>
          </cell>
        </row>
        <row r="31">
          <cell r="B31">
            <v>53.02</v>
          </cell>
          <cell r="C31">
            <v>93.36</v>
          </cell>
          <cell r="D31">
            <v>18.02</v>
          </cell>
          <cell r="E31">
            <v>8.18</v>
          </cell>
          <cell r="H31">
            <v>45293</v>
          </cell>
          <cell r="I31">
            <v>0.55222222222222228</v>
          </cell>
          <cell r="J31">
            <v>33.226666666666667</v>
          </cell>
        </row>
        <row r="32">
          <cell r="B32">
            <v>47.43</v>
          </cell>
          <cell r="C32">
            <v>94</v>
          </cell>
          <cell r="D32">
            <v>18.38</v>
          </cell>
          <cell r="E32">
            <v>8.18</v>
          </cell>
          <cell r="H32">
            <v>45293</v>
          </cell>
          <cell r="I32">
            <v>0.55333333333333323</v>
          </cell>
          <cell r="J32">
            <v>33.463333333333338</v>
          </cell>
        </row>
        <row r="33">
          <cell r="B33">
            <v>47.5</v>
          </cell>
          <cell r="C33">
            <v>99.48</v>
          </cell>
          <cell r="D33">
            <v>18.48</v>
          </cell>
          <cell r="E33">
            <v>9.08</v>
          </cell>
          <cell r="H33">
            <v>45293</v>
          </cell>
          <cell r="I33">
            <v>0.56444444444444442</v>
          </cell>
          <cell r="J33">
            <v>33.536666666666669</v>
          </cell>
        </row>
        <row r="34">
          <cell r="B34">
            <v>50.33</v>
          </cell>
          <cell r="C34">
            <v>105.28</v>
          </cell>
          <cell r="D34">
            <v>18.96</v>
          </cell>
          <cell r="E34">
            <v>8.93</v>
          </cell>
          <cell r="H34">
            <v>45293</v>
          </cell>
          <cell r="I34">
            <v>0.59555555555555573</v>
          </cell>
          <cell r="J34">
            <v>33.680000000000007</v>
          </cell>
        </row>
        <row r="35">
          <cell r="B35">
            <v>48.89</v>
          </cell>
          <cell r="C35">
            <v>103.13</v>
          </cell>
          <cell r="D35">
            <v>18.95</v>
          </cell>
          <cell r="E35">
            <v>7.9</v>
          </cell>
          <cell r="H35">
            <v>45293</v>
          </cell>
          <cell r="I35">
            <v>0.63111111111111118</v>
          </cell>
          <cell r="J35">
            <v>33.904444444444444</v>
          </cell>
        </row>
        <row r="36">
          <cell r="B36">
            <v>51.63</v>
          </cell>
          <cell r="C36">
            <v>103.81</v>
          </cell>
          <cell r="D36">
            <v>19.03</v>
          </cell>
          <cell r="E36">
            <v>7.7</v>
          </cell>
          <cell r="H36">
            <v>45293</v>
          </cell>
          <cell r="I36">
            <v>0.67222222222222228</v>
          </cell>
          <cell r="J36">
            <v>34.247777777777777</v>
          </cell>
        </row>
        <row r="37">
          <cell r="B37">
            <v>48.09</v>
          </cell>
          <cell r="C37">
            <v>103.05</v>
          </cell>
          <cell r="D37">
            <v>18.13</v>
          </cell>
          <cell r="E37">
            <v>7.82</v>
          </cell>
          <cell r="H37">
            <v>45293</v>
          </cell>
          <cell r="I37">
            <v>0.68777777777777771</v>
          </cell>
          <cell r="J37">
            <v>35.090000000000003</v>
          </cell>
        </row>
        <row r="38">
          <cell r="B38">
            <v>50.03</v>
          </cell>
          <cell r="C38">
            <v>100.54</v>
          </cell>
          <cell r="D38">
            <v>17.920000000000002</v>
          </cell>
          <cell r="E38">
            <v>7.77</v>
          </cell>
          <cell r="H38">
            <v>45293</v>
          </cell>
          <cell r="I38">
            <v>0.69666666666666666</v>
          </cell>
          <cell r="J38">
            <v>36.494444444444447</v>
          </cell>
        </row>
        <row r="39">
          <cell r="B39">
            <v>46.28</v>
          </cell>
          <cell r="C39">
            <v>96.14</v>
          </cell>
          <cell r="D39">
            <v>17.62</v>
          </cell>
          <cell r="E39">
            <v>7.41</v>
          </cell>
          <cell r="H39">
            <v>45293</v>
          </cell>
          <cell r="I39">
            <v>0.71333333333333337</v>
          </cell>
          <cell r="J39">
            <v>37.630000000000003</v>
          </cell>
        </row>
        <row r="40">
          <cell r="B40">
            <v>47.06</v>
          </cell>
          <cell r="C40">
            <v>91.14</v>
          </cell>
          <cell r="D40">
            <v>17.27</v>
          </cell>
          <cell r="E40">
            <v>7.14</v>
          </cell>
          <cell r="H40">
            <v>45293</v>
          </cell>
          <cell r="I40">
            <v>0.7222222222222221</v>
          </cell>
          <cell r="J40">
            <v>38.61888888888889</v>
          </cell>
        </row>
        <row r="41">
          <cell r="B41">
            <v>42.52</v>
          </cell>
          <cell r="C41">
            <v>91.58</v>
          </cell>
          <cell r="D41">
            <v>17.71</v>
          </cell>
          <cell r="E41">
            <v>7.31</v>
          </cell>
          <cell r="H41">
            <v>45293</v>
          </cell>
          <cell r="I41">
            <v>0.72333333333333327</v>
          </cell>
          <cell r="J41">
            <v>39.433333333333337</v>
          </cell>
        </row>
        <row r="42">
          <cell r="B42">
            <v>40.07</v>
          </cell>
          <cell r="C42">
            <v>89.42</v>
          </cell>
          <cell r="D42">
            <v>17.37</v>
          </cell>
          <cell r="E42">
            <v>7.22</v>
          </cell>
          <cell r="H42">
            <v>45293</v>
          </cell>
          <cell r="I42">
            <v>0.72444444444444445</v>
          </cell>
          <cell r="J42">
            <v>40.242222222222225</v>
          </cell>
        </row>
        <row r="43">
          <cell r="B43">
            <v>40.909999999999997</v>
          </cell>
          <cell r="C43">
            <v>90.56</v>
          </cell>
          <cell r="D43">
            <v>18.39</v>
          </cell>
          <cell r="E43">
            <v>6.81</v>
          </cell>
          <cell r="H43">
            <v>45293</v>
          </cell>
          <cell r="I43">
            <v>0.71111111111111114</v>
          </cell>
          <cell r="J43">
            <v>40.212222222222223</v>
          </cell>
        </row>
        <row r="44">
          <cell r="B44">
            <v>39.83</v>
          </cell>
          <cell r="C44">
            <v>102.63</v>
          </cell>
          <cell r="D44">
            <v>19.02</v>
          </cell>
          <cell r="E44">
            <v>7.12</v>
          </cell>
          <cell r="H44">
            <v>45293</v>
          </cell>
          <cell r="I44">
            <v>0.71333333333333326</v>
          </cell>
          <cell r="J44">
            <v>39.547777777777782</v>
          </cell>
        </row>
        <row r="45">
          <cell r="B45">
            <v>44.3</v>
          </cell>
          <cell r="C45">
            <v>112.86</v>
          </cell>
          <cell r="D45">
            <v>18.329999999999998</v>
          </cell>
          <cell r="E45">
            <v>7.48</v>
          </cell>
          <cell r="H45">
            <v>45293</v>
          </cell>
          <cell r="I45">
            <v>0.68555555555555558</v>
          </cell>
          <cell r="J45">
            <v>39.016666666666673</v>
          </cell>
        </row>
        <row r="46">
          <cell r="B46">
            <v>45.57</v>
          </cell>
          <cell r="C46">
            <v>105.78</v>
          </cell>
          <cell r="D46">
            <v>17.95</v>
          </cell>
          <cell r="E46">
            <v>6.66</v>
          </cell>
          <cell r="H46">
            <v>45293</v>
          </cell>
          <cell r="I46">
            <v>0.68555555555555558</v>
          </cell>
          <cell r="J46">
            <v>37.814444444444447</v>
          </cell>
        </row>
        <row r="47">
          <cell r="B47">
            <v>42.58</v>
          </cell>
          <cell r="C47">
            <v>101.1</v>
          </cell>
          <cell r="D47">
            <v>17.579999999999998</v>
          </cell>
          <cell r="E47">
            <v>6.64</v>
          </cell>
          <cell r="H47">
            <v>45293</v>
          </cell>
          <cell r="I47">
            <v>0.6877777777777776</v>
          </cell>
          <cell r="J47">
            <v>36.075555555555553</v>
          </cell>
        </row>
        <row r="48">
          <cell r="B48">
            <v>39.42</v>
          </cell>
          <cell r="C48">
            <v>94.63</v>
          </cell>
          <cell r="D48">
            <v>17.239999999999998</v>
          </cell>
          <cell r="E48">
            <v>6.46</v>
          </cell>
          <cell r="H48">
            <v>45293</v>
          </cell>
          <cell r="I48">
            <v>0.6744444444444444</v>
          </cell>
          <cell r="J48">
            <v>34.606666666666662</v>
          </cell>
        </row>
        <row r="49">
          <cell r="B49">
            <v>37.590000000000003</v>
          </cell>
          <cell r="C49">
            <v>93.87</v>
          </cell>
          <cell r="D49">
            <v>17.13</v>
          </cell>
          <cell r="E49">
            <v>6.13</v>
          </cell>
          <cell r="H49">
            <v>45293</v>
          </cell>
          <cell r="I49">
            <v>0.66222222222222227</v>
          </cell>
          <cell r="J49">
            <v>33.00222222222223</v>
          </cell>
        </row>
        <row r="50">
          <cell r="B50">
            <v>41.16</v>
          </cell>
          <cell r="C50">
            <v>93.39</v>
          </cell>
          <cell r="D50">
            <v>16.62</v>
          </cell>
          <cell r="E50">
            <v>5.98</v>
          </cell>
          <cell r="H50">
            <v>45294</v>
          </cell>
          <cell r="I50">
            <v>0.65</v>
          </cell>
          <cell r="J50">
            <v>32.193333333333335</v>
          </cell>
        </row>
        <row r="51">
          <cell r="B51">
            <v>43.08</v>
          </cell>
          <cell r="C51">
            <v>90.81</v>
          </cell>
          <cell r="D51">
            <v>16.809999999999999</v>
          </cell>
          <cell r="E51">
            <v>6.58</v>
          </cell>
          <cell r="H51">
            <v>45294</v>
          </cell>
          <cell r="I51">
            <v>0.63333333333333341</v>
          </cell>
          <cell r="J51">
            <v>31.695555555555554</v>
          </cell>
        </row>
        <row r="52">
          <cell r="B52">
            <v>41.91</v>
          </cell>
          <cell r="C52">
            <v>90.85</v>
          </cell>
          <cell r="D52">
            <v>16.899999999999999</v>
          </cell>
          <cell r="E52">
            <v>6.98</v>
          </cell>
          <cell r="H52">
            <v>45294</v>
          </cell>
          <cell r="I52">
            <v>0.62</v>
          </cell>
          <cell r="J52">
            <v>32.092222222222219</v>
          </cell>
        </row>
        <row r="53">
          <cell r="B53">
            <v>42.44</v>
          </cell>
          <cell r="C53">
            <v>93.91</v>
          </cell>
          <cell r="D53">
            <v>16.84</v>
          </cell>
          <cell r="E53">
            <v>7.05</v>
          </cell>
          <cell r="H53">
            <v>45294</v>
          </cell>
          <cell r="I53">
            <v>0.57999999999999996</v>
          </cell>
          <cell r="J53">
            <v>33.17</v>
          </cell>
        </row>
        <row r="54">
          <cell r="B54">
            <v>46</v>
          </cell>
          <cell r="C54">
            <v>94.93</v>
          </cell>
          <cell r="D54">
            <v>17.03</v>
          </cell>
          <cell r="E54">
            <v>7.13</v>
          </cell>
          <cell r="H54">
            <v>45294</v>
          </cell>
          <cell r="I54">
            <v>0.55777777777777782</v>
          </cell>
          <cell r="J54">
            <v>33.862222222222229</v>
          </cell>
        </row>
        <row r="55">
          <cell r="B55">
            <v>47.09</v>
          </cell>
          <cell r="C55">
            <v>95.14</v>
          </cell>
          <cell r="D55">
            <v>17</v>
          </cell>
          <cell r="E55">
            <v>7.45</v>
          </cell>
          <cell r="H55">
            <v>45294</v>
          </cell>
          <cell r="I55">
            <v>0.54444444444444451</v>
          </cell>
          <cell r="J55">
            <v>34.483333333333334</v>
          </cell>
        </row>
        <row r="56">
          <cell r="B56">
            <v>48.18</v>
          </cell>
          <cell r="C56">
            <v>98.58</v>
          </cell>
          <cell r="D56">
            <v>17.2</v>
          </cell>
          <cell r="E56">
            <v>7.52</v>
          </cell>
          <cell r="H56">
            <v>45294</v>
          </cell>
          <cell r="I56">
            <v>0.54</v>
          </cell>
          <cell r="J56">
            <v>34.765555555555558</v>
          </cell>
        </row>
        <row r="57">
          <cell r="B57">
            <v>48.17</v>
          </cell>
          <cell r="C57">
            <v>101.95</v>
          </cell>
          <cell r="D57">
            <v>17.59</v>
          </cell>
          <cell r="E57">
            <v>8</v>
          </cell>
          <cell r="H57">
            <v>45294</v>
          </cell>
          <cell r="I57">
            <v>0.54555555555555557</v>
          </cell>
          <cell r="J57">
            <v>34.88666666666667</v>
          </cell>
        </row>
        <row r="58">
          <cell r="B58">
            <v>49.41</v>
          </cell>
          <cell r="C58">
            <v>101.85</v>
          </cell>
          <cell r="D58">
            <v>17.89</v>
          </cell>
          <cell r="E58">
            <v>7.83</v>
          </cell>
          <cell r="H58">
            <v>45294</v>
          </cell>
          <cell r="I58">
            <v>0.55888888888888888</v>
          </cell>
          <cell r="J58">
            <v>35.266666666666666</v>
          </cell>
        </row>
        <row r="59">
          <cell r="B59">
            <v>50.62</v>
          </cell>
          <cell r="C59">
            <v>100.13</v>
          </cell>
          <cell r="D59">
            <v>18</v>
          </cell>
          <cell r="E59">
            <v>7.83</v>
          </cell>
          <cell r="H59">
            <v>45294</v>
          </cell>
          <cell r="I59">
            <v>0.58777777777777773</v>
          </cell>
          <cell r="J59">
            <v>35.357777777777777</v>
          </cell>
        </row>
        <row r="60">
          <cell r="B60">
            <v>47.39</v>
          </cell>
          <cell r="C60">
            <v>102.21</v>
          </cell>
          <cell r="D60">
            <v>17.64</v>
          </cell>
          <cell r="E60">
            <v>8.18</v>
          </cell>
          <cell r="H60">
            <v>45294</v>
          </cell>
          <cell r="I60">
            <v>0.62444444444444447</v>
          </cell>
          <cell r="J60">
            <v>35.841111111111111</v>
          </cell>
        </row>
        <row r="61">
          <cell r="B61">
            <v>45.65</v>
          </cell>
          <cell r="C61">
            <v>97</v>
          </cell>
          <cell r="D61">
            <v>17.7</v>
          </cell>
          <cell r="E61">
            <v>7.82</v>
          </cell>
          <cell r="H61">
            <v>45294</v>
          </cell>
          <cell r="I61">
            <v>0.62777777777777777</v>
          </cell>
          <cell r="J61">
            <v>36.466666666666661</v>
          </cell>
        </row>
        <row r="62">
          <cell r="B62">
            <v>44.44</v>
          </cell>
          <cell r="C62">
            <v>101.32</v>
          </cell>
          <cell r="D62">
            <v>18</v>
          </cell>
          <cell r="E62">
            <v>7.3</v>
          </cell>
          <cell r="H62">
            <v>45294</v>
          </cell>
          <cell r="I62">
            <v>0.63444444444444437</v>
          </cell>
          <cell r="J62">
            <v>38.023333333333333</v>
          </cell>
        </row>
        <row r="63">
          <cell r="B63">
            <v>40.42</v>
          </cell>
          <cell r="C63">
            <v>96.76</v>
          </cell>
          <cell r="D63">
            <v>18.05</v>
          </cell>
          <cell r="E63">
            <v>8.16</v>
          </cell>
          <cell r="H63">
            <v>45294</v>
          </cell>
          <cell r="I63">
            <v>0.64555555555555544</v>
          </cell>
          <cell r="J63">
            <v>39.601111111111116</v>
          </cell>
        </row>
        <row r="64">
          <cell r="B64">
            <v>41.22</v>
          </cell>
          <cell r="C64">
            <v>86.95</v>
          </cell>
          <cell r="D64">
            <v>18.11</v>
          </cell>
          <cell r="E64">
            <v>7.76</v>
          </cell>
          <cell r="H64">
            <v>45294</v>
          </cell>
          <cell r="I64">
            <v>0.6511111111111112</v>
          </cell>
          <cell r="J64">
            <v>40.467777777777776</v>
          </cell>
        </row>
        <row r="65">
          <cell r="B65">
            <v>39.01</v>
          </cell>
          <cell r="C65">
            <v>90.9</v>
          </cell>
          <cell r="D65">
            <v>18.11</v>
          </cell>
          <cell r="E65">
            <v>7.82</v>
          </cell>
          <cell r="H65">
            <v>45294</v>
          </cell>
          <cell r="I65">
            <v>0.65777777777777779</v>
          </cell>
          <cell r="J65">
            <v>40.961111111111109</v>
          </cell>
        </row>
        <row r="66">
          <cell r="B66">
            <v>41.91</v>
          </cell>
          <cell r="C66">
            <v>94.09</v>
          </cell>
          <cell r="D66">
            <v>18.64</v>
          </cell>
          <cell r="E66">
            <v>8.0500000000000007</v>
          </cell>
          <cell r="H66">
            <v>45294</v>
          </cell>
          <cell r="I66">
            <v>0.66222222222222227</v>
          </cell>
          <cell r="J66">
            <v>41.63</v>
          </cell>
        </row>
        <row r="67">
          <cell r="B67">
            <v>42.21</v>
          </cell>
          <cell r="C67">
            <v>99.69</v>
          </cell>
          <cell r="D67">
            <v>19.3</v>
          </cell>
          <cell r="E67">
            <v>9.07</v>
          </cell>
          <cell r="H67">
            <v>45294</v>
          </cell>
          <cell r="I67">
            <v>0.66999999999999993</v>
          </cell>
          <cell r="J67">
            <v>41.696666666666673</v>
          </cell>
        </row>
        <row r="68">
          <cell r="B68">
            <v>43.33</v>
          </cell>
          <cell r="C68">
            <v>99.99</v>
          </cell>
          <cell r="D68">
            <v>19.899999999999999</v>
          </cell>
          <cell r="E68">
            <v>8.7799999999999994</v>
          </cell>
          <cell r="H68">
            <v>45294</v>
          </cell>
          <cell r="I68">
            <v>0.66999999999999993</v>
          </cell>
          <cell r="J68">
            <v>40.662222222222226</v>
          </cell>
        </row>
        <row r="69">
          <cell r="B69">
            <v>40.47</v>
          </cell>
          <cell r="C69">
            <v>97.96</v>
          </cell>
          <cell r="D69">
            <v>20.28</v>
          </cell>
          <cell r="E69">
            <v>8.42</v>
          </cell>
          <cell r="H69">
            <v>45294</v>
          </cell>
          <cell r="I69">
            <v>0.65777777777777779</v>
          </cell>
          <cell r="J69">
            <v>39.501111111111115</v>
          </cell>
        </row>
        <row r="70">
          <cell r="B70">
            <v>40.26</v>
          </cell>
          <cell r="C70">
            <v>96.82</v>
          </cell>
          <cell r="D70">
            <v>19.559999999999999</v>
          </cell>
          <cell r="E70">
            <v>7.84</v>
          </cell>
          <cell r="H70">
            <v>45294</v>
          </cell>
          <cell r="I70">
            <v>0.66333333333333344</v>
          </cell>
          <cell r="J70">
            <v>38.380000000000003</v>
          </cell>
        </row>
        <row r="71">
          <cell r="B71">
            <v>39.04</v>
          </cell>
          <cell r="C71">
            <v>93.86</v>
          </cell>
          <cell r="D71">
            <v>19.46</v>
          </cell>
          <cell r="E71">
            <v>8.25</v>
          </cell>
          <cell r="H71">
            <v>45294</v>
          </cell>
          <cell r="I71">
            <v>0.66555555555555568</v>
          </cell>
          <cell r="J71">
            <v>36.466666666666669</v>
          </cell>
        </row>
        <row r="72">
          <cell r="B72">
            <v>42.25</v>
          </cell>
          <cell r="C72">
            <v>92.85</v>
          </cell>
          <cell r="D72">
            <v>19.149999999999999</v>
          </cell>
          <cell r="E72">
            <v>7.95</v>
          </cell>
          <cell r="H72">
            <v>45294</v>
          </cell>
          <cell r="I72">
            <v>0.66222222222222227</v>
          </cell>
          <cell r="J72">
            <v>34.833333333333336</v>
          </cell>
        </row>
        <row r="73">
          <cell r="B73">
            <v>45.46</v>
          </cell>
          <cell r="C73">
            <v>95.58</v>
          </cell>
          <cell r="D73">
            <v>18.7</v>
          </cell>
          <cell r="E73">
            <v>7.91</v>
          </cell>
          <cell r="H73">
            <v>45294</v>
          </cell>
          <cell r="I73">
            <v>0.65333333333333354</v>
          </cell>
          <cell r="J73">
            <v>33.771111111111111</v>
          </cell>
        </row>
        <row r="74">
          <cell r="B74">
            <v>45.01</v>
          </cell>
          <cell r="C74">
            <v>101.31</v>
          </cell>
          <cell r="D74">
            <v>18.64</v>
          </cell>
          <cell r="E74">
            <v>7.5</v>
          </cell>
          <cell r="H74">
            <v>45295</v>
          </cell>
          <cell r="I74">
            <v>0.64222222222222214</v>
          </cell>
          <cell r="J74">
            <v>33.312222222222225</v>
          </cell>
        </row>
        <row r="75">
          <cell r="B75">
            <v>47.75</v>
          </cell>
          <cell r="C75">
            <v>100.83</v>
          </cell>
          <cell r="D75">
            <v>18.309999999999999</v>
          </cell>
          <cell r="E75">
            <v>7.52</v>
          </cell>
          <cell r="H75">
            <v>45295</v>
          </cell>
          <cell r="I75">
            <v>0.62888888888888883</v>
          </cell>
          <cell r="J75">
            <v>32.857777777777777</v>
          </cell>
        </row>
        <row r="76">
          <cell r="B76">
            <v>46.45</v>
          </cell>
          <cell r="C76">
            <v>100.81</v>
          </cell>
          <cell r="D76">
            <v>18.66</v>
          </cell>
          <cell r="E76">
            <v>7.5</v>
          </cell>
          <cell r="H76">
            <v>45295</v>
          </cell>
          <cell r="I76">
            <v>0.60555555555555562</v>
          </cell>
          <cell r="J76">
            <v>33.054444444444442</v>
          </cell>
        </row>
        <row r="77">
          <cell r="B77">
            <v>46.41</v>
          </cell>
          <cell r="C77">
            <v>101.78</v>
          </cell>
          <cell r="D77">
            <v>18.39</v>
          </cell>
          <cell r="E77">
            <v>7.7</v>
          </cell>
          <cell r="H77">
            <v>45295</v>
          </cell>
          <cell r="I77">
            <v>0.57999999999999996</v>
          </cell>
          <cell r="J77">
            <v>34.11888888888889</v>
          </cell>
        </row>
        <row r="78">
          <cell r="B78">
            <v>49</v>
          </cell>
          <cell r="C78">
            <v>99.82</v>
          </cell>
          <cell r="D78">
            <v>18.29</v>
          </cell>
          <cell r="E78">
            <v>7.6</v>
          </cell>
          <cell r="H78">
            <v>45295</v>
          </cell>
          <cell r="I78">
            <v>0.55888888888888888</v>
          </cell>
          <cell r="J78">
            <v>34.658888888888882</v>
          </cell>
        </row>
        <row r="79">
          <cell r="B79">
            <v>49.11</v>
          </cell>
          <cell r="C79">
            <v>99.56</v>
          </cell>
          <cell r="D79">
            <v>18.420000000000002</v>
          </cell>
          <cell r="E79">
            <v>7.42</v>
          </cell>
          <cell r="H79">
            <v>45295</v>
          </cell>
          <cell r="I79">
            <v>0.55111111111111111</v>
          </cell>
          <cell r="J79">
            <v>34.835555555555551</v>
          </cell>
        </row>
        <row r="80">
          <cell r="B80">
            <v>48.57</v>
          </cell>
          <cell r="C80">
            <v>101.44</v>
          </cell>
          <cell r="D80">
            <v>18.57</v>
          </cell>
          <cell r="E80">
            <v>7.56</v>
          </cell>
          <cell r="H80">
            <v>45295</v>
          </cell>
          <cell r="I80">
            <v>0.55111111111111122</v>
          </cell>
          <cell r="J80">
            <v>34.614444444444445</v>
          </cell>
        </row>
        <row r="81">
          <cell r="B81">
            <v>45.87</v>
          </cell>
          <cell r="C81">
            <v>102.69</v>
          </cell>
          <cell r="D81">
            <v>18.91</v>
          </cell>
          <cell r="E81">
            <v>8.16</v>
          </cell>
          <cell r="H81">
            <v>45295</v>
          </cell>
          <cell r="I81">
            <v>0.56000000000000005</v>
          </cell>
          <cell r="J81">
            <v>34.027777777777779</v>
          </cell>
        </row>
        <row r="82">
          <cell r="B82">
            <v>47.84</v>
          </cell>
          <cell r="C82">
            <v>107.66</v>
          </cell>
          <cell r="D82">
            <v>19.3</v>
          </cell>
          <cell r="E82">
            <v>8.48</v>
          </cell>
          <cell r="H82">
            <v>45295</v>
          </cell>
          <cell r="I82">
            <v>0.57555555555555549</v>
          </cell>
          <cell r="J82">
            <v>33.586666666666666</v>
          </cell>
        </row>
        <row r="83">
          <cell r="B83">
            <v>45.72</v>
          </cell>
          <cell r="C83">
            <v>100.91</v>
          </cell>
          <cell r="D83">
            <v>19.350000000000001</v>
          </cell>
          <cell r="E83">
            <v>8.52</v>
          </cell>
          <cell r="H83">
            <v>45295</v>
          </cell>
          <cell r="I83">
            <v>0.59444444444444444</v>
          </cell>
          <cell r="J83">
            <v>33.432222222222222</v>
          </cell>
        </row>
        <row r="84">
          <cell r="B84">
            <v>43.96</v>
          </cell>
          <cell r="C84">
            <v>100.02</v>
          </cell>
          <cell r="D84">
            <v>19.13</v>
          </cell>
          <cell r="E84">
            <v>8.5500000000000007</v>
          </cell>
          <cell r="H84">
            <v>45295</v>
          </cell>
          <cell r="I84">
            <v>0.62111111111111106</v>
          </cell>
          <cell r="J84">
            <v>33.601111111111109</v>
          </cell>
        </row>
        <row r="85">
          <cell r="B85">
            <v>44.71</v>
          </cell>
          <cell r="C85">
            <v>100.02</v>
          </cell>
          <cell r="D85">
            <v>18.61</v>
          </cell>
          <cell r="E85">
            <v>8.4</v>
          </cell>
          <cell r="H85">
            <v>45295</v>
          </cell>
          <cell r="I85">
            <v>0.63888888888888895</v>
          </cell>
          <cell r="J85">
            <v>33.908888888888882</v>
          </cell>
        </row>
        <row r="86">
          <cell r="B86">
            <v>48.47</v>
          </cell>
          <cell r="C86">
            <v>106.73</v>
          </cell>
          <cell r="D86">
            <v>17.91</v>
          </cell>
          <cell r="E86">
            <v>8.19</v>
          </cell>
          <cell r="H86">
            <v>45295</v>
          </cell>
          <cell r="I86">
            <v>0.66111111111111098</v>
          </cell>
          <cell r="J86">
            <v>34.328888888888883</v>
          </cell>
        </row>
        <row r="87">
          <cell r="B87">
            <v>47.66</v>
          </cell>
          <cell r="C87">
            <v>115.97</v>
          </cell>
          <cell r="D87">
            <v>17.52</v>
          </cell>
          <cell r="E87">
            <v>8.08</v>
          </cell>
          <cell r="H87">
            <v>45295</v>
          </cell>
          <cell r="I87">
            <v>0.67444444444444451</v>
          </cell>
          <cell r="J87">
            <v>34.838888888888881</v>
          </cell>
        </row>
        <row r="88">
          <cell r="B88">
            <v>45.29</v>
          </cell>
          <cell r="C88">
            <v>111.36</v>
          </cell>
          <cell r="D88">
            <v>17.53</v>
          </cell>
          <cell r="E88">
            <v>7.24</v>
          </cell>
          <cell r="H88">
            <v>45295</v>
          </cell>
          <cell r="I88">
            <v>0.68444444444444441</v>
          </cell>
          <cell r="J88">
            <v>35.468888888888884</v>
          </cell>
        </row>
        <row r="89">
          <cell r="B89">
            <v>46.58</v>
          </cell>
          <cell r="C89">
            <v>109.81</v>
          </cell>
          <cell r="D89">
            <v>16.88</v>
          </cell>
          <cell r="E89">
            <v>6.8</v>
          </cell>
          <cell r="H89">
            <v>45295</v>
          </cell>
          <cell r="I89">
            <v>0.69666666666666677</v>
          </cell>
          <cell r="J89">
            <v>35.728888888888889</v>
          </cell>
        </row>
        <row r="90">
          <cell r="B90">
            <v>51.81</v>
          </cell>
          <cell r="C90">
            <v>118.28</v>
          </cell>
          <cell r="D90">
            <v>17.260000000000002</v>
          </cell>
          <cell r="E90">
            <v>6.35</v>
          </cell>
          <cell r="H90">
            <v>45295</v>
          </cell>
          <cell r="I90">
            <v>0.71777777777777774</v>
          </cell>
          <cell r="J90">
            <v>35.925555555555562</v>
          </cell>
        </row>
        <row r="91">
          <cell r="B91">
            <v>54.48</v>
          </cell>
          <cell r="C91">
            <v>127.2</v>
          </cell>
          <cell r="D91">
            <v>17.91</v>
          </cell>
          <cell r="E91">
            <v>7.69</v>
          </cell>
          <cell r="H91">
            <v>45295</v>
          </cell>
          <cell r="I91">
            <v>0.74555555555555553</v>
          </cell>
          <cell r="J91">
            <v>35.951111111111111</v>
          </cell>
        </row>
        <row r="92">
          <cell r="B92">
            <v>53.91</v>
          </cell>
          <cell r="C92">
            <v>127.42</v>
          </cell>
          <cell r="D92">
            <v>18.53</v>
          </cell>
          <cell r="E92">
            <v>7.61</v>
          </cell>
          <cell r="H92">
            <v>45295</v>
          </cell>
          <cell r="I92">
            <v>0.76</v>
          </cell>
          <cell r="J92">
            <v>35.395555555555561</v>
          </cell>
        </row>
        <row r="93">
          <cell r="B93">
            <v>51.95</v>
          </cell>
          <cell r="C93">
            <v>118.06</v>
          </cell>
          <cell r="D93">
            <v>18.75</v>
          </cell>
          <cell r="E93">
            <v>7.9</v>
          </cell>
          <cell r="H93">
            <v>45295</v>
          </cell>
          <cell r="I93">
            <v>0.78222222222222215</v>
          </cell>
          <cell r="J93">
            <v>34.07</v>
          </cell>
        </row>
        <row r="94">
          <cell r="B94">
            <v>52.66</v>
          </cell>
          <cell r="C94">
            <v>123.41</v>
          </cell>
          <cell r="D94">
            <v>18.55</v>
          </cell>
          <cell r="E94">
            <v>8.09</v>
          </cell>
          <cell r="H94">
            <v>45295</v>
          </cell>
          <cell r="I94">
            <v>0.7977777777777777</v>
          </cell>
          <cell r="J94">
            <v>32.573333333333338</v>
          </cell>
        </row>
        <row r="95">
          <cell r="B95">
            <v>47.8</v>
          </cell>
          <cell r="C95">
            <v>125.04</v>
          </cell>
          <cell r="D95">
            <v>18.03</v>
          </cell>
          <cell r="E95">
            <v>7.96</v>
          </cell>
          <cell r="H95">
            <v>45295</v>
          </cell>
          <cell r="I95">
            <v>0.80444444444444452</v>
          </cell>
          <cell r="J95">
            <v>31.25333333333333</v>
          </cell>
        </row>
        <row r="96">
          <cell r="B96">
            <v>44.79</v>
          </cell>
          <cell r="C96">
            <v>126.92</v>
          </cell>
          <cell r="D96">
            <v>17.649999999999999</v>
          </cell>
          <cell r="E96">
            <v>7.78</v>
          </cell>
          <cell r="H96">
            <v>45295</v>
          </cell>
          <cell r="I96">
            <v>0.80555555555555569</v>
          </cell>
          <cell r="J96">
            <v>29.902222222222221</v>
          </cell>
        </row>
        <row r="97">
          <cell r="B97">
            <v>45.99</v>
          </cell>
          <cell r="C97">
            <v>114.47</v>
          </cell>
          <cell r="D97">
            <v>17.690000000000001</v>
          </cell>
          <cell r="E97">
            <v>7.88</v>
          </cell>
          <cell r="H97">
            <v>45295</v>
          </cell>
          <cell r="I97">
            <v>0.7977777777777777</v>
          </cell>
          <cell r="J97">
            <v>28.580000000000002</v>
          </cell>
        </row>
        <row r="98">
          <cell r="B98">
            <v>43.16</v>
          </cell>
          <cell r="C98">
            <v>101.32</v>
          </cell>
          <cell r="D98">
            <v>17.28</v>
          </cell>
          <cell r="E98">
            <v>7.25</v>
          </cell>
          <cell r="H98">
            <v>45296</v>
          </cell>
          <cell r="I98">
            <v>0.78222222222222226</v>
          </cell>
          <cell r="J98">
            <v>27.861111111111114</v>
          </cell>
        </row>
        <row r="99">
          <cell r="B99">
            <v>43.44</v>
          </cell>
          <cell r="C99">
            <v>93.96</v>
          </cell>
          <cell r="D99">
            <v>17.07</v>
          </cell>
          <cell r="E99">
            <v>7.42</v>
          </cell>
          <cell r="H99">
            <v>45296</v>
          </cell>
          <cell r="I99">
            <v>0.75444444444444436</v>
          </cell>
          <cell r="J99">
            <v>27.471111111111114</v>
          </cell>
        </row>
        <row r="100">
          <cell r="B100">
            <v>43.23</v>
          </cell>
          <cell r="C100">
            <v>88.45</v>
          </cell>
          <cell r="D100">
            <v>17.02</v>
          </cell>
          <cell r="E100">
            <v>7.47</v>
          </cell>
          <cell r="H100">
            <v>45296</v>
          </cell>
          <cell r="I100">
            <v>0.71666666666666656</v>
          </cell>
          <cell r="J100">
            <v>27.437777777777782</v>
          </cell>
        </row>
        <row r="101">
          <cell r="B101">
            <v>42.58</v>
          </cell>
          <cell r="C101">
            <v>81.67</v>
          </cell>
          <cell r="D101">
            <v>17.260000000000002</v>
          </cell>
          <cell r="E101">
            <v>7.92</v>
          </cell>
          <cell r="H101">
            <v>45296</v>
          </cell>
          <cell r="I101">
            <v>0.68777777777777782</v>
          </cell>
          <cell r="J101">
            <v>27.705555555555559</v>
          </cell>
        </row>
        <row r="102">
          <cell r="B102">
            <v>40.25</v>
          </cell>
          <cell r="C102">
            <v>73.14</v>
          </cell>
          <cell r="D102">
            <v>16.899999999999999</v>
          </cell>
          <cell r="E102">
            <v>7.93</v>
          </cell>
          <cell r="H102">
            <v>45296</v>
          </cell>
          <cell r="I102">
            <v>0.64222222222222225</v>
          </cell>
          <cell r="J102">
            <v>28.402222222222221</v>
          </cell>
        </row>
        <row r="103">
          <cell r="B103">
            <v>33.25</v>
          </cell>
          <cell r="C103">
            <v>68.13</v>
          </cell>
          <cell r="D103">
            <v>17.05</v>
          </cell>
          <cell r="E103">
            <v>7.7</v>
          </cell>
          <cell r="H103">
            <v>45296</v>
          </cell>
          <cell r="I103">
            <v>0.61888888888888893</v>
          </cell>
          <cell r="J103">
            <v>28.903333333333332</v>
          </cell>
        </row>
        <row r="104">
          <cell r="B104">
            <v>31.12</v>
          </cell>
          <cell r="C104">
            <v>66.150000000000006</v>
          </cell>
          <cell r="D104">
            <v>17.34</v>
          </cell>
          <cell r="E104">
            <v>7.89</v>
          </cell>
          <cell r="H104">
            <v>45296</v>
          </cell>
          <cell r="I104">
            <v>0.60333333333333328</v>
          </cell>
          <cell r="J104">
            <v>28.919999999999998</v>
          </cell>
        </row>
        <row r="105">
          <cell r="B105">
            <v>29.59</v>
          </cell>
          <cell r="C105">
            <v>69.61</v>
          </cell>
          <cell r="D105">
            <v>17.71</v>
          </cell>
          <cell r="E105">
            <v>8.1199999999999992</v>
          </cell>
          <cell r="H105">
            <v>45296</v>
          </cell>
          <cell r="I105">
            <v>0.60777777777777775</v>
          </cell>
          <cell r="J105">
            <v>28.84333333333333</v>
          </cell>
        </row>
        <row r="106">
          <cell r="B106">
            <v>35.01</v>
          </cell>
          <cell r="C106">
            <v>74.36</v>
          </cell>
          <cell r="D106">
            <v>18.27</v>
          </cell>
          <cell r="E106">
            <v>7.85</v>
          </cell>
          <cell r="H106">
            <v>45296</v>
          </cell>
          <cell r="I106">
            <v>0.62444444444444447</v>
          </cell>
          <cell r="J106">
            <v>28.497777777777781</v>
          </cell>
        </row>
        <row r="107">
          <cell r="B107">
            <v>30.93</v>
          </cell>
          <cell r="C107">
            <v>70.989999999999995</v>
          </cell>
          <cell r="D107">
            <v>17.62</v>
          </cell>
          <cell r="E107">
            <v>8.2899999999999991</v>
          </cell>
          <cell r="H107">
            <v>45296</v>
          </cell>
          <cell r="I107">
            <v>0.65666666666666673</v>
          </cell>
          <cell r="J107">
            <v>28.685555555555556</v>
          </cell>
        </row>
        <row r="108">
          <cell r="B108">
            <v>31.4</v>
          </cell>
          <cell r="C108">
            <v>76.77</v>
          </cell>
          <cell r="D108">
            <v>16.95</v>
          </cell>
          <cell r="E108">
            <v>8.24</v>
          </cell>
          <cell r="H108">
            <v>45296</v>
          </cell>
          <cell r="I108">
            <v>0.6711111111111111</v>
          </cell>
          <cell r="J108">
            <v>29.223333333333333</v>
          </cell>
        </row>
        <row r="109">
          <cell r="B109">
            <v>31.2</v>
          </cell>
          <cell r="C109">
            <v>82.35</v>
          </cell>
          <cell r="D109">
            <v>18.04</v>
          </cell>
          <cell r="E109">
            <v>7.73</v>
          </cell>
          <cell r="H109">
            <v>45296</v>
          </cell>
          <cell r="I109">
            <v>0.67777777777777781</v>
          </cell>
          <cell r="J109">
            <v>29.998888888888889</v>
          </cell>
        </row>
        <row r="110">
          <cell r="B110">
            <v>32.29</v>
          </cell>
          <cell r="C110">
            <v>86.53</v>
          </cell>
          <cell r="D110">
            <v>18.239999999999998</v>
          </cell>
          <cell r="E110">
            <v>7.61</v>
          </cell>
          <cell r="H110">
            <v>45296</v>
          </cell>
          <cell r="I110">
            <v>0.68222222222222229</v>
          </cell>
          <cell r="J110">
            <v>30.98</v>
          </cell>
        </row>
        <row r="111">
          <cell r="B111">
            <v>29.85</v>
          </cell>
          <cell r="C111">
            <v>86.16</v>
          </cell>
          <cell r="D111">
            <v>16.98</v>
          </cell>
          <cell r="E111">
            <v>6.75</v>
          </cell>
          <cell r="H111">
            <v>45296</v>
          </cell>
          <cell r="I111">
            <v>0.69333333333333336</v>
          </cell>
          <cell r="J111">
            <v>31.761111111111113</v>
          </cell>
        </row>
        <row r="112">
          <cell r="B112">
            <v>27.77</v>
          </cell>
          <cell r="C112">
            <v>91.8</v>
          </cell>
          <cell r="D112">
            <v>16.22</v>
          </cell>
          <cell r="E112">
            <v>6.67</v>
          </cell>
          <cell r="H112">
            <v>45296</v>
          </cell>
          <cell r="I112">
            <v>0.7022222222222223</v>
          </cell>
          <cell r="J112">
            <v>32.702222222222225</v>
          </cell>
        </row>
        <row r="113">
          <cell r="B113">
            <v>34.08</v>
          </cell>
          <cell r="C113">
            <v>95.86</v>
          </cell>
          <cell r="D113">
            <v>16.52</v>
          </cell>
          <cell r="E113">
            <v>6.89</v>
          </cell>
          <cell r="H113">
            <v>45296</v>
          </cell>
          <cell r="I113">
            <v>0.7155555555555555</v>
          </cell>
          <cell r="J113">
            <v>33.692222222222227</v>
          </cell>
        </row>
        <row r="114">
          <cell r="B114">
            <v>40.590000000000003</v>
          </cell>
          <cell r="C114">
            <v>96.51</v>
          </cell>
          <cell r="D114">
            <v>16.37</v>
          </cell>
          <cell r="E114">
            <v>6.83</v>
          </cell>
          <cell r="H114">
            <v>45296</v>
          </cell>
          <cell r="I114">
            <v>0.71333333333333337</v>
          </cell>
          <cell r="J114">
            <v>34.417777777777779</v>
          </cell>
        </row>
        <row r="115">
          <cell r="B115">
            <v>46.53</v>
          </cell>
          <cell r="C115">
            <v>101.07</v>
          </cell>
          <cell r="D115">
            <v>16.97</v>
          </cell>
          <cell r="E115">
            <v>6.83</v>
          </cell>
          <cell r="H115">
            <v>45296</v>
          </cell>
          <cell r="I115">
            <v>0.71666666666666679</v>
          </cell>
          <cell r="J115">
            <v>35.116666666666667</v>
          </cell>
        </row>
        <row r="116">
          <cell r="B116">
            <v>40.659999999999997</v>
          </cell>
          <cell r="C116">
            <v>102.63</v>
          </cell>
          <cell r="D116">
            <v>18.71</v>
          </cell>
          <cell r="E116">
            <v>7.66</v>
          </cell>
          <cell r="H116">
            <v>45296</v>
          </cell>
          <cell r="I116">
            <v>0.7022222222222223</v>
          </cell>
          <cell r="J116">
            <v>34.705555555555556</v>
          </cell>
        </row>
        <row r="117">
          <cell r="B117">
            <v>42.99</v>
          </cell>
          <cell r="C117">
            <v>94.32</v>
          </cell>
          <cell r="D117">
            <v>19.09</v>
          </cell>
          <cell r="E117">
            <v>8.0399999999999991</v>
          </cell>
          <cell r="H117">
            <v>45296</v>
          </cell>
          <cell r="I117">
            <v>0.70666666666666667</v>
          </cell>
          <cell r="J117">
            <v>33.778888888888886</v>
          </cell>
        </row>
        <row r="118">
          <cell r="B118">
            <v>45.37</v>
          </cell>
          <cell r="C118">
            <v>97.25</v>
          </cell>
          <cell r="D118">
            <v>19.16</v>
          </cell>
          <cell r="E118">
            <v>7.73</v>
          </cell>
          <cell r="H118">
            <v>45296</v>
          </cell>
          <cell r="I118">
            <v>0.71777777777777785</v>
          </cell>
          <cell r="J118">
            <v>32.598888888888887</v>
          </cell>
        </row>
        <row r="119">
          <cell r="B119">
            <v>43.72</v>
          </cell>
          <cell r="C119">
            <v>95.8</v>
          </cell>
          <cell r="D119">
            <v>18.89</v>
          </cell>
          <cell r="E119">
            <v>7.76</v>
          </cell>
          <cell r="H119">
            <v>45296</v>
          </cell>
          <cell r="I119">
            <v>0.72888888888888892</v>
          </cell>
          <cell r="J119">
            <v>31.23</v>
          </cell>
        </row>
        <row r="120">
          <cell r="B120">
            <v>48.98</v>
          </cell>
          <cell r="C120">
            <v>97.77</v>
          </cell>
          <cell r="D120">
            <v>18.690000000000001</v>
          </cell>
          <cell r="E120">
            <v>7.41</v>
          </cell>
          <cell r="H120">
            <v>45296</v>
          </cell>
          <cell r="I120">
            <v>0.73111111111111116</v>
          </cell>
          <cell r="J120">
            <v>30.232222222222219</v>
          </cell>
        </row>
        <row r="121">
          <cell r="B121">
            <v>45.74</v>
          </cell>
          <cell r="C121">
            <v>98.46</v>
          </cell>
          <cell r="D121">
            <v>18.68</v>
          </cell>
          <cell r="E121">
            <v>7.35</v>
          </cell>
          <cell r="H121">
            <v>45296</v>
          </cell>
          <cell r="I121">
            <v>0.72888888888888892</v>
          </cell>
          <cell r="J121">
            <v>29.290000000000003</v>
          </cell>
        </row>
        <row r="122">
          <cell r="B122">
            <v>44.79</v>
          </cell>
          <cell r="C122">
            <v>92.13</v>
          </cell>
          <cell r="D122">
            <v>18.57</v>
          </cell>
          <cell r="E122">
            <v>7.3</v>
          </cell>
          <cell r="H122">
            <v>45297</v>
          </cell>
          <cell r="I122">
            <v>0.70888888888888879</v>
          </cell>
          <cell r="J122">
            <v>28.467777777777776</v>
          </cell>
        </row>
        <row r="123">
          <cell r="B123">
            <v>37.840000000000003</v>
          </cell>
          <cell r="C123">
            <v>81.61</v>
          </cell>
          <cell r="D123">
            <v>18.62</v>
          </cell>
          <cell r="E123">
            <v>7.17</v>
          </cell>
          <cell r="H123">
            <v>45297</v>
          </cell>
          <cell r="I123">
            <v>0.69666666666666666</v>
          </cell>
          <cell r="J123">
            <v>27.981111111111115</v>
          </cell>
        </row>
        <row r="124">
          <cell r="B124">
            <v>33.6</v>
          </cell>
          <cell r="C124">
            <v>126.69</v>
          </cell>
          <cell r="D124">
            <v>18.510000000000002</v>
          </cell>
          <cell r="E124">
            <v>7</v>
          </cell>
          <cell r="H124">
            <v>45297</v>
          </cell>
          <cell r="I124">
            <v>0.6777777777777777</v>
          </cell>
          <cell r="J124">
            <v>27.757777777777779</v>
          </cell>
        </row>
        <row r="125">
          <cell r="B125">
            <v>31.1</v>
          </cell>
          <cell r="C125">
            <v>121.94</v>
          </cell>
          <cell r="D125">
            <v>18.36</v>
          </cell>
          <cell r="E125">
            <v>7.74</v>
          </cell>
          <cell r="H125">
            <v>45297</v>
          </cell>
          <cell r="I125">
            <v>0.67666666666666664</v>
          </cell>
          <cell r="J125">
            <v>27.90666666666667</v>
          </cell>
        </row>
        <row r="126">
          <cell r="B126">
            <v>34.979999999999997</v>
          </cell>
          <cell r="C126">
            <v>95.64</v>
          </cell>
          <cell r="D126">
            <v>18.32</v>
          </cell>
          <cell r="E126">
            <v>7.67</v>
          </cell>
          <cell r="H126">
            <v>45297</v>
          </cell>
          <cell r="I126">
            <v>0.65777777777777779</v>
          </cell>
          <cell r="J126">
            <v>28.006666666666668</v>
          </cell>
        </row>
        <row r="127">
          <cell r="B127">
            <v>38.25</v>
          </cell>
          <cell r="C127">
            <v>81.84</v>
          </cell>
          <cell r="D127">
            <v>18.690000000000001</v>
          </cell>
          <cell r="E127">
            <v>7.43</v>
          </cell>
          <cell r="H127">
            <v>45297</v>
          </cell>
          <cell r="I127">
            <v>0.64111111111111108</v>
          </cell>
          <cell r="J127">
            <v>27.887777777777778</v>
          </cell>
        </row>
        <row r="128">
          <cell r="B128">
            <v>39.9</v>
          </cell>
          <cell r="C128">
            <v>78.27</v>
          </cell>
          <cell r="D128">
            <v>18.77</v>
          </cell>
          <cell r="E128">
            <v>7.43</v>
          </cell>
          <cell r="H128">
            <v>45297</v>
          </cell>
          <cell r="I128">
            <v>0.63111111111111096</v>
          </cell>
          <cell r="J128">
            <v>27.358888888888892</v>
          </cell>
        </row>
        <row r="129">
          <cell r="B129">
            <v>38.770000000000003</v>
          </cell>
          <cell r="C129">
            <v>81.69</v>
          </cell>
          <cell r="D129">
            <v>19.309999999999999</v>
          </cell>
          <cell r="E129">
            <v>7.76</v>
          </cell>
          <cell r="H129">
            <v>45297</v>
          </cell>
          <cell r="I129">
            <v>0.63111111111111107</v>
          </cell>
          <cell r="J129">
            <v>26.665555555555557</v>
          </cell>
        </row>
        <row r="130">
          <cell r="B130">
            <v>34.479999999999997</v>
          </cell>
          <cell r="C130">
            <v>82.12</v>
          </cell>
          <cell r="D130">
            <v>19.54</v>
          </cell>
          <cell r="E130">
            <v>8</v>
          </cell>
          <cell r="H130">
            <v>45297</v>
          </cell>
          <cell r="I130">
            <v>0.63555555555555554</v>
          </cell>
          <cell r="J130">
            <v>26.16</v>
          </cell>
        </row>
        <row r="131">
          <cell r="B131">
            <v>32.729999999999997</v>
          </cell>
          <cell r="C131">
            <v>78.61</v>
          </cell>
          <cell r="D131">
            <v>19.170000000000002</v>
          </cell>
          <cell r="E131">
            <v>8.3800000000000008</v>
          </cell>
          <cell r="H131">
            <v>45297</v>
          </cell>
          <cell r="I131">
            <v>0.65111111111111108</v>
          </cell>
          <cell r="J131">
            <v>25.964444444444446</v>
          </cell>
        </row>
        <row r="132">
          <cell r="B132">
            <v>28.33</v>
          </cell>
          <cell r="C132">
            <v>73.5</v>
          </cell>
          <cell r="D132">
            <v>18.48</v>
          </cell>
          <cell r="E132">
            <v>8.39</v>
          </cell>
          <cell r="H132">
            <v>45297</v>
          </cell>
          <cell r="I132">
            <v>0.6777777777777777</v>
          </cell>
          <cell r="J132">
            <v>26.09</v>
          </cell>
        </row>
        <row r="133">
          <cell r="B133">
            <v>24.39</v>
          </cell>
          <cell r="C133">
            <v>73.53</v>
          </cell>
          <cell r="D133">
            <v>18.59</v>
          </cell>
          <cell r="E133">
            <v>7.93</v>
          </cell>
          <cell r="H133">
            <v>45297</v>
          </cell>
          <cell r="I133">
            <v>0.68222222222222229</v>
          </cell>
          <cell r="J133">
            <v>26.528888888888886</v>
          </cell>
        </row>
        <row r="134">
          <cell r="B134">
            <v>27.75</v>
          </cell>
          <cell r="C134">
            <v>77.2</v>
          </cell>
          <cell r="D134">
            <v>17.79</v>
          </cell>
          <cell r="E134">
            <v>7.61</v>
          </cell>
          <cell r="H134">
            <v>45297</v>
          </cell>
          <cell r="I134">
            <v>0.6711111111111111</v>
          </cell>
          <cell r="J134">
            <v>27.603333333333332</v>
          </cell>
        </row>
        <row r="135">
          <cell r="B135">
            <v>24.72</v>
          </cell>
          <cell r="C135">
            <v>71.72</v>
          </cell>
          <cell r="D135">
            <v>17.170000000000002</v>
          </cell>
          <cell r="E135">
            <v>7.13</v>
          </cell>
          <cell r="H135">
            <v>45297</v>
          </cell>
          <cell r="I135">
            <v>0.67222222222222217</v>
          </cell>
          <cell r="J135">
            <v>28.75</v>
          </cell>
        </row>
        <row r="136">
          <cell r="B136">
            <v>24.06</v>
          </cell>
          <cell r="C136">
            <v>67.790000000000006</v>
          </cell>
          <cell r="D136">
            <v>17.670000000000002</v>
          </cell>
          <cell r="E136">
            <v>7.12</v>
          </cell>
          <cell r="H136">
            <v>45297</v>
          </cell>
          <cell r="I136">
            <v>0.67111111111111099</v>
          </cell>
          <cell r="J136">
            <v>29.997777777777781</v>
          </cell>
        </row>
        <row r="137">
          <cell r="B137">
            <v>24.17</v>
          </cell>
          <cell r="C137">
            <v>68.63</v>
          </cell>
          <cell r="D137">
            <v>17.579999999999998</v>
          </cell>
          <cell r="E137">
            <v>7</v>
          </cell>
          <cell r="H137">
            <v>45297</v>
          </cell>
          <cell r="I137">
            <v>0.66888888888888898</v>
          </cell>
          <cell r="J137">
            <v>31.479999999999993</v>
          </cell>
        </row>
        <row r="138">
          <cell r="B138">
            <v>30.46</v>
          </cell>
          <cell r="C138">
            <v>72.790000000000006</v>
          </cell>
          <cell r="D138">
            <v>17.559999999999999</v>
          </cell>
          <cell r="E138">
            <v>6.73</v>
          </cell>
          <cell r="H138">
            <v>45297</v>
          </cell>
          <cell r="I138">
            <v>0.65777777777777779</v>
          </cell>
          <cell r="J138">
            <v>32.294444444444444</v>
          </cell>
        </row>
        <row r="139">
          <cell r="B139">
            <v>30.92</v>
          </cell>
          <cell r="C139">
            <v>86.68</v>
          </cell>
          <cell r="D139">
            <v>19.21</v>
          </cell>
          <cell r="E139">
            <v>6.97</v>
          </cell>
          <cell r="H139">
            <v>45297</v>
          </cell>
          <cell r="I139">
            <v>0.65555555555555545</v>
          </cell>
          <cell r="J139">
            <v>32.494444444444447</v>
          </cell>
        </row>
        <row r="140">
          <cell r="B140">
            <v>34.21</v>
          </cell>
          <cell r="C140">
            <v>92.96</v>
          </cell>
          <cell r="D140">
            <v>19.64</v>
          </cell>
          <cell r="E140">
            <v>7.73</v>
          </cell>
          <cell r="H140">
            <v>45297</v>
          </cell>
          <cell r="I140">
            <v>0.65333333333333321</v>
          </cell>
          <cell r="J140">
            <v>32.107777777777777</v>
          </cell>
        </row>
        <row r="141">
          <cell r="B141">
            <v>32.590000000000003</v>
          </cell>
          <cell r="C141">
            <v>82.6</v>
          </cell>
          <cell r="D141">
            <v>19.489999999999998</v>
          </cell>
          <cell r="E141">
            <v>7.4</v>
          </cell>
          <cell r="H141">
            <v>45297</v>
          </cell>
          <cell r="I141">
            <v>0.64</v>
          </cell>
          <cell r="J141">
            <v>31.504444444444445</v>
          </cell>
        </row>
        <row r="142">
          <cell r="B142">
            <v>37.020000000000003</v>
          </cell>
          <cell r="C142">
            <v>82.45</v>
          </cell>
          <cell r="D142">
            <v>18.829999999999998</v>
          </cell>
          <cell r="E142">
            <v>6.98</v>
          </cell>
          <cell r="H142">
            <v>45297</v>
          </cell>
          <cell r="I142">
            <v>0.64222222222222225</v>
          </cell>
          <cell r="J142">
            <v>30.497777777777781</v>
          </cell>
        </row>
        <row r="143">
          <cell r="B143">
            <v>38.56</v>
          </cell>
          <cell r="C143">
            <v>81.93</v>
          </cell>
          <cell r="D143">
            <v>18.579999999999998</v>
          </cell>
          <cell r="E143">
            <v>7.1</v>
          </cell>
          <cell r="H143">
            <v>45297</v>
          </cell>
          <cell r="I143">
            <v>0.6677777777777778</v>
          </cell>
          <cell r="J143">
            <v>28.988888888888887</v>
          </cell>
        </row>
        <row r="144">
          <cell r="B144">
            <v>33.75</v>
          </cell>
          <cell r="C144">
            <v>72.87</v>
          </cell>
          <cell r="D144">
            <v>18.329999999999998</v>
          </cell>
          <cell r="E144">
            <v>7.03</v>
          </cell>
          <cell r="H144">
            <v>45297</v>
          </cell>
          <cell r="I144">
            <v>0.66333333333333344</v>
          </cell>
          <cell r="J144">
            <v>27.39222222222222</v>
          </cell>
        </row>
        <row r="145">
          <cell r="B145">
            <v>28.22</v>
          </cell>
          <cell r="C145">
            <v>66.47</v>
          </cell>
          <cell r="D145">
            <v>18.38</v>
          </cell>
          <cell r="E145">
            <v>6.57</v>
          </cell>
          <cell r="H145">
            <v>45297</v>
          </cell>
          <cell r="I145">
            <v>0.65111111111111108</v>
          </cell>
          <cell r="J145">
            <v>25.884444444444444</v>
          </cell>
        </row>
        <row r="146">
          <cell r="B146">
            <v>28.76</v>
          </cell>
          <cell r="C146">
            <v>67</v>
          </cell>
          <cell r="D146">
            <v>18.149999999999999</v>
          </cell>
          <cell r="E146">
            <v>6.84</v>
          </cell>
          <cell r="H146">
            <v>45298</v>
          </cell>
          <cell r="I146">
            <v>0.63222222222222224</v>
          </cell>
          <cell r="J146">
            <v>24.713333333333335</v>
          </cell>
        </row>
        <row r="147">
          <cell r="B147">
            <v>31.08</v>
          </cell>
          <cell r="C147">
            <v>70.66</v>
          </cell>
          <cell r="D147">
            <v>17.91</v>
          </cell>
          <cell r="E147">
            <v>6.74</v>
          </cell>
          <cell r="H147">
            <v>45298</v>
          </cell>
          <cell r="I147">
            <v>0.62666666666666671</v>
          </cell>
          <cell r="J147">
            <v>24.161111111111111</v>
          </cell>
        </row>
        <row r="148">
          <cell r="B148">
            <v>30.11</v>
          </cell>
          <cell r="C148">
            <v>65.16</v>
          </cell>
          <cell r="D148">
            <v>17.95</v>
          </cell>
          <cell r="E148">
            <v>6.42</v>
          </cell>
          <cell r="H148">
            <v>45298</v>
          </cell>
          <cell r="I148">
            <v>0.62666666666666659</v>
          </cell>
          <cell r="J148">
            <v>23.957777777777778</v>
          </cell>
        </row>
        <row r="149">
          <cell r="B149">
            <v>30.93</v>
          </cell>
          <cell r="C149">
            <v>63.96</v>
          </cell>
          <cell r="D149">
            <v>17.850000000000001</v>
          </cell>
          <cell r="E149">
            <v>7.14</v>
          </cell>
          <cell r="H149">
            <v>45298</v>
          </cell>
          <cell r="I149">
            <v>0.5988888888888888</v>
          </cell>
          <cell r="J149">
            <v>24.124444444444446</v>
          </cell>
        </row>
        <row r="150">
          <cell r="B150">
            <v>31.85</v>
          </cell>
          <cell r="C150">
            <v>63.68</v>
          </cell>
          <cell r="D150">
            <v>17.940000000000001</v>
          </cell>
          <cell r="E150">
            <v>7.08</v>
          </cell>
          <cell r="H150">
            <v>45298</v>
          </cell>
          <cell r="I150">
            <v>0.59666666666666657</v>
          </cell>
          <cell r="J150">
            <v>24.233333333333334</v>
          </cell>
        </row>
        <row r="151">
          <cell r="B151">
            <v>32.01</v>
          </cell>
          <cell r="C151">
            <v>66.66</v>
          </cell>
          <cell r="D151">
            <v>18.059999999999999</v>
          </cell>
          <cell r="E151">
            <v>6.59</v>
          </cell>
          <cell r="H151">
            <v>45298</v>
          </cell>
          <cell r="I151">
            <v>0.60888888888888903</v>
          </cell>
          <cell r="J151">
            <v>24.233333333333331</v>
          </cell>
        </row>
        <row r="152">
          <cell r="B152">
            <v>32.43</v>
          </cell>
          <cell r="C152">
            <v>67.41</v>
          </cell>
          <cell r="D152">
            <v>18.14</v>
          </cell>
          <cell r="E152">
            <v>7.44</v>
          </cell>
          <cell r="H152">
            <v>45298</v>
          </cell>
          <cell r="I152">
            <v>0.57666666666666666</v>
          </cell>
          <cell r="J152">
            <v>24.006666666666664</v>
          </cell>
        </row>
        <row r="153">
          <cell r="B153">
            <v>31.33</v>
          </cell>
          <cell r="C153">
            <v>70.62</v>
          </cell>
          <cell r="D153">
            <v>18.14</v>
          </cell>
          <cell r="E153">
            <v>7.75</v>
          </cell>
          <cell r="H153">
            <v>45298</v>
          </cell>
          <cell r="I153">
            <v>0.58555555555555561</v>
          </cell>
          <cell r="J153">
            <v>23.922222222222221</v>
          </cell>
        </row>
        <row r="154">
          <cell r="B154">
            <v>31.15</v>
          </cell>
          <cell r="C154">
            <v>73.88</v>
          </cell>
          <cell r="D154">
            <v>18.57</v>
          </cell>
          <cell r="E154">
            <v>7.81</v>
          </cell>
          <cell r="H154">
            <v>45298</v>
          </cell>
          <cell r="I154">
            <v>0.60444444444444445</v>
          </cell>
          <cell r="J154">
            <v>24.082222222222224</v>
          </cell>
        </row>
        <row r="155">
          <cell r="B155">
            <v>26.61</v>
          </cell>
          <cell r="C155">
            <v>69</v>
          </cell>
          <cell r="D155">
            <v>18.239999999999998</v>
          </cell>
          <cell r="E155">
            <v>8.23</v>
          </cell>
          <cell r="H155">
            <v>45298</v>
          </cell>
          <cell r="I155">
            <v>0.62888888888888905</v>
          </cell>
          <cell r="J155">
            <v>24.348888888888887</v>
          </cell>
        </row>
        <row r="156">
          <cell r="B156">
            <v>24.14</v>
          </cell>
          <cell r="C156">
            <v>65.78</v>
          </cell>
          <cell r="D156">
            <v>18.260000000000002</v>
          </cell>
          <cell r="E156">
            <v>7.73</v>
          </cell>
          <cell r="H156">
            <v>45298</v>
          </cell>
          <cell r="I156">
            <v>0.63888888888888884</v>
          </cell>
          <cell r="J156">
            <v>24.942222222222224</v>
          </cell>
        </row>
        <row r="157">
          <cell r="B157">
            <v>21.8</v>
          </cell>
          <cell r="C157">
            <v>58.4</v>
          </cell>
          <cell r="D157">
            <v>18.13</v>
          </cell>
          <cell r="E157">
            <v>7.88</v>
          </cell>
          <cell r="H157">
            <v>45298</v>
          </cell>
          <cell r="I157">
            <v>0.62999999999999989</v>
          </cell>
          <cell r="J157">
            <v>25.823333333333334</v>
          </cell>
        </row>
        <row r="158">
          <cell r="B158">
            <v>21.77</v>
          </cell>
          <cell r="C158">
            <v>60.69</v>
          </cell>
          <cell r="D158">
            <v>18.04</v>
          </cell>
          <cell r="E158">
            <v>7.66</v>
          </cell>
          <cell r="H158">
            <v>45298</v>
          </cell>
          <cell r="I158">
            <v>0.64666666666666672</v>
          </cell>
          <cell r="J158">
            <v>26.863333333333333</v>
          </cell>
        </row>
        <row r="159">
          <cell r="B159">
            <v>21.4</v>
          </cell>
          <cell r="C159">
            <v>59.5</v>
          </cell>
          <cell r="D159">
            <v>17.97</v>
          </cell>
          <cell r="E159">
            <v>7.48</v>
          </cell>
          <cell r="H159">
            <v>45298</v>
          </cell>
          <cell r="I159">
            <v>0.6366666666666666</v>
          </cell>
          <cell r="J159">
            <v>27.831111111111113</v>
          </cell>
        </row>
        <row r="160">
          <cell r="B160">
            <v>19.93</v>
          </cell>
          <cell r="C160">
            <v>57.4</v>
          </cell>
          <cell r="D160">
            <v>18.2</v>
          </cell>
          <cell r="E160">
            <v>7.45</v>
          </cell>
          <cell r="H160">
            <v>45298</v>
          </cell>
          <cell r="I160">
            <v>0.61</v>
          </cell>
          <cell r="J160">
            <v>29.022222222222222</v>
          </cell>
        </row>
        <row r="161">
          <cell r="B161">
            <v>21.31</v>
          </cell>
          <cell r="C161">
            <v>62.22</v>
          </cell>
          <cell r="D161">
            <v>18.29</v>
          </cell>
          <cell r="E161">
            <v>7.73</v>
          </cell>
          <cell r="H161">
            <v>45298</v>
          </cell>
          <cell r="I161">
            <v>0.60666666666666669</v>
          </cell>
          <cell r="J161">
            <v>30.234444444444446</v>
          </cell>
        </row>
        <row r="162">
          <cell r="B162">
            <v>26.57</v>
          </cell>
          <cell r="C162">
            <v>60.69</v>
          </cell>
          <cell r="D162">
            <v>18.22</v>
          </cell>
          <cell r="E162">
            <v>7.56</v>
          </cell>
          <cell r="H162">
            <v>45298</v>
          </cell>
          <cell r="I162">
            <v>0.59555555555555562</v>
          </cell>
          <cell r="J162">
            <v>31.074444444444445</v>
          </cell>
        </row>
        <row r="163">
          <cell r="B163">
            <v>25.95</v>
          </cell>
          <cell r="C163">
            <v>64.16</v>
          </cell>
          <cell r="D163">
            <v>18.39</v>
          </cell>
          <cell r="E163">
            <v>6.86</v>
          </cell>
          <cell r="H163">
            <v>45298</v>
          </cell>
          <cell r="I163">
            <v>0.60222222222222221</v>
          </cell>
          <cell r="J163">
            <v>31.263333333333335</v>
          </cell>
        </row>
        <row r="164">
          <cell r="B164">
            <v>26.03</v>
          </cell>
          <cell r="C164">
            <v>69.3</v>
          </cell>
          <cell r="D164">
            <v>18.579999999999998</v>
          </cell>
          <cell r="E164">
            <v>7.13</v>
          </cell>
          <cell r="H164">
            <v>45298</v>
          </cell>
          <cell r="I164">
            <v>0.60111111111111115</v>
          </cell>
          <cell r="J164">
            <v>31.084444444444443</v>
          </cell>
        </row>
        <row r="165">
          <cell r="B165">
            <v>26.06</v>
          </cell>
          <cell r="C165">
            <v>65.760000000000005</v>
          </cell>
          <cell r="D165">
            <v>18.55</v>
          </cell>
          <cell r="E165">
            <v>6.8</v>
          </cell>
          <cell r="H165">
            <v>45298</v>
          </cell>
          <cell r="I165">
            <v>0.61555555555555552</v>
          </cell>
          <cell r="J165">
            <v>30.397777777777783</v>
          </cell>
        </row>
        <row r="166">
          <cell r="B166">
            <v>27.69</v>
          </cell>
          <cell r="C166">
            <v>64.77</v>
          </cell>
          <cell r="D166">
            <v>18.32</v>
          </cell>
          <cell r="E166">
            <v>7.3</v>
          </cell>
          <cell r="H166">
            <v>45298</v>
          </cell>
          <cell r="I166">
            <v>0.62666666666666671</v>
          </cell>
          <cell r="J166">
            <v>29.513333333333335</v>
          </cell>
        </row>
        <row r="167">
          <cell r="B167">
            <v>28.78</v>
          </cell>
          <cell r="C167">
            <v>70.08</v>
          </cell>
          <cell r="D167">
            <v>18.100000000000001</v>
          </cell>
          <cell r="E167">
            <v>8.64</v>
          </cell>
          <cell r="H167">
            <v>45298</v>
          </cell>
          <cell r="I167">
            <v>0.6333333333333333</v>
          </cell>
          <cell r="J167">
            <v>28.385555555555555</v>
          </cell>
        </row>
        <row r="168">
          <cell r="B168">
            <v>31.06</v>
          </cell>
          <cell r="C168">
            <v>70.7</v>
          </cell>
          <cell r="D168">
            <v>18.21</v>
          </cell>
          <cell r="E168">
            <v>8.24</v>
          </cell>
          <cell r="H168">
            <v>45298</v>
          </cell>
          <cell r="I168">
            <v>0.63555555555555565</v>
          </cell>
          <cell r="J168">
            <v>27.393333333333331</v>
          </cell>
        </row>
        <row r="169">
          <cell r="B169">
            <v>31.46</v>
          </cell>
          <cell r="C169">
            <v>69.010000000000005</v>
          </cell>
          <cell r="D169">
            <v>17.989999999999998</v>
          </cell>
          <cell r="E169">
            <v>8.1300000000000008</v>
          </cell>
          <cell r="H169">
            <v>45298</v>
          </cell>
          <cell r="I169">
            <v>0.63666666666666671</v>
          </cell>
          <cell r="J169">
            <v>26.404444444444447</v>
          </cell>
        </row>
        <row r="170">
          <cell r="B170">
            <v>30.96</v>
          </cell>
          <cell r="C170">
            <v>70.540000000000006</v>
          </cell>
          <cell r="D170">
            <v>17.97</v>
          </cell>
          <cell r="E170">
            <v>7.71</v>
          </cell>
          <cell r="H170">
            <v>45299</v>
          </cell>
          <cell r="I170">
            <v>0.63666666666666671</v>
          </cell>
          <cell r="J170">
            <v>25.495555555555555</v>
          </cell>
        </row>
        <row r="171">
          <cell r="B171">
            <v>35.19</v>
          </cell>
          <cell r="C171">
            <v>75.72</v>
          </cell>
          <cell r="D171">
            <v>18.13</v>
          </cell>
          <cell r="E171">
            <v>7.12</v>
          </cell>
          <cell r="H171">
            <v>45299</v>
          </cell>
          <cell r="I171">
            <v>0.63444444444444448</v>
          </cell>
          <cell r="J171">
            <v>24.964444444444446</v>
          </cell>
        </row>
        <row r="172">
          <cell r="B172">
            <v>34.33</v>
          </cell>
          <cell r="C172">
            <v>74.44</v>
          </cell>
          <cell r="D172">
            <v>17.87</v>
          </cell>
          <cell r="E172">
            <v>6.98</v>
          </cell>
          <cell r="H172">
            <v>45299</v>
          </cell>
          <cell r="I172">
            <v>0.61111111111111116</v>
          </cell>
          <cell r="J172">
            <v>24.676666666666666</v>
          </cell>
        </row>
        <row r="173">
          <cell r="B173">
            <v>30.12</v>
          </cell>
          <cell r="C173">
            <v>70.02</v>
          </cell>
          <cell r="D173">
            <v>17.920000000000002</v>
          </cell>
          <cell r="E173">
            <v>7</v>
          </cell>
          <cell r="H173">
            <v>45299</v>
          </cell>
          <cell r="I173">
            <v>0.59333333333333327</v>
          </cell>
          <cell r="J173">
            <v>24.457777777777782</v>
          </cell>
        </row>
        <row r="174">
          <cell r="B174">
            <v>31.35</v>
          </cell>
          <cell r="C174">
            <v>66.89</v>
          </cell>
          <cell r="D174">
            <v>17.52</v>
          </cell>
          <cell r="E174">
            <v>6.8</v>
          </cell>
          <cell r="H174">
            <v>45299</v>
          </cell>
          <cell r="I174">
            <v>0.56555555555555559</v>
          </cell>
          <cell r="J174">
            <v>24.458888888888893</v>
          </cell>
        </row>
        <row r="175">
          <cell r="B175">
            <v>30.03</v>
          </cell>
          <cell r="C175">
            <v>65.41</v>
          </cell>
          <cell r="D175">
            <v>17.760000000000002</v>
          </cell>
          <cell r="E175">
            <v>6.77</v>
          </cell>
          <cell r="H175">
            <v>45299</v>
          </cell>
          <cell r="I175">
            <v>0.55111111111111111</v>
          </cell>
          <cell r="J175">
            <v>24.42</v>
          </cell>
        </row>
        <row r="176">
          <cell r="B176">
            <v>27.75</v>
          </cell>
          <cell r="C176">
            <v>63.88</v>
          </cell>
          <cell r="D176">
            <v>17.89</v>
          </cell>
          <cell r="E176">
            <v>6.69</v>
          </cell>
          <cell r="H176">
            <v>45299</v>
          </cell>
          <cell r="I176">
            <v>0.54444444444444451</v>
          </cell>
          <cell r="J176">
            <v>24.38111111111111</v>
          </cell>
        </row>
        <row r="177">
          <cell r="B177">
            <v>26.89</v>
          </cell>
          <cell r="C177">
            <v>59.41</v>
          </cell>
          <cell r="D177">
            <v>18.079999999999998</v>
          </cell>
          <cell r="E177">
            <v>6.8</v>
          </cell>
          <cell r="H177">
            <v>45299</v>
          </cell>
          <cell r="I177">
            <v>0.54888888888888887</v>
          </cell>
          <cell r="J177">
            <v>24.480000000000004</v>
          </cell>
        </row>
        <row r="178">
          <cell r="B178">
            <v>23.11</v>
          </cell>
          <cell r="C178">
            <v>59.56</v>
          </cell>
          <cell r="D178">
            <v>18.36</v>
          </cell>
          <cell r="E178">
            <v>7.06</v>
          </cell>
          <cell r="H178">
            <v>45299</v>
          </cell>
          <cell r="I178">
            <v>0.56777777777777771</v>
          </cell>
          <cell r="J178">
            <v>24.384444444444444</v>
          </cell>
        </row>
        <row r="179">
          <cell r="B179">
            <v>19.23</v>
          </cell>
          <cell r="C179">
            <v>56.25</v>
          </cell>
          <cell r="D179">
            <v>18.149999999999999</v>
          </cell>
          <cell r="E179">
            <v>7.06</v>
          </cell>
          <cell r="H179">
            <v>45299</v>
          </cell>
          <cell r="I179">
            <v>0.59444444444444444</v>
          </cell>
          <cell r="J179">
            <v>24.22</v>
          </cell>
        </row>
        <row r="180">
          <cell r="B180">
            <v>18.27</v>
          </cell>
          <cell r="C180">
            <v>54.88</v>
          </cell>
          <cell r="D180">
            <v>18.260000000000002</v>
          </cell>
          <cell r="E180">
            <v>7.11</v>
          </cell>
          <cell r="H180">
            <v>45299</v>
          </cell>
          <cell r="I180">
            <v>0.62333333333333329</v>
          </cell>
          <cell r="J180">
            <v>24.088888888888889</v>
          </cell>
        </row>
        <row r="181">
          <cell r="B181">
            <v>20.16</v>
          </cell>
          <cell r="C181">
            <v>54.8</v>
          </cell>
          <cell r="D181">
            <v>18.64</v>
          </cell>
          <cell r="E181">
            <v>6.67</v>
          </cell>
          <cell r="H181">
            <v>45299</v>
          </cell>
          <cell r="I181">
            <v>0.64777777777777767</v>
          </cell>
          <cell r="J181">
            <v>23.991111111111113</v>
          </cell>
        </row>
        <row r="182">
          <cell r="B182">
            <v>22.05</v>
          </cell>
          <cell r="C182">
            <v>58.05</v>
          </cell>
          <cell r="D182">
            <v>18.079999999999998</v>
          </cell>
          <cell r="E182">
            <v>6.76</v>
          </cell>
          <cell r="H182">
            <v>45299</v>
          </cell>
          <cell r="I182">
            <v>0.67444444444444451</v>
          </cell>
          <cell r="J182">
            <v>23.63666666666667</v>
          </cell>
        </row>
        <row r="183">
          <cell r="B183">
            <v>19.739999999999998</v>
          </cell>
          <cell r="C183">
            <v>49.08</v>
          </cell>
          <cell r="D183">
            <v>16.71</v>
          </cell>
          <cell r="E183">
            <v>6.57</v>
          </cell>
          <cell r="H183">
            <v>45299</v>
          </cell>
          <cell r="I183">
            <v>0.69111111111111101</v>
          </cell>
          <cell r="J183">
            <v>23.287777777777777</v>
          </cell>
        </row>
        <row r="184">
          <cell r="B184">
            <v>16</v>
          </cell>
          <cell r="C184">
            <v>41</v>
          </cell>
          <cell r="D184">
            <v>16.36</v>
          </cell>
          <cell r="E184">
            <v>6.27</v>
          </cell>
          <cell r="H184">
            <v>45299</v>
          </cell>
          <cell r="I184">
            <v>0.70000000000000007</v>
          </cell>
          <cell r="J184">
            <v>22.942222222222224</v>
          </cell>
        </row>
        <row r="185">
          <cell r="B185">
            <v>16.149999999999999</v>
          </cell>
          <cell r="C185">
            <v>37.15</v>
          </cell>
          <cell r="D185">
            <v>16.579999999999998</v>
          </cell>
          <cell r="E185">
            <v>6.42</v>
          </cell>
          <cell r="H185">
            <v>45299</v>
          </cell>
          <cell r="I185">
            <v>0.70111111111111124</v>
          </cell>
          <cell r="J185">
            <v>22.658888888888885</v>
          </cell>
        </row>
        <row r="186">
          <cell r="B186">
            <v>14.38</v>
          </cell>
          <cell r="C186">
            <v>38.21</v>
          </cell>
          <cell r="D186">
            <v>16.13</v>
          </cell>
          <cell r="E186">
            <v>6.71</v>
          </cell>
          <cell r="H186">
            <v>45299</v>
          </cell>
          <cell r="I186">
            <v>0.69777777777777783</v>
          </cell>
          <cell r="J186">
            <v>21.896666666666665</v>
          </cell>
        </row>
        <row r="187">
          <cell r="B187">
            <v>16.2</v>
          </cell>
          <cell r="C187">
            <v>41.8</v>
          </cell>
          <cell r="D187">
            <v>16.86</v>
          </cell>
          <cell r="E187">
            <v>7.31</v>
          </cell>
          <cell r="H187">
            <v>45299</v>
          </cell>
          <cell r="I187">
            <v>0.69444444444444442</v>
          </cell>
          <cell r="J187">
            <v>21.105555555555554</v>
          </cell>
        </row>
        <row r="188">
          <cell r="B188">
            <v>15.59</v>
          </cell>
          <cell r="C188">
            <v>46.59</v>
          </cell>
          <cell r="D188">
            <v>16.97</v>
          </cell>
          <cell r="E188">
            <v>6.99</v>
          </cell>
          <cell r="H188">
            <v>45299</v>
          </cell>
          <cell r="I188">
            <v>0.6844444444444443</v>
          </cell>
          <cell r="J188">
            <v>20.43</v>
          </cell>
        </row>
        <row r="189">
          <cell r="B189">
            <v>13.92</v>
          </cell>
          <cell r="C189">
            <v>38.89</v>
          </cell>
          <cell r="D189">
            <v>16.98</v>
          </cell>
          <cell r="E189">
            <v>6.9</v>
          </cell>
          <cell r="H189">
            <v>45299</v>
          </cell>
          <cell r="I189">
            <v>0.67777777777777759</v>
          </cell>
          <cell r="J189">
            <v>19.725555555555555</v>
          </cell>
        </row>
        <row r="190">
          <cell r="B190">
            <v>13.46</v>
          </cell>
          <cell r="C190">
            <v>35.08</v>
          </cell>
          <cell r="D190">
            <v>16.91</v>
          </cell>
          <cell r="E190">
            <v>6.54</v>
          </cell>
          <cell r="H190">
            <v>45299</v>
          </cell>
          <cell r="I190">
            <v>0.67333333333333334</v>
          </cell>
          <cell r="J190">
            <v>19.216666666666665</v>
          </cell>
        </row>
        <row r="191">
          <cell r="B191">
            <v>15.48</v>
          </cell>
          <cell r="C191">
            <v>33.07</v>
          </cell>
          <cell r="D191">
            <v>17.23</v>
          </cell>
          <cell r="E191">
            <v>6.78</v>
          </cell>
          <cell r="H191">
            <v>45299</v>
          </cell>
          <cell r="I191">
            <v>0.6644444444444445</v>
          </cell>
          <cell r="J191">
            <v>19.204444444444441</v>
          </cell>
        </row>
        <row r="192">
          <cell r="B192">
            <v>17.12</v>
          </cell>
          <cell r="C192">
            <v>36.229999999999997</v>
          </cell>
          <cell r="D192">
            <v>16.940000000000001</v>
          </cell>
          <cell r="E192">
            <v>6.65</v>
          </cell>
          <cell r="H192">
            <v>45299</v>
          </cell>
          <cell r="I192">
            <v>0.65666666666666673</v>
          </cell>
          <cell r="J192">
            <v>19.179999999999996</v>
          </cell>
        </row>
        <row r="193">
          <cell r="B193">
            <v>20.13</v>
          </cell>
          <cell r="C193">
            <v>39.81</v>
          </cell>
          <cell r="D193">
            <v>16.77</v>
          </cell>
          <cell r="E193">
            <v>6.54</v>
          </cell>
          <cell r="H193">
            <v>45299</v>
          </cell>
          <cell r="I193">
            <v>0.64333333333333331</v>
          </cell>
          <cell r="J193">
            <v>19.235555555555557</v>
          </cell>
        </row>
        <row r="194">
          <cell r="B194">
            <v>19.64</v>
          </cell>
          <cell r="C194">
            <v>41.45</v>
          </cell>
          <cell r="D194">
            <v>16.95</v>
          </cell>
          <cell r="E194">
            <v>6.39</v>
          </cell>
          <cell r="H194">
            <v>45300</v>
          </cell>
          <cell r="I194">
            <v>0.62888888888888894</v>
          </cell>
          <cell r="J194">
            <v>19.343333333333334</v>
          </cell>
        </row>
        <row r="195">
          <cell r="B195">
            <v>20.27</v>
          </cell>
          <cell r="C195">
            <v>42.71</v>
          </cell>
          <cell r="D195">
            <v>16.75</v>
          </cell>
          <cell r="E195">
            <v>6.52</v>
          </cell>
          <cell r="H195">
            <v>45300</v>
          </cell>
          <cell r="I195">
            <v>0.61444444444444446</v>
          </cell>
          <cell r="J195">
            <v>19.97666666666667</v>
          </cell>
        </row>
        <row r="196">
          <cell r="B196">
            <v>22.63</v>
          </cell>
          <cell r="C196">
            <v>46.88</v>
          </cell>
          <cell r="D196">
            <v>16.84</v>
          </cell>
          <cell r="E196">
            <v>6.36</v>
          </cell>
          <cell r="H196">
            <v>45300</v>
          </cell>
          <cell r="I196">
            <v>0.59333333333333327</v>
          </cell>
          <cell r="J196">
            <v>20.943333333333335</v>
          </cell>
        </row>
        <row r="197">
          <cell r="B197">
            <v>27.43</v>
          </cell>
          <cell r="C197">
            <v>54.88</v>
          </cell>
          <cell r="D197">
            <v>16.87</v>
          </cell>
          <cell r="E197">
            <v>6.82</v>
          </cell>
          <cell r="H197">
            <v>45300</v>
          </cell>
          <cell r="I197">
            <v>0.5722222222222223</v>
          </cell>
          <cell r="J197">
            <v>21.81666666666667</v>
          </cell>
        </row>
        <row r="198">
          <cell r="B198">
            <v>27.6</v>
          </cell>
          <cell r="C198">
            <v>60.13</v>
          </cell>
          <cell r="D198">
            <v>16.559999999999999</v>
          </cell>
          <cell r="E198">
            <v>6.98</v>
          </cell>
          <cell r="H198">
            <v>45300</v>
          </cell>
          <cell r="I198">
            <v>0.54777777777777781</v>
          </cell>
          <cell r="J198">
            <v>22.603333333333335</v>
          </cell>
        </row>
        <row r="199">
          <cell r="B199">
            <v>30.91</v>
          </cell>
          <cell r="C199">
            <v>65</v>
          </cell>
          <cell r="D199">
            <v>16.670000000000002</v>
          </cell>
          <cell r="E199">
            <v>7.08</v>
          </cell>
          <cell r="H199">
            <v>45300</v>
          </cell>
          <cell r="I199">
            <v>0.53111111111111109</v>
          </cell>
          <cell r="J199">
            <v>23.085555555555558</v>
          </cell>
        </row>
        <row r="200">
          <cell r="B200">
            <v>46.59</v>
          </cell>
          <cell r="C200">
            <v>68.17</v>
          </cell>
          <cell r="D200">
            <v>16.78</v>
          </cell>
          <cell r="E200">
            <v>7.15</v>
          </cell>
          <cell r="H200">
            <v>45300</v>
          </cell>
          <cell r="I200">
            <v>0.52222222222222237</v>
          </cell>
          <cell r="J200">
            <v>23.148888888888887</v>
          </cell>
        </row>
        <row r="201">
          <cell r="B201">
            <v>103.63</v>
          </cell>
          <cell r="C201">
            <v>74.97</v>
          </cell>
          <cell r="D201">
            <v>16.79</v>
          </cell>
          <cell r="E201">
            <v>7.17</v>
          </cell>
          <cell r="H201">
            <v>45300</v>
          </cell>
          <cell r="I201">
            <v>0.52888888888888896</v>
          </cell>
          <cell r="J201">
            <v>23.137777777777778</v>
          </cell>
        </row>
        <row r="202">
          <cell r="B202">
            <v>105.44</v>
          </cell>
          <cell r="C202">
            <v>81.7</v>
          </cell>
          <cell r="D202">
            <v>17.16</v>
          </cell>
          <cell r="E202">
            <v>7.03</v>
          </cell>
          <cell r="H202">
            <v>45300</v>
          </cell>
          <cell r="I202">
            <v>0.55222222222222217</v>
          </cell>
          <cell r="J202">
            <v>22.917777777777776</v>
          </cell>
        </row>
        <row r="203">
          <cell r="B203">
            <v>104.52</v>
          </cell>
          <cell r="C203">
            <v>85.04</v>
          </cell>
          <cell r="D203">
            <v>17.170000000000002</v>
          </cell>
          <cell r="E203">
            <v>7.26</v>
          </cell>
          <cell r="H203">
            <v>45300</v>
          </cell>
          <cell r="I203">
            <v>0.58666666666666656</v>
          </cell>
          <cell r="J203">
            <v>22.681111111111111</v>
          </cell>
        </row>
        <row r="204">
          <cell r="B204">
            <v>103.16</v>
          </cell>
          <cell r="C204">
            <v>84.82</v>
          </cell>
          <cell r="D204">
            <v>17.100000000000001</v>
          </cell>
          <cell r="E204">
            <v>7.41</v>
          </cell>
          <cell r="H204">
            <v>45300</v>
          </cell>
          <cell r="I204">
            <v>0.61333333333333329</v>
          </cell>
          <cell r="J204">
            <v>22.807777777777776</v>
          </cell>
        </row>
        <row r="205">
          <cell r="B205">
            <v>97.25</v>
          </cell>
          <cell r="C205">
            <v>73.099999999999994</v>
          </cell>
          <cell r="D205">
            <v>17.37</v>
          </cell>
          <cell r="E205">
            <v>7.52</v>
          </cell>
          <cell r="H205">
            <v>45300</v>
          </cell>
          <cell r="I205">
            <v>0.63</v>
          </cell>
          <cell r="J205">
            <v>22.892222222222223</v>
          </cell>
        </row>
        <row r="206">
          <cell r="B206">
            <v>106.68</v>
          </cell>
          <cell r="C206">
            <v>73.67</v>
          </cell>
          <cell r="D206">
            <v>17.079999999999998</v>
          </cell>
          <cell r="E206">
            <v>7.47</v>
          </cell>
          <cell r="H206">
            <v>45300</v>
          </cell>
          <cell r="I206">
            <v>0.64222222222222225</v>
          </cell>
          <cell r="J206">
            <v>23.233333333333334</v>
          </cell>
        </row>
        <row r="207">
          <cell r="B207">
            <v>108.46</v>
          </cell>
          <cell r="C207">
            <v>74.27</v>
          </cell>
          <cell r="D207">
            <v>16.91</v>
          </cell>
          <cell r="E207">
            <v>7.96</v>
          </cell>
          <cell r="H207">
            <v>45300</v>
          </cell>
          <cell r="I207">
            <v>0.6511111111111112</v>
          </cell>
          <cell r="J207">
            <v>23.638888888888886</v>
          </cell>
        </row>
        <row r="208">
          <cell r="B208">
            <v>108.34</v>
          </cell>
          <cell r="C208">
            <v>71.41</v>
          </cell>
          <cell r="D208">
            <v>16.989999999999998</v>
          </cell>
          <cell r="E208">
            <v>8.42</v>
          </cell>
          <cell r="H208">
            <v>45300</v>
          </cell>
          <cell r="I208">
            <v>0.65666666666666673</v>
          </cell>
          <cell r="J208">
            <v>24.132222222222222</v>
          </cell>
        </row>
        <row r="209">
          <cell r="B209">
            <v>117.4</v>
          </cell>
          <cell r="C209">
            <v>72.89</v>
          </cell>
          <cell r="D209">
            <v>16.97</v>
          </cell>
          <cell r="E209">
            <v>7.66</v>
          </cell>
          <cell r="H209">
            <v>45300</v>
          </cell>
          <cell r="I209">
            <v>0.65777777777777791</v>
          </cell>
          <cell r="J209">
            <v>24.636666666666667</v>
          </cell>
        </row>
        <row r="210">
          <cell r="B210">
            <v>108.68</v>
          </cell>
          <cell r="C210">
            <v>76.75</v>
          </cell>
          <cell r="D210">
            <v>16.91</v>
          </cell>
          <cell r="E210">
            <v>7.72</v>
          </cell>
          <cell r="H210">
            <v>45300</v>
          </cell>
          <cell r="I210">
            <v>0.65</v>
          </cell>
          <cell r="J210">
            <v>25.152222222222221</v>
          </cell>
        </row>
        <row r="211">
          <cell r="B211">
            <v>103.97</v>
          </cell>
          <cell r="C211">
            <v>85.47</v>
          </cell>
          <cell r="D211">
            <v>17.850000000000001</v>
          </cell>
          <cell r="E211">
            <v>7.91</v>
          </cell>
          <cell r="H211">
            <v>45300</v>
          </cell>
          <cell r="I211">
            <v>0.63888888888888884</v>
          </cell>
          <cell r="J211">
            <v>25.8</v>
          </cell>
        </row>
        <row r="212">
          <cell r="B212">
            <v>103.9</v>
          </cell>
          <cell r="C212">
            <v>88.44</v>
          </cell>
          <cell r="D212">
            <v>18.2</v>
          </cell>
          <cell r="E212">
            <v>8.01</v>
          </cell>
          <cell r="H212">
            <v>45300</v>
          </cell>
          <cell r="I212">
            <v>0.62999999999999989</v>
          </cell>
          <cell r="J212">
            <v>26.172222222222221</v>
          </cell>
        </row>
        <row r="213">
          <cell r="B213">
            <v>108.73</v>
          </cell>
          <cell r="C213">
            <v>91.98</v>
          </cell>
          <cell r="D213">
            <v>18.489999999999998</v>
          </cell>
          <cell r="E213">
            <v>7.73</v>
          </cell>
          <cell r="H213">
            <v>45300</v>
          </cell>
          <cell r="I213">
            <v>0.63</v>
          </cell>
          <cell r="J213">
            <v>25.653333333333332</v>
          </cell>
        </row>
        <row r="214">
          <cell r="B214">
            <v>108.41</v>
          </cell>
          <cell r="C214">
            <v>90.62</v>
          </cell>
          <cell r="D214">
            <v>18.57</v>
          </cell>
          <cell r="E214">
            <v>7.59</v>
          </cell>
          <cell r="H214">
            <v>45300</v>
          </cell>
          <cell r="I214">
            <v>0.64111111111111119</v>
          </cell>
          <cell r="J214">
            <v>25.303333333333335</v>
          </cell>
        </row>
        <row r="215">
          <cell r="B215">
            <v>108.36</v>
          </cell>
          <cell r="C215">
            <v>90.33</v>
          </cell>
          <cell r="D215">
            <v>18.489999999999998</v>
          </cell>
          <cell r="E215">
            <v>8.2100000000000009</v>
          </cell>
          <cell r="H215">
            <v>45300</v>
          </cell>
          <cell r="I215">
            <v>0.64666666666666672</v>
          </cell>
          <cell r="J215">
            <v>25.20888888888889</v>
          </cell>
        </row>
        <row r="216">
          <cell r="B216">
            <v>108.81</v>
          </cell>
          <cell r="C216">
            <v>94.82</v>
          </cell>
          <cell r="D216">
            <v>17.95</v>
          </cell>
          <cell r="E216">
            <v>8.07</v>
          </cell>
          <cell r="H216">
            <v>45300</v>
          </cell>
          <cell r="I216">
            <v>0.64888888888888885</v>
          </cell>
          <cell r="J216">
            <v>25.212222222222223</v>
          </cell>
        </row>
        <row r="217">
          <cell r="B217">
            <v>107.38</v>
          </cell>
          <cell r="C217">
            <v>90.93</v>
          </cell>
          <cell r="D217">
            <v>17.7</v>
          </cell>
          <cell r="E217">
            <v>7.75</v>
          </cell>
          <cell r="H217">
            <v>45300</v>
          </cell>
          <cell r="I217">
            <v>0.64333333333333331</v>
          </cell>
          <cell r="J217">
            <v>25.115555555555556</v>
          </cell>
        </row>
        <row r="218">
          <cell r="B218">
            <v>107.07</v>
          </cell>
          <cell r="C218">
            <v>88.06</v>
          </cell>
          <cell r="D218">
            <v>17.350000000000001</v>
          </cell>
          <cell r="E218">
            <v>7.39</v>
          </cell>
          <cell r="H218">
            <v>45301</v>
          </cell>
          <cell r="I218">
            <v>0.63444444444444448</v>
          </cell>
          <cell r="J218">
            <v>25.154444444444447</v>
          </cell>
        </row>
        <row r="219">
          <cell r="B219">
            <v>107.19</v>
          </cell>
          <cell r="C219">
            <v>83.85</v>
          </cell>
          <cell r="D219">
            <v>17.22</v>
          </cell>
          <cell r="E219">
            <v>7.84</v>
          </cell>
          <cell r="H219">
            <v>45301</v>
          </cell>
          <cell r="I219">
            <v>0.62666666666666659</v>
          </cell>
          <cell r="J219">
            <v>25.37777777777778</v>
          </cell>
        </row>
        <row r="220">
          <cell r="B220">
            <v>105.47</v>
          </cell>
          <cell r="C220">
            <v>77.319999999999993</v>
          </cell>
          <cell r="D220">
            <v>16.920000000000002</v>
          </cell>
          <cell r="E220">
            <v>7.88</v>
          </cell>
          <cell r="H220">
            <v>45301</v>
          </cell>
          <cell r="I220">
            <v>0.60888888888888892</v>
          </cell>
          <cell r="J220">
            <v>25.673333333333332</v>
          </cell>
        </row>
        <row r="221">
          <cell r="B221">
            <v>104.13</v>
          </cell>
          <cell r="C221">
            <v>73.7</v>
          </cell>
          <cell r="D221">
            <v>17.16</v>
          </cell>
          <cell r="E221">
            <v>8.11</v>
          </cell>
          <cell r="H221">
            <v>45301</v>
          </cell>
          <cell r="I221">
            <v>0.58111111111111102</v>
          </cell>
          <cell r="J221">
            <v>26.177777777777774</v>
          </cell>
        </row>
        <row r="222">
          <cell r="B222">
            <v>104.6</v>
          </cell>
          <cell r="C222">
            <v>72.400000000000006</v>
          </cell>
          <cell r="D222">
            <v>17.04</v>
          </cell>
          <cell r="E222">
            <v>7.87</v>
          </cell>
          <cell r="H222">
            <v>45301</v>
          </cell>
          <cell r="I222">
            <v>0.55222222222222206</v>
          </cell>
          <cell r="J222">
            <v>26.814444444444444</v>
          </cell>
        </row>
        <row r="223">
          <cell r="B223">
            <v>106.95</v>
          </cell>
          <cell r="C223">
            <v>77.48</v>
          </cell>
          <cell r="D223">
            <v>17.350000000000001</v>
          </cell>
          <cell r="E223">
            <v>7.8</v>
          </cell>
          <cell r="H223">
            <v>45301</v>
          </cell>
          <cell r="I223">
            <v>0.52888888888888896</v>
          </cell>
          <cell r="J223">
            <v>26.92</v>
          </cell>
        </row>
        <row r="224">
          <cell r="B224">
            <v>109</v>
          </cell>
          <cell r="C224">
            <v>81.08</v>
          </cell>
          <cell r="D224">
            <v>17.14</v>
          </cell>
          <cell r="E224">
            <v>7.95</v>
          </cell>
          <cell r="H224">
            <v>45301</v>
          </cell>
          <cell r="I224">
            <v>0.51777777777777778</v>
          </cell>
          <cell r="J224">
            <v>26.499999999999996</v>
          </cell>
        </row>
        <row r="225">
          <cell r="B225">
            <v>114.44</v>
          </cell>
          <cell r="C225">
            <v>84.47</v>
          </cell>
          <cell r="D225">
            <v>18.149999999999999</v>
          </cell>
          <cell r="E225">
            <v>8.4600000000000009</v>
          </cell>
          <cell r="H225">
            <v>45301</v>
          </cell>
          <cell r="I225">
            <v>0.52333333333333332</v>
          </cell>
          <cell r="J225">
            <v>25.703333333333333</v>
          </cell>
        </row>
        <row r="226">
          <cell r="B226">
            <v>115.36</v>
          </cell>
          <cell r="C226">
            <v>89.53</v>
          </cell>
          <cell r="D226">
            <v>18.72</v>
          </cell>
          <cell r="E226">
            <v>9.1</v>
          </cell>
          <cell r="H226">
            <v>45301</v>
          </cell>
          <cell r="I226">
            <v>0.5444444444444444</v>
          </cell>
          <cell r="J226">
            <v>25.292222222222225</v>
          </cell>
        </row>
        <row r="227">
          <cell r="B227">
            <v>113.05</v>
          </cell>
          <cell r="C227">
            <v>87.01</v>
          </cell>
          <cell r="D227">
            <v>18.739999999999998</v>
          </cell>
          <cell r="E227">
            <v>9.5299999999999994</v>
          </cell>
          <cell r="H227">
            <v>45301</v>
          </cell>
          <cell r="I227">
            <v>0.56777777777777783</v>
          </cell>
          <cell r="J227">
            <v>25.194444444444443</v>
          </cell>
        </row>
        <row r="228">
          <cell r="B228">
            <v>101.57</v>
          </cell>
          <cell r="C228">
            <v>79.209999999999994</v>
          </cell>
          <cell r="D228">
            <v>17.89</v>
          </cell>
          <cell r="E228">
            <v>9.43</v>
          </cell>
          <cell r="H228">
            <v>45301</v>
          </cell>
          <cell r="I228">
            <v>0.58111111111111113</v>
          </cell>
          <cell r="J228">
            <v>25.712222222222223</v>
          </cell>
        </row>
        <row r="229">
          <cell r="B229">
            <v>101.95</v>
          </cell>
          <cell r="C229">
            <v>80.27</v>
          </cell>
          <cell r="D229">
            <v>17.41</v>
          </cell>
          <cell r="E229">
            <v>8.7200000000000006</v>
          </cell>
          <cell r="H229">
            <v>45301</v>
          </cell>
          <cell r="I229">
            <v>0.59444444444444444</v>
          </cell>
          <cell r="J229">
            <v>26.261111111111109</v>
          </cell>
        </row>
        <row r="230">
          <cell r="B230">
            <v>102.84</v>
          </cell>
          <cell r="C230">
            <v>81.709999999999994</v>
          </cell>
          <cell r="D230">
            <v>16.87</v>
          </cell>
          <cell r="E230">
            <v>8.23</v>
          </cell>
          <cell r="H230">
            <v>45301</v>
          </cell>
          <cell r="I230">
            <v>0.60444444444444434</v>
          </cell>
          <cell r="J230">
            <v>26.968888888888888</v>
          </cell>
        </row>
        <row r="231">
          <cell r="B231">
            <v>103.8</v>
          </cell>
          <cell r="C231">
            <v>80.09</v>
          </cell>
          <cell r="D231">
            <v>16.79</v>
          </cell>
          <cell r="E231">
            <v>8.01</v>
          </cell>
          <cell r="H231">
            <v>45301</v>
          </cell>
          <cell r="I231">
            <v>0.61555555555555541</v>
          </cell>
          <cell r="J231">
            <v>27.935555555555556</v>
          </cell>
        </row>
        <row r="232">
          <cell r="B232">
            <v>103.2</v>
          </cell>
          <cell r="C232">
            <v>85.58</v>
          </cell>
          <cell r="D232">
            <v>16.920000000000002</v>
          </cell>
          <cell r="E232">
            <v>8.24</v>
          </cell>
          <cell r="H232">
            <v>45301</v>
          </cell>
          <cell r="I232">
            <v>0.62222222222222223</v>
          </cell>
          <cell r="J232">
            <v>29.258888888888887</v>
          </cell>
        </row>
        <row r="233">
          <cell r="B233">
            <v>105</v>
          </cell>
          <cell r="C233">
            <v>88.73</v>
          </cell>
          <cell r="D233">
            <v>16.579999999999998</v>
          </cell>
          <cell r="E233">
            <v>8.9</v>
          </cell>
          <cell r="H233">
            <v>45301</v>
          </cell>
          <cell r="I233">
            <v>0.63444444444444437</v>
          </cell>
          <cell r="J233">
            <v>30.554444444444446</v>
          </cell>
        </row>
        <row r="234">
          <cell r="B234">
            <v>87.8</v>
          </cell>
          <cell r="C234">
            <v>89.36</v>
          </cell>
          <cell r="D234">
            <v>16.45</v>
          </cell>
          <cell r="E234">
            <v>7.96</v>
          </cell>
          <cell r="H234">
            <v>45301</v>
          </cell>
          <cell r="I234">
            <v>0.64333333333333331</v>
          </cell>
          <cell r="J234">
            <v>31.862222222222229</v>
          </cell>
        </row>
        <row r="235">
          <cell r="B235">
            <v>33.090000000000003</v>
          </cell>
          <cell r="C235">
            <v>92.15</v>
          </cell>
          <cell r="D235">
            <v>17.43</v>
          </cell>
          <cell r="E235">
            <v>9.1</v>
          </cell>
          <cell r="H235">
            <v>45301</v>
          </cell>
          <cell r="I235">
            <v>0.64777777777777779</v>
          </cell>
          <cell r="J235">
            <v>32.590000000000003</v>
          </cell>
        </row>
        <row r="236">
          <cell r="B236">
            <v>37.35</v>
          </cell>
          <cell r="C236">
            <v>97.28</v>
          </cell>
          <cell r="D236">
            <v>17.329999999999998</v>
          </cell>
          <cell r="E236">
            <v>9.1</v>
          </cell>
          <cell r="H236">
            <v>45301</v>
          </cell>
          <cell r="I236">
            <v>0.65777777777777779</v>
          </cell>
          <cell r="J236">
            <v>32.81</v>
          </cell>
        </row>
        <row r="237">
          <cell r="B237">
            <v>37.47</v>
          </cell>
          <cell r="C237">
            <v>97.69</v>
          </cell>
          <cell r="D237">
            <v>17.82</v>
          </cell>
          <cell r="E237">
            <v>8.5299999999999994</v>
          </cell>
          <cell r="H237">
            <v>45301</v>
          </cell>
          <cell r="I237">
            <v>0.68</v>
          </cell>
          <cell r="J237">
            <v>32.336666666666673</v>
          </cell>
        </row>
        <row r="238">
          <cell r="B238">
            <v>39.28</v>
          </cell>
          <cell r="C238">
            <v>99.16</v>
          </cell>
          <cell r="D238">
            <v>17.97</v>
          </cell>
          <cell r="E238">
            <v>8.39</v>
          </cell>
          <cell r="H238">
            <v>45301</v>
          </cell>
          <cell r="I238">
            <v>0.70666666666666655</v>
          </cell>
          <cell r="J238">
            <v>32.013333333333335</v>
          </cell>
        </row>
        <row r="239">
          <cell r="B239">
            <v>39.61</v>
          </cell>
          <cell r="C239">
            <v>99.19</v>
          </cell>
          <cell r="D239">
            <v>18.04</v>
          </cell>
          <cell r="E239">
            <v>8.8000000000000007</v>
          </cell>
          <cell r="H239">
            <v>45301</v>
          </cell>
          <cell r="I239">
            <v>0.73111111111111116</v>
          </cell>
          <cell r="J239">
            <v>31.815555555555552</v>
          </cell>
        </row>
        <row r="240">
          <cell r="B240">
            <v>40.159999999999997</v>
          </cell>
          <cell r="C240">
            <v>100.13</v>
          </cell>
          <cell r="D240">
            <v>18</v>
          </cell>
          <cell r="E240">
            <v>8.43</v>
          </cell>
          <cell r="H240">
            <v>45301</v>
          </cell>
          <cell r="I240">
            <v>0.74555555555555553</v>
          </cell>
          <cell r="J240">
            <v>31.654444444444444</v>
          </cell>
        </row>
        <row r="241">
          <cell r="B241">
            <v>39.71</v>
          </cell>
          <cell r="C241">
            <v>98.44</v>
          </cell>
          <cell r="D241">
            <v>17.829999999999998</v>
          </cell>
          <cell r="E241">
            <v>8.64</v>
          </cell>
          <cell r="H241">
            <v>45301</v>
          </cell>
          <cell r="I241">
            <v>0.75333333333333341</v>
          </cell>
          <cell r="J241">
            <v>31.341111111111118</v>
          </cell>
        </row>
        <row r="242">
          <cell r="B242">
            <v>40.11</v>
          </cell>
          <cell r="C242">
            <v>99.75</v>
          </cell>
          <cell r="D242">
            <v>17.649999999999999</v>
          </cell>
          <cell r="E242">
            <v>8.36</v>
          </cell>
          <cell r="H242">
            <v>45302</v>
          </cell>
          <cell r="I242">
            <v>0.74777777777777787</v>
          </cell>
          <cell r="J242">
            <v>31.16</v>
          </cell>
        </row>
        <row r="243">
          <cell r="B243">
            <v>38.659999999999997</v>
          </cell>
          <cell r="C243">
            <v>100.14</v>
          </cell>
          <cell r="D243">
            <v>17.63</v>
          </cell>
          <cell r="E243">
            <v>8.42</v>
          </cell>
          <cell r="H243">
            <v>45302</v>
          </cell>
          <cell r="I243">
            <v>0.73</v>
          </cell>
          <cell r="J243">
            <v>30.995555555555558</v>
          </cell>
        </row>
        <row r="244">
          <cell r="B244">
            <v>38.22</v>
          </cell>
          <cell r="C244">
            <v>99.03</v>
          </cell>
          <cell r="D244">
            <v>17.41</v>
          </cell>
          <cell r="E244">
            <v>8.36</v>
          </cell>
          <cell r="H244">
            <v>45302</v>
          </cell>
          <cell r="I244">
            <v>0.70444444444444454</v>
          </cell>
          <cell r="J244">
            <v>30.943333333333335</v>
          </cell>
        </row>
        <row r="245">
          <cell r="B245">
            <v>37.53</v>
          </cell>
          <cell r="C245">
            <v>94.75</v>
          </cell>
          <cell r="D245">
            <v>17.5</v>
          </cell>
          <cell r="E245">
            <v>8.5500000000000007</v>
          </cell>
          <cell r="H245">
            <v>45302</v>
          </cell>
          <cell r="I245">
            <v>0.67333333333333334</v>
          </cell>
          <cell r="J245">
            <v>31.015555555555554</v>
          </cell>
        </row>
        <row r="246">
          <cell r="B246">
            <v>36.43</v>
          </cell>
          <cell r="C246">
            <v>90.18</v>
          </cell>
          <cell r="D246">
            <v>17.43</v>
          </cell>
          <cell r="E246">
            <v>8.36</v>
          </cell>
          <cell r="H246">
            <v>45302</v>
          </cell>
          <cell r="I246">
            <v>0.64000000000000012</v>
          </cell>
          <cell r="J246">
            <v>30.806666666666665</v>
          </cell>
        </row>
        <row r="247">
          <cell r="B247">
            <v>36.49</v>
          </cell>
          <cell r="C247">
            <v>87.85</v>
          </cell>
          <cell r="D247">
            <v>17.420000000000002</v>
          </cell>
          <cell r="E247">
            <v>8.52</v>
          </cell>
          <cell r="H247">
            <v>45302</v>
          </cell>
          <cell r="I247">
            <v>0.61111111111111116</v>
          </cell>
          <cell r="J247">
            <v>30.027777777777771</v>
          </cell>
        </row>
        <row r="248">
          <cell r="B248">
            <v>37.39</v>
          </cell>
          <cell r="C248">
            <v>91.64</v>
          </cell>
          <cell r="D248">
            <v>17.52</v>
          </cell>
          <cell r="E248">
            <v>8.41</v>
          </cell>
          <cell r="H248">
            <v>45302</v>
          </cell>
          <cell r="I248">
            <v>0.5955555555555555</v>
          </cell>
          <cell r="J248">
            <v>28.855555555555554</v>
          </cell>
        </row>
        <row r="249">
          <cell r="B249">
            <v>40.17</v>
          </cell>
          <cell r="C249">
            <v>104.23</v>
          </cell>
          <cell r="D249">
            <v>17.62</v>
          </cell>
          <cell r="E249">
            <v>8.9</v>
          </cell>
          <cell r="H249">
            <v>45302</v>
          </cell>
          <cell r="I249">
            <v>0.59333333333333327</v>
          </cell>
          <cell r="J249">
            <v>27.647777777777783</v>
          </cell>
        </row>
        <row r="250">
          <cell r="B250">
            <v>41.91</v>
          </cell>
          <cell r="C250">
            <v>109.18</v>
          </cell>
          <cell r="D250">
            <v>17.829999999999998</v>
          </cell>
          <cell r="E250">
            <v>9.1300000000000008</v>
          </cell>
          <cell r="H250">
            <v>45302</v>
          </cell>
          <cell r="I250">
            <v>0.60000000000000009</v>
          </cell>
          <cell r="J250">
            <v>26.820000000000004</v>
          </cell>
        </row>
        <row r="251">
          <cell r="B251">
            <v>36.200000000000003</v>
          </cell>
          <cell r="C251">
            <v>96.16</v>
          </cell>
          <cell r="D251">
            <v>17.62</v>
          </cell>
          <cell r="E251">
            <v>9.5399999999999991</v>
          </cell>
          <cell r="H251">
            <v>45302</v>
          </cell>
          <cell r="I251">
            <v>0.61555555555555563</v>
          </cell>
          <cell r="J251">
            <v>26.614444444444445</v>
          </cell>
        </row>
        <row r="252">
          <cell r="B252">
            <v>33.51</v>
          </cell>
          <cell r="C252">
            <v>79.23</v>
          </cell>
          <cell r="D252">
            <v>17.809999999999999</v>
          </cell>
          <cell r="E252">
            <v>8.67</v>
          </cell>
          <cell r="H252">
            <v>45302</v>
          </cell>
          <cell r="I252">
            <v>0.63777777777777778</v>
          </cell>
          <cell r="J252">
            <v>27.007777777777775</v>
          </cell>
        </row>
        <row r="253">
          <cell r="B253">
            <v>33.14</v>
          </cell>
          <cell r="C253">
            <v>75.92</v>
          </cell>
          <cell r="D253">
            <v>17.82</v>
          </cell>
          <cell r="E253">
            <v>8.6199999999999992</v>
          </cell>
          <cell r="H253">
            <v>45302</v>
          </cell>
          <cell r="I253">
            <v>0.64444444444444438</v>
          </cell>
          <cell r="J253">
            <v>27.748888888888885</v>
          </cell>
        </row>
        <row r="254">
          <cell r="B254">
            <v>31</v>
          </cell>
          <cell r="C254">
            <v>76.819999999999993</v>
          </cell>
          <cell r="D254">
            <v>16.600000000000001</v>
          </cell>
          <cell r="E254">
            <v>8.06</v>
          </cell>
          <cell r="H254">
            <v>45302</v>
          </cell>
          <cell r="I254">
            <v>0.65222222222222215</v>
          </cell>
          <cell r="J254">
            <v>28.718888888888884</v>
          </cell>
        </row>
        <row r="255">
          <cell r="B255">
            <v>45.55</v>
          </cell>
          <cell r="C255">
            <v>78.09</v>
          </cell>
          <cell r="D255">
            <v>16.239999999999998</v>
          </cell>
          <cell r="E255">
            <v>7.41</v>
          </cell>
          <cell r="H255">
            <v>45302</v>
          </cell>
          <cell r="I255">
            <v>0.66777777777777769</v>
          </cell>
          <cell r="J255">
            <v>30.155555555555559</v>
          </cell>
        </row>
        <row r="256">
          <cell r="B256">
            <v>32.33</v>
          </cell>
          <cell r="C256">
            <v>78.900000000000006</v>
          </cell>
          <cell r="D256">
            <v>16.059999999999999</v>
          </cell>
          <cell r="E256">
            <v>7.16</v>
          </cell>
          <cell r="H256">
            <v>45302</v>
          </cell>
          <cell r="I256">
            <v>0.6744444444444444</v>
          </cell>
          <cell r="J256">
            <v>31.828888888888887</v>
          </cell>
        </row>
        <row r="257">
          <cell r="B257">
            <v>42.31</v>
          </cell>
          <cell r="C257">
            <v>85.36</v>
          </cell>
          <cell r="D257">
            <v>15.9</v>
          </cell>
          <cell r="E257">
            <v>7.48</v>
          </cell>
          <cell r="H257">
            <v>45302</v>
          </cell>
          <cell r="I257">
            <v>0.67777777777777759</v>
          </cell>
          <cell r="J257">
            <v>33.778888888888886</v>
          </cell>
        </row>
        <row r="258">
          <cell r="B258">
            <v>36.49</v>
          </cell>
          <cell r="C258">
            <v>88.08</v>
          </cell>
          <cell r="D258">
            <v>16.91</v>
          </cell>
          <cell r="E258">
            <v>7.43</v>
          </cell>
          <cell r="H258">
            <v>45302</v>
          </cell>
          <cell r="I258">
            <v>0.67999999999999994</v>
          </cell>
          <cell r="J258">
            <v>35.286666666666662</v>
          </cell>
        </row>
        <row r="259">
          <cell r="B259">
            <v>41.83</v>
          </cell>
          <cell r="C259">
            <v>95.53</v>
          </cell>
          <cell r="D259">
            <v>16.510000000000002</v>
          </cell>
          <cell r="E259">
            <v>7.39</v>
          </cell>
          <cell r="H259">
            <v>45302</v>
          </cell>
          <cell r="I259">
            <v>0.68555555555555558</v>
          </cell>
          <cell r="J259">
            <v>35.993333333333325</v>
          </cell>
        </row>
        <row r="260">
          <cell r="B260">
            <v>48.79</v>
          </cell>
          <cell r="C260">
            <v>98.82</v>
          </cell>
          <cell r="D260">
            <v>17.21</v>
          </cell>
          <cell r="E260">
            <v>7.24</v>
          </cell>
          <cell r="H260">
            <v>45302</v>
          </cell>
          <cell r="I260">
            <v>0.69888888888888889</v>
          </cell>
          <cell r="J260">
            <v>35.543333333333329</v>
          </cell>
        </row>
        <row r="261">
          <cell r="B261">
            <v>43.19</v>
          </cell>
          <cell r="C261">
            <v>103.9</v>
          </cell>
          <cell r="D261">
            <v>17.32</v>
          </cell>
          <cell r="E261">
            <v>7.4</v>
          </cell>
          <cell r="H261">
            <v>45302</v>
          </cell>
          <cell r="I261">
            <v>0.70444444444444443</v>
          </cell>
          <cell r="J261">
            <v>34.724444444444444</v>
          </cell>
        </row>
        <row r="262">
          <cell r="B262">
            <v>44.08</v>
          </cell>
          <cell r="C262">
            <v>95.12</v>
          </cell>
          <cell r="D262">
            <v>18.190000000000001</v>
          </cell>
          <cell r="E262">
            <v>7.14</v>
          </cell>
          <cell r="H262">
            <v>45302</v>
          </cell>
          <cell r="I262">
            <v>0.72222222222222221</v>
          </cell>
          <cell r="J262">
            <v>33.960000000000008</v>
          </cell>
        </row>
        <row r="263">
          <cell r="B263">
            <v>43.71</v>
          </cell>
          <cell r="C263">
            <v>93.86</v>
          </cell>
          <cell r="D263">
            <v>17.5</v>
          </cell>
          <cell r="E263">
            <v>7</v>
          </cell>
          <cell r="H263">
            <v>45302</v>
          </cell>
          <cell r="I263">
            <v>0.72777777777777775</v>
          </cell>
          <cell r="J263">
            <v>33.153333333333336</v>
          </cell>
        </row>
        <row r="264">
          <cell r="B264">
            <v>40.51</v>
          </cell>
          <cell r="C264">
            <v>90.11</v>
          </cell>
          <cell r="D264">
            <v>16.78</v>
          </cell>
          <cell r="E264">
            <v>6.32</v>
          </cell>
          <cell r="H264">
            <v>45302</v>
          </cell>
          <cell r="I264">
            <v>0.71333333333333337</v>
          </cell>
          <cell r="J264">
            <v>32.30777777777778</v>
          </cell>
        </row>
        <row r="265">
          <cell r="B265">
            <v>38.520000000000003</v>
          </cell>
          <cell r="C265">
            <v>85.64</v>
          </cell>
          <cell r="D265">
            <v>16.34</v>
          </cell>
          <cell r="E265">
            <v>6.29</v>
          </cell>
          <cell r="H265">
            <v>45302</v>
          </cell>
          <cell r="I265">
            <v>0.69111111111111112</v>
          </cell>
          <cell r="J265">
            <v>31.504444444444445</v>
          </cell>
        </row>
        <row r="266">
          <cell r="B266">
            <v>36.92</v>
          </cell>
          <cell r="C266">
            <v>80.63</v>
          </cell>
          <cell r="D266">
            <v>16.05</v>
          </cell>
          <cell r="E266">
            <v>6.21</v>
          </cell>
          <cell r="H266">
            <v>45303</v>
          </cell>
          <cell r="I266">
            <v>0.66555555555555568</v>
          </cell>
          <cell r="J266">
            <v>30.427777777777781</v>
          </cell>
        </row>
        <row r="267">
          <cell r="B267">
            <v>38.08</v>
          </cell>
          <cell r="C267">
            <v>79.42</v>
          </cell>
          <cell r="D267">
            <v>15.66</v>
          </cell>
          <cell r="E267">
            <v>6.86</v>
          </cell>
          <cell r="H267">
            <v>45303</v>
          </cell>
          <cell r="I267">
            <v>0.63666666666666683</v>
          </cell>
          <cell r="J267">
            <v>29.704444444444448</v>
          </cell>
        </row>
        <row r="268">
          <cell r="B268">
            <v>36.159999999999997</v>
          </cell>
          <cell r="C268">
            <v>77.150000000000006</v>
          </cell>
          <cell r="D268">
            <v>15.88</v>
          </cell>
          <cell r="E268">
            <v>6.57</v>
          </cell>
          <cell r="H268">
            <v>45303</v>
          </cell>
          <cell r="I268">
            <v>0.59555555555555573</v>
          </cell>
          <cell r="J268">
            <v>29.443333333333328</v>
          </cell>
        </row>
        <row r="269">
          <cell r="B269">
            <v>32.909999999999997</v>
          </cell>
          <cell r="C269">
            <v>74.19</v>
          </cell>
          <cell r="D269">
            <v>15.76</v>
          </cell>
          <cell r="E269">
            <v>7.53</v>
          </cell>
          <cell r="H269">
            <v>45303</v>
          </cell>
          <cell r="I269">
            <v>0.54444444444444451</v>
          </cell>
          <cell r="J269">
            <v>29.834444444444443</v>
          </cell>
        </row>
        <row r="270">
          <cell r="B270">
            <v>33.68</v>
          </cell>
          <cell r="C270">
            <v>70.64</v>
          </cell>
          <cell r="D270">
            <v>15.59</v>
          </cell>
          <cell r="E270">
            <v>7.44</v>
          </cell>
          <cell r="H270">
            <v>45303</v>
          </cell>
          <cell r="I270">
            <v>0.50444444444444458</v>
          </cell>
          <cell r="J270">
            <v>30.157777777777781</v>
          </cell>
        </row>
        <row r="271">
          <cell r="B271">
            <v>35.46</v>
          </cell>
          <cell r="C271">
            <v>73</v>
          </cell>
          <cell r="D271">
            <v>16.149999999999999</v>
          </cell>
          <cell r="E271">
            <v>7.51</v>
          </cell>
          <cell r="H271">
            <v>45303</v>
          </cell>
          <cell r="I271">
            <v>0.48000000000000004</v>
          </cell>
          <cell r="J271">
            <v>29.998888888888889</v>
          </cell>
        </row>
        <row r="272">
          <cell r="B272">
            <v>36.630000000000003</v>
          </cell>
          <cell r="C272">
            <v>76.650000000000006</v>
          </cell>
          <cell r="D272">
            <v>16.29</v>
          </cell>
          <cell r="E272">
            <v>7.48</v>
          </cell>
          <cell r="H272">
            <v>45303</v>
          </cell>
          <cell r="I272">
            <v>0.47222222222222221</v>
          </cell>
          <cell r="J272">
            <v>29.464444444444446</v>
          </cell>
        </row>
        <row r="273">
          <cell r="B273">
            <v>40.56</v>
          </cell>
          <cell r="C273">
            <v>84.1</v>
          </cell>
          <cell r="D273">
            <v>17</v>
          </cell>
          <cell r="E273">
            <v>7.73</v>
          </cell>
          <cell r="H273">
            <v>45303</v>
          </cell>
          <cell r="I273">
            <v>0.49222222222222228</v>
          </cell>
          <cell r="J273">
            <v>28.853333333333335</v>
          </cell>
        </row>
        <row r="274">
          <cell r="B274">
            <v>44.61</v>
          </cell>
          <cell r="C274">
            <v>96.44</v>
          </cell>
          <cell r="D274">
            <v>17.350000000000001</v>
          </cell>
          <cell r="E274">
            <v>7.45</v>
          </cell>
          <cell r="H274">
            <v>45303</v>
          </cell>
          <cell r="I274">
            <v>0.52444444444444449</v>
          </cell>
          <cell r="J274">
            <v>28.705555555555559</v>
          </cell>
        </row>
        <row r="275">
          <cell r="B275">
            <v>42.32</v>
          </cell>
          <cell r="C275">
            <v>91.54</v>
          </cell>
          <cell r="D275">
            <v>17.510000000000002</v>
          </cell>
          <cell r="E275">
            <v>7.74</v>
          </cell>
          <cell r="H275">
            <v>45303</v>
          </cell>
          <cell r="I275">
            <v>0.55666666666666664</v>
          </cell>
          <cell r="J275">
            <v>29.205555555555559</v>
          </cell>
        </row>
        <row r="276">
          <cell r="B276">
            <v>44.2</v>
          </cell>
          <cell r="C276">
            <v>94.46</v>
          </cell>
          <cell r="D276">
            <v>16.75</v>
          </cell>
          <cell r="E276">
            <v>7.6</v>
          </cell>
          <cell r="H276">
            <v>45303</v>
          </cell>
          <cell r="I276">
            <v>0.58777777777777773</v>
          </cell>
          <cell r="J276">
            <v>30.241111111111113</v>
          </cell>
        </row>
        <row r="277">
          <cell r="B277">
            <v>42.13</v>
          </cell>
          <cell r="C277">
            <v>97.76</v>
          </cell>
          <cell r="D277">
            <v>16.45</v>
          </cell>
          <cell r="E277">
            <v>7.82</v>
          </cell>
          <cell r="H277">
            <v>45303</v>
          </cell>
          <cell r="I277">
            <v>0.6088888888888887</v>
          </cell>
          <cell r="J277">
            <v>31.198888888888892</v>
          </cell>
        </row>
        <row r="278">
          <cell r="B278">
            <v>40.43</v>
          </cell>
          <cell r="C278">
            <v>96.05</v>
          </cell>
          <cell r="D278">
            <v>16.96</v>
          </cell>
          <cell r="E278">
            <v>8.57</v>
          </cell>
          <cell r="H278">
            <v>45303</v>
          </cell>
          <cell r="I278">
            <v>0.62333333333333318</v>
          </cell>
          <cell r="J278">
            <v>32.182222222222222</v>
          </cell>
        </row>
        <row r="279">
          <cell r="B279">
            <v>43.47</v>
          </cell>
          <cell r="C279">
            <v>107.81</v>
          </cell>
          <cell r="D279">
            <v>17.41</v>
          </cell>
          <cell r="E279">
            <v>7.85</v>
          </cell>
          <cell r="H279">
            <v>45303</v>
          </cell>
          <cell r="I279">
            <v>0.63555555555555543</v>
          </cell>
          <cell r="J279">
            <v>33.103333333333332</v>
          </cell>
        </row>
        <row r="280">
          <cell r="B280">
            <v>43.26</v>
          </cell>
          <cell r="C280">
            <v>100.66</v>
          </cell>
          <cell r="D280">
            <v>17.2</v>
          </cell>
          <cell r="E280">
            <v>7.94</v>
          </cell>
          <cell r="H280">
            <v>45303</v>
          </cell>
          <cell r="I280">
            <v>0.64111111111111108</v>
          </cell>
          <cell r="J280">
            <v>34.352222222222224</v>
          </cell>
        </row>
        <row r="281">
          <cell r="B281">
            <v>44.61</v>
          </cell>
          <cell r="C281">
            <v>95.94</v>
          </cell>
          <cell r="D281">
            <v>17.239999999999998</v>
          </cell>
          <cell r="E281">
            <v>8.1</v>
          </cell>
          <cell r="H281">
            <v>45303</v>
          </cell>
          <cell r="I281">
            <v>0.64222222222222214</v>
          </cell>
          <cell r="J281">
            <v>35.705555555555556</v>
          </cell>
        </row>
        <row r="282">
          <cell r="B282">
            <v>47.77</v>
          </cell>
          <cell r="C282">
            <v>95.21</v>
          </cell>
          <cell r="D282">
            <v>17.64</v>
          </cell>
          <cell r="E282">
            <v>7.75</v>
          </cell>
          <cell r="H282">
            <v>45303</v>
          </cell>
          <cell r="I282">
            <v>0.63111111111111107</v>
          </cell>
          <cell r="J282">
            <v>36.647777777777783</v>
          </cell>
        </row>
        <row r="283">
          <cell r="B283">
            <v>46.79</v>
          </cell>
          <cell r="C283">
            <v>95.14</v>
          </cell>
          <cell r="D283">
            <v>18.57</v>
          </cell>
          <cell r="E283">
            <v>8.0500000000000007</v>
          </cell>
          <cell r="H283">
            <v>45303</v>
          </cell>
          <cell r="I283">
            <v>0.62555555555555553</v>
          </cell>
          <cell r="J283">
            <v>37.108888888888892</v>
          </cell>
        </row>
        <row r="284">
          <cell r="B284">
            <v>48.01</v>
          </cell>
          <cell r="C284">
            <v>98.73</v>
          </cell>
          <cell r="D284">
            <v>19.149999999999999</v>
          </cell>
          <cell r="E284">
            <v>8.27</v>
          </cell>
          <cell r="H284">
            <v>45303</v>
          </cell>
          <cell r="I284">
            <v>0.62777777777777777</v>
          </cell>
          <cell r="J284">
            <v>36.716666666666669</v>
          </cell>
        </row>
        <row r="285">
          <cell r="B285">
            <v>52.4</v>
          </cell>
          <cell r="C285">
            <v>105.21</v>
          </cell>
          <cell r="D285">
            <v>19.02</v>
          </cell>
          <cell r="E285">
            <v>8.08</v>
          </cell>
          <cell r="H285">
            <v>45303</v>
          </cell>
          <cell r="I285">
            <v>0.6333333333333333</v>
          </cell>
          <cell r="J285">
            <v>35.905555555555551</v>
          </cell>
        </row>
        <row r="286">
          <cell r="B286">
            <v>54.49</v>
          </cell>
          <cell r="C286">
            <v>107.04</v>
          </cell>
          <cell r="D286">
            <v>19.87</v>
          </cell>
          <cell r="E286">
            <v>7.58</v>
          </cell>
          <cell r="H286">
            <v>45303</v>
          </cell>
          <cell r="I286">
            <v>0.65555555555555556</v>
          </cell>
          <cell r="J286">
            <v>35.252222222222223</v>
          </cell>
        </row>
        <row r="287">
          <cell r="B287">
            <v>56.44</v>
          </cell>
          <cell r="C287">
            <v>110.86</v>
          </cell>
          <cell r="D287">
            <v>19.07</v>
          </cell>
          <cell r="E287">
            <v>7.55</v>
          </cell>
          <cell r="H287">
            <v>45303</v>
          </cell>
          <cell r="I287">
            <v>0.68222222222222229</v>
          </cell>
          <cell r="J287">
            <v>34.742222222222232</v>
          </cell>
        </row>
        <row r="288">
          <cell r="B288">
            <v>58.08</v>
          </cell>
          <cell r="C288">
            <v>113.65</v>
          </cell>
          <cell r="D288">
            <v>19.920000000000002</v>
          </cell>
          <cell r="E288">
            <v>8.1199999999999992</v>
          </cell>
          <cell r="H288">
            <v>45303</v>
          </cell>
          <cell r="I288">
            <v>0.70444444444444443</v>
          </cell>
          <cell r="J288">
            <v>34.571111111111108</v>
          </cell>
        </row>
        <row r="289">
          <cell r="B289">
            <v>60.6</v>
          </cell>
          <cell r="C289">
            <v>118.65</v>
          </cell>
          <cell r="D289">
            <v>19.059999999999999</v>
          </cell>
          <cell r="E289">
            <v>8.43</v>
          </cell>
          <cell r="H289">
            <v>45303</v>
          </cell>
          <cell r="I289">
            <v>0.71444444444444444</v>
          </cell>
          <cell r="J289">
            <v>34.548888888888889</v>
          </cell>
        </row>
        <row r="290">
          <cell r="B290">
            <v>63.8</v>
          </cell>
          <cell r="C290">
            <v>126.44</v>
          </cell>
          <cell r="D290">
            <v>18.43</v>
          </cell>
          <cell r="E290">
            <v>7.82</v>
          </cell>
          <cell r="H290">
            <v>45304</v>
          </cell>
          <cell r="I290">
            <v>0.7155555555555555</v>
          </cell>
          <cell r="J290">
            <v>34.731111111111119</v>
          </cell>
        </row>
        <row r="291">
          <cell r="B291">
            <v>61.49</v>
          </cell>
          <cell r="C291">
            <v>127.61</v>
          </cell>
          <cell r="D291">
            <v>17.989999999999998</v>
          </cell>
          <cell r="E291">
            <v>8.07</v>
          </cell>
          <cell r="H291">
            <v>45304</v>
          </cell>
          <cell r="I291">
            <v>0.71222222222222209</v>
          </cell>
          <cell r="J291">
            <v>35.105555555555561</v>
          </cell>
        </row>
        <row r="292">
          <cell r="B292">
            <v>59.54</v>
          </cell>
          <cell r="C292">
            <v>123.7</v>
          </cell>
          <cell r="D292">
            <v>17.670000000000002</v>
          </cell>
          <cell r="E292">
            <v>8.1</v>
          </cell>
          <cell r="H292">
            <v>45304</v>
          </cell>
          <cell r="I292">
            <v>0.69888888888888878</v>
          </cell>
          <cell r="J292">
            <v>35.548888888888897</v>
          </cell>
        </row>
        <row r="293">
          <cell r="B293">
            <v>58.2</v>
          </cell>
          <cell r="C293">
            <v>119.69</v>
          </cell>
          <cell r="D293">
            <v>17.8</v>
          </cell>
          <cell r="E293">
            <v>8.07</v>
          </cell>
          <cell r="H293">
            <v>45304</v>
          </cell>
          <cell r="I293">
            <v>0.6777777777777777</v>
          </cell>
          <cell r="J293">
            <v>35.995555555555555</v>
          </cell>
        </row>
        <row r="294">
          <cell r="B294">
            <v>59.98</v>
          </cell>
          <cell r="C294">
            <v>112.95</v>
          </cell>
          <cell r="D294">
            <v>17.690000000000001</v>
          </cell>
          <cell r="E294">
            <v>8.1300000000000008</v>
          </cell>
          <cell r="H294">
            <v>45304</v>
          </cell>
          <cell r="I294">
            <v>0.65555555555555556</v>
          </cell>
          <cell r="J294">
            <v>36.104444444444447</v>
          </cell>
        </row>
        <row r="295">
          <cell r="B295">
            <v>55.46</v>
          </cell>
          <cell r="C295">
            <v>108.27</v>
          </cell>
          <cell r="D295">
            <v>18.05</v>
          </cell>
          <cell r="E295">
            <v>8.2899999999999991</v>
          </cell>
          <cell r="H295">
            <v>45304</v>
          </cell>
          <cell r="I295">
            <v>0.63555555555555554</v>
          </cell>
          <cell r="J295">
            <v>35.572222222222223</v>
          </cell>
        </row>
        <row r="296">
          <cell r="B296">
            <v>54.88</v>
          </cell>
          <cell r="C296">
            <v>112.29</v>
          </cell>
          <cell r="D296">
            <v>18.14</v>
          </cell>
          <cell r="E296">
            <v>7.99</v>
          </cell>
          <cell r="H296">
            <v>45304</v>
          </cell>
          <cell r="I296">
            <v>0.62666666666666659</v>
          </cell>
          <cell r="J296">
            <v>34.590000000000003</v>
          </cell>
        </row>
        <row r="297">
          <cell r="B297">
            <v>59.58</v>
          </cell>
          <cell r="C297">
            <v>128.85</v>
          </cell>
          <cell r="D297">
            <v>18.61</v>
          </cell>
          <cell r="E297">
            <v>8.39</v>
          </cell>
          <cell r="H297">
            <v>45304</v>
          </cell>
          <cell r="I297">
            <v>0.62555555555555553</v>
          </cell>
          <cell r="J297">
            <v>33.304444444444442</v>
          </cell>
        </row>
        <row r="298">
          <cell r="B298">
            <v>60.23</v>
          </cell>
          <cell r="C298">
            <v>130.97</v>
          </cell>
          <cell r="D298">
            <v>18.670000000000002</v>
          </cell>
          <cell r="E298">
            <v>8.5500000000000007</v>
          </cell>
          <cell r="H298">
            <v>45304</v>
          </cell>
          <cell r="I298">
            <v>0.63555555555555554</v>
          </cell>
          <cell r="J298">
            <v>32.281111111111116</v>
          </cell>
        </row>
        <row r="299">
          <cell r="B299">
            <v>51.63</v>
          </cell>
          <cell r="C299">
            <v>105.47</v>
          </cell>
          <cell r="D299">
            <v>18.39</v>
          </cell>
          <cell r="E299">
            <v>8.52</v>
          </cell>
          <cell r="H299">
            <v>45304</v>
          </cell>
          <cell r="I299">
            <v>0.65222222222222226</v>
          </cell>
          <cell r="J299">
            <v>31.632222222222222</v>
          </cell>
        </row>
        <row r="300">
          <cell r="B300">
            <v>48.01</v>
          </cell>
          <cell r="C300">
            <v>103.94</v>
          </cell>
          <cell r="D300">
            <v>18.559999999999999</v>
          </cell>
          <cell r="E300">
            <v>8.33</v>
          </cell>
          <cell r="H300">
            <v>45304</v>
          </cell>
          <cell r="I300">
            <v>0.67</v>
          </cell>
          <cell r="J300">
            <v>31.372222222222224</v>
          </cell>
        </row>
        <row r="301">
          <cell r="B301">
            <v>46.6</v>
          </cell>
          <cell r="C301">
            <v>91.4</v>
          </cell>
          <cell r="D301">
            <v>18.149999999999999</v>
          </cell>
          <cell r="E301">
            <v>8.4</v>
          </cell>
          <cell r="H301">
            <v>45304</v>
          </cell>
          <cell r="I301">
            <v>0.67555555555555569</v>
          </cell>
          <cell r="J301">
            <v>31.297777777777778</v>
          </cell>
        </row>
        <row r="302">
          <cell r="B302">
            <v>50.89</v>
          </cell>
          <cell r="C302">
            <v>94.18</v>
          </cell>
          <cell r="D302">
            <v>17.96</v>
          </cell>
          <cell r="E302">
            <v>8.51</v>
          </cell>
          <cell r="H302">
            <v>45304</v>
          </cell>
          <cell r="I302">
            <v>0.68333333333333335</v>
          </cell>
          <cell r="J302">
            <v>31.704444444444448</v>
          </cell>
        </row>
        <row r="303">
          <cell r="B303">
            <v>47.11</v>
          </cell>
          <cell r="C303">
            <v>86.18</v>
          </cell>
          <cell r="D303">
            <v>17.54</v>
          </cell>
          <cell r="E303">
            <v>7.89</v>
          </cell>
          <cell r="H303">
            <v>45304</v>
          </cell>
          <cell r="I303">
            <v>0.69111111111111123</v>
          </cell>
          <cell r="J303">
            <v>32.39</v>
          </cell>
        </row>
        <row r="304">
          <cell r="B304">
            <v>44.21</v>
          </cell>
          <cell r="C304">
            <v>82.77</v>
          </cell>
          <cell r="D304">
            <v>17.489999999999998</v>
          </cell>
          <cell r="E304">
            <v>7.79</v>
          </cell>
          <cell r="H304">
            <v>45304</v>
          </cell>
          <cell r="I304">
            <v>0.69333333333333336</v>
          </cell>
          <cell r="J304">
            <v>33.498888888888892</v>
          </cell>
        </row>
        <row r="305">
          <cell r="B305">
            <v>39.6</v>
          </cell>
          <cell r="C305">
            <v>90.94</v>
          </cell>
          <cell r="D305">
            <v>17.52</v>
          </cell>
          <cell r="E305">
            <v>8.06</v>
          </cell>
          <cell r="H305">
            <v>45304</v>
          </cell>
          <cell r="I305">
            <v>0.68333333333333335</v>
          </cell>
          <cell r="J305">
            <v>34.551111111111112</v>
          </cell>
        </row>
        <row r="306">
          <cell r="B306">
            <v>45.69</v>
          </cell>
          <cell r="C306">
            <v>96.13</v>
          </cell>
          <cell r="D306">
            <v>17.34</v>
          </cell>
          <cell r="E306">
            <v>8.11</v>
          </cell>
          <cell r="H306">
            <v>45304</v>
          </cell>
          <cell r="I306">
            <v>0.67222222222222217</v>
          </cell>
          <cell r="J306">
            <v>35.535555555555554</v>
          </cell>
        </row>
        <row r="307">
          <cell r="B307">
            <v>48.77</v>
          </cell>
          <cell r="C307">
            <v>99.66</v>
          </cell>
          <cell r="D307">
            <v>17.98</v>
          </cell>
          <cell r="E307">
            <v>8.19</v>
          </cell>
          <cell r="H307">
            <v>45304</v>
          </cell>
          <cell r="I307">
            <v>0.6711111111111111</v>
          </cell>
          <cell r="J307">
            <v>35.313333333333333</v>
          </cell>
        </row>
        <row r="308">
          <cell r="B308">
            <v>51.33</v>
          </cell>
          <cell r="C308">
            <v>113</v>
          </cell>
          <cell r="D308">
            <v>18.93</v>
          </cell>
          <cell r="E308">
            <v>8.27</v>
          </cell>
          <cell r="H308">
            <v>45304</v>
          </cell>
          <cell r="I308">
            <v>0.68</v>
          </cell>
          <cell r="J308">
            <v>34.218888888888884</v>
          </cell>
        </row>
        <row r="309">
          <cell r="B309">
            <v>55.28</v>
          </cell>
          <cell r="C309">
            <v>120.77</v>
          </cell>
          <cell r="D309">
            <v>19.29</v>
          </cell>
          <cell r="E309">
            <v>8.52</v>
          </cell>
          <cell r="H309">
            <v>45304</v>
          </cell>
          <cell r="I309">
            <v>0.69333333333333347</v>
          </cell>
          <cell r="J309">
            <v>32.754444444444445</v>
          </cell>
        </row>
        <row r="310">
          <cell r="B310">
            <v>57.16</v>
          </cell>
          <cell r="C310">
            <v>120.02</v>
          </cell>
          <cell r="D310">
            <v>19.36</v>
          </cell>
          <cell r="E310">
            <v>8.0500000000000007</v>
          </cell>
          <cell r="H310">
            <v>45304</v>
          </cell>
          <cell r="I310">
            <v>0.72444444444444445</v>
          </cell>
          <cell r="J310">
            <v>31.343333333333337</v>
          </cell>
        </row>
        <row r="311">
          <cell r="B311">
            <v>59.59</v>
          </cell>
          <cell r="C311">
            <v>126.04</v>
          </cell>
          <cell r="D311">
            <v>18.91</v>
          </cell>
          <cell r="E311">
            <v>8.1</v>
          </cell>
          <cell r="H311">
            <v>45304</v>
          </cell>
          <cell r="I311">
            <v>0.74555555555555553</v>
          </cell>
          <cell r="J311">
            <v>29.964444444444439</v>
          </cell>
        </row>
        <row r="312">
          <cell r="B312">
            <v>59.97</v>
          </cell>
          <cell r="C312">
            <v>132.01</v>
          </cell>
          <cell r="D312">
            <v>18.170000000000002</v>
          </cell>
          <cell r="E312">
            <v>8.44</v>
          </cell>
          <cell r="H312">
            <v>45304</v>
          </cell>
          <cell r="I312">
            <v>0.76444444444444448</v>
          </cell>
          <cell r="J312">
            <v>28.466666666666665</v>
          </cell>
        </row>
        <row r="313">
          <cell r="B313">
            <v>61.34</v>
          </cell>
          <cell r="C313">
            <v>133.43</v>
          </cell>
          <cell r="D313">
            <v>18.12</v>
          </cell>
          <cell r="E313">
            <v>8.52</v>
          </cell>
          <cell r="H313">
            <v>45304</v>
          </cell>
          <cell r="I313">
            <v>0.77666666666666673</v>
          </cell>
          <cell r="J313">
            <v>27.014444444444443</v>
          </cell>
        </row>
        <row r="314">
          <cell r="B314">
            <v>64.03</v>
          </cell>
          <cell r="C314">
            <v>143.63</v>
          </cell>
          <cell r="D314">
            <v>18.079999999999998</v>
          </cell>
          <cell r="E314">
            <v>8.5299999999999994</v>
          </cell>
          <cell r="H314">
            <v>45305</v>
          </cell>
          <cell r="I314">
            <v>0.7844444444444445</v>
          </cell>
          <cell r="J314">
            <v>26.022222222222222</v>
          </cell>
        </row>
        <row r="315">
          <cell r="B315">
            <v>64.66</v>
          </cell>
          <cell r="C315">
            <v>133.37</v>
          </cell>
          <cell r="D315">
            <v>18.13</v>
          </cell>
          <cell r="E315">
            <v>8.3699999999999992</v>
          </cell>
          <cell r="H315">
            <v>45305</v>
          </cell>
          <cell r="I315">
            <v>0.78666666666666663</v>
          </cell>
          <cell r="J315">
            <v>25.223333333333336</v>
          </cell>
        </row>
        <row r="316">
          <cell r="B316">
            <v>65.069999999999993</v>
          </cell>
          <cell r="C316">
            <v>140.75</v>
          </cell>
          <cell r="D316">
            <v>18.05</v>
          </cell>
          <cell r="E316">
            <v>7.7</v>
          </cell>
          <cell r="H316">
            <v>45305</v>
          </cell>
          <cell r="I316">
            <v>0.77666666666666673</v>
          </cell>
          <cell r="J316">
            <v>25.356666666666669</v>
          </cell>
        </row>
        <row r="317">
          <cell r="B317">
            <v>63.88</v>
          </cell>
          <cell r="C317">
            <v>136.4</v>
          </cell>
          <cell r="D317">
            <v>18.14</v>
          </cell>
          <cell r="E317">
            <v>8.1199999999999992</v>
          </cell>
          <cell r="H317">
            <v>45305</v>
          </cell>
          <cell r="I317">
            <v>0.76222222222222213</v>
          </cell>
          <cell r="J317">
            <v>25.844444444444449</v>
          </cell>
        </row>
        <row r="318">
          <cell r="B318">
            <v>63.27</v>
          </cell>
          <cell r="C318">
            <v>139.9</v>
          </cell>
          <cell r="D318">
            <v>18.03</v>
          </cell>
          <cell r="E318">
            <v>8.1300000000000008</v>
          </cell>
          <cell r="H318">
            <v>45305</v>
          </cell>
          <cell r="I318">
            <v>0.74</v>
          </cell>
          <cell r="J318">
            <v>26.381111111111114</v>
          </cell>
        </row>
        <row r="319">
          <cell r="B319">
            <v>71.66</v>
          </cell>
          <cell r="C319">
            <v>160.06</v>
          </cell>
          <cell r="D319">
            <v>17.88</v>
          </cell>
          <cell r="E319">
            <v>8.48</v>
          </cell>
          <cell r="H319">
            <v>45305</v>
          </cell>
          <cell r="I319">
            <v>0.72111111111111104</v>
          </cell>
          <cell r="J319">
            <v>26.558888888888891</v>
          </cell>
        </row>
        <row r="320">
          <cell r="B320">
            <v>75.260000000000005</v>
          </cell>
          <cell r="C320">
            <v>168.74</v>
          </cell>
          <cell r="D320">
            <v>17.79</v>
          </cell>
          <cell r="E320">
            <v>8.43</v>
          </cell>
          <cell r="H320">
            <v>45305</v>
          </cell>
          <cell r="I320">
            <v>0.71666666666666656</v>
          </cell>
          <cell r="J320">
            <v>26.225555555555559</v>
          </cell>
        </row>
        <row r="321">
          <cell r="B321">
            <v>84.01</v>
          </cell>
          <cell r="C321">
            <v>153.6</v>
          </cell>
          <cell r="D321">
            <v>18.14</v>
          </cell>
          <cell r="E321">
            <v>8.31</v>
          </cell>
          <cell r="H321">
            <v>45305</v>
          </cell>
          <cell r="I321">
            <v>0.72111111111111115</v>
          </cell>
          <cell r="J321">
            <v>25.754444444444445</v>
          </cell>
        </row>
        <row r="322">
          <cell r="B322">
            <v>90.74</v>
          </cell>
          <cell r="C322">
            <v>169.02</v>
          </cell>
          <cell r="D322">
            <v>18.14</v>
          </cell>
          <cell r="E322">
            <v>8.42</v>
          </cell>
          <cell r="H322">
            <v>45305</v>
          </cell>
          <cell r="I322">
            <v>0.73333333333333339</v>
          </cell>
          <cell r="J322">
            <v>26.202222222222222</v>
          </cell>
        </row>
        <row r="323">
          <cell r="B323">
            <v>69.5</v>
          </cell>
          <cell r="C323">
            <v>141.28</v>
          </cell>
          <cell r="D323">
            <v>18.010000000000002</v>
          </cell>
          <cell r="E323">
            <v>9.15</v>
          </cell>
          <cell r="H323">
            <v>45305</v>
          </cell>
          <cell r="I323">
            <v>0.74555555555555564</v>
          </cell>
          <cell r="J323">
            <v>27.056666666666665</v>
          </cell>
        </row>
        <row r="324">
          <cell r="B324">
            <v>55.17</v>
          </cell>
          <cell r="C324">
            <v>122.53</v>
          </cell>
          <cell r="D324">
            <v>18.12</v>
          </cell>
          <cell r="E324">
            <v>9.5399999999999991</v>
          </cell>
          <cell r="H324">
            <v>45305</v>
          </cell>
          <cell r="I324">
            <v>0.75555555555555565</v>
          </cell>
          <cell r="J324">
            <v>28.673333333333332</v>
          </cell>
        </row>
        <row r="325">
          <cell r="B325">
            <v>50.48</v>
          </cell>
          <cell r="C325">
            <v>101.69</v>
          </cell>
          <cell r="D325">
            <v>18.100000000000001</v>
          </cell>
          <cell r="E325">
            <v>9.49</v>
          </cell>
          <cell r="H325">
            <v>45305</v>
          </cell>
          <cell r="I325">
            <v>0.76666666666666661</v>
          </cell>
          <cell r="J325">
            <v>30.303333333333335</v>
          </cell>
        </row>
        <row r="326">
          <cell r="B326">
            <v>54.31</v>
          </cell>
          <cell r="C326">
            <v>109.73</v>
          </cell>
          <cell r="D326">
            <v>18.100000000000001</v>
          </cell>
          <cell r="E326">
            <v>9.14</v>
          </cell>
          <cell r="H326">
            <v>45305</v>
          </cell>
          <cell r="I326">
            <v>0.77444444444444427</v>
          </cell>
          <cell r="J326">
            <v>32.157777777777781</v>
          </cell>
        </row>
        <row r="327">
          <cell r="B327">
            <v>57.98</v>
          </cell>
          <cell r="C327">
            <v>102.07</v>
          </cell>
          <cell r="D327">
            <v>17.3</v>
          </cell>
          <cell r="E327">
            <v>8.76</v>
          </cell>
          <cell r="H327">
            <v>45305</v>
          </cell>
          <cell r="I327">
            <v>0.77666666666666651</v>
          </cell>
          <cell r="J327">
            <v>33.541111111111114</v>
          </cell>
        </row>
        <row r="328">
          <cell r="B328">
            <v>55.8</v>
          </cell>
          <cell r="C328">
            <v>98.44</v>
          </cell>
          <cell r="D328">
            <v>18.03</v>
          </cell>
          <cell r="E328">
            <v>8.82</v>
          </cell>
          <cell r="H328">
            <v>45305</v>
          </cell>
          <cell r="I328">
            <v>0.78999999999999992</v>
          </cell>
          <cell r="J328">
            <v>35.478888888888889</v>
          </cell>
        </row>
        <row r="329">
          <cell r="B329">
            <v>49.87</v>
          </cell>
          <cell r="C329">
            <v>99.18</v>
          </cell>
          <cell r="D329">
            <v>18.28</v>
          </cell>
          <cell r="E329">
            <v>9.14</v>
          </cell>
          <cell r="H329">
            <v>45305</v>
          </cell>
          <cell r="I329">
            <v>0.79444444444444451</v>
          </cell>
          <cell r="J329">
            <v>37.784444444444446</v>
          </cell>
        </row>
        <row r="330">
          <cell r="B330">
            <v>48.86</v>
          </cell>
          <cell r="C330">
            <v>93.62</v>
          </cell>
          <cell r="D330">
            <v>17.95</v>
          </cell>
          <cell r="E330">
            <v>8.81</v>
          </cell>
          <cell r="H330">
            <v>45305</v>
          </cell>
          <cell r="I330">
            <v>0.78222222222222215</v>
          </cell>
          <cell r="J330">
            <v>40.277777777777779</v>
          </cell>
        </row>
        <row r="331">
          <cell r="B331">
            <v>48.54</v>
          </cell>
          <cell r="C331">
            <v>100.67</v>
          </cell>
          <cell r="D331">
            <v>18.59</v>
          </cell>
          <cell r="E331">
            <v>8.7200000000000006</v>
          </cell>
          <cell r="H331">
            <v>45305</v>
          </cell>
          <cell r="I331">
            <v>0.77555555555555555</v>
          </cell>
          <cell r="J331">
            <v>41.498888888888892</v>
          </cell>
        </row>
        <row r="332">
          <cell r="B332">
            <v>52.91</v>
          </cell>
          <cell r="C332">
            <v>115.61</v>
          </cell>
          <cell r="D332">
            <v>18.84</v>
          </cell>
          <cell r="E332">
            <v>8.67</v>
          </cell>
          <cell r="H332">
            <v>45305</v>
          </cell>
          <cell r="I332">
            <v>0.79555555555555557</v>
          </cell>
          <cell r="J332">
            <v>41.482222222222227</v>
          </cell>
        </row>
        <row r="333">
          <cell r="B333">
            <v>57.46</v>
          </cell>
          <cell r="C333">
            <v>141.13</v>
          </cell>
          <cell r="D333">
            <v>19.350000000000001</v>
          </cell>
          <cell r="E333">
            <v>9.08</v>
          </cell>
          <cell r="H333">
            <v>45305</v>
          </cell>
          <cell r="I333">
            <v>0.83111111111111091</v>
          </cell>
          <cell r="J333">
            <v>40.43666666666666</v>
          </cell>
        </row>
        <row r="334">
          <cell r="B334">
            <v>63.68</v>
          </cell>
          <cell r="C334">
            <v>151.12</v>
          </cell>
          <cell r="D334">
            <v>19.66</v>
          </cell>
          <cell r="E334">
            <v>9.07</v>
          </cell>
          <cell r="H334">
            <v>45305</v>
          </cell>
          <cell r="I334">
            <v>0.85444444444444445</v>
          </cell>
          <cell r="J334">
            <v>39.345555555555556</v>
          </cell>
        </row>
        <row r="335">
          <cell r="B335">
            <v>59.41</v>
          </cell>
          <cell r="C335">
            <v>137.86000000000001</v>
          </cell>
          <cell r="D335">
            <v>18.989999999999998</v>
          </cell>
          <cell r="E335">
            <v>9.9499999999999993</v>
          </cell>
          <cell r="H335">
            <v>45305</v>
          </cell>
          <cell r="I335">
            <v>0.85999999999999988</v>
          </cell>
          <cell r="J335">
            <v>38.168888888888887</v>
          </cell>
        </row>
        <row r="336">
          <cell r="B336">
            <v>59.51</v>
          </cell>
          <cell r="C336">
            <v>133.33000000000001</v>
          </cell>
          <cell r="D336">
            <v>18.96</v>
          </cell>
          <cell r="E336">
            <v>10</v>
          </cell>
          <cell r="H336">
            <v>45305</v>
          </cell>
          <cell r="I336">
            <v>0.86666666666666659</v>
          </cell>
          <cell r="J336">
            <v>37.764444444444443</v>
          </cell>
        </row>
        <row r="337">
          <cell r="B337">
            <v>60.25</v>
          </cell>
          <cell r="C337">
            <v>129.52000000000001</v>
          </cell>
          <cell r="D337">
            <v>18.7</v>
          </cell>
          <cell r="E337">
            <v>9.4499999999999993</v>
          </cell>
          <cell r="H337">
            <v>45305</v>
          </cell>
          <cell r="I337">
            <v>0.85111111111111104</v>
          </cell>
          <cell r="J337">
            <v>36.929999999999993</v>
          </cell>
        </row>
        <row r="338">
          <cell r="B338">
            <v>62.49</v>
          </cell>
          <cell r="C338">
            <v>140.85</v>
          </cell>
          <cell r="D338">
            <v>18.28</v>
          </cell>
          <cell r="E338">
            <v>9.5</v>
          </cell>
          <cell r="H338">
            <v>45306</v>
          </cell>
          <cell r="I338">
            <v>0.82888888888888901</v>
          </cell>
          <cell r="J338">
            <v>36.231111111111112</v>
          </cell>
        </row>
        <row r="339">
          <cell r="B339">
            <v>63.22</v>
          </cell>
          <cell r="C339">
            <v>145.85</v>
          </cell>
          <cell r="D339">
            <v>18.18</v>
          </cell>
          <cell r="E339">
            <v>9.6300000000000008</v>
          </cell>
          <cell r="H339">
            <v>45306</v>
          </cell>
          <cell r="I339">
            <v>0.81333333333333346</v>
          </cell>
          <cell r="J339">
            <v>35.443333333333335</v>
          </cell>
        </row>
        <row r="340">
          <cell r="B340">
            <v>61.2</v>
          </cell>
          <cell r="C340">
            <v>135.72</v>
          </cell>
          <cell r="D340">
            <v>18.079999999999998</v>
          </cell>
          <cell r="E340">
            <v>9.2200000000000006</v>
          </cell>
          <cell r="H340">
            <v>45306</v>
          </cell>
          <cell r="I340">
            <v>0.79222222222222227</v>
          </cell>
          <cell r="J340">
            <v>34.93888888888889</v>
          </cell>
        </row>
        <row r="341">
          <cell r="B341">
            <v>62.17</v>
          </cell>
          <cell r="C341">
            <v>133.47</v>
          </cell>
          <cell r="D341">
            <v>17.98</v>
          </cell>
          <cell r="E341">
            <v>8.83</v>
          </cell>
          <cell r="H341">
            <v>45306</v>
          </cell>
          <cell r="I341">
            <v>0.75222222222222224</v>
          </cell>
          <cell r="J341">
            <v>34.841111111111118</v>
          </cell>
        </row>
        <row r="342">
          <cell r="B342">
            <v>63.58</v>
          </cell>
          <cell r="C342">
            <v>136.05000000000001</v>
          </cell>
          <cell r="D342">
            <v>18.07</v>
          </cell>
          <cell r="E342">
            <v>8.83</v>
          </cell>
          <cell r="H342">
            <v>45306</v>
          </cell>
          <cell r="I342">
            <v>0.70444444444444465</v>
          </cell>
          <cell r="J342">
            <v>34.746666666666677</v>
          </cell>
        </row>
        <row r="343">
          <cell r="B343">
            <v>65.069999999999993</v>
          </cell>
          <cell r="C343">
            <v>138.69999999999999</v>
          </cell>
          <cell r="D343">
            <v>17.86</v>
          </cell>
          <cell r="E343">
            <v>9.3000000000000007</v>
          </cell>
          <cell r="H343">
            <v>45306</v>
          </cell>
          <cell r="I343">
            <v>0.67444444444444451</v>
          </cell>
          <cell r="J343">
            <v>34.341111111111111</v>
          </cell>
        </row>
        <row r="344">
          <cell r="B344">
            <v>66.47</v>
          </cell>
          <cell r="C344">
            <v>136.47</v>
          </cell>
          <cell r="D344">
            <v>17.91</v>
          </cell>
          <cell r="E344">
            <v>9.5399999999999991</v>
          </cell>
          <cell r="H344">
            <v>45306</v>
          </cell>
          <cell r="I344">
            <v>0.66888888888888887</v>
          </cell>
          <cell r="J344">
            <v>33.713333333333338</v>
          </cell>
        </row>
        <row r="345">
          <cell r="B345">
            <v>66.900000000000006</v>
          </cell>
          <cell r="C345">
            <v>152.05000000000001</v>
          </cell>
          <cell r="D345">
            <v>18.420000000000002</v>
          </cell>
          <cell r="E345">
            <v>9.68</v>
          </cell>
          <cell r="H345">
            <v>45306</v>
          </cell>
          <cell r="I345">
            <v>0.67666666666666664</v>
          </cell>
          <cell r="J345">
            <v>32.655555555555559</v>
          </cell>
        </row>
        <row r="346">
          <cell r="B346">
            <v>62.74</v>
          </cell>
          <cell r="C346">
            <v>171.83</v>
          </cell>
          <cell r="D346">
            <v>18.27</v>
          </cell>
          <cell r="E346">
            <v>9.73</v>
          </cell>
          <cell r="H346">
            <v>45306</v>
          </cell>
          <cell r="I346">
            <v>0.68777777777777771</v>
          </cell>
          <cell r="J346">
            <v>32.588888888888881</v>
          </cell>
        </row>
        <row r="347">
          <cell r="B347">
            <v>56.32</v>
          </cell>
          <cell r="C347">
            <v>115.54</v>
          </cell>
          <cell r="D347">
            <v>18.04</v>
          </cell>
          <cell r="E347">
            <v>10.24</v>
          </cell>
          <cell r="H347">
            <v>45306</v>
          </cell>
          <cell r="I347">
            <v>0.70666666666666655</v>
          </cell>
          <cell r="J347">
            <v>32.784444444444439</v>
          </cell>
        </row>
        <row r="348">
          <cell r="B348">
            <v>56.67</v>
          </cell>
          <cell r="C348">
            <v>130.74</v>
          </cell>
          <cell r="D348">
            <v>18.079999999999998</v>
          </cell>
          <cell r="E348">
            <v>9.74</v>
          </cell>
          <cell r="H348">
            <v>45306</v>
          </cell>
          <cell r="I348">
            <v>0.71777777777777774</v>
          </cell>
          <cell r="J348">
            <v>33.714444444444446</v>
          </cell>
        </row>
        <row r="349">
          <cell r="B349">
            <v>56.98</v>
          </cell>
          <cell r="C349">
            <v>121.1</v>
          </cell>
          <cell r="D349">
            <v>17.73</v>
          </cell>
          <cell r="E349">
            <v>9.5299999999999994</v>
          </cell>
          <cell r="H349">
            <v>45306</v>
          </cell>
          <cell r="I349">
            <v>0.72222222222222221</v>
          </cell>
          <cell r="J349">
            <v>34.838888888888881</v>
          </cell>
        </row>
        <row r="350">
          <cell r="B350">
            <v>54.26</v>
          </cell>
          <cell r="C350">
            <v>117.11</v>
          </cell>
          <cell r="D350">
            <v>17.98</v>
          </cell>
          <cell r="E350">
            <v>9.07</v>
          </cell>
          <cell r="H350">
            <v>45306</v>
          </cell>
          <cell r="I350">
            <v>0.72333333333333338</v>
          </cell>
          <cell r="J350">
            <v>36.128888888888888</v>
          </cell>
        </row>
        <row r="351">
          <cell r="B351">
            <v>46.81</v>
          </cell>
          <cell r="C351">
            <v>94.42</v>
          </cell>
          <cell r="D351">
            <v>17.87</v>
          </cell>
          <cell r="E351">
            <v>8.75</v>
          </cell>
          <cell r="H351">
            <v>45306</v>
          </cell>
          <cell r="I351">
            <v>0.71666666666666667</v>
          </cell>
          <cell r="J351">
            <v>37.838888888888889</v>
          </cell>
        </row>
        <row r="352">
          <cell r="B352">
            <v>42.55</v>
          </cell>
          <cell r="C352">
            <v>90.38</v>
          </cell>
          <cell r="D352">
            <v>17.48</v>
          </cell>
          <cell r="E352">
            <v>8.5399999999999991</v>
          </cell>
          <cell r="H352">
            <v>45306</v>
          </cell>
          <cell r="I352">
            <v>0.70111111111111113</v>
          </cell>
          <cell r="J352">
            <v>39.802222222222227</v>
          </cell>
        </row>
        <row r="353">
          <cell r="B353">
            <v>41.36</v>
          </cell>
          <cell r="C353">
            <v>90.52</v>
          </cell>
          <cell r="D353">
            <v>17.72</v>
          </cell>
          <cell r="E353">
            <v>8.89</v>
          </cell>
          <cell r="H353">
            <v>45306</v>
          </cell>
          <cell r="I353">
            <v>0.68222222222222229</v>
          </cell>
          <cell r="J353">
            <v>41.974444444444444</v>
          </cell>
        </row>
        <row r="354">
          <cell r="B354">
            <v>42.58</v>
          </cell>
          <cell r="C354">
            <v>94.7</v>
          </cell>
          <cell r="D354">
            <v>17.850000000000001</v>
          </cell>
          <cell r="E354">
            <v>8.59</v>
          </cell>
          <cell r="H354">
            <v>45306</v>
          </cell>
          <cell r="I354">
            <v>0.66222222222222227</v>
          </cell>
          <cell r="J354">
            <v>44.127777777777773</v>
          </cell>
        </row>
        <row r="355">
          <cell r="B355">
            <v>43.42</v>
          </cell>
          <cell r="C355">
            <v>98.92</v>
          </cell>
          <cell r="D355">
            <v>17.63</v>
          </cell>
          <cell r="E355">
            <v>9.01</v>
          </cell>
          <cell r="H355">
            <v>45306</v>
          </cell>
          <cell r="I355">
            <v>0.65111111111111108</v>
          </cell>
          <cell r="J355">
            <v>44.507777777777775</v>
          </cell>
        </row>
        <row r="356">
          <cell r="B356">
            <v>47.17</v>
          </cell>
          <cell r="C356">
            <v>128.38</v>
          </cell>
          <cell r="D356">
            <v>18.22</v>
          </cell>
          <cell r="E356">
            <v>8.91</v>
          </cell>
          <cell r="H356">
            <v>45306</v>
          </cell>
          <cell r="I356">
            <v>0.6744444444444444</v>
          </cell>
          <cell r="J356">
            <v>42.722222222222214</v>
          </cell>
        </row>
        <row r="357">
          <cell r="B357">
            <v>59.58</v>
          </cell>
          <cell r="C357">
            <v>170.99</v>
          </cell>
          <cell r="D357">
            <v>18.559999999999999</v>
          </cell>
          <cell r="E357">
            <v>8.5299999999999994</v>
          </cell>
          <cell r="H357">
            <v>45306</v>
          </cell>
          <cell r="I357">
            <v>0.71777777777777785</v>
          </cell>
          <cell r="J357">
            <v>40.566666666666663</v>
          </cell>
        </row>
        <row r="358">
          <cell r="B358">
            <v>58.37</v>
          </cell>
          <cell r="C358">
            <v>152.66</v>
          </cell>
          <cell r="D358">
            <v>18.489999999999998</v>
          </cell>
          <cell r="E358">
            <v>8.69</v>
          </cell>
          <cell r="H358">
            <v>45306</v>
          </cell>
          <cell r="I358">
            <v>0.74222222222222234</v>
          </cell>
          <cell r="J358">
            <v>39.123333333333328</v>
          </cell>
        </row>
        <row r="359">
          <cell r="B359">
            <v>61.18</v>
          </cell>
          <cell r="C359">
            <v>144.94</v>
          </cell>
          <cell r="D359">
            <v>18.100000000000001</v>
          </cell>
          <cell r="E359">
            <v>9.09</v>
          </cell>
          <cell r="H359">
            <v>45306</v>
          </cell>
          <cell r="I359">
            <v>0.74888888888888894</v>
          </cell>
          <cell r="J359">
            <v>37.987777777777779</v>
          </cell>
        </row>
        <row r="360">
          <cell r="B360">
            <v>57.57</v>
          </cell>
          <cell r="C360">
            <v>136.31</v>
          </cell>
          <cell r="D360">
            <v>17.89</v>
          </cell>
          <cell r="E360">
            <v>8.77</v>
          </cell>
          <cell r="H360">
            <v>45306</v>
          </cell>
          <cell r="I360">
            <v>0.75222222222222224</v>
          </cell>
          <cell r="J360">
            <v>36.732222222222227</v>
          </cell>
        </row>
        <row r="361">
          <cell r="B361">
            <v>56.2</v>
          </cell>
          <cell r="C361">
            <v>128.55000000000001</v>
          </cell>
          <cell r="D361">
            <v>17.64</v>
          </cell>
          <cell r="E361">
            <v>9.14</v>
          </cell>
          <cell r="H361">
            <v>45306</v>
          </cell>
          <cell r="I361">
            <v>0.75333333333333341</v>
          </cell>
          <cell r="J361">
            <v>35.573333333333338</v>
          </cell>
        </row>
        <row r="362">
          <cell r="B362">
            <v>61.52</v>
          </cell>
          <cell r="C362">
            <v>137.52000000000001</v>
          </cell>
          <cell r="D362">
            <v>17.489999999999998</v>
          </cell>
          <cell r="E362">
            <v>8.73</v>
          </cell>
          <cell r="H362">
            <v>45307</v>
          </cell>
          <cell r="I362">
            <v>0.74777777777777787</v>
          </cell>
          <cell r="J362">
            <v>34.448888888888895</v>
          </cell>
        </row>
        <row r="363">
          <cell r="B363">
            <v>61.55</v>
          </cell>
          <cell r="C363">
            <v>140.38</v>
          </cell>
          <cell r="D363">
            <v>17.34</v>
          </cell>
          <cell r="E363">
            <v>8.66</v>
          </cell>
          <cell r="H363">
            <v>45307</v>
          </cell>
          <cell r="I363">
            <v>0.73555555555555552</v>
          </cell>
          <cell r="J363">
            <v>33.551111111111112</v>
          </cell>
        </row>
        <row r="364">
          <cell r="B364">
            <v>63.48</v>
          </cell>
          <cell r="C364">
            <v>142.72999999999999</v>
          </cell>
          <cell r="D364">
            <v>17.22</v>
          </cell>
          <cell r="E364">
            <v>8.11</v>
          </cell>
          <cell r="H364">
            <v>45307</v>
          </cell>
          <cell r="I364">
            <v>0.71333333333333337</v>
          </cell>
          <cell r="J364">
            <v>33.303333333333335</v>
          </cell>
        </row>
        <row r="365">
          <cell r="B365">
            <v>59.75</v>
          </cell>
          <cell r="C365">
            <v>130.86000000000001</v>
          </cell>
          <cell r="D365">
            <v>17.23</v>
          </cell>
          <cell r="E365">
            <v>8.02</v>
          </cell>
          <cell r="H365">
            <v>45307</v>
          </cell>
          <cell r="I365">
            <v>0.65777777777777791</v>
          </cell>
          <cell r="J365">
            <v>34.722222222222229</v>
          </cell>
        </row>
        <row r="366">
          <cell r="B366">
            <v>59.34</v>
          </cell>
          <cell r="C366">
            <v>184.13</v>
          </cell>
          <cell r="D366">
            <v>16.96</v>
          </cell>
          <cell r="E366">
            <v>7.96</v>
          </cell>
          <cell r="H366">
            <v>45307</v>
          </cell>
          <cell r="I366">
            <v>0.59444444444444455</v>
          </cell>
          <cell r="J366">
            <v>35.582222222222221</v>
          </cell>
        </row>
        <row r="367">
          <cell r="B367">
            <v>55.84</v>
          </cell>
          <cell r="C367">
            <v>218.17</v>
          </cell>
          <cell r="D367">
            <v>16.899999999999999</v>
          </cell>
          <cell r="E367">
            <v>8.2200000000000006</v>
          </cell>
          <cell r="H367">
            <v>45307</v>
          </cell>
          <cell r="I367">
            <v>0.56111111111111123</v>
          </cell>
          <cell r="J367">
            <v>35.631111111111103</v>
          </cell>
        </row>
        <row r="368">
          <cell r="B368">
            <v>52.87</v>
          </cell>
          <cell r="C368">
            <v>153.63</v>
          </cell>
          <cell r="D368">
            <v>17.25</v>
          </cell>
          <cell r="E368">
            <v>8.77</v>
          </cell>
          <cell r="H368">
            <v>45307</v>
          </cell>
          <cell r="I368">
            <v>0.55222222222222228</v>
          </cell>
          <cell r="J368">
            <v>35.228888888888889</v>
          </cell>
        </row>
        <row r="369">
          <cell r="B369">
            <v>53.46</v>
          </cell>
          <cell r="C369">
            <v>207.22</v>
          </cell>
          <cell r="D369">
            <v>17.420000000000002</v>
          </cell>
          <cell r="E369">
            <v>8.98</v>
          </cell>
          <cell r="H369">
            <v>45307</v>
          </cell>
          <cell r="I369">
            <v>0.55666666666666664</v>
          </cell>
          <cell r="J369">
            <v>34.784444444444446</v>
          </cell>
        </row>
        <row r="370">
          <cell r="B370">
            <v>54.11</v>
          </cell>
          <cell r="C370">
            <v>207.47</v>
          </cell>
          <cell r="D370">
            <v>17.329999999999998</v>
          </cell>
          <cell r="E370">
            <v>8.7200000000000006</v>
          </cell>
          <cell r="H370">
            <v>45307</v>
          </cell>
          <cell r="I370">
            <v>0.5722222222222223</v>
          </cell>
          <cell r="J370">
            <v>34.085555555555551</v>
          </cell>
        </row>
        <row r="371">
          <cell r="B371">
            <v>51.33</v>
          </cell>
          <cell r="C371">
            <v>193.57</v>
          </cell>
          <cell r="D371">
            <v>18.559999999999999</v>
          </cell>
          <cell r="E371">
            <v>9.3699999999999992</v>
          </cell>
          <cell r="H371">
            <v>45307</v>
          </cell>
          <cell r="I371">
            <v>0.59777777777777763</v>
          </cell>
          <cell r="J371">
            <v>34.080000000000005</v>
          </cell>
        </row>
        <row r="372">
          <cell r="B372">
            <v>49.02</v>
          </cell>
          <cell r="C372">
            <v>206.22</v>
          </cell>
          <cell r="D372">
            <v>18.34</v>
          </cell>
          <cell r="E372">
            <v>8.9</v>
          </cell>
          <cell r="H372">
            <v>45307</v>
          </cell>
          <cell r="I372">
            <v>0.61888888888888882</v>
          </cell>
          <cell r="J372">
            <v>34.763333333333335</v>
          </cell>
        </row>
        <row r="373">
          <cell r="B373">
            <v>51.33</v>
          </cell>
          <cell r="C373">
            <v>105.7</v>
          </cell>
          <cell r="D373">
            <v>18.62</v>
          </cell>
          <cell r="E373">
            <v>8.85</v>
          </cell>
          <cell r="H373">
            <v>45307</v>
          </cell>
          <cell r="I373">
            <v>0.64</v>
          </cell>
          <cell r="J373">
            <v>36.795555555555559</v>
          </cell>
        </row>
        <row r="374">
          <cell r="B374">
            <v>48.19</v>
          </cell>
          <cell r="C374">
            <v>104.37</v>
          </cell>
          <cell r="D374">
            <v>20.16</v>
          </cell>
          <cell r="E374">
            <v>9.07</v>
          </cell>
          <cell r="H374">
            <v>45307</v>
          </cell>
          <cell r="I374">
            <v>0.66222222222222227</v>
          </cell>
          <cell r="J374">
            <v>39.314444444444433</v>
          </cell>
        </row>
        <row r="375">
          <cell r="B375">
            <v>48.24</v>
          </cell>
          <cell r="C375">
            <v>107.38</v>
          </cell>
          <cell r="D375">
            <v>18.87</v>
          </cell>
          <cell r="E375">
            <v>8.5</v>
          </cell>
          <cell r="H375">
            <v>45307</v>
          </cell>
          <cell r="I375">
            <v>0.68222222222222229</v>
          </cell>
          <cell r="J375">
            <v>42.122222222222213</v>
          </cell>
        </row>
        <row r="376">
          <cell r="B376">
            <v>44.72</v>
          </cell>
          <cell r="C376">
            <v>107.63</v>
          </cell>
          <cell r="D376">
            <v>18.46</v>
          </cell>
          <cell r="E376">
            <v>7.57</v>
          </cell>
          <cell r="H376">
            <v>45307</v>
          </cell>
          <cell r="I376">
            <v>0.69777777777777783</v>
          </cell>
          <cell r="J376">
            <v>45.087777777777767</v>
          </cell>
        </row>
        <row r="377">
          <cell r="B377">
            <v>46.5</v>
          </cell>
          <cell r="C377">
            <v>116.99</v>
          </cell>
          <cell r="D377">
            <v>18.38</v>
          </cell>
          <cell r="E377">
            <v>7.29</v>
          </cell>
          <cell r="H377">
            <v>45307</v>
          </cell>
          <cell r="I377">
            <v>0.71111111111111114</v>
          </cell>
          <cell r="J377">
            <v>48.726666666666659</v>
          </cell>
        </row>
        <row r="378">
          <cell r="B378">
            <v>47.2</v>
          </cell>
          <cell r="C378">
            <v>110.85</v>
          </cell>
          <cell r="D378">
            <v>18.510000000000002</v>
          </cell>
          <cell r="E378">
            <v>7.39</v>
          </cell>
          <cell r="H378">
            <v>45307</v>
          </cell>
          <cell r="I378">
            <v>0.71888888888888891</v>
          </cell>
          <cell r="J378">
            <v>52.178888888888885</v>
          </cell>
        </row>
        <row r="379">
          <cell r="B379">
            <v>51.19</v>
          </cell>
          <cell r="C379">
            <v>116.53</v>
          </cell>
          <cell r="D379">
            <v>16.97</v>
          </cell>
          <cell r="E379">
            <v>7.4</v>
          </cell>
          <cell r="H379">
            <v>45307</v>
          </cell>
          <cell r="I379">
            <v>0.73333333333333328</v>
          </cell>
          <cell r="J379">
            <v>54.496666666666663</v>
          </cell>
        </row>
        <row r="380">
          <cell r="B380">
            <v>57.18</v>
          </cell>
          <cell r="C380">
            <v>138.01</v>
          </cell>
          <cell r="D380">
            <v>17.95</v>
          </cell>
          <cell r="E380">
            <v>7.76</v>
          </cell>
          <cell r="H380">
            <v>45307</v>
          </cell>
          <cell r="I380">
            <v>0.77555555555555555</v>
          </cell>
          <cell r="J380">
            <v>53.548888888888889</v>
          </cell>
        </row>
        <row r="381">
          <cell r="B381">
            <v>67.34</v>
          </cell>
          <cell r="C381">
            <v>209.28</v>
          </cell>
          <cell r="D381">
            <v>20.010000000000002</v>
          </cell>
          <cell r="E381">
            <v>8.39</v>
          </cell>
          <cell r="H381">
            <v>45307</v>
          </cell>
          <cell r="I381">
            <v>0.88111111111111107</v>
          </cell>
          <cell r="J381">
            <v>51.505555555555553</v>
          </cell>
        </row>
        <row r="382">
          <cell r="B382">
            <v>73.010000000000005</v>
          </cell>
          <cell r="C382">
            <v>215.42</v>
          </cell>
          <cell r="D382">
            <v>20.09</v>
          </cell>
          <cell r="E382">
            <v>8.33</v>
          </cell>
          <cell r="H382">
            <v>45307</v>
          </cell>
          <cell r="I382">
            <v>0.93000000000000016</v>
          </cell>
          <cell r="J382">
            <v>48.68333333333333</v>
          </cell>
        </row>
        <row r="383">
          <cell r="B383">
            <v>58.94</v>
          </cell>
          <cell r="C383">
            <v>141.05000000000001</v>
          </cell>
          <cell r="D383">
            <v>19.2</v>
          </cell>
          <cell r="E383">
            <v>7.83</v>
          </cell>
          <cell r="H383">
            <v>45307</v>
          </cell>
          <cell r="I383">
            <v>0.94</v>
          </cell>
          <cell r="J383">
            <v>46.010000000000005</v>
          </cell>
        </row>
        <row r="384">
          <cell r="B384">
            <v>59.28</v>
          </cell>
          <cell r="C384">
            <v>125.34</v>
          </cell>
          <cell r="D384">
            <v>18.77</v>
          </cell>
          <cell r="E384">
            <v>7.9</v>
          </cell>
          <cell r="H384">
            <v>45307</v>
          </cell>
          <cell r="I384">
            <v>0.94000000000000006</v>
          </cell>
          <cell r="J384">
            <v>43.361111111111107</v>
          </cell>
        </row>
        <row r="385">
          <cell r="B385">
            <v>55.65</v>
          </cell>
          <cell r="C385">
            <v>115.6</v>
          </cell>
          <cell r="D385">
            <v>17.05</v>
          </cell>
          <cell r="E385">
            <v>7.87</v>
          </cell>
          <cell r="H385">
            <v>45307</v>
          </cell>
          <cell r="I385">
            <v>0.93555555555555558</v>
          </cell>
          <cell r="J385">
            <v>40.375555555555557</v>
          </cell>
        </row>
        <row r="386">
          <cell r="B386">
            <v>55.08</v>
          </cell>
          <cell r="C386">
            <v>112.49</v>
          </cell>
          <cell r="D386">
            <v>16.72</v>
          </cell>
          <cell r="E386">
            <v>7.76</v>
          </cell>
          <cell r="H386">
            <v>45308</v>
          </cell>
          <cell r="I386">
            <v>0.91999999999999993</v>
          </cell>
          <cell r="J386">
            <v>37.071111111111115</v>
          </cell>
        </row>
        <row r="387">
          <cell r="B387">
            <v>51.72</v>
          </cell>
          <cell r="C387">
            <v>104.85</v>
          </cell>
          <cell r="D387">
            <v>17.579999999999998</v>
          </cell>
          <cell r="E387">
            <v>7.69</v>
          </cell>
          <cell r="H387">
            <v>45308</v>
          </cell>
          <cell r="I387">
            <v>0.90666666666666651</v>
          </cell>
          <cell r="J387">
            <v>34.270000000000003</v>
          </cell>
        </row>
        <row r="388">
          <cell r="B388">
            <v>48.71</v>
          </cell>
          <cell r="C388">
            <v>104.07</v>
          </cell>
          <cell r="D388">
            <v>17.73</v>
          </cell>
          <cell r="E388">
            <v>7.45</v>
          </cell>
          <cell r="H388">
            <v>45308</v>
          </cell>
          <cell r="I388">
            <v>0.88111111111111118</v>
          </cell>
          <cell r="J388">
            <v>32.446666666666665</v>
          </cell>
        </row>
        <row r="389">
          <cell r="B389">
            <v>48.08</v>
          </cell>
          <cell r="C389">
            <v>103.03</v>
          </cell>
          <cell r="D389">
            <v>17.510000000000002</v>
          </cell>
          <cell r="E389">
            <v>7.54</v>
          </cell>
          <cell r="H389">
            <v>45308</v>
          </cell>
          <cell r="I389">
            <v>0.8222222222222223</v>
          </cell>
          <cell r="J389">
            <v>32.744444444444447</v>
          </cell>
        </row>
        <row r="390">
          <cell r="B390">
            <v>47.63</v>
          </cell>
          <cell r="C390">
            <v>101.11</v>
          </cell>
          <cell r="D390">
            <v>17.649999999999999</v>
          </cell>
          <cell r="E390">
            <v>7.83</v>
          </cell>
          <cell r="H390">
            <v>45308</v>
          </cell>
          <cell r="I390">
            <v>0.70777777777777784</v>
          </cell>
          <cell r="J390">
            <v>33.658888888888896</v>
          </cell>
        </row>
        <row r="391">
          <cell r="B391">
            <v>44.94</v>
          </cell>
          <cell r="C391">
            <v>98.82</v>
          </cell>
          <cell r="D391">
            <v>17.55</v>
          </cell>
          <cell r="E391">
            <v>8.0299999999999994</v>
          </cell>
          <cell r="H391">
            <v>45308</v>
          </cell>
          <cell r="I391">
            <v>0.66111111111111098</v>
          </cell>
          <cell r="J391">
            <v>33.987777777777779</v>
          </cell>
        </row>
        <row r="392">
          <cell r="B392">
            <v>47.34</v>
          </cell>
          <cell r="C392">
            <v>110.33</v>
          </cell>
          <cell r="D392">
            <v>17.62</v>
          </cell>
          <cell r="E392">
            <v>8.2899999999999991</v>
          </cell>
          <cell r="H392">
            <v>45308</v>
          </cell>
          <cell r="I392">
            <v>0.66222222222222216</v>
          </cell>
          <cell r="J392">
            <v>33.223333333333329</v>
          </cell>
        </row>
        <row r="393">
          <cell r="B393">
            <v>55.12</v>
          </cell>
          <cell r="C393">
            <v>120.92</v>
          </cell>
          <cell r="D393">
            <v>17.75</v>
          </cell>
          <cell r="E393">
            <v>8.5500000000000007</v>
          </cell>
          <cell r="H393">
            <v>45308</v>
          </cell>
          <cell r="I393">
            <v>0.67333333333333334</v>
          </cell>
          <cell r="J393">
            <v>32.266666666666666</v>
          </cell>
        </row>
        <row r="394">
          <cell r="B394">
            <v>57.23</v>
          </cell>
          <cell r="C394">
            <v>128.79</v>
          </cell>
          <cell r="D394">
            <v>17.75</v>
          </cell>
          <cell r="E394">
            <v>8.8800000000000008</v>
          </cell>
          <cell r="H394">
            <v>45308</v>
          </cell>
          <cell r="I394">
            <v>0.68777777777777782</v>
          </cell>
          <cell r="J394">
            <v>32.071111111111108</v>
          </cell>
        </row>
        <row r="395">
          <cell r="B395">
            <v>49.35</v>
          </cell>
          <cell r="C395">
            <v>119.45</v>
          </cell>
          <cell r="D395">
            <v>17.73</v>
          </cell>
          <cell r="E395">
            <v>8.6300000000000008</v>
          </cell>
          <cell r="H395">
            <v>45308</v>
          </cell>
          <cell r="I395">
            <v>0.7122222222222222</v>
          </cell>
          <cell r="J395">
            <v>32.203333333333333</v>
          </cell>
        </row>
        <row r="396">
          <cell r="B396">
            <v>47.71</v>
          </cell>
          <cell r="C396">
            <v>103.85</v>
          </cell>
          <cell r="D396">
            <v>17.8</v>
          </cell>
          <cell r="E396">
            <v>8.01</v>
          </cell>
          <cell r="H396">
            <v>45308</v>
          </cell>
          <cell r="I396">
            <v>0.73666666666666658</v>
          </cell>
          <cell r="J396">
            <v>33.272222222222219</v>
          </cell>
        </row>
        <row r="397">
          <cell r="B397">
            <v>49.15</v>
          </cell>
          <cell r="C397">
            <v>104.06</v>
          </cell>
          <cell r="D397">
            <v>16.71</v>
          </cell>
          <cell r="E397">
            <v>7.94</v>
          </cell>
          <cell r="H397">
            <v>45308</v>
          </cell>
          <cell r="I397">
            <v>0.74111111111111105</v>
          </cell>
          <cell r="J397">
            <v>34.446666666666673</v>
          </cell>
        </row>
        <row r="398">
          <cell r="B398">
            <v>51.07</v>
          </cell>
          <cell r="C398">
            <v>112.83</v>
          </cell>
          <cell r="D398">
            <v>16.809999999999999</v>
          </cell>
          <cell r="E398">
            <v>8.2799999999999994</v>
          </cell>
          <cell r="H398">
            <v>45308</v>
          </cell>
          <cell r="I398">
            <v>0.74888888888888894</v>
          </cell>
          <cell r="J398">
            <v>36.674444444444447</v>
          </cell>
        </row>
        <row r="399">
          <cell r="B399">
            <v>48.92</v>
          </cell>
          <cell r="C399">
            <v>110.76</v>
          </cell>
          <cell r="D399">
            <v>16.649999999999999</v>
          </cell>
          <cell r="E399">
            <v>8.15</v>
          </cell>
          <cell r="H399">
            <v>45308</v>
          </cell>
          <cell r="I399">
            <v>0.74888888888888883</v>
          </cell>
          <cell r="J399">
            <v>39.011111111111106</v>
          </cell>
        </row>
        <row r="400">
          <cell r="B400">
            <v>50.77</v>
          </cell>
          <cell r="C400">
            <v>110.48</v>
          </cell>
          <cell r="D400">
            <v>16.75</v>
          </cell>
          <cell r="E400">
            <v>7.78</v>
          </cell>
          <cell r="H400">
            <v>45308</v>
          </cell>
          <cell r="I400">
            <v>0.73777777777777787</v>
          </cell>
          <cell r="J400">
            <v>41.731111111111112</v>
          </cell>
        </row>
        <row r="401">
          <cell r="B401">
            <v>49.78</v>
          </cell>
          <cell r="C401">
            <v>109.6</v>
          </cell>
          <cell r="D401">
            <v>16.600000000000001</v>
          </cell>
          <cell r="E401">
            <v>7.66</v>
          </cell>
          <cell r="H401">
            <v>45308</v>
          </cell>
          <cell r="I401">
            <v>0.7155555555555555</v>
          </cell>
          <cell r="J401">
            <v>44.804444444444442</v>
          </cell>
        </row>
        <row r="402">
          <cell r="B402">
            <v>51.48</v>
          </cell>
          <cell r="C402">
            <v>115.21</v>
          </cell>
          <cell r="D402">
            <v>16.59</v>
          </cell>
          <cell r="E402">
            <v>7.74</v>
          </cell>
          <cell r="H402">
            <v>45308</v>
          </cell>
          <cell r="I402">
            <v>0.70333333333333337</v>
          </cell>
          <cell r="J402">
            <v>47.831111111111113</v>
          </cell>
        </row>
        <row r="403">
          <cell r="B403">
            <v>52.43</v>
          </cell>
          <cell r="C403">
            <v>122.42</v>
          </cell>
          <cell r="D403">
            <v>16.55</v>
          </cell>
          <cell r="E403">
            <v>7.95</v>
          </cell>
          <cell r="H403">
            <v>45308</v>
          </cell>
          <cell r="I403">
            <v>0.7088888888888889</v>
          </cell>
          <cell r="J403">
            <v>49.25</v>
          </cell>
        </row>
        <row r="404">
          <cell r="B404">
            <v>58.13</v>
          </cell>
          <cell r="C404">
            <v>139.71</v>
          </cell>
          <cell r="D404">
            <v>16.32</v>
          </cell>
          <cell r="E404">
            <v>8.16</v>
          </cell>
          <cell r="H404">
            <v>45308</v>
          </cell>
          <cell r="I404">
            <v>0.72333333333333327</v>
          </cell>
          <cell r="J404">
            <v>48.724444444444444</v>
          </cell>
        </row>
        <row r="405">
          <cell r="B405">
            <v>64.62</v>
          </cell>
          <cell r="C405">
            <v>158.93</v>
          </cell>
          <cell r="D405">
            <v>17.239999999999998</v>
          </cell>
          <cell r="E405">
            <v>8.7200000000000006</v>
          </cell>
          <cell r="H405">
            <v>45308</v>
          </cell>
          <cell r="I405">
            <v>0.74222222222222223</v>
          </cell>
          <cell r="J405">
            <v>46.541111111111114</v>
          </cell>
        </row>
        <row r="406">
          <cell r="B406">
            <v>59.92</v>
          </cell>
          <cell r="C406">
            <v>149.32</v>
          </cell>
          <cell r="D406">
            <v>17.05</v>
          </cell>
          <cell r="E406">
            <v>8.5399999999999991</v>
          </cell>
          <cell r="H406">
            <v>45308</v>
          </cell>
          <cell r="I406">
            <v>0.76777777777777767</v>
          </cell>
          <cell r="J406">
            <v>44.955555555555549</v>
          </cell>
        </row>
        <row r="407">
          <cell r="B407">
            <v>55.89</v>
          </cell>
          <cell r="C407">
            <v>132.47999999999999</v>
          </cell>
          <cell r="D407">
            <v>17.149999999999999</v>
          </cell>
          <cell r="E407">
            <v>8.11</v>
          </cell>
          <cell r="H407">
            <v>45308</v>
          </cell>
          <cell r="I407">
            <v>0.78222222222222226</v>
          </cell>
          <cell r="J407">
            <v>42.521111111111104</v>
          </cell>
        </row>
        <row r="408">
          <cell r="B408">
            <v>53.47</v>
          </cell>
          <cell r="C408">
            <v>125.7</v>
          </cell>
          <cell r="D408">
            <v>16.82</v>
          </cell>
          <cell r="E408">
            <v>7.98</v>
          </cell>
          <cell r="H408">
            <v>45308</v>
          </cell>
          <cell r="I408">
            <v>0.78999999999999992</v>
          </cell>
          <cell r="J408">
            <v>39.848888888888879</v>
          </cell>
        </row>
        <row r="409">
          <cell r="B409">
            <v>46.56</v>
          </cell>
          <cell r="C409">
            <v>106.34</v>
          </cell>
          <cell r="D409">
            <v>16.829999999999998</v>
          </cell>
          <cell r="E409">
            <v>7.9</v>
          </cell>
          <cell r="H409">
            <v>45308</v>
          </cell>
          <cell r="I409">
            <v>0.78888888888888886</v>
          </cell>
          <cell r="J409">
            <v>37.147777777777783</v>
          </cell>
        </row>
        <row r="410">
          <cell r="B410">
            <v>42.31</v>
          </cell>
          <cell r="C410">
            <v>103.8</v>
          </cell>
          <cell r="D410">
            <v>16.7</v>
          </cell>
          <cell r="E410">
            <v>7.4</v>
          </cell>
          <cell r="H410">
            <v>45309</v>
          </cell>
          <cell r="I410">
            <v>0.78111111111111109</v>
          </cell>
          <cell r="J410">
            <v>34.516666666666673</v>
          </cell>
        </row>
        <row r="411">
          <cell r="B411">
            <v>41.1</v>
          </cell>
          <cell r="C411">
            <v>94.45</v>
          </cell>
          <cell r="D411">
            <v>16.5</v>
          </cell>
          <cell r="E411">
            <v>7.94</v>
          </cell>
          <cell r="H411">
            <v>45309</v>
          </cell>
          <cell r="I411">
            <v>0.76333333333333331</v>
          </cell>
          <cell r="J411">
            <v>32.024444444444448</v>
          </cell>
        </row>
        <row r="412">
          <cell r="B412">
            <v>41.19</v>
          </cell>
          <cell r="C412">
            <v>89.96</v>
          </cell>
          <cell r="D412">
            <v>16.46</v>
          </cell>
          <cell r="E412">
            <v>8.09</v>
          </cell>
          <cell r="H412">
            <v>45309</v>
          </cell>
          <cell r="I412">
            <v>0.72555555555555551</v>
          </cell>
          <cell r="J412">
            <v>30.517777777777781</v>
          </cell>
        </row>
        <row r="413">
          <cell r="B413">
            <v>38.69</v>
          </cell>
          <cell r="C413">
            <v>85.46</v>
          </cell>
          <cell r="D413">
            <v>16.329999999999998</v>
          </cell>
          <cell r="E413">
            <v>8.2799999999999994</v>
          </cell>
          <cell r="H413">
            <v>45309</v>
          </cell>
          <cell r="I413">
            <v>0.67888888888888888</v>
          </cell>
          <cell r="J413">
            <v>30.259999999999998</v>
          </cell>
        </row>
        <row r="414">
          <cell r="B414">
            <v>42.89</v>
          </cell>
          <cell r="C414">
            <v>85.2</v>
          </cell>
          <cell r="D414">
            <v>16.37</v>
          </cell>
          <cell r="E414">
            <v>8.33</v>
          </cell>
          <cell r="H414">
            <v>45309</v>
          </cell>
          <cell r="I414">
            <v>0.63</v>
          </cell>
          <cell r="J414">
            <v>30.279999999999998</v>
          </cell>
        </row>
        <row r="415">
          <cell r="B415">
            <v>46.73</v>
          </cell>
          <cell r="C415">
            <v>91.29</v>
          </cell>
          <cell r="D415">
            <v>16.3</v>
          </cell>
          <cell r="E415">
            <v>8.32</v>
          </cell>
          <cell r="H415">
            <v>45309</v>
          </cell>
          <cell r="I415">
            <v>0.59888888888888892</v>
          </cell>
          <cell r="J415">
            <v>29.834444444444443</v>
          </cell>
        </row>
        <row r="416">
          <cell r="B416">
            <v>51.95</v>
          </cell>
          <cell r="C416">
            <v>95.21</v>
          </cell>
          <cell r="D416">
            <v>16.239999999999998</v>
          </cell>
          <cell r="E416">
            <v>8.16</v>
          </cell>
          <cell r="H416">
            <v>45309</v>
          </cell>
          <cell r="I416">
            <v>0.57888888888888879</v>
          </cell>
          <cell r="J416">
            <v>29.204444444444441</v>
          </cell>
        </row>
        <row r="417">
          <cell r="B417">
            <v>54.42</v>
          </cell>
          <cell r="C417">
            <v>105.22</v>
          </cell>
          <cell r="D417">
            <v>16.55</v>
          </cell>
          <cell r="E417">
            <v>8.8800000000000008</v>
          </cell>
          <cell r="H417">
            <v>45309</v>
          </cell>
          <cell r="I417">
            <v>0.57777777777777783</v>
          </cell>
          <cell r="J417">
            <v>28.328888888888887</v>
          </cell>
        </row>
        <row r="418">
          <cell r="B418">
            <v>55.87</v>
          </cell>
          <cell r="C418">
            <v>117.26</v>
          </cell>
          <cell r="D418">
            <v>16.600000000000001</v>
          </cell>
          <cell r="E418">
            <v>9.85</v>
          </cell>
          <cell r="H418">
            <v>45309</v>
          </cell>
          <cell r="I418">
            <v>0.59444444444444455</v>
          </cell>
          <cell r="J418">
            <v>27.687777777777775</v>
          </cell>
        </row>
        <row r="419">
          <cell r="B419">
            <v>52.87</v>
          </cell>
          <cell r="C419">
            <v>109.96</v>
          </cell>
          <cell r="D419">
            <v>16.72</v>
          </cell>
          <cell r="E419">
            <v>12.06</v>
          </cell>
          <cell r="H419">
            <v>45309</v>
          </cell>
          <cell r="I419">
            <v>0.6133333333333334</v>
          </cell>
          <cell r="J419">
            <v>27.791111111111107</v>
          </cell>
        </row>
        <row r="420">
          <cell r="B420">
            <v>52.76</v>
          </cell>
          <cell r="C420">
            <v>109.39</v>
          </cell>
          <cell r="D420">
            <v>16.809999999999999</v>
          </cell>
          <cell r="E420">
            <v>12.19</v>
          </cell>
          <cell r="H420">
            <v>45309</v>
          </cell>
          <cell r="I420">
            <v>0.63666666666666671</v>
          </cell>
          <cell r="J420">
            <v>28.893333333333331</v>
          </cell>
        </row>
        <row r="421">
          <cell r="B421">
            <v>47.18</v>
          </cell>
          <cell r="C421">
            <v>105.53</v>
          </cell>
          <cell r="D421">
            <v>16.57</v>
          </cell>
          <cell r="E421">
            <v>11.6</v>
          </cell>
          <cell r="H421">
            <v>45309</v>
          </cell>
          <cell r="I421">
            <v>0.64555555555555566</v>
          </cell>
          <cell r="J421">
            <v>30.557777777777776</v>
          </cell>
        </row>
        <row r="422">
          <cell r="B422">
            <v>43.55</v>
          </cell>
          <cell r="C422">
            <v>103.47</v>
          </cell>
          <cell r="D422">
            <v>16.649999999999999</v>
          </cell>
          <cell r="E422">
            <v>10.32</v>
          </cell>
          <cell r="H422">
            <v>45309</v>
          </cell>
          <cell r="I422">
            <v>0.65444444444444438</v>
          </cell>
          <cell r="J422">
            <v>32.395555555555553</v>
          </cell>
        </row>
        <row r="423">
          <cell r="B423">
            <v>41.75</v>
          </cell>
          <cell r="C423">
            <v>95.43</v>
          </cell>
          <cell r="D423">
            <v>16.399999999999999</v>
          </cell>
          <cell r="E423">
            <v>9.52</v>
          </cell>
          <cell r="H423">
            <v>45309</v>
          </cell>
          <cell r="I423">
            <v>0.65999999999999992</v>
          </cell>
          <cell r="J423">
            <v>34.577777777777776</v>
          </cell>
        </row>
        <row r="424">
          <cell r="B424">
            <v>40.85</v>
          </cell>
          <cell r="C424">
            <v>88.55</v>
          </cell>
          <cell r="D424">
            <v>16.5</v>
          </cell>
          <cell r="E424">
            <v>9.1300000000000008</v>
          </cell>
          <cell r="H424">
            <v>45309</v>
          </cell>
          <cell r="I424">
            <v>0.66222222222222227</v>
          </cell>
          <cell r="J424">
            <v>36.714444444444446</v>
          </cell>
        </row>
        <row r="425">
          <cell r="B425">
            <v>41.35</v>
          </cell>
          <cell r="C425">
            <v>90.27</v>
          </cell>
          <cell r="D425">
            <v>16.54</v>
          </cell>
          <cell r="E425">
            <v>9.02</v>
          </cell>
          <cell r="H425">
            <v>45309</v>
          </cell>
          <cell r="I425">
            <v>0.66222222222222227</v>
          </cell>
          <cell r="J425">
            <v>39.460000000000008</v>
          </cell>
        </row>
        <row r="426">
          <cell r="B426">
            <v>43.66</v>
          </cell>
          <cell r="C426">
            <v>91.94</v>
          </cell>
          <cell r="D426">
            <v>16.2</v>
          </cell>
          <cell r="E426">
            <v>8.5</v>
          </cell>
          <cell r="H426">
            <v>45309</v>
          </cell>
          <cell r="I426">
            <v>0.65555555555555545</v>
          </cell>
          <cell r="J426">
            <v>42.31444444444444</v>
          </cell>
        </row>
        <row r="427">
          <cell r="B427">
            <v>42.88</v>
          </cell>
          <cell r="C427">
            <v>95.08</v>
          </cell>
          <cell r="D427">
            <v>16.52</v>
          </cell>
          <cell r="E427">
            <v>8.64</v>
          </cell>
          <cell r="H427">
            <v>45309</v>
          </cell>
          <cell r="I427">
            <v>0.64555555555555555</v>
          </cell>
          <cell r="J427">
            <v>44.010000000000005</v>
          </cell>
        </row>
        <row r="428">
          <cell r="B428">
            <v>54.43</v>
          </cell>
          <cell r="C428">
            <v>115.76</v>
          </cell>
          <cell r="D428">
            <v>16.920000000000002</v>
          </cell>
          <cell r="E428">
            <v>9.06</v>
          </cell>
          <cell r="H428">
            <v>45309</v>
          </cell>
          <cell r="I428">
            <v>0.68111111111111122</v>
          </cell>
          <cell r="J428">
            <v>43.134444444444448</v>
          </cell>
        </row>
        <row r="429">
          <cell r="B429">
            <v>81.19</v>
          </cell>
          <cell r="C429">
            <v>203</v>
          </cell>
          <cell r="D429">
            <v>17.66</v>
          </cell>
          <cell r="E429">
            <v>9.61</v>
          </cell>
          <cell r="H429">
            <v>45309</v>
          </cell>
          <cell r="I429">
            <v>0.75000000000000011</v>
          </cell>
          <cell r="J429">
            <v>40.644444444444453</v>
          </cell>
        </row>
        <row r="430">
          <cell r="B430">
            <v>80.260000000000005</v>
          </cell>
          <cell r="C430">
            <v>219.1</v>
          </cell>
          <cell r="D430">
            <v>17.579999999999998</v>
          </cell>
          <cell r="E430">
            <v>9.08</v>
          </cell>
          <cell r="H430">
            <v>45309</v>
          </cell>
          <cell r="I430">
            <v>0.81666666666666687</v>
          </cell>
          <cell r="J430">
            <v>37.773333333333333</v>
          </cell>
        </row>
        <row r="431">
          <cell r="B431">
            <v>54.57</v>
          </cell>
          <cell r="C431">
            <v>135.19999999999999</v>
          </cell>
          <cell r="D431">
            <v>17.5</v>
          </cell>
          <cell r="E431">
            <v>8.6999999999999993</v>
          </cell>
          <cell r="H431">
            <v>45309</v>
          </cell>
          <cell r="I431">
            <v>0.85777777777777775</v>
          </cell>
          <cell r="J431">
            <v>35.11333333333333</v>
          </cell>
        </row>
        <row r="432">
          <cell r="B432">
            <v>50.84</v>
          </cell>
          <cell r="C432">
            <v>127.08</v>
          </cell>
          <cell r="D432">
            <v>17.61</v>
          </cell>
          <cell r="E432">
            <v>8.25</v>
          </cell>
          <cell r="H432">
            <v>45309</v>
          </cell>
          <cell r="I432">
            <v>0.87333333333333341</v>
          </cell>
          <cell r="J432">
            <v>32.641111111111108</v>
          </cell>
        </row>
        <row r="433">
          <cell r="B433">
            <v>43.4</v>
          </cell>
          <cell r="C433">
            <v>92</v>
          </cell>
          <cell r="D433">
            <v>17.170000000000002</v>
          </cell>
          <cell r="E433">
            <v>6.83</v>
          </cell>
          <cell r="H433">
            <v>45309</v>
          </cell>
          <cell r="I433">
            <v>0.87555555555555542</v>
          </cell>
          <cell r="J433">
            <v>30.390000000000004</v>
          </cell>
        </row>
        <row r="434">
          <cell r="B434">
            <v>37.49</v>
          </cell>
          <cell r="C434">
            <v>82.1</v>
          </cell>
          <cell r="D434">
            <v>17.09</v>
          </cell>
          <cell r="E434">
            <v>7.29</v>
          </cell>
          <cell r="H434">
            <v>45310</v>
          </cell>
          <cell r="I434">
            <v>0.87111111111111106</v>
          </cell>
          <cell r="J434">
            <v>27.878888888888891</v>
          </cell>
        </row>
        <row r="435">
          <cell r="B435">
            <v>34.42</v>
          </cell>
          <cell r="C435">
            <v>72.52</v>
          </cell>
          <cell r="D435">
            <v>16.75</v>
          </cell>
          <cell r="E435">
            <v>7.49</v>
          </cell>
          <cell r="H435">
            <v>45310</v>
          </cell>
          <cell r="I435">
            <v>0.86444444444444435</v>
          </cell>
          <cell r="J435">
            <v>25.415555555555553</v>
          </cell>
        </row>
        <row r="436">
          <cell r="B436">
            <v>31.83</v>
          </cell>
          <cell r="C436">
            <v>66.39</v>
          </cell>
          <cell r="D436">
            <v>16.600000000000001</v>
          </cell>
          <cell r="E436">
            <v>7.72</v>
          </cell>
          <cell r="H436">
            <v>45310</v>
          </cell>
          <cell r="I436">
            <v>0.85777777777777764</v>
          </cell>
          <cell r="J436">
            <v>23.327777777777776</v>
          </cell>
        </row>
        <row r="437">
          <cell r="B437">
            <v>30.27</v>
          </cell>
          <cell r="C437">
            <v>67.239999999999995</v>
          </cell>
          <cell r="D437">
            <v>16.57</v>
          </cell>
          <cell r="E437">
            <v>7.93</v>
          </cell>
          <cell r="H437">
            <v>45310</v>
          </cell>
          <cell r="I437">
            <v>0.81222222222222218</v>
          </cell>
          <cell r="J437">
            <v>22.989999999999995</v>
          </cell>
        </row>
        <row r="438">
          <cell r="B438">
            <v>31.95</v>
          </cell>
          <cell r="C438">
            <v>67.95</v>
          </cell>
          <cell r="D438">
            <v>16.510000000000002</v>
          </cell>
          <cell r="E438">
            <v>7.92</v>
          </cell>
          <cell r="H438">
            <v>45310</v>
          </cell>
          <cell r="I438">
            <v>0.72777777777777786</v>
          </cell>
          <cell r="J438">
            <v>23.49</v>
          </cell>
        </row>
        <row r="439">
          <cell r="B439">
            <v>32.130000000000003</v>
          </cell>
          <cell r="C439">
            <v>71.02</v>
          </cell>
          <cell r="D439">
            <v>16.489999999999998</v>
          </cell>
          <cell r="E439">
            <v>8.1999999999999993</v>
          </cell>
          <cell r="H439">
            <v>45310</v>
          </cell>
          <cell r="I439">
            <v>0.67</v>
          </cell>
          <cell r="J439">
            <v>23.571111111111108</v>
          </cell>
        </row>
        <row r="440">
          <cell r="B440">
            <v>34.090000000000003</v>
          </cell>
          <cell r="C440">
            <v>75.819999999999993</v>
          </cell>
          <cell r="D440">
            <v>16.39</v>
          </cell>
          <cell r="E440">
            <v>8</v>
          </cell>
          <cell r="H440">
            <v>45310</v>
          </cell>
          <cell r="I440">
            <v>0.64222222222222225</v>
          </cell>
          <cell r="J440">
            <v>23.308888888888887</v>
          </cell>
        </row>
        <row r="441">
          <cell r="B441">
            <v>35.26</v>
          </cell>
          <cell r="C441">
            <v>86.44</v>
          </cell>
          <cell r="D441">
            <v>16.54</v>
          </cell>
          <cell r="E441">
            <v>8.16</v>
          </cell>
          <cell r="H441">
            <v>45310</v>
          </cell>
          <cell r="I441">
            <v>0.64111111111111108</v>
          </cell>
          <cell r="J441">
            <v>22.722222222222218</v>
          </cell>
        </row>
        <row r="442">
          <cell r="B442">
            <v>40.68</v>
          </cell>
          <cell r="C442">
            <v>92.34</v>
          </cell>
          <cell r="D442">
            <v>16.47</v>
          </cell>
          <cell r="E442">
            <v>8.4</v>
          </cell>
          <cell r="H442">
            <v>45310</v>
          </cell>
          <cell r="I442">
            <v>0.65444444444444438</v>
          </cell>
          <cell r="J442">
            <v>22.284444444444446</v>
          </cell>
        </row>
        <row r="443">
          <cell r="B443">
            <v>38.64</v>
          </cell>
          <cell r="C443">
            <v>93.73</v>
          </cell>
          <cell r="D443">
            <v>16.54</v>
          </cell>
          <cell r="E443">
            <v>8.69</v>
          </cell>
          <cell r="H443">
            <v>45310</v>
          </cell>
          <cell r="I443">
            <v>0.67222222222222217</v>
          </cell>
          <cell r="J443">
            <v>22.345555555555553</v>
          </cell>
        </row>
        <row r="444">
          <cell r="B444">
            <v>37.1</v>
          </cell>
          <cell r="C444">
            <v>92.55</v>
          </cell>
          <cell r="D444">
            <v>16.420000000000002</v>
          </cell>
          <cell r="E444">
            <v>9.4</v>
          </cell>
          <cell r="H444">
            <v>45310</v>
          </cell>
          <cell r="I444">
            <v>0.70222222222222219</v>
          </cell>
          <cell r="J444">
            <v>23.411111111111111</v>
          </cell>
        </row>
        <row r="445">
          <cell r="B445">
            <v>36.18</v>
          </cell>
          <cell r="C445">
            <v>87.17</v>
          </cell>
          <cell r="D445">
            <v>16.46</v>
          </cell>
          <cell r="E445">
            <v>9.3000000000000007</v>
          </cell>
          <cell r="H445">
            <v>45310</v>
          </cell>
          <cell r="I445">
            <v>0.71111111111111103</v>
          </cell>
          <cell r="J445">
            <v>25.793333333333333</v>
          </cell>
        </row>
        <row r="446">
          <cell r="B446">
            <v>31.15</v>
          </cell>
          <cell r="C446">
            <v>74.88</v>
          </cell>
          <cell r="D446">
            <v>17.32</v>
          </cell>
          <cell r="E446">
            <v>7.49</v>
          </cell>
          <cell r="H446">
            <v>45310</v>
          </cell>
          <cell r="I446">
            <v>0.71999999999999986</v>
          </cell>
          <cell r="J446">
            <v>28.533333333333328</v>
          </cell>
        </row>
        <row r="447">
          <cell r="B447">
            <v>33.090000000000003</v>
          </cell>
          <cell r="C447">
            <v>77.739999999999995</v>
          </cell>
          <cell r="D447">
            <v>16.71</v>
          </cell>
          <cell r="E447">
            <v>8.02</v>
          </cell>
          <cell r="H447">
            <v>45310</v>
          </cell>
          <cell r="I447">
            <v>0.72333333333333316</v>
          </cell>
          <cell r="J447">
            <v>31.14</v>
          </cell>
        </row>
        <row r="448">
          <cell r="B448">
            <v>32.28</v>
          </cell>
          <cell r="C448">
            <v>79.67</v>
          </cell>
          <cell r="D448">
            <v>16.45</v>
          </cell>
          <cell r="E448">
            <v>8.86</v>
          </cell>
          <cell r="H448">
            <v>45310</v>
          </cell>
          <cell r="I448">
            <v>0.7188888888888888</v>
          </cell>
          <cell r="J448">
            <v>34.153333333333336</v>
          </cell>
        </row>
        <row r="449">
          <cell r="B449">
            <v>34.92</v>
          </cell>
          <cell r="C449">
            <v>84.88</v>
          </cell>
          <cell r="D449">
            <v>16.13</v>
          </cell>
          <cell r="E449">
            <v>8.98</v>
          </cell>
          <cell r="H449">
            <v>45310</v>
          </cell>
          <cell r="I449">
            <v>0.70777777777777784</v>
          </cell>
          <cell r="J449">
            <v>37.167777777777786</v>
          </cell>
        </row>
        <row r="450">
          <cell r="B450">
            <v>37.92</v>
          </cell>
          <cell r="C450">
            <v>91.74</v>
          </cell>
          <cell r="D450">
            <v>16.940000000000001</v>
          </cell>
          <cell r="E450">
            <v>9.14</v>
          </cell>
          <cell r="H450">
            <v>45310</v>
          </cell>
          <cell r="I450">
            <v>0.69777777777777783</v>
          </cell>
          <cell r="J450">
            <v>39.643333333333338</v>
          </cell>
        </row>
        <row r="451">
          <cell r="B451">
            <v>39.82</v>
          </cell>
          <cell r="C451">
            <v>106.53</v>
          </cell>
          <cell r="D451">
            <v>17.190000000000001</v>
          </cell>
          <cell r="E451">
            <v>9.83</v>
          </cell>
          <cell r="H451">
            <v>45310</v>
          </cell>
          <cell r="I451">
            <v>0.70111111111111113</v>
          </cell>
          <cell r="J451">
            <v>41.128888888888888</v>
          </cell>
        </row>
        <row r="452">
          <cell r="B452">
            <v>43.89</v>
          </cell>
          <cell r="C452">
            <v>112.22</v>
          </cell>
          <cell r="D452">
            <v>17.899999999999999</v>
          </cell>
          <cell r="E452">
            <v>12.51</v>
          </cell>
          <cell r="H452">
            <v>45310</v>
          </cell>
          <cell r="I452">
            <v>0.72222222222222221</v>
          </cell>
          <cell r="J452">
            <v>41.06444444444444</v>
          </cell>
        </row>
        <row r="453">
          <cell r="B453">
            <v>47.45</v>
          </cell>
          <cell r="C453">
            <v>130.56</v>
          </cell>
          <cell r="D453">
            <v>18.09</v>
          </cell>
          <cell r="E453">
            <v>9.15</v>
          </cell>
          <cell r="H453">
            <v>45310</v>
          </cell>
          <cell r="I453">
            <v>0.73555555555555552</v>
          </cell>
          <cell r="J453">
            <v>39.840000000000003</v>
          </cell>
        </row>
        <row r="454">
          <cell r="B454">
            <v>43.09</v>
          </cell>
          <cell r="C454">
            <v>116.23</v>
          </cell>
          <cell r="D454">
            <v>18.04</v>
          </cell>
          <cell r="E454">
            <v>8.34</v>
          </cell>
          <cell r="H454">
            <v>45310</v>
          </cell>
          <cell r="I454">
            <v>0.7533333333333333</v>
          </cell>
          <cell r="J454">
            <v>38.46</v>
          </cell>
        </row>
        <row r="455">
          <cell r="B455">
            <v>44.4</v>
          </cell>
          <cell r="C455">
            <v>112.21</v>
          </cell>
          <cell r="D455">
            <v>17.46</v>
          </cell>
          <cell r="E455">
            <v>8.4700000000000006</v>
          </cell>
          <cell r="H455">
            <v>45310</v>
          </cell>
          <cell r="I455">
            <v>0.7566666666666666</v>
          </cell>
          <cell r="J455">
            <v>36.968888888888891</v>
          </cell>
        </row>
        <row r="456">
          <cell r="B456">
            <v>49.31</v>
          </cell>
          <cell r="C456">
            <v>104.24</v>
          </cell>
          <cell r="D456">
            <v>17.940000000000001</v>
          </cell>
          <cell r="E456">
            <v>8.4600000000000009</v>
          </cell>
          <cell r="H456">
            <v>45310</v>
          </cell>
          <cell r="I456">
            <v>0.76444444444444437</v>
          </cell>
          <cell r="J456">
            <v>35.637777777777778</v>
          </cell>
        </row>
        <row r="457">
          <cell r="B457">
            <v>47.6</v>
          </cell>
          <cell r="C457">
            <v>104.5</v>
          </cell>
          <cell r="D457">
            <v>17.71</v>
          </cell>
          <cell r="E457">
            <v>8.8800000000000008</v>
          </cell>
          <cell r="H457">
            <v>45310</v>
          </cell>
          <cell r="I457">
            <v>0.7599999999999999</v>
          </cell>
          <cell r="J457">
            <v>34.446666666666673</v>
          </cell>
        </row>
        <row r="458">
          <cell r="B458">
            <v>50.51</v>
          </cell>
          <cell r="C458">
            <v>104.49</v>
          </cell>
          <cell r="D458">
            <v>17.41</v>
          </cell>
          <cell r="E458">
            <v>8.31</v>
          </cell>
          <cell r="H458">
            <v>45311</v>
          </cell>
          <cell r="I458">
            <v>0.75222222222222213</v>
          </cell>
          <cell r="J458">
            <v>33.525555555555556</v>
          </cell>
        </row>
        <row r="459">
          <cell r="B459">
            <v>43.7</v>
          </cell>
          <cell r="C459">
            <v>101.19</v>
          </cell>
          <cell r="D459">
            <v>17.579999999999998</v>
          </cell>
          <cell r="E459">
            <v>8.58</v>
          </cell>
          <cell r="H459">
            <v>45311</v>
          </cell>
          <cell r="I459">
            <v>0.74222222222222223</v>
          </cell>
          <cell r="J459">
            <v>32.954444444444441</v>
          </cell>
        </row>
        <row r="460">
          <cell r="B460">
            <v>44.43</v>
          </cell>
          <cell r="C460">
            <v>100.2</v>
          </cell>
          <cell r="D460">
            <v>17.78</v>
          </cell>
          <cell r="E460">
            <v>8.85</v>
          </cell>
          <cell r="H460">
            <v>45311</v>
          </cell>
          <cell r="I460">
            <v>0.71555555555555539</v>
          </cell>
          <cell r="J460">
            <v>32.925555555555555</v>
          </cell>
        </row>
        <row r="461">
          <cell r="B461">
            <v>44.16</v>
          </cell>
          <cell r="C461">
            <v>95.23</v>
          </cell>
          <cell r="D461">
            <v>17.899999999999999</v>
          </cell>
          <cell r="E461">
            <v>8.65</v>
          </cell>
          <cell r="H461">
            <v>45311</v>
          </cell>
          <cell r="I461">
            <v>0.66666666666666652</v>
          </cell>
          <cell r="J461">
            <v>33.893333333333331</v>
          </cell>
        </row>
        <row r="462">
          <cell r="B462">
            <v>45.75</v>
          </cell>
          <cell r="C462">
            <v>89.88</v>
          </cell>
          <cell r="D462">
            <v>17.93</v>
          </cell>
          <cell r="E462">
            <v>8.18</v>
          </cell>
          <cell r="H462">
            <v>45311</v>
          </cell>
          <cell r="I462">
            <v>0.62111111111111106</v>
          </cell>
          <cell r="J462">
            <v>34.79</v>
          </cell>
        </row>
        <row r="463">
          <cell r="B463">
            <v>45.02</v>
          </cell>
          <cell r="C463">
            <v>92.32</v>
          </cell>
          <cell r="D463">
            <v>17.850000000000001</v>
          </cell>
          <cell r="E463">
            <v>8.26</v>
          </cell>
          <cell r="H463">
            <v>45311</v>
          </cell>
          <cell r="I463">
            <v>0.60000000000000009</v>
          </cell>
          <cell r="J463">
            <v>34.687777777777782</v>
          </cell>
        </row>
        <row r="464">
          <cell r="B464">
            <v>41.33</v>
          </cell>
          <cell r="C464">
            <v>93.32</v>
          </cell>
          <cell r="D464">
            <v>17.86</v>
          </cell>
          <cell r="E464">
            <v>8.27</v>
          </cell>
          <cell r="H464">
            <v>45311</v>
          </cell>
          <cell r="I464">
            <v>0.6</v>
          </cell>
          <cell r="J464">
            <v>33.963333333333338</v>
          </cell>
        </row>
        <row r="465">
          <cell r="B465">
            <v>41.5</v>
          </cell>
          <cell r="C465">
            <v>98.1</v>
          </cell>
          <cell r="D465">
            <v>18</v>
          </cell>
          <cell r="E465">
            <v>8.94</v>
          </cell>
          <cell r="H465">
            <v>45311</v>
          </cell>
          <cell r="I465">
            <v>0.60555555555555551</v>
          </cell>
          <cell r="J465">
            <v>33.084444444444451</v>
          </cell>
        </row>
        <row r="466">
          <cell r="B466">
            <v>43.34</v>
          </cell>
          <cell r="C466">
            <v>99.84</v>
          </cell>
          <cell r="D466">
            <v>17.97</v>
          </cell>
          <cell r="E466">
            <v>9.65</v>
          </cell>
          <cell r="H466">
            <v>45311</v>
          </cell>
          <cell r="I466">
            <v>0.62444444444444436</v>
          </cell>
          <cell r="J466">
            <v>32.371111111111112</v>
          </cell>
        </row>
        <row r="467">
          <cell r="B467">
            <v>35.21</v>
          </cell>
          <cell r="C467">
            <v>94.77</v>
          </cell>
          <cell r="D467">
            <v>18.11</v>
          </cell>
          <cell r="E467">
            <v>9.7200000000000006</v>
          </cell>
          <cell r="H467">
            <v>45311</v>
          </cell>
          <cell r="I467">
            <v>0.64444444444444438</v>
          </cell>
          <cell r="J467">
            <v>32.087777777777781</v>
          </cell>
        </row>
        <row r="468">
          <cell r="B468">
            <v>34.25</v>
          </cell>
          <cell r="C468">
            <v>90.58</v>
          </cell>
          <cell r="D468">
            <v>16.579999999999998</v>
          </cell>
          <cell r="E468">
            <v>9.91</v>
          </cell>
          <cell r="H468">
            <v>45311</v>
          </cell>
          <cell r="I468">
            <v>0.67333333333333334</v>
          </cell>
          <cell r="J468">
            <v>32.614444444444445</v>
          </cell>
        </row>
        <row r="469">
          <cell r="B469">
            <v>34.69</v>
          </cell>
          <cell r="C469">
            <v>85.42</v>
          </cell>
          <cell r="D469">
            <v>16.86</v>
          </cell>
          <cell r="E469">
            <v>8.92</v>
          </cell>
          <cell r="H469">
            <v>45311</v>
          </cell>
          <cell r="I469">
            <v>0.72</v>
          </cell>
          <cell r="J469">
            <v>33.418888888888887</v>
          </cell>
        </row>
        <row r="470">
          <cell r="B470">
            <v>35.61</v>
          </cell>
          <cell r="C470">
            <v>81.28</v>
          </cell>
          <cell r="D470">
            <v>16.13</v>
          </cell>
          <cell r="E470">
            <v>8.6999999999999993</v>
          </cell>
          <cell r="H470">
            <v>45311</v>
          </cell>
          <cell r="I470">
            <v>0.73222222222222222</v>
          </cell>
          <cell r="J470">
            <v>34.623333333333335</v>
          </cell>
        </row>
        <row r="471">
          <cell r="B471">
            <v>35.07</v>
          </cell>
          <cell r="C471">
            <v>79.02</v>
          </cell>
          <cell r="D471">
            <v>16.3</v>
          </cell>
          <cell r="E471">
            <v>8.2799999999999994</v>
          </cell>
          <cell r="H471">
            <v>45311</v>
          </cell>
          <cell r="I471">
            <v>0.74111111111111105</v>
          </cell>
          <cell r="J471">
            <v>36.317777777777778</v>
          </cell>
        </row>
        <row r="472">
          <cell r="B472">
            <v>32.6</v>
          </cell>
          <cell r="C472">
            <v>78.81</v>
          </cell>
          <cell r="D472">
            <v>15.94</v>
          </cell>
          <cell r="E472">
            <v>7.53</v>
          </cell>
          <cell r="H472">
            <v>45311</v>
          </cell>
          <cell r="I472">
            <v>0.74222222222222223</v>
          </cell>
          <cell r="J472">
            <v>38.335555555555544</v>
          </cell>
        </row>
        <row r="473">
          <cell r="B473">
            <v>33.68</v>
          </cell>
          <cell r="C473">
            <v>84.4</v>
          </cell>
          <cell r="D473">
            <v>17.329999999999998</v>
          </cell>
          <cell r="E473">
            <v>7.54</v>
          </cell>
          <cell r="H473">
            <v>45311</v>
          </cell>
          <cell r="I473">
            <v>0.72666666666666668</v>
          </cell>
          <cell r="J473">
            <v>40.276666666666664</v>
          </cell>
        </row>
        <row r="474">
          <cell r="B474">
            <v>40.020000000000003</v>
          </cell>
          <cell r="C474">
            <v>99.58</v>
          </cell>
          <cell r="D474">
            <v>17.11</v>
          </cell>
          <cell r="E474">
            <v>7.37</v>
          </cell>
          <cell r="H474">
            <v>45311</v>
          </cell>
          <cell r="I474">
            <v>0.71777777777777774</v>
          </cell>
          <cell r="J474">
            <v>42.254444444444438</v>
          </cell>
        </row>
        <row r="475">
          <cell r="B475">
            <v>45.37</v>
          </cell>
          <cell r="C475">
            <v>107.24</v>
          </cell>
          <cell r="D475">
            <v>17.239999999999998</v>
          </cell>
          <cell r="E475">
            <v>8.0299999999999994</v>
          </cell>
          <cell r="H475">
            <v>45311</v>
          </cell>
          <cell r="I475">
            <v>0.71777777777777763</v>
          </cell>
          <cell r="J475">
            <v>43.121111111111105</v>
          </cell>
        </row>
        <row r="476">
          <cell r="B476">
            <v>47.67</v>
          </cell>
          <cell r="C476">
            <v>122.61</v>
          </cell>
          <cell r="D476">
            <v>17.559999999999999</v>
          </cell>
          <cell r="E476">
            <v>9.08</v>
          </cell>
          <cell r="H476">
            <v>45311</v>
          </cell>
          <cell r="I476">
            <v>0.73999999999999988</v>
          </cell>
          <cell r="J476">
            <v>42.392222222222216</v>
          </cell>
        </row>
        <row r="477">
          <cell r="B477">
            <v>48.27</v>
          </cell>
          <cell r="C477">
            <v>126.21</v>
          </cell>
          <cell r="D477">
            <v>17.54</v>
          </cell>
          <cell r="E477">
            <v>9.5500000000000007</v>
          </cell>
          <cell r="H477">
            <v>45311</v>
          </cell>
          <cell r="I477">
            <v>0.75222222222222213</v>
          </cell>
          <cell r="J477">
            <v>40.71</v>
          </cell>
        </row>
        <row r="478">
          <cell r="B478">
            <v>42.19</v>
          </cell>
          <cell r="C478">
            <v>110.04</v>
          </cell>
          <cell r="D478">
            <v>17.93</v>
          </cell>
          <cell r="E478">
            <v>8.02</v>
          </cell>
          <cell r="H478">
            <v>45311</v>
          </cell>
          <cell r="I478">
            <v>0.73777777777777775</v>
          </cell>
          <cell r="J478">
            <v>39.225555555555566</v>
          </cell>
        </row>
        <row r="479">
          <cell r="B479">
            <v>40.159999999999997</v>
          </cell>
          <cell r="C479">
            <v>103.59</v>
          </cell>
          <cell r="D479">
            <v>17.62</v>
          </cell>
          <cell r="E479">
            <v>8.2799999999999994</v>
          </cell>
          <cell r="H479">
            <v>45311</v>
          </cell>
          <cell r="I479">
            <v>0.74888888888888883</v>
          </cell>
          <cell r="J479">
            <v>37.222222222222214</v>
          </cell>
        </row>
        <row r="480">
          <cell r="B480">
            <v>40.049999999999997</v>
          </cell>
          <cell r="C480">
            <v>95.19</v>
          </cell>
          <cell r="D480">
            <v>17.7</v>
          </cell>
          <cell r="E480">
            <v>8.06</v>
          </cell>
          <cell r="H480">
            <v>45311</v>
          </cell>
          <cell r="I480">
            <v>0.75111111111111106</v>
          </cell>
          <cell r="J480">
            <v>35.010000000000005</v>
          </cell>
        </row>
        <row r="481">
          <cell r="B481">
            <v>38.68</v>
          </cell>
          <cell r="C481">
            <v>88</v>
          </cell>
          <cell r="D481">
            <v>17.559999999999999</v>
          </cell>
          <cell r="E481">
            <v>7.68</v>
          </cell>
          <cell r="H481">
            <v>45311</v>
          </cell>
          <cell r="I481">
            <v>0.7433333333333334</v>
          </cell>
          <cell r="J481">
            <v>32.597777777777779</v>
          </cell>
        </row>
        <row r="482">
          <cell r="B482">
            <v>37.06</v>
          </cell>
          <cell r="C482">
            <v>82.06</v>
          </cell>
          <cell r="D482">
            <v>17.170000000000002</v>
          </cell>
          <cell r="E482">
            <v>8.17</v>
          </cell>
          <cell r="H482">
            <v>45312</v>
          </cell>
          <cell r="I482">
            <v>0.74111111111111105</v>
          </cell>
          <cell r="J482">
            <v>31.152222222222221</v>
          </cell>
        </row>
        <row r="483">
          <cell r="B483">
            <v>37.32</v>
          </cell>
          <cell r="C483">
            <v>83.72</v>
          </cell>
          <cell r="D483">
            <v>17.32</v>
          </cell>
          <cell r="E483">
            <v>7.86</v>
          </cell>
          <cell r="H483">
            <v>45312</v>
          </cell>
          <cell r="I483">
            <v>0.72888888888888892</v>
          </cell>
          <cell r="J483">
            <v>29.887777777777771</v>
          </cell>
        </row>
        <row r="484">
          <cell r="B484">
            <v>39.869999999999997</v>
          </cell>
          <cell r="C484">
            <v>86.56</v>
          </cell>
          <cell r="D484">
            <v>17.440000000000001</v>
          </cell>
          <cell r="E484">
            <v>7.86</v>
          </cell>
          <cell r="H484">
            <v>45312</v>
          </cell>
          <cell r="I484">
            <v>0.70777777777777784</v>
          </cell>
          <cell r="J484">
            <v>29.303333333333335</v>
          </cell>
        </row>
        <row r="485">
          <cell r="B485">
            <v>41.71</v>
          </cell>
          <cell r="C485">
            <v>86.47</v>
          </cell>
          <cell r="D485">
            <v>17.53</v>
          </cell>
          <cell r="E485">
            <v>7.96</v>
          </cell>
          <cell r="H485">
            <v>45312</v>
          </cell>
          <cell r="I485">
            <v>0.67000000000000015</v>
          </cell>
          <cell r="J485">
            <v>29.709999999999997</v>
          </cell>
        </row>
        <row r="486">
          <cell r="B486">
            <v>41.53</v>
          </cell>
          <cell r="C486">
            <v>86.81</v>
          </cell>
          <cell r="D486">
            <v>17.420000000000002</v>
          </cell>
          <cell r="E486">
            <v>7.65</v>
          </cell>
          <cell r="H486">
            <v>45312</v>
          </cell>
          <cell r="I486">
            <v>0.63444444444444448</v>
          </cell>
          <cell r="J486">
            <v>30.240000000000002</v>
          </cell>
        </row>
        <row r="487">
          <cell r="B487">
            <v>41.29</v>
          </cell>
          <cell r="C487">
            <v>87.19</v>
          </cell>
          <cell r="D487">
            <v>17.32</v>
          </cell>
          <cell r="E487">
            <v>8.0500000000000007</v>
          </cell>
          <cell r="H487">
            <v>45312</v>
          </cell>
          <cell r="I487">
            <v>0.61555555555555552</v>
          </cell>
          <cell r="J487">
            <v>30.128888888888884</v>
          </cell>
        </row>
        <row r="488">
          <cell r="B488">
            <v>40.76</v>
          </cell>
          <cell r="C488">
            <v>88.21</v>
          </cell>
          <cell r="D488">
            <v>17.39</v>
          </cell>
          <cell r="E488">
            <v>8.0299999999999994</v>
          </cell>
          <cell r="H488">
            <v>45312</v>
          </cell>
          <cell r="I488">
            <v>0.61333333333333329</v>
          </cell>
          <cell r="J488">
            <v>29.978888888888889</v>
          </cell>
        </row>
        <row r="489">
          <cell r="B489">
            <v>41.4</v>
          </cell>
          <cell r="C489">
            <v>95.45</v>
          </cell>
          <cell r="D489">
            <v>17.25</v>
          </cell>
          <cell r="E489">
            <v>7.96</v>
          </cell>
          <cell r="H489">
            <v>45312</v>
          </cell>
          <cell r="I489">
            <v>0.61999999999999988</v>
          </cell>
          <cell r="J489">
            <v>29.712222222222223</v>
          </cell>
        </row>
        <row r="490">
          <cell r="B490">
            <v>46.13</v>
          </cell>
          <cell r="C490">
            <v>107.07</v>
          </cell>
          <cell r="D490">
            <v>17.48</v>
          </cell>
          <cell r="E490">
            <v>7.63</v>
          </cell>
          <cell r="H490">
            <v>45312</v>
          </cell>
          <cell r="I490">
            <v>0.63222222222222213</v>
          </cell>
          <cell r="J490">
            <v>30.125555555555554</v>
          </cell>
        </row>
        <row r="491">
          <cell r="B491">
            <v>40.58</v>
          </cell>
          <cell r="C491">
            <v>105.37</v>
          </cell>
          <cell r="D491">
            <v>17.59</v>
          </cell>
          <cell r="E491">
            <v>8.32</v>
          </cell>
          <cell r="H491">
            <v>45312</v>
          </cell>
          <cell r="I491">
            <v>0.64666666666666672</v>
          </cell>
          <cell r="J491">
            <v>30.692222222222224</v>
          </cell>
        </row>
        <row r="492">
          <cell r="B492">
            <v>35</v>
          </cell>
          <cell r="C492">
            <v>98.72</v>
          </cell>
          <cell r="D492">
            <v>17.600000000000001</v>
          </cell>
          <cell r="E492">
            <v>8.3000000000000007</v>
          </cell>
          <cell r="H492">
            <v>45312</v>
          </cell>
          <cell r="I492">
            <v>0.65666666666666673</v>
          </cell>
          <cell r="J492">
            <v>31.37222222222222</v>
          </cell>
        </row>
        <row r="493">
          <cell r="B493">
            <v>33.54</v>
          </cell>
          <cell r="C493">
            <v>98.55</v>
          </cell>
          <cell r="D493">
            <v>17.690000000000001</v>
          </cell>
          <cell r="E493">
            <v>8.68</v>
          </cell>
          <cell r="H493">
            <v>45312</v>
          </cell>
          <cell r="I493">
            <v>0.67555555555555558</v>
          </cell>
          <cell r="J493">
            <v>32.513333333333335</v>
          </cell>
        </row>
        <row r="494">
          <cell r="B494">
            <v>33.24</v>
          </cell>
          <cell r="C494">
            <v>87.37</v>
          </cell>
          <cell r="D494">
            <v>17.73</v>
          </cell>
          <cell r="E494">
            <v>7.77</v>
          </cell>
          <cell r="H494">
            <v>45312</v>
          </cell>
          <cell r="I494">
            <v>0.71111111111111114</v>
          </cell>
          <cell r="J494">
            <v>34.201111111111103</v>
          </cell>
        </row>
        <row r="495">
          <cell r="B495">
            <v>33.92</v>
          </cell>
          <cell r="C495">
            <v>80.77</v>
          </cell>
          <cell r="D495">
            <v>17.79</v>
          </cell>
          <cell r="E495">
            <v>8.1</v>
          </cell>
          <cell r="H495">
            <v>45312</v>
          </cell>
          <cell r="I495">
            <v>0.74666666666666659</v>
          </cell>
          <cell r="J495">
            <v>36.212222222222216</v>
          </cell>
        </row>
        <row r="496">
          <cell r="B496">
            <v>35.58</v>
          </cell>
          <cell r="C496">
            <v>81.239999999999995</v>
          </cell>
          <cell r="D496">
            <v>18.23</v>
          </cell>
          <cell r="E496">
            <v>8.33</v>
          </cell>
          <cell r="H496">
            <v>45312</v>
          </cell>
          <cell r="I496">
            <v>0.78333333333333333</v>
          </cell>
          <cell r="J496">
            <v>38.75888888888889</v>
          </cell>
        </row>
        <row r="497">
          <cell r="B497">
            <v>35.799999999999997</v>
          </cell>
          <cell r="C497">
            <v>83.68</v>
          </cell>
          <cell r="D497">
            <v>18.16</v>
          </cell>
          <cell r="E497">
            <v>8.06</v>
          </cell>
          <cell r="H497">
            <v>45312</v>
          </cell>
          <cell r="I497">
            <v>0.82111111111111112</v>
          </cell>
          <cell r="J497">
            <v>41.83</v>
          </cell>
        </row>
        <row r="498">
          <cell r="B498">
            <v>37.33</v>
          </cell>
          <cell r="C498">
            <v>88.46</v>
          </cell>
          <cell r="D498">
            <v>17.95</v>
          </cell>
          <cell r="E498">
            <v>7.64</v>
          </cell>
          <cell r="H498">
            <v>45312</v>
          </cell>
          <cell r="I498">
            <v>0.86111111111111116</v>
          </cell>
          <cell r="J498">
            <v>45.025555555555556</v>
          </cell>
        </row>
        <row r="499">
          <cell r="B499">
            <v>39.75</v>
          </cell>
          <cell r="C499">
            <v>94.16</v>
          </cell>
          <cell r="D499">
            <v>18.18</v>
          </cell>
          <cell r="E499">
            <v>8.06</v>
          </cell>
          <cell r="H499">
            <v>45312</v>
          </cell>
          <cell r="I499">
            <v>0.90222222222222215</v>
          </cell>
          <cell r="J499">
            <v>47.07</v>
          </cell>
        </row>
        <row r="500">
          <cell r="B500">
            <v>46.96</v>
          </cell>
          <cell r="C500">
            <v>118.46</v>
          </cell>
          <cell r="D500">
            <v>18.72</v>
          </cell>
          <cell r="E500">
            <v>8.5500000000000007</v>
          </cell>
          <cell r="H500">
            <v>45312</v>
          </cell>
          <cell r="I500">
            <v>0.97444444444444456</v>
          </cell>
          <cell r="J500">
            <v>46.497777777777777</v>
          </cell>
        </row>
        <row r="501">
          <cell r="B501">
            <v>80.44</v>
          </cell>
          <cell r="C501">
            <v>216.17</v>
          </cell>
          <cell r="D501">
            <v>19.68</v>
          </cell>
          <cell r="E501">
            <v>7.74</v>
          </cell>
          <cell r="H501">
            <v>45312</v>
          </cell>
          <cell r="I501">
            <v>1.0655555555555558</v>
          </cell>
          <cell r="J501">
            <v>44.739999999999995</v>
          </cell>
        </row>
        <row r="502">
          <cell r="B502">
            <v>93.75</v>
          </cell>
          <cell r="C502">
            <v>191.58</v>
          </cell>
          <cell r="D502">
            <v>20.059999999999999</v>
          </cell>
          <cell r="E502">
            <v>7.5</v>
          </cell>
          <cell r="H502">
            <v>45312</v>
          </cell>
          <cell r="I502">
            <v>1.098888888888889</v>
          </cell>
          <cell r="J502">
            <v>42.857777777777777</v>
          </cell>
        </row>
        <row r="503">
          <cell r="B503">
            <v>52.07</v>
          </cell>
          <cell r="C503">
            <v>126.01</v>
          </cell>
          <cell r="D503">
            <v>19.05</v>
          </cell>
          <cell r="E503">
            <v>7.23</v>
          </cell>
          <cell r="H503">
            <v>45312</v>
          </cell>
          <cell r="I503">
            <v>1.0744444444444445</v>
          </cell>
          <cell r="J503">
            <v>40.913333333333327</v>
          </cell>
        </row>
        <row r="504">
          <cell r="B504">
            <v>37.69</v>
          </cell>
          <cell r="C504">
            <v>94.76</v>
          </cell>
          <cell r="D504">
            <v>18.7</v>
          </cell>
          <cell r="E504">
            <v>7</v>
          </cell>
          <cell r="H504">
            <v>45312</v>
          </cell>
          <cell r="I504">
            <v>1.0444444444444445</v>
          </cell>
          <cell r="J504">
            <v>38.684444444444445</v>
          </cell>
        </row>
        <row r="505">
          <cell r="B505">
            <v>32.97</v>
          </cell>
          <cell r="C505">
            <v>81.099999999999994</v>
          </cell>
          <cell r="D505">
            <v>18.16</v>
          </cell>
          <cell r="E505">
            <v>7</v>
          </cell>
          <cell r="H505">
            <v>45312</v>
          </cell>
          <cell r="I505">
            <v>1.0022222222222221</v>
          </cell>
          <cell r="J505">
            <v>36.28</v>
          </cell>
        </row>
        <row r="506">
          <cell r="B506">
            <v>32.96</v>
          </cell>
          <cell r="C506">
            <v>77.459999999999994</v>
          </cell>
          <cell r="D506">
            <v>17.920000000000002</v>
          </cell>
          <cell r="E506">
            <v>7.38</v>
          </cell>
          <cell r="H506">
            <v>45313</v>
          </cell>
          <cell r="I506">
            <v>0.948888888888889</v>
          </cell>
          <cell r="J506">
            <v>33.612222222222229</v>
          </cell>
        </row>
        <row r="507">
          <cell r="B507">
            <v>32.83</v>
          </cell>
          <cell r="C507">
            <v>67.599999999999994</v>
          </cell>
          <cell r="D507">
            <v>17.920000000000002</v>
          </cell>
          <cell r="E507">
            <v>7.23</v>
          </cell>
          <cell r="H507">
            <v>45313</v>
          </cell>
          <cell r="I507">
            <v>0.89</v>
          </cell>
          <cell r="J507">
            <v>30.84</v>
          </cell>
        </row>
        <row r="508">
          <cell r="B508">
            <v>31.08</v>
          </cell>
          <cell r="C508">
            <v>65.39</v>
          </cell>
          <cell r="D508">
            <v>17.52</v>
          </cell>
          <cell r="E508">
            <v>6.85</v>
          </cell>
          <cell r="H508">
            <v>45313</v>
          </cell>
          <cell r="I508">
            <v>0.83111111111111113</v>
          </cell>
          <cell r="J508">
            <v>28.70888888888889</v>
          </cell>
        </row>
        <row r="509">
          <cell r="B509">
            <v>30.91</v>
          </cell>
          <cell r="C509">
            <v>64.930000000000007</v>
          </cell>
          <cell r="D509">
            <v>17.61</v>
          </cell>
          <cell r="E509">
            <v>7.29</v>
          </cell>
          <cell r="H509">
            <v>45313</v>
          </cell>
          <cell r="I509">
            <v>0.74777777777777787</v>
          </cell>
          <cell r="J509">
            <v>28.31</v>
          </cell>
        </row>
        <row r="510">
          <cell r="B510">
            <v>29.57</v>
          </cell>
          <cell r="C510">
            <v>66.05</v>
          </cell>
          <cell r="D510">
            <v>17.46</v>
          </cell>
          <cell r="E510">
            <v>7.05</v>
          </cell>
          <cell r="H510">
            <v>45313</v>
          </cell>
          <cell r="I510">
            <v>0.65333333333333332</v>
          </cell>
          <cell r="J510">
            <v>28.474444444444448</v>
          </cell>
        </row>
        <row r="511">
          <cell r="B511">
            <v>31.05</v>
          </cell>
          <cell r="C511">
            <v>68.08</v>
          </cell>
          <cell r="D511">
            <v>17.75</v>
          </cell>
          <cell r="E511">
            <v>6.93</v>
          </cell>
          <cell r="H511">
            <v>45313</v>
          </cell>
          <cell r="I511">
            <v>0.61777777777777776</v>
          </cell>
          <cell r="J511">
            <v>28.036666666666669</v>
          </cell>
        </row>
        <row r="512">
          <cell r="B512">
            <v>34.729999999999997</v>
          </cell>
          <cell r="C512">
            <v>76.92</v>
          </cell>
          <cell r="D512">
            <v>17.7</v>
          </cell>
          <cell r="E512">
            <v>8.59</v>
          </cell>
          <cell r="H512">
            <v>45313</v>
          </cell>
          <cell r="I512">
            <v>0.62444444444444447</v>
          </cell>
          <cell r="J512">
            <v>26.970000000000002</v>
          </cell>
        </row>
        <row r="513">
          <cell r="B513">
            <v>38.479999999999997</v>
          </cell>
          <cell r="C513">
            <v>94.56</v>
          </cell>
          <cell r="D513">
            <v>17.760000000000002</v>
          </cell>
          <cell r="E513">
            <v>9.09</v>
          </cell>
          <cell r="H513">
            <v>45313</v>
          </cell>
          <cell r="I513">
            <v>0.64666666666666672</v>
          </cell>
          <cell r="J513">
            <v>26.193333333333335</v>
          </cell>
        </row>
        <row r="514">
          <cell r="B514">
            <v>40</v>
          </cell>
          <cell r="C514">
            <v>102.23</v>
          </cell>
          <cell r="D514">
            <v>17.809999999999999</v>
          </cell>
          <cell r="E514">
            <v>9.5299999999999994</v>
          </cell>
          <cell r="H514">
            <v>45313</v>
          </cell>
          <cell r="I514">
            <v>0.6711111111111111</v>
          </cell>
          <cell r="J514">
            <v>25.917777777777776</v>
          </cell>
        </row>
        <row r="515">
          <cell r="B515">
            <v>36.97</v>
          </cell>
          <cell r="C515">
            <v>87.77</v>
          </cell>
          <cell r="D515">
            <v>18.98</v>
          </cell>
          <cell r="E515">
            <v>8.92</v>
          </cell>
          <cell r="H515">
            <v>45313</v>
          </cell>
          <cell r="I515">
            <v>0.68777777777777782</v>
          </cell>
          <cell r="J515">
            <v>26.25333333333333</v>
          </cell>
        </row>
        <row r="516">
          <cell r="B516">
            <v>34.68</v>
          </cell>
          <cell r="C516">
            <v>93.55</v>
          </cell>
          <cell r="D516">
            <v>18.329999999999998</v>
          </cell>
          <cell r="E516">
            <v>8.8800000000000008</v>
          </cell>
          <cell r="H516">
            <v>45313</v>
          </cell>
          <cell r="I516">
            <v>0.7088888888888889</v>
          </cell>
          <cell r="J516">
            <v>27.37555555555555</v>
          </cell>
        </row>
        <row r="517">
          <cell r="B517">
            <v>34.549999999999997</v>
          </cell>
          <cell r="C517">
            <v>88.12</v>
          </cell>
          <cell r="D517">
            <v>18.2</v>
          </cell>
          <cell r="E517">
            <v>8.67</v>
          </cell>
          <cell r="H517">
            <v>45313</v>
          </cell>
          <cell r="I517">
            <v>0.71888888888888891</v>
          </cell>
          <cell r="J517">
            <v>28.765555555555562</v>
          </cell>
        </row>
        <row r="518">
          <cell r="B518">
            <v>34.93</v>
          </cell>
          <cell r="C518">
            <v>89.16</v>
          </cell>
          <cell r="D518">
            <v>17.72</v>
          </cell>
          <cell r="E518">
            <v>8.5</v>
          </cell>
          <cell r="H518">
            <v>45313</v>
          </cell>
          <cell r="I518">
            <v>0.72333333333333327</v>
          </cell>
          <cell r="J518">
            <v>30.852222222222224</v>
          </cell>
        </row>
        <row r="519">
          <cell r="B519">
            <v>36.74</v>
          </cell>
          <cell r="C519">
            <v>155.97999999999999</v>
          </cell>
          <cell r="D519">
            <v>18.059999999999999</v>
          </cell>
          <cell r="E519">
            <v>8.9600000000000009</v>
          </cell>
          <cell r="H519">
            <v>45313</v>
          </cell>
          <cell r="I519">
            <v>0.72222222222222221</v>
          </cell>
          <cell r="J519">
            <v>32.162222222222226</v>
          </cell>
        </row>
        <row r="520">
          <cell r="B520">
            <v>35.76</v>
          </cell>
          <cell r="C520">
            <v>149.13999999999999</v>
          </cell>
          <cell r="D520">
            <v>18.25</v>
          </cell>
          <cell r="E520">
            <v>8.86</v>
          </cell>
          <cell r="H520">
            <v>45313</v>
          </cell>
          <cell r="I520">
            <v>0.71111111111111103</v>
          </cell>
          <cell r="J520">
            <v>33.896666666666668</v>
          </cell>
        </row>
        <row r="521">
          <cell r="B521">
            <v>36.04</v>
          </cell>
          <cell r="C521">
            <v>143.72</v>
          </cell>
          <cell r="D521">
            <v>18.02</v>
          </cell>
          <cell r="E521">
            <v>8.6199999999999992</v>
          </cell>
          <cell r="H521">
            <v>45313</v>
          </cell>
          <cell r="I521">
            <v>0.69555555555555559</v>
          </cell>
          <cell r="J521">
            <v>35.881111111111103</v>
          </cell>
        </row>
        <row r="522">
          <cell r="B522">
            <v>38.909999999999997</v>
          </cell>
          <cell r="C522">
            <v>114.92</v>
          </cell>
          <cell r="D522">
            <v>18.09</v>
          </cell>
          <cell r="E522">
            <v>8.7100000000000009</v>
          </cell>
          <cell r="H522">
            <v>45313</v>
          </cell>
          <cell r="I522">
            <v>0.67222222222222228</v>
          </cell>
          <cell r="J522">
            <v>37.545555555555552</v>
          </cell>
        </row>
        <row r="523">
          <cell r="B523">
            <v>39.75</v>
          </cell>
          <cell r="C523">
            <v>110.53</v>
          </cell>
          <cell r="D523">
            <v>18.22</v>
          </cell>
          <cell r="E523">
            <v>8.8699999999999992</v>
          </cell>
          <cell r="H523">
            <v>45313</v>
          </cell>
          <cell r="I523">
            <v>0.66888888888888909</v>
          </cell>
          <cell r="J523">
            <v>38.198888888888888</v>
          </cell>
        </row>
        <row r="524">
          <cell r="B524">
            <v>43.84</v>
          </cell>
          <cell r="C524">
            <v>128.56</v>
          </cell>
          <cell r="D524">
            <v>20.32</v>
          </cell>
          <cell r="E524">
            <v>7.88</v>
          </cell>
          <cell r="H524">
            <v>45313</v>
          </cell>
          <cell r="I524">
            <v>0.69000000000000006</v>
          </cell>
          <cell r="J524">
            <v>37.632222222222225</v>
          </cell>
        </row>
        <row r="525">
          <cell r="B525">
            <v>46.43</v>
          </cell>
          <cell r="C525">
            <v>135.22999999999999</v>
          </cell>
          <cell r="D525">
            <v>21.23</v>
          </cell>
          <cell r="E525">
            <v>8.6999999999999993</v>
          </cell>
          <cell r="H525">
            <v>45313</v>
          </cell>
          <cell r="I525">
            <v>0.70777777777777784</v>
          </cell>
          <cell r="J525">
            <v>36.042222222222222</v>
          </cell>
        </row>
        <row r="526">
          <cell r="B526">
            <v>52.24</v>
          </cell>
          <cell r="C526">
            <v>134.82</v>
          </cell>
          <cell r="D526">
            <v>20.7</v>
          </cell>
          <cell r="E526">
            <v>7.92</v>
          </cell>
          <cell r="H526">
            <v>45313</v>
          </cell>
          <cell r="I526">
            <v>0.72777777777777786</v>
          </cell>
          <cell r="J526">
            <v>34.228888888888896</v>
          </cell>
        </row>
        <row r="527">
          <cell r="B527">
            <v>47.59</v>
          </cell>
          <cell r="C527">
            <v>129.13</v>
          </cell>
          <cell r="D527">
            <v>19.64</v>
          </cell>
          <cell r="E527">
            <v>8.14</v>
          </cell>
          <cell r="H527">
            <v>45313</v>
          </cell>
          <cell r="I527">
            <v>0.72888888888888881</v>
          </cell>
          <cell r="J527">
            <v>32.046666666666667</v>
          </cell>
        </row>
        <row r="528">
          <cell r="B528">
            <v>39.14</v>
          </cell>
          <cell r="C528">
            <v>109.77</v>
          </cell>
          <cell r="D528">
            <v>19.489999999999998</v>
          </cell>
          <cell r="E528">
            <v>8.35</v>
          </cell>
          <cell r="H528">
            <v>45313</v>
          </cell>
          <cell r="I528">
            <v>0.73333333333333339</v>
          </cell>
          <cell r="J528">
            <v>30.850000000000005</v>
          </cell>
        </row>
        <row r="529">
          <cell r="B529">
            <v>36.6</v>
          </cell>
          <cell r="C529">
            <v>92.82</v>
          </cell>
          <cell r="D529">
            <v>19.440000000000001</v>
          </cell>
          <cell r="E529">
            <v>8.68</v>
          </cell>
          <cell r="H529">
            <v>45313</v>
          </cell>
          <cell r="I529">
            <v>0.73111111111111104</v>
          </cell>
          <cell r="J529">
            <v>29.425555555555555</v>
          </cell>
        </row>
        <row r="530">
          <cell r="B530">
            <v>36.75</v>
          </cell>
          <cell r="C530">
            <v>89.77</v>
          </cell>
          <cell r="D530">
            <v>19.14</v>
          </cell>
          <cell r="E530">
            <v>8.3000000000000007</v>
          </cell>
          <cell r="H530">
            <v>45314</v>
          </cell>
          <cell r="I530">
            <v>0.72</v>
          </cell>
          <cell r="J530">
            <v>28.135555555555559</v>
          </cell>
        </row>
        <row r="531">
          <cell r="B531">
            <v>33.71</v>
          </cell>
          <cell r="C531">
            <v>84.78</v>
          </cell>
          <cell r="D531">
            <v>18.89</v>
          </cell>
          <cell r="E531">
            <v>7.73</v>
          </cell>
          <cell r="H531">
            <v>45314</v>
          </cell>
          <cell r="I531">
            <v>0.70555555555555549</v>
          </cell>
          <cell r="J531">
            <v>27.03</v>
          </cell>
        </row>
        <row r="532">
          <cell r="B532">
            <v>32.24</v>
          </cell>
          <cell r="C532">
            <v>88.83</v>
          </cell>
          <cell r="D532">
            <v>19.2</v>
          </cell>
          <cell r="E532">
            <v>8.0299999999999994</v>
          </cell>
          <cell r="H532">
            <v>45314</v>
          </cell>
          <cell r="I532">
            <v>0.67333333333333334</v>
          </cell>
          <cell r="J532">
            <v>26.375555555555557</v>
          </cell>
        </row>
        <row r="533">
          <cell r="B533">
            <v>31.73</v>
          </cell>
          <cell r="C533">
            <v>82.61</v>
          </cell>
          <cell r="D533">
            <v>18.66</v>
          </cell>
          <cell r="E533">
            <v>8.26</v>
          </cell>
          <cell r="H533">
            <v>45314</v>
          </cell>
          <cell r="I533">
            <v>0.63111111111111107</v>
          </cell>
          <cell r="J533">
            <v>26.295555555555556</v>
          </cell>
        </row>
        <row r="534">
          <cell r="B534">
            <v>34.619999999999997</v>
          </cell>
          <cell r="C534">
            <v>78.849999999999994</v>
          </cell>
          <cell r="D534">
            <v>19.11</v>
          </cell>
          <cell r="E534">
            <v>7.7</v>
          </cell>
          <cell r="H534">
            <v>45314</v>
          </cell>
          <cell r="I534">
            <v>0.59333333333333349</v>
          </cell>
          <cell r="J534">
            <v>26.244444444444447</v>
          </cell>
        </row>
        <row r="535">
          <cell r="B535">
            <v>36.840000000000003</v>
          </cell>
          <cell r="C535">
            <v>80.540000000000006</v>
          </cell>
          <cell r="D535">
            <v>18.850000000000001</v>
          </cell>
          <cell r="E535">
            <v>7.91</v>
          </cell>
          <cell r="H535">
            <v>45314</v>
          </cell>
          <cell r="I535">
            <v>0.56999999999999995</v>
          </cell>
          <cell r="J535">
            <v>25.777777777777779</v>
          </cell>
        </row>
        <row r="536">
          <cell r="B536">
            <v>37.25</v>
          </cell>
          <cell r="C536">
            <v>82.55</v>
          </cell>
          <cell r="D536">
            <v>19.079999999999998</v>
          </cell>
          <cell r="E536">
            <v>8.19</v>
          </cell>
          <cell r="H536">
            <v>45314</v>
          </cell>
          <cell r="I536">
            <v>0.5722222222222223</v>
          </cell>
          <cell r="J536">
            <v>24.968888888888888</v>
          </cell>
        </row>
        <row r="537">
          <cell r="B537">
            <v>42.89</v>
          </cell>
          <cell r="C537">
            <v>96.41</v>
          </cell>
          <cell r="D537">
            <v>19.739999999999998</v>
          </cell>
          <cell r="E537">
            <v>8.27</v>
          </cell>
          <cell r="H537">
            <v>45314</v>
          </cell>
          <cell r="I537">
            <v>0.58666666666666667</v>
          </cell>
          <cell r="J537">
            <v>24.35</v>
          </cell>
        </row>
        <row r="538">
          <cell r="B538">
            <v>49.91</v>
          </cell>
          <cell r="C538">
            <v>142.75</v>
          </cell>
          <cell r="D538">
            <v>20.59</v>
          </cell>
          <cell r="E538">
            <v>8.34</v>
          </cell>
          <cell r="H538">
            <v>45314</v>
          </cell>
          <cell r="I538">
            <v>0.60555555555555562</v>
          </cell>
          <cell r="J538">
            <v>24.464444444444446</v>
          </cell>
        </row>
        <row r="539">
          <cell r="B539">
            <v>46.22</v>
          </cell>
          <cell r="C539">
            <v>103.57</v>
          </cell>
          <cell r="D539">
            <v>19.88</v>
          </cell>
          <cell r="E539">
            <v>8.98</v>
          </cell>
          <cell r="H539">
            <v>45314</v>
          </cell>
          <cell r="I539">
            <v>0.62222222222222223</v>
          </cell>
          <cell r="J539">
            <v>24.713333333333331</v>
          </cell>
        </row>
        <row r="540">
          <cell r="B540">
            <v>38.76</v>
          </cell>
          <cell r="C540">
            <v>94.76</v>
          </cell>
          <cell r="D540">
            <v>19.420000000000002</v>
          </cell>
          <cell r="E540">
            <v>8.33</v>
          </cell>
          <cell r="H540">
            <v>45314</v>
          </cell>
          <cell r="I540">
            <v>0.64888888888888885</v>
          </cell>
          <cell r="J540">
            <v>25.245555555555555</v>
          </cell>
        </row>
        <row r="541">
          <cell r="B541">
            <v>37.53</v>
          </cell>
          <cell r="C541">
            <v>93.33</v>
          </cell>
          <cell r="D541">
            <v>19.45</v>
          </cell>
          <cell r="E541">
            <v>8.2799999999999994</v>
          </cell>
          <cell r="H541">
            <v>45314</v>
          </cell>
          <cell r="I541">
            <v>0.6544444444444445</v>
          </cell>
          <cell r="J541">
            <v>26.010000000000005</v>
          </cell>
        </row>
        <row r="542">
          <cell r="B542">
            <v>39.479999999999997</v>
          </cell>
          <cell r="C542">
            <v>112.14</v>
          </cell>
          <cell r="D542">
            <v>18.53</v>
          </cell>
          <cell r="E542">
            <v>8.19</v>
          </cell>
          <cell r="H542">
            <v>45314</v>
          </cell>
          <cell r="I542">
            <v>0.66</v>
          </cell>
          <cell r="J542">
            <v>27.203333333333337</v>
          </cell>
        </row>
        <row r="543">
          <cell r="B543">
            <v>42.08</v>
          </cell>
          <cell r="C543">
            <v>148.5</v>
          </cell>
          <cell r="D543">
            <v>17.649999999999999</v>
          </cell>
          <cell r="E543">
            <v>8.1999999999999993</v>
          </cell>
          <cell r="H543">
            <v>45314</v>
          </cell>
          <cell r="I543">
            <v>0.6644444444444445</v>
          </cell>
          <cell r="J543">
            <v>28.68333333333333</v>
          </cell>
        </row>
        <row r="544">
          <cell r="B544">
            <v>42.32</v>
          </cell>
          <cell r="C544">
            <v>151.58000000000001</v>
          </cell>
          <cell r="D544">
            <v>17.73</v>
          </cell>
          <cell r="E544">
            <v>7.93</v>
          </cell>
          <cell r="H544">
            <v>45314</v>
          </cell>
          <cell r="I544">
            <v>0.66555555555555568</v>
          </cell>
          <cell r="J544">
            <v>30.497777777777781</v>
          </cell>
        </row>
        <row r="545">
          <cell r="B545">
            <v>42.69</v>
          </cell>
          <cell r="C545">
            <v>173.08</v>
          </cell>
          <cell r="D545">
            <v>17.670000000000002</v>
          </cell>
          <cell r="E545">
            <v>7.15</v>
          </cell>
          <cell r="H545">
            <v>45314</v>
          </cell>
          <cell r="I545">
            <v>0.66111111111111109</v>
          </cell>
          <cell r="J545">
            <v>32.888888888888886</v>
          </cell>
        </row>
        <row r="546">
          <cell r="B546">
            <v>46.83</v>
          </cell>
          <cell r="C546">
            <v>170.47</v>
          </cell>
          <cell r="D546">
            <v>18.87</v>
          </cell>
          <cell r="E546">
            <v>7.26</v>
          </cell>
          <cell r="H546">
            <v>45314</v>
          </cell>
          <cell r="I546">
            <v>0.64777777777777779</v>
          </cell>
          <cell r="J546">
            <v>34.982222222222227</v>
          </cell>
        </row>
        <row r="547">
          <cell r="B547">
            <v>47.04</v>
          </cell>
          <cell r="C547">
            <v>115.84</v>
          </cell>
          <cell r="D547">
            <v>19.690000000000001</v>
          </cell>
          <cell r="E547">
            <v>7.91</v>
          </cell>
          <cell r="H547">
            <v>45314</v>
          </cell>
          <cell r="I547">
            <v>0.64666666666666661</v>
          </cell>
          <cell r="J547">
            <v>35.881111111111117</v>
          </cell>
        </row>
        <row r="548">
          <cell r="B548">
            <v>49.73</v>
          </cell>
          <cell r="C548">
            <v>118.74</v>
          </cell>
          <cell r="D548">
            <v>21.13</v>
          </cell>
          <cell r="E548">
            <v>8.31</v>
          </cell>
          <cell r="H548">
            <v>45314</v>
          </cell>
          <cell r="I548">
            <v>0.66555555555555557</v>
          </cell>
          <cell r="J548">
            <v>35.976666666666659</v>
          </cell>
        </row>
        <row r="549">
          <cell r="B549">
            <v>51.86</v>
          </cell>
          <cell r="C549">
            <v>140.36000000000001</v>
          </cell>
          <cell r="D549">
            <v>21.36</v>
          </cell>
          <cell r="E549">
            <v>8.1999999999999993</v>
          </cell>
          <cell r="H549">
            <v>45314</v>
          </cell>
          <cell r="I549">
            <v>0.66666666666666663</v>
          </cell>
          <cell r="J549">
            <v>35.681111111111107</v>
          </cell>
        </row>
        <row r="550">
          <cell r="B550">
            <v>51.1</v>
          </cell>
          <cell r="C550">
            <v>124.62</v>
          </cell>
          <cell r="D550">
            <v>20.37</v>
          </cell>
          <cell r="E550">
            <v>7.97</v>
          </cell>
          <cell r="H550">
            <v>45314</v>
          </cell>
          <cell r="I550">
            <v>0.68222222222222217</v>
          </cell>
          <cell r="J550">
            <v>34.884444444444433</v>
          </cell>
        </row>
        <row r="551">
          <cell r="B551">
            <v>46.46</v>
          </cell>
          <cell r="C551">
            <v>106.69</v>
          </cell>
          <cell r="D551">
            <v>20.49</v>
          </cell>
          <cell r="E551">
            <v>8.31</v>
          </cell>
          <cell r="H551">
            <v>45314</v>
          </cell>
          <cell r="I551">
            <v>0.69222222222222218</v>
          </cell>
          <cell r="J551">
            <v>33.803333333333335</v>
          </cell>
        </row>
        <row r="552">
          <cell r="B552">
            <v>41.41</v>
          </cell>
          <cell r="C552">
            <v>89.57</v>
          </cell>
          <cell r="D552">
            <v>19.91</v>
          </cell>
          <cell r="E552">
            <v>8.01</v>
          </cell>
          <cell r="H552">
            <v>45314</v>
          </cell>
          <cell r="I552">
            <v>0.69333333333333336</v>
          </cell>
          <cell r="J552">
            <v>32.681111111111115</v>
          </cell>
        </row>
        <row r="553">
          <cell r="B553">
            <v>40.83</v>
          </cell>
          <cell r="C553">
            <v>88.62</v>
          </cell>
          <cell r="D553">
            <v>19.54</v>
          </cell>
          <cell r="E553">
            <v>8.32</v>
          </cell>
          <cell r="H553">
            <v>45314</v>
          </cell>
          <cell r="I553">
            <v>0.69111111111111112</v>
          </cell>
          <cell r="J553">
            <v>31.404444444444444</v>
          </cell>
        </row>
        <row r="554">
          <cell r="B554">
            <v>37.69</v>
          </cell>
          <cell r="C554">
            <v>81.91</v>
          </cell>
          <cell r="D554">
            <v>19.21</v>
          </cell>
          <cell r="E554">
            <v>8.33</v>
          </cell>
          <cell r="H554">
            <v>45315</v>
          </cell>
          <cell r="I554">
            <v>0.68333333333333335</v>
          </cell>
          <cell r="J554">
            <v>29.926666666666662</v>
          </cell>
        </row>
        <row r="555">
          <cell r="B555">
            <v>37.049999999999997</v>
          </cell>
          <cell r="C555">
            <v>75.040000000000006</v>
          </cell>
          <cell r="D555">
            <v>19.04</v>
          </cell>
          <cell r="E555">
            <v>7.9</v>
          </cell>
          <cell r="H555">
            <v>45315</v>
          </cell>
          <cell r="I555">
            <v>0.66888888888888887</v>
          </cell>
          <cell r="J555">
            <v>28.665555555555557</v>
          </cell>
        </row>
        <row r="556">
          <cell r="B556">
            <v>36.47</v>
          </cell>
          <cell r="C556">
            <v>72.03</v>
          </cell>
          <cell r="D556">
            <v>18.82</v>
          </cell>
          <cell r="E556">
            <v>7.65</v>
          </cell>
          <cell r="H556">
            <v>45315</v>
          </cell>
          <cell r="I556">
            <v>0.64111111111111108</v>
          </cell>
          <cell r="J556">
            <v>27.823333333333334</v>
          </cell>
        </row>
        <row r="557">
          <cell r="B557">
            <v>35.53</v>
          </cell>
          <cell r="C557">
            <v>67.94</v>
          </cell>
          <cell r="D557">
            <v>18.89</v>
          </cell>
          <cell r="E557">
            <v>7.76</v>
          </cell>
          <cell r="H557">
            <v>45315</v>
          </cell>
          <cell r="I557">
            <v>0.60555555555555551</v>
          </cell>
          <cell r="J557">
            <v>27.358888888888892</v>
          </cell>
        </row>
        <row r="558">
          <cell r="B558">
            <v>36.06</v>
          </cell>
          <cell r="C558">
            <v>68.709999999999994</v>
          </cell>
          <cell r="D558">
            <v>18.77</v>
          </cell>
          <cell r="E558">
            <v>7.71</v>
          </cell>
          <cell r="H558">
            <v>45315</v>
          </cell>
          <cell r="I558">
            <v>0.58111111111111102</v>
          </cell>
          <cell r="J558">
            <v>26.793333333333337</v>
          </cell>
        </row>
        <row r="559">
          <cell r="B559">
            <v>39.67</v>
          </cell>
          <cell r="C559">
            <v>71.64</v>
          </cell>
          <cell r="D559">
            <v>19.25</v>
          </cell>
          <cell r="E559">
            <v>7.41</v>
          </cell>
          <cell r="H559">
            <v>45315</v>
          </cell>
          <cell r="I559">
            <v>0.56888888888888878</v>
          </cell>
          <cell r="J559">
            <v>26.358888888888892</v>
          </cell>
        </row>
        <row r="560">
          <cell r="B560">
            <v>47.08</v>
          </cell>
          <cell r="C560">
            <v>86.56</v>
          </cell>
          <cell r="D560">
            <v>19.43</v>
          </cell>
          <cell r="E560">
            <v>7.51</v>
          </cell>
          <cell r="H560">
            <v>45315</v>
          </cell>
          <cell r="I560">
            <v>0.57111111111111101</v>
          </cell>
          <cell r="J560">
            <v>25.677777777777777</v>
          </cell>
        </row>
        <row r="561">
          <cell r="B561">
            <v>53.09</v>
          </cell>
          <cell r="C561">
            <v>103.04</v>
          </cell>
          <cell r="D561">
            <v>19.95</v>
          </cell>
          <cell r="E561">
            <v>7.56</v>
          </cell>
          <cell r="H561">
            <v>45315</v>
          </cell>
          <cell r="I561">
            <v>0.5788888888888889</v>
          </cell>
          <cell r="J561">
            <v>24.982222222222223</v>
          </cell>
        </row>
        <row r="562">
          <cell r="B562">
            <v>55.86</v>
          </cell>
          <cell r="C562">
            <v>116.1</v>
          </cell>
          <cell r="D562">
            <v>19.84</v>
          </cell>
          <cell r="E562">
            <v>7.82</v>
          </cell>
          <cell r="H562">
            <v>45315</v>
          </cell>
          <cell r="I562">
            <v>0.58888888888888891</v>
          </cell>
          <cell r="J562">
            <v>24.661111111111111</v>
          </cell>
        </row>
        <row r="563">
          <cell r="B563">
            <v>52.8</v>
          </cell>
          <cell r="C563">
            <v>109.09</v>
          </cell>
          <cell r="D563">
            <v>19.940000000000001</v>
          </cell>
          <cell r="E563">
            <v>8.5399999999999991</v>
          </cell>
          <cell r="H563">
            <v>45315</v>
          </cell>
          <cell r="I563">
            <v>0.60444444444444434</v>
          </cell>
          <cell r="J563">
            <v>24.705555555555556</v>
          </cell>
        </row>
        <row r="564">
          <cell r="B564">
            <v>50.8</v>
          </cell>
          <cell r="C564">
            <v>108.36</v>
          </cell>
          <cell r="D564">
            <v>19.38</v>
          </cell>
          <cell r="E564">
            <v>8.7200000000000006</v>
          </cell>
          <cell r="H564">
            <v>45315</v>
          </cell>
          <cell r="I564">
            <v>0.62111111111111106</v>
          </cell>
          <cell r="J564">
            <v>24.988888888888887</v>
          </cell>
        </row>
        <row r="565">
          <cell r="B565">
            <v>46.66</v>
          </cell>
          <cell r="C565">
            <v>111.04</v>
          </cell>
          <cell r="D565">
            <v>18.260000000000002</v>
          </cell>
          <cell r="E565">
            <v>8.32</v>
          </cell>
          <cell r="H565">
            <v>45315</v>
          </cell>
          <cell r="I565">
            <v>0.62666666666666671</v>
          </cell>
          <cell r="J565">
            <v>25.832222222222224</v>
          </cell>
        </row>
        <row r="566">
          <cell r="B566">
            <v>42.95</v>
          </cell>
          <cell r="C566">
            <v>99.63</v>
          </cell>
          <cell r="D566">
            <v>17.7</v>
          </cell>
          <cell r="E566">
            <v>7.66</v>
          </cell>
          <cell r="H566">
            <v>45315</v>
          </cell>
          <cell r="I566">
            <v>0.63111111111111118</v>
          </cell>
          <cell r="J566">
            <v>26.91888888888889</v>
          </cell>
        </row>
        <row r="567">
          <cell r="B567">
            <v>40.299999999999997</v>
          </cell>
          <cell r="C567">
            <v>88.95</v>
          </cell>
          <cell r="D567">
            <v>17.43</v>
          </cell>
          <cell r="E567">
            <v>7.21</v>
          </cell>
          <cell r="H567">
            <v>45315</v>
          </cell>
          <cell r="I567">
            <v>0.63111111111111107</v>
          </cell>
          <cell r="J567">
            <v>28.332222222222224</v>
          </cell>
        </row>
        <row r="568">
          <cell r="B568">
            <v>37.130000000000003</v>
          </cell>
          <cell r="C568">
            <v>85.13</v>
          </cell>
          <cell r="D568">
            <v>17.440000000000001</v>
          </cell>
          <cell r="E568">
            <v>6.65</v>
          </cell>
          <cell r="H568">
            <v>45315</v>
          </cell>
          <cell r="I568">
            <v>0.62777777777777777</v>
          </cell>
          <cell r="J568">
            <v>30.248888888888889</v>
          </cell>
        </row>
        <row r="569">
          <cell r="B569">
            <v>41.18</v>
          </cell>
          <cell r="C569">
            <v>96.04</v>
          </cell>
          <cell r="D569">
            <v>17.760000000000002</v>
          </cell>
          <cell r="E569">
            <v>7.13</v>
          </cell>
          <cell r="H569">
            <v>45315</v>
          </cell>
          <cell r="I569">
            <v>0.61333333333333329</v>
          </cell>
          <cell r="J569">
            <v>32.137777777777778</v>
          </cell>
        </row>
        <row r="570">
          <cell r="B570">
            <v>43.68</v>
          </cell>
          <cell r="C570">
            <v>98.11</v>
          </cell>
          <cell r="D570">
            <v>17.54</v>
          </cell>
          <cell r="E570">
            <v>7.03</v>
          </cell>
          <cell r="H570">
            <v>45315</v>
          </cell>
          <cell r="I570">
            <v>0.60111111111111115</v>
          </cell>
          <cell r="J570">
            <v>33.82555555555556</v>
          </cell>
        </row>
        <row r="571">
          <cell r="B571">
            <v>45.12</v>
          </cell>
          <cell r="C571">
            <v>104.74</v>
          </cell>
          <cell r="D571">
            <v>17.62</v>
          </cell>
          <cell r="E571">
            <v>6.7</v>
          </cell>
          <cell r="H571">
            <v>45315</v>
          </cell>
          <cell r="I571">
            <v>0.59888888888888892</v>
          </cell>
          <cell r="J571">
            <v>34.581111111111113</v>
          </cell>
        </row>
        <row r="572">
          <cell r="B572">
            <v>50.42</v>
          </cell>
          <cell r="C572">
            <v>132.22999999999999</v>
          </cell>
          <cell r="D572">
            <v>19.38</v>
          </cell>
          <cell r="E572">
            <v>7.15</v>
          </cell>
          <cell r="H572">
            <v>45315</v>
          </cell>
          <cell r="I572">
            <v>0.61888888888888893</v>
          </cell>
          <cell r="J572">
            <v>34.059999999999995</v>
          </cell>
        </row>
        <row r="573">
          <cell r="B573">
            <v>61.5</v>
          </cell>
          <cell r="C573">
            <v>182.74</v>
          </cell>
          <cell r="D573">
            <v>21.78</v>
          </cell>
          <cell r="E573">
            <v>8.35</v>
          </cell>
          <cell r="H573">
            <v>45315</v>
          </cell>
          <cell r="I573">
            <v>0.65333333333333332</v>
          </cell>
          <cell r="J573">
            <v>33.554444444444442</v>
          </cell>
        </row>
        <row r="574">
          <cell r="B574">
            <v>66.94</v>
          </cell>
          <cell r="C574">
            <v>159.1</v>
          </cell>
          <cell r="D574">
            <v>20.79</v>
          </cell>
          <cell r="E574">
            <v>8.34</v>
          </cell>
          <cell r="H574">
            <v>45315</v>
          </cell>
          <cell r="I574">
            <v>0.68333333333333324</v>
          </cell>
          <cell r="J574">
            <v>32.554444444444442</v>
          </cell>
        </row>
        <row r="575">
          <cell r="B575">
            <v>61.54</v>
          </cell>
          <cell r="C575">
            <v>137.97999999999999</v>
          </cell>
          <cell r="D575">
            <v>20.82</v>
          </cell>
          <cell r="E575">
            <v>8.0399999999999991</v>
          </cell>
          <cell r="H575">
            <v>45315</v>
          </cell>
          <cell r="I575">
            <v>0.70000000000000007</v>
          </cell>
          <cell r="J575">
            <v>31.711111111111109</v>
          </cell>
        </row>
        <row r="576">
          <cell r="B576">
            <v>60.97</v>
          </cell>
          <cell r="C576">
            <v>129</v>
          </cell>
          <cell r="D576">
            <v>19.73</v>
          </cell>
          <cell r="E576">
            <v>7.7</v>
          </cell>
          <cell r="H576">
            <v>45315</v>
          </cell>
          <cell r="I576">
            <v>0.70888888888888901</v>
          </cell>
          <cell r="J576">
            <v>30.828888888888894</v>
          </cell>
        </row>
        <row r="577">
          <cell r="B577">
            <v>63.97</v>
          </cell>
          <cell r="C577">
            <v>121.79</v>
          </cell>
          <cell r="D577">
            <v>19.13</v>
          </cell>
          <cell r="E577">
            <v>8.24</v>
          </cell>
          <cell r="H577">
            <v>45315</v>
          </cell>
          <cell r="I577">
            <v>0.70666666666666667</v>
          </cell>
          <cell r="J577">
            <v>29.645555555555561</v>
          </cell>
        </row>
        <row r="578">
          <cell r="B578">
            <v>61.06</v>
          </cell>
          <cell r="C578">
            <v>111.33</v>
          </cell>
          <cell r="D578">
            <v>18.62</v>
          </cell>
          <cell r="E578">
            <v>8.67</v>
          </cell>
          <cell r="H578">
            <v>45316</v>
          </cell>
          <cell r="I578">
            <v>0.70666666666666655</v>
          </cell>
          <cell r="J578">
            <v>28.77</v>
          </cell>
        </row>
        <row r="579">
          <cell r="B579">
            <v>53.19</v>
          </cell>
          <cell r="C579">
            <v>100.62</v>
          </cell>
          <cell r="D579">
            <v>18.5</v>
          </cell>
          <cell r="E579">
            <v>7.69</v>
          </cell>
          <cell r="H579">
            <v>45316</v>
          </cell>
          <cell r="I579">
            <v>0.69222222222222229</v>
          </cell>
          <cell r="J579">
            <v>28.013333333333332</v>
          </cell>
        </row>
        <row r="580">
          <cell r="B580">
            <v>50.33</v>
          </cell>
          <cell r="C580">
            <v>97.73</v>
          </cell>
          <cell r="D580">
            <v>18.47</v>
          </cell>
          <cell r="E580">
            <v>7.34</v>
          </cell>
          <cell r="H580">
            <v>45316</v>
          </cell>
          <cell r="I580">
            <v>0.66666666666666663</v>
          </cell>
          <cell r="J580">
            <v>27.756666666666668</v>
          </cell>
        </row>
        <row r="581">
          <cell r="B581">
            <v>45.87</v>
          </cell>
          <cell r="C581">
            <v>87.28</v>
          </cell>
          <cell r="D581">
            <v>18.309999999999999</v>
          </cell>
          <cell r="E581">
            <v>7.23</v>
          </cell>
          <cell r="H581">
            <v>45316</v>
          </cell>
          <cell r="I581">
            <v>0.61888888888888893</v>
          </cell>
          <cell r="J581">
            <v>28.34888888888889</v>
          </cell>
        </row>
        <row r="582">
          <cell r="B582">
            <v>42.41</v>
          </cell>
          <cell r="C582">
            <v>84.79</v>
          </cell>
          <cell r="D582">
            <v>18.34</v>
          </cell>
          <cell r="E582">
            <v>6.76</v>
          </cell>
          <cell r="H582">
            <v>45316</v>
          </cell>
          <cell r="I582">
            <v>0.55888888888888888</v>
          </cell>
          <cell r="J582">
            <v>28.454444444444448</v>
          </cell>
        </row>
        <row r="583">
          <cell r="B583">
            <v>42.76</v>
          </cell>
          <cell r="C583">
            <v>82.61</v>
          </cell>
          <cell r="D583">
            <v>18.61</v>
          </cell>
          <cell r="E583">
            <v>7.28</v>
          </cell>
          <cell r="H583">
            <v>45316</v>
          </cell>
          <cell r="I583">
            <v>0.52444444444444449</v>
          </cell>
          <cell r="J583">
            <v>28.426666666666669</v>
          </cell>
        </row>
        <row r="584">
          <cell r="B584">
            <v>45.41</v>
          </cell>
          <cell r="C584">
            <v>87.5</v>
          </cell>
          <cell r="D584">
            <v>18.95</v>
          </cell>
          <cell r="E584">
            <v>7.69</v>
          </cell>
          <cell r="H584">
            <v>45316</v>
          </cell>
          <cell r="I584">
            <v>0.51222222222222225</v>
          </cell>
          <cell r="J584">
            <v>27.943333333333339</v>
          </cell>
        </row>
        <row r="585">
          <cell r="B585">
            <v>51.21</v>
          </cell>
          <cell r="C585">
            <v>108.51</v>
          </cell>
          <cell r="D585">
            <v>19.34</v>
          </cell>
          <cell r="E585">
            <v>8</v>
          </cell>
          <cell r="H585">
            <v>45316</v>
          </cell>
          <cell r="I585">
            <v>0.51666666666666672</v>
          </cell>
          <cell r="J585">
            <v>27.248888888888889</v>
          </cell>
        </row>
        <row r="586">
          <cell r="B586">
            <v>59.19</v>
          </cell>
          <cell r="C586">
            <v>129.81</v>
          </cell>
          <cell r="D586">
            <v>19.7</v>
          </cell>
          <cell r="E586">
            <v>9.16</v>
          </cell>
          <cell r="H586">
            <v>45316</v>
          </cell>
          <cell r="I586">
            <v>0.53333333333333333</v>
          </cell>
          <cell r="J586">
            <v>27.202222222222225</v>
          </cell>
        </row>
        <row r="587">
          <cell r="B587">
            <v>57.99</v>
          </cell>
          <cell r="C587">
            <v>124.35</v>
          </cell>
          <cell r="D587">
            <v>19.3</v>
          </cell>
          <cell r="E587">
            <v>8.9499999999999993</v>
          </cell>
          <cell r="H587">
            <v>45316</v>
          </cell>
          <cell r="I587">
            <v>0.54666666666666663</v>
          </cell>
          <cell r="J587">
            <v>27.483333333333334</v>
          </cell>
        </row>
        <row r="588">
          <cell r="B588">
            <v>51.7</v>
          </cell>
          <cell r="C588">
            <v>125.66</v>
          </cell>
          <cell r="D588">
            <v>18.89</v>
          </cell>
          <cell r="E588">
            <v>8.31</v>
          </cell>
          <cell r="H588">
            <v>45316</v>
          </cell>
          <cell r="I588">
            <v>0.57333333333333325</v>
          </cell>
          <cell r="J588">
            <v>27.944444444444446</v>
          </cell>
        </row>
        <row r="589">
          <cell r="B589">
            <v>45.65</v>
          </cell>
          <cell r="C589">
            <v>112.56</v>
          </cell>
          <cell r="D589">
            <v>19.03</v>
          </cell>
          <cell r="E589">
            <v>8</v>
          </cell>
          <cell r="H589">
            <v>45316</v>
          </cell>
          <cell r="I589">
            <v>0.58888888888888891</v>
          </cell>
          <cell r="J589">
            <v>28.700000000000003</v>
          </cell>
        </row>
        <row r="590">
          <cell r="B590">
            <v>55.33</v>
          </cell>
          <cell r="C590">
            <v>118.6</v>
          </cell>
          <cell r="D590">
            <v>17.45</v>
          </cell>
          <cell r="E590">
            <v>8.1999999999999993</v>
          </cell>
          <cell r="H590">
            <v>45316</v>
          </cell>
          <cell r="I590">
            <v>0.60555555555555551</v>
          </cell>
          <cell r="J590">
            <v>29.646666666666665</v>
          </cell>
        </row>
        <row r="591">
          <cell r="B591">
            <v>53.5</v>
          </cell>
          <cell r="C591">
            <v>94.43</v>
          </cell>
          <cell r="D591">
            <v>17.64</v>
          </cell>
          <cell r="E591">
            <v>8.1</v>
          </cell>
          <cell r="H591">
            <v>45316</v>
          </cell>
          <cell r="I591">
            <v>0.62333333333333329</v>
          </cell>
          <cell r="J591">
            <v>31.025555555555556</v>
          </cell>
        </row>
        <row r="592">
          <cell r="B592">
            <v>45.72</v>
          </cell>
          <cell r="C592">
            <v>93.43</v>
          </cell>
          <cell r="D592">
            <v>17.77</v>
          </cell>
          <cell r="E592">
            <v>8.14</v>
          </cell>
          <cell r="H592">
            <v>45316</v>
          </cell>
          <cell r="I592">
            <v>0.63888888888888884</v>
          </cell>
          <cell r="J592">
            <v>32.659999999999997</v>
          </cell>
        </row>
        <row r="593">
          <cell r="B593">
            <v>44.8</v>
          </cell>
          <cell r="C593">
            <v>106.75</v>
          </cell>
          <cell r="D593">
            <v>19.45</v>
          </cell>
          <cell r="E593">
            <v>8.32</v>
          </cell>
          <cell r="H593">
            <v>45316</v>
          </cell>
          <cell r="I593">
            <v>0.64777777777777779</v>
          </cell>
          <cell r="J593">
            <v>34.238888888888887</v>
          </cell>
        </row>
        <row r="594">
          <cell r="B594">
            <v>46.31</v>
          </cell>
          <cell r="C594">
            <v>99.01</v>
          </cell>
          <cell r="D594">
            <v>18.23</v>
          </cell>
          <cell r="E594">
            <v>8.8699999999999992</v>
          </cell>
          <cell r="H594">
            <v>45316</v>
          </cell>
          <cell r="I594">
            <v>0.66</v>
          </cell>
          <cell r="J594">
            <v>36.104444444444447</v>
          </cell>
        </row>
        <row r="595">
          <cell r="B595">
            <v>46.68</v>
          </cell>
          <cell r="C595">
            <v>101.8</v>
          </cell>
          <cell r="D595">
            <v>18.93</v>
          </cell>
          <cell r="E595">
            <v>8.89</v>
          </cell>
          <cell r="H595">
            <v>45316</v>
          </cell>
          <cell r="I595">
            <v>0.67222222222222228</v>
          </cell>
          <cell r="J595">
            <v>36.581111111111113</v>
          </cell>
        </row>
        <row r="596">
          <cell r="B596">
            <v>52.29</v>
          </cell>
          <cell r="C596">
            <v>112.03</v>
          </cell>
          <cell r="D596">
            <v>21.66</v>
          </cell>
          <cell r="E596">
            <v>8.66</v>
          </cell>
          <cell r="H596">
            <v>45316</v>
          </cell>
          <cell r="I596">
            <v>0.7022222222222223</v>
          </cell>
          <cell r="J596">
            <v>35.861111111111114</v>
          </cell>
        </row>
        <row r="597">
          <cell r="B597">
            <v>61.75</v>
          </cell>
          <cell r="C597">
            <v>137.27000000000001</v>
          </cell>
          <cell r="D597">
            <v>21.96</v>
          </cell>
          <cell r="E597">
            <v>8.3699999999999992</v>
          </cell>
          <cell r="H597">
            <v>45316</v>
          </cell>
          <cell r="I597">
            <v>0.74222222222222212</v>
          </cell>
          <cell r="J597">
            <v>34.975555555555559</v>
          </cell>
        </row>
        <row r="598">
          <cell r="B598">
            <v>61.69</v>
          </cell>
          <cell r="C598">
            <v>133.32</v>
          </cell>
          <cell r="D598">
            <v>21.26</v>
          </cell>
          <cell r="E598">
            <v>8.1300000000000008</v>
          </cell>
          <cell r="H598">
            <v>45316</v>
          </cell>
          <cell r="I598">
            <v>0.78333333333333344</v>
          </cell>
          <cell r="J598">
            <v>34.033333333333331</v>
          </cell>
        </row>
        <row r="599">
          <cell r="B599">
            <v>55.59</v>
          </cell>
          <cell r="C599">
            <v>122.23</v>
          </cell>
          <cell r="D599">
            <v>20.13</v>
          </cell>
          <cell r="E599">
            <v>8.25</v>
          </cell>
          <cell r="H599">
            <v>45316</v>
          </cell>
          <cell r="I599">
            <v>0.81444444444444453</v>
          </cell>
          <cell r="J599">
            <v>32.855555555555561</v>
          </cell>
        </row>
        <row r="600">
          <cell r="B600">
            <v>46.78</v>
          </cell>
          <cell r="C600">
            <v>110.34</v>
          </cell>
          <cell r="D600">
            <v>19.940000000000001</v>
          </cell>
          <cell r="E600">
            <v>7.72</v>
          </cell>
          <cell r="H600">
            <v>45316</v>
          </cell>
          <cell r="I600">
            <v>0.83666666666666667</v>
          </cell>
          <cell r="J600">
            <v>31.604444444444443</v>
          </cell>
        </row>
        <row r="601">
          <cell r="B601">
            <v>39.6</v>
          </cell>
          <cell r="C601">
            <v>97.14</v>
          </cell>
          <cell r="D601">
            <v>19.559999999999999</v>
          </cell>
          <cell r="E601">
            <v>7.79</v>
          </cell>
          <cell r="H601">
            <v>45316</v>
          </cell>
          <cell r="I601">
            <v>0.83888888888888891</v>
          </cell>
          <cell r="J601">
            <v>30.367777777777778</v>
          </cell>
        </row>
        <row r="602">
          <cell r="B602">
            <v>37.4</v>
          </cell>
          <cell r="C602">
            <v>90.08</v>
          </cell>
          <cell r="D602">
            <v>19.170000000000002</v>
          </cell>
          <cell r="E602">
            <v>7.89</v>
          </cell>
          <cell r="H602">
            <v>45317</v>
          </cell>
          <cell r="I602">
            <v>0.83777777777777773</v>
          </cell>
          <cell r="J602">
            <v>29.428888888888892</v>
          </cell>
        </row>
        <row r="603">
          <cell r="B603">
            <v>34.35</v>
          </cell>
          <cell r="C603">
            <v>83.25</v>
          </cell>
          <cell r="D603">
            <v>18.97</v>
          </cell>
          <cell r="E603">
            <v>7.87</v>
          </cell>
          <cell r="H603">
            <v>45317</v>
          </cell>
          <cell r="I603">
            <v>0.83</v>
          </cell>
          <cell r="J603">
            <v>28.224444444444444</v>
          </cell>
        </row>
        <row r="604">
          <cell r="B604">
            <v>33.22</v>
          </cell>
          <cell r="C604">
            <v>79.150000000000006</v>
          </cell>
          <cell r="D604">
            <v>19.04</v>
          </cell>
          <cell r="E604">
            <v>7.69</v>
          </cell>
          <cell r="H604">
            <v>45317</v>
          </cell>
          <cell r="I604">
            <v>0.81555555555555559</v>
          </cell>
          <cell r="J604">
            <v>27.647777777777776</v>
          </cell>
        </row>
        <row r="605">
          <cell r="B605">
            <v>35</v>
          </cell>
          <cell r="C605">
            <v>77.14</v>
          </cell>
          <cell r="D605">
            <v>19.13</v>
          </cell>
          <cell r="E605">
            <v>7.47</v>
          </cell>
          <cell r="H605">
            <v>45317</v>
          </cell>
          <cell r="I605">
            <v>0.79333333333333333</v>
          </cell>
          <cell r="J605">
            <v>27.883333333333333</v>
          </cell>
        </row>
        <row r="606">
          <cell r="B606">
            <v>32.65</v>
          </cell>
          <cell r="C606">
            <v>73.66</v>
          </cell>
          <cell r="D606">
            <v>19.2</v>
          </cell>
          <cell r="E606">
            <v>7.25</v>
          </cell>
          <cell r="H606">
            <v>45317</v>
          </cell>
          <cell r="I606">
            <v>0.75888888888888895</v>
          </cell>
          <cell r="J606">
            <v>28.11888888888889</v>
          </cell>
        </row>
        <row r="607">
          <cell r="B607">
            <v>31.22</v>
          </cell>
          <cell r="C607">
            <v>71.78</v>
          </cell>
          <cell r="D607">
            <v>19.29</v>
          </cell>
          <cell r="E607">
            <v>7.42</v>
          </cell>
          <cell r="H607">
            <v>45317</v>
          </cell>
          <cell r="I607">
            <v>0.7366666666666668</v>
          </cell>
          <cell r="J607">
            <v>28.055555555555557</v>
          </cell>
        </row>
        <row r="608">
          <cell r="B608">
            <v>31.27</v>
          </cell>
          <cell r="C608">
            <v>70.02</v>
          </cell>
          <cell r="D608">
            <v>19.5</v>
          </cell>
          <cell r="E608">
            <v>7.52</v>
          </cell>
          <cell r="H608">
            <v>45317</v>
          </cell>
          <cell r="I608">
            <v>0.72333333333333327</v>
          </cell>
          <cell r="J608">
            <v>27.971111111111114</v>
          </cell>
        </row>
        <row r="609">
          <cell r="B609">
            <v>30.44</v>
          </cell>
          <cell r="C609">
            <v>70.239999999999995</v>
          </cell>
          <cell r="D609">
            <v>19.850000000000001</v>
          </cell>
          <cell r="E609">
            <v>7.55</v>
          </cell>
          <cell r="H609">
            <v>45317</v>
          </cell>
          <cell r="I609">
            <v>0.72444444444444445</v>
          </cell>
          <cell r="J609">
            <v>27.754444444444445</v>
          </cell>
        </row>
        <row r="610">
          <cell r="B610">
            <v>33.06</v>
          </cell>
          <cell r="C610">
            <v>77.08</v>
          </cell>
          <cell r="D610">
            <v>19.920000000000002</v>
          </cell>
          <cell r="E610">
            <v>7.56</v>
          </cell>
          <cell r="H610">
            <v>45317</v>
          </cell>
          <cell r="I610">
            <v>0.73222222222222222</v>
          </cell>
          <cell r="J610">
            <v>27.704444444444448</v>
          </cell>
        </row>
        <row r="611">
          <cell r="B611">
            <v>30.79</v>
          </cell>
          <cell r="C611">
            <v>72.45</v>
          </cell>
          <cell r="D611">
            <v>19.89</v>
          </cell>
          <cell r="E611">
            <v>7.26</v>
          </cell>
          <cell r="H611">
            <v>45317</v>
          </cell>
          <cell r="I611">
            <v>0.73555555555555552</v>
          </cell>
          <cell r="J611">
            <v>27.97333333333334</v>
          </cell>
        </row>
        <row r="612">
          <cell r="B612">
            <v>28.63</v>
          </cell>
          <cell r="C612">
            <v>65.87</v>
          </cell>
          <cell r="D612">
            <v>19.170000000000002</v>
          </cell>
          <cell r="E612">
            <v>6.58</v>
          </cell>
          <cell r="H612">
            <v>45317</v>
          </cell>
          <cell r="I612">
            <v>0.7433333333333334</v>
          </cell>
          <cell r="J612">
            <v>28.461111111111116</v>
          </cell>
        </row>
        <row r="613">
          <cell r="B613">
            <v>30.76</v>
          </cell>
          <cell r="C613">
            <v>68.63</v>
          </cell>
          <cell r="D613">
            <v>19.13</v>
          </cell>
          <cell r="E613">
            <v>7.12</v>
          </cell>
          <cell r="H613">
            <v>45317</v>
          </cell>
          <cell r="I613">
            <v>0.7366666666666668</v>
          </cell>
          <cell r="J613">
            <v>29.161111111111111</v>
          </cell>
        </row>
        <row r="614">
          <cell r="B614">
            <v>28.88</v>
          </cell>
          <cell r="C614">
            <v>65.599999999999994</v>
          </cell>
          <cell r="D614">
            <v>18.84</v>
          </cell>
          <cell r="E614">
            <v>7.66</v>
          </cell>
          <cell r="H614">
            <v>45317</v>
          </cell>
          <cell r="I614">
            <v>0.72222222222222232</v>
          </cell>
          <cell r="J614">
            <v>29.854444444444439</v>
          </cell>
        </row>
        <row r="615">
          <cell r="B615">
            <v>26.59</v>
          </cell>
          <cell r="C615">
            <v>64.02</v>
          </cell>
          <cell r="D615">
            <v>18.809999999999999</v>
          </cell>
          <cell r="E615">
            <v>7.56</v>
          </cell>
          <cell r="H615">
            <v>45317</v>
          </cell>
          <cell r="I615">
            <v>0.71111111111111114</v>
          </cell>
          <cell r="J615">
            <v>30.546666666666663</v>
          </cell>
        </row>
        <row r="616">
          <cell r="B616">
            <v>27.01</v>
          </cell>
          <cell r="C616">
            <v>65.05</v>
          </cell>
          <cell r="D616">
            <v>19.510000000000002</v>
          </cell>
          <cell r="E616">
            <v>7.11</v>
          </cell>
          <cell r="H616">
            <v>45317</v>
          </cell>
          <cell r="I616">
            <v>0.70555555555555549</v>
          </cell>
          <cell r="J616">
            <v>31.477777777777774</v>
          </cell>
        </row>
        <row r="617">
          <cell r="B617">
            <v>28.24</v>
          </cell>
          <cell r="C617">
            <v>63.05</v>
          </cell>
          <cell r="D617">
            <v>19.010000000000002</v>
          </cell>
          <cell r="E617">
            <v>7.25</v>
          </cell>
          <cell r="H617">
            <v>45317</v>
          </cell>
          <cell r="I617">
            <v>0.69555555555555548</v>
          </cell>
          <cell r="J617">
            <v>32.61888888888889</v>
          </cell>
        </row>
        <row r="618">
          <cell r="B618">
            <v>28.95</v>
          </cell>
          <cell r="C618">
            <v>63.97</v>
          </cell>
          <cell r="D618">
            <v>19.27</v>
          </cell>
          <cell r="E618">
            <v>7.07</v>
          </cell>
          <cell r="H618">
            <v>45317</v>
          </cell>
          <cell r="I618">
            <v>0.68222222222222217</v>
          </cell>
          <cell r="J618">
            <v>33.580000000000005</v>
          </cell>
        </row>
        <row r="619">
          <cell r="B619">
            <v>29.52</v>
          </cell>
          <cell r="C619">
            <v>64.91</v>
          </cell>
          <cell r="D619">
            <v>19.41</v>
          </cell>
          <cell r="E619">
            <v>7.33</v>
          </cell>
          <cell r="H619">
            <v>45317</v>
          </cell>
          <cell r="I619">
            <v>0.67666666666666664</v>
          </cell>
          <cell r="J619">
            <v>34.062222222222218</v>
          </cell>
        </row>
        <row r="620">
          <cell r="B620">
            <v>30.46</v>
          </cell>
          <cell r="C620">
            <v>69.77</v>
          </cell>
          <cell r="D620">
            <v>20.67</v>
          </cell>
          <cell r="E620">
            <v>7.25</v>
          </cell>
          <cell r="H620">
            <v>45317</v>
          </cell>
          <cell r="I620">
            <v>0.68666666666666665</v>
          </cell>
          <cell r="J620">
            <v>33.498888888888892</v>
          </cell>
        </row>
        <row r="621">
          <cell r="B621">
            <v>33.700000000000003</v>
          </cell>
          <cell r="C621">
            <v>78.81</v>
          </cell>
          <cell r="D621">
            <v>20.41</v>
          </cell>
          <cell r="E621">
            <v>7.26</v>
          </cell>
          <cell r="H621">
            <v>45317</v>
          </cell>
          <cell r="I621">
            <v>0.69222222222222229</v>
          </cell>
          <cell r="J621">
            <v>32.694444444444443</v>
          </cell>
        </row>
        <row r="622">
          <cell r="B622">
            <v>35.380000000000003</v>
          </cell>
          <cell r="C622">
            <v>79.33</v>
          </cell>
          <cell r="D622">
            <v>20.53</v>
          </cell>
          <cell r="E622">
            <v>7.44</v>
          </cell>
          <cell r="H622">
            <v>45317</v>
          </cell>
          <cell r="I622">
            <v>0.71555555555555561</v>
          </cell>
          <cell r="J622">
            <v>31.740000000000002</v>
          </cell>
        </row>
        <row r="623">
          <cell r="B623">
            <v>36.130000000000003</v>
          </cell>
          <cell r="C623">
            <v>77.5</v>
          </cell>
          <cell r="D623">
            <v>20.61</v>
          </cell>
          <cell r="E623">
            <v>7.24</v>
          </cell>
          <cell r="H623">
            <v>45317</v>
          </cell>
          <cell r="I623">
            <v>0.73777777777777787</v>
          </cell>
          <cell r="J623">
            <v>30.666666666666668</v>
          </cell>
        </row>
        <row r="624">
          <cell r="B624">
            <v>35.5</v>
          </cell>
          <cell r="C624">
            <v>76.680000000000007</v>
          </cell>
          <cell r="D624">
            <v>20.87</v>
          </cell>
          <cell r="E624">
            <v>6.91</v>
          </cell>
          <cell r="H624">
            <v>45317</v>
          </cell>
          <cell r="I624">
            <v>0.75555555555555554</v>
          </cell>
          <cell r="J624">
            <v>29.714444444444446</v>
          </cell>
        </row>
        <row r="625">
          <cell r="B625">
            <v>34.21</v>
          </cell>
          <cell r="C625">
            <v>76.27</v>
          </cell>
          <cell r="D625">
            <v>20.38</v>
          </cell>
          <cell r="E625">
            <v>7.2</v>
          </cell>
          <cell r="H625">
            <v>45317</v>
          </cell>
          <cell r="I625">
            <v>0.75666666666666671</v>
          </cell>
          <cell r="J625">
            <v>28.615555555555559</v>
          </cell>
        </row>
        <row r="626">
          <cell r="B626">
            <v>36.08</v>
          </cell>
          <cell r="C626">
            <v>78.14</v>
          </cell>
          <cell r="D626">
            <v>19.559999999999999</v>
          </cell>
          <cell r="E626">
            <v>7.31</v>
          </cell>
          <cell r="H626">
            <v>45318</v>
          </cell>
          <cell r="I626">
            <v>0.76444444444444448</v>
          </cell>
          <cell r="J626">
            <v>27.656666666666663</v>
          </cell>
        </row>
        <row r="627">
          <cell r="B627">
            <v>36.21</v>
          </cell>
          <cell r="C627">
            <v>78.63</v>
          </cell>
          <cell r="D627">
            <v>19.45</v>
          </cell>
          <cell r="E627">
            <v>7.56</v>
          </cell>
          <cell r="H627">
            <v>45318</v>
          </cell>
          <cell r="I627">
            <v>0.77444444444444438</v>
          </cell>
          <cell r="J627">
            <v>26.897777777777776</v>
          </cell>
        </row>
        <row r="628">
          <cell r="B628">
            <v>34.35</v>
          </cell>
          <cell r="C628">
            <v>76.099999999999994</v>
          </cell>
          <cell r="D628">
            <v>19.18</v>
          </cell>
          <cell r="E628">
            <v>7.99</v>
          </cell>
          <cell r="H628">
            <v>45318</v>
          </cell>
          <cell r="I628">
            <v>0.78555555555555556</v>
          </cell>
          <cell r="J628">
            <v>26.295555555555556</v>
          </cell>
        </row>
        <row r="629">
          <cell r="B629">
            <v>30.26</v>
          </cell>
          <cell r="C629">
            <v>69.17</v>
          </cell>
          <cell r="D629">
            <v>19.3</v>
          </cell>
          <cell r="E629">
            <v>7.59</v>
          </cell>
          <cell r="H629">
            <v>45318</v>
          </cell>
          <cell r="I629">
            <v>0.78666666666666663</v>
          </cell>
          <cell r="J629">
            <v>26.306666666666665</v>
          </cell>
        </row>
        <row r="630">
          <cell r="B630">
            <v>27.47</v>
          </cell>
          <cell r="C630">
            <v>63.93</v>
          </cell>
          <cell r="D630">
            <v>19.45</v>
          </cell>
          <cell r="E630">
            <v>6.94</v>
          </cell>
          <cell r="H630">
            <v>45318</v>
          </cell>
          <cell r="I630">
            <v>0.78111111111111109</v>
          </cell>
          <cell r="J630">
            <v>26.164444444444442</v>
          </cell>
        </row>
        <row r="631">
          <cell r="B631">
            <v>27.75</v>
          </cell>
          <cell r="C631">
            <v>65.12</v>
          </cell>
          <cell r="D631">
            <v>19.260000000000002</v>
          </cell>
          <cell r="E631">
            <v>7.58</v>
          </cell>
          <cell r="H631">
            <v>45318</v>
          </cell>
          <cell r="I631">
            <v>0.77666666666666673</v>
          </cell>
          <cell r="J631">
            <v>25.884444444444441</v>
          </cell>
        </row>
        <row r="632">
          <cell r="B632">
            <v>29.17</v>
          </cell>
          <cell r="C632">
            <v>64.83</v>
          </cell>
          <cell r="D632">
            <v>19.63</v>
          </cell>
          <cell r="E632">
            <v>7.74</v>
          </cell>
          <cell r="H632">
            <v>45318</v>
          </cell>
          <cell r="I632">
            <v>0.77666666666666673</v>
          </cell>
          <cell r="J632">
            <v>25.568888888888885</v>
          </cell>
        </row>
        <row r="633">
          <cell r="B633">
            <v>30.32</v>
          </cell>
          <cell r="C633">
            <v>68.48</v>
          </cell>
          <cell r="D633">
            <v>19.649999999999999</v>
          </cell>
          <cell r="E633">
            <v>7.89</v>
          </cell>
          <cell r="H633">
            <v>45318</v>
          </cell>
          <cell r="I633">
            <v>0.77666666666666684</v>
          </cell>
          <cell r="J633">
            <v>25.308888888888887</v>
          </cell>
        </row>
        <row r="634">
          <cell r="B634">
            <v>31.41</v>
          </cell>
          <cell r="C634">
            <v>75.040000000000006</v>
          </cell>
          <cell r="D634">
            <v>19.079999999999998</v>
          </cell>
          <cell r="E634">
            <v>8.19</v>
          </cell>
          <cell r="H634">
            <v>45318</v>
          </cell>
          <cell r="I634">
            <v>0.7911111111111111</v>
          </cell>
          <cell r="J634">
            <v>25.312222222222221</v>
          </cell>
        </row>
        <row r="635">
          <cell r="B635">
            <v>30.07</v>
          </cell>
          <cell r="C635">
            <v>66.75</v>
          </cell>
          <cell r="D635">
            <v>19.2</v>
          </cell>
          <cell r="E635">
            <v>8.52</v>
          </cell>
          <cell r="H635">
            <v>45318</v>
          </cell>
          <cell r="I635">
            <v>0.80555555555555558</v>
          </cell>
          <cell r="J635">
            <v>25.507777777777775</v>
          </cell>
        </row>
        <row r="636">
          <cell r="B636">
            <v>28.34</v>
          </cell>
          <cell r="C636">
            <v>68.47</v>
          </cell>
          <cell r="D636">
            <v>19.41</v>
          </cell>
          <cell r="E636">
            <v>8.75</v>
          </cell>
          <cell r="H636">
            <v>45318</v>
          </cell>
          <cell r="I636">
            <v>0.81333333333333335</v>
          </cell>
          <cell r="J636">
            <v>25.90666666666667</v>
          </cell>
        </row>
        <row r="637">
          <cell r="B637">
            <v>26.16</v>
          </cell>
          <cell r="C637">
            <v>69.88</v>
          </cell>
          <cell r="D637">
            <v>19.37</v>
          </cell>
          <cell r="E637">
            <v>8.2100000000000009</v>
          </cell>
          <cell r="H637">
            <v>45318</v>
          </cell>
          <cell r="I637">
            <v>0.81888888888888889</v>
          </cell>
          <cell r="J637">
            <v>26.624444444444446</v>
          </cell>
        </row>
        <row r="638">
          <cell r="B638">
            <v>22.84</v>
          </cell>
          <cell r="C638">
            <v>69.02</v>
          </cell>
          <cell r="D638">
            <v>18.22</v>
          </cell>
          <cell r="E638">
            <v>8.9</v>
          </cell>
          <cell r="H638">
            <v>45318</v>
          </cell>
          <cell r="I638">
            <v>0.8222222222222223</v>
          </cell>
          <cell r="J638">
            <v>27.532222222222224</v>
          </cell>
        </row>
        <row r="639">
          <cell r="B639">
            <v>24.04</v>
          </cell>
          <cell r="C639">
            <v>67</v>
          </cell>
          <cell r="D639">
            <v>18.510000000000002</v>
          </cell>
          <cell r="E639">
            <v>9.19</v>
          </cell>
          <cell r="H639">
            <v>45318</v>
          </cell>
          <cell r="I639">
            <v>0.82666666666666666</v>
          </cell>
          <cell r="J639">
            <v>28.628888888888891</v>
          </cell>
        </row>
        <row r="640">
          <cell r="B640">
            <v>26.66</v>
          </cell>
          <cell r="C640">
            <v>68.66</v>
          </cell>
          <cell r="D640">
            <v>19.03</v>
          </cell>
          <cell r="E640">
            <v>9.3699999999999992</v>
          </cell>
          <cell r="H640">
            <v>45318</v>
          </cell>
          <cell r="I640">
            <v>0.83000000000000007</v>
          </cell>
          <cell r="J640">
            <v>29.800000000000004</v>
          </cell>
        </row>
        <row r="641">
          <cell r="B641">
            <v>27.6</v>
          </cell>
          <cell r="C641">
            <v>71.900000000000006</v>
          </cell>
          <cell r="D641">
            <v>18.48</v>
          </cell>
          <cell r="E641">
            <v>9.5399999999999991</v>
          </cell>
          <cell r="H641">
            <v>45318</v>
          </cell>
          <cell r="I641">
            <v>0.83777777777777784</v>
          </cell>
          <cell r="J641">
            <v>30.985555555555557</v>
          </cell>
        </row>
        <row r="642">
          <cell r="B642">
            <v>28.21</v>
          </cell>
          <cell r="C642">
            <v>71.349999999999994</v>
          </cell>
          <cell r="D642">
            <v>17.96</v>
          </cell>
          <cell r="E642">
            <v>10.44</v>
          </cell>
          <cell r="H642">
            <v>45318</v>
          </cell>
          <cell r="I642">
            <v>0.84333333333333338</v>
          </cell>
          <cell r="J642">
            <v>31.983333333333334</v>
          </cell>
        </row>
        <row r="643">
          <cell r="B643">
            <v>29.69</v>
          </cell>
          <cell r="C643">
            <v>76.16</v>
          </cell>
          <cell r="D643">
            <v>18.13</v>
          </cell>
          <cell r="E643">
            <v>9.94</v>
          </cell>
          <cell r="H643">
            <v>45318</v>
          </cell>
          <cell r="I643">
            <v>0.85111111111111115</v>
          </cell>
          <cell r="J643">
            <v>32.677777777777777</v>
          </cell>
        </row>
        <row r="644">
          <cell r="B644">
            <v>31.99</v>
          </cell>
          <cell r="C644">
            <v>87.81</v>
          </cell>
          <cell r="D644">
            <v>19.39</v>
          </cell>
          <cell r="E644">
            <v>8.6199999999999992</v>
          </cell>
          <cell r="H644">
            <v>45318</v>
          </cell>
          <cell r="I644">
            <v>0.86222222222222222</v>
          </cell>
          <cell r="J644">
            <v>32.894444444444439</v>
          </cell>
        </row>
        <row r="645">
          <cell r="B645">
            <v>35.020000000000003</v>
          </cell>
          <cell r="C645">
            <v>97.43</v>
          </cell>
          <cell r="D645">
            <v>19.309999999999999</v>
          </cell>
          <cell r="E645">
            <v>8.99</v>
          </cell>
          <cell r="H645">
            <v>45318</v>
          </cell>
          <cell r="I645">
            <v>0.87333333333333329</v>
          </cell>
          <cell r="J645">
            <v>32.429999999999993</v>
          </cell>
        </row>
        <row r="646">
          <cell r="B646">
            <v>37.17</v>
          </cell>
          <cell r="C646">
            <v>95.51</v>
          </cell>
          <cell r="D646">
            <v>18.88</v>
          </cell>
          <cell r="E646">
            <v>9.39</v>
          </cell>
          <cell r="H646">
            <v>45318</v>
          </cell>
          <cell r="I646">
            <v>0.88777777777777778</v>
          </cell>
          <cell r="J646">
            <v>31.708888888888882</v>
          </cell>
        </row>
        <row r="647">
          <cell r="B647">
            <v>37.64</v>
          </cell>
          <cell r="C647">
            <v>92.69</v>
          </cell>
          <cell r="D647">
            <v>18.96</v>
          </cell>
          <cell r="E647">
            <v>9</v>
          </cell>
          <cell r="H647">
            <v>45318</v>
          </cell>
          <cell r="I647">
            <v>0.89111111111111108</v>
          </cell>
          <cell r="J647">
            <v>31.022222222222222</v>
          </cell>
        </row>
        <row r="648">
          <cell r="B648">
            <v>35.700000000000003</v>
          </cell>
          <cell r="C648">
            <v>87.85</v>
          </cell>
          <cell r="D648">
            <v>18.670000000000002</v>
          </cell>
          <cell r="E648">
            <v>8.81</v>
          </cell>
          <cell r="H648">
            <v>45318</v>
          </cell>
          <cell r="I648">
            <v>0.88777777777777767</v>
          </cell>
          <cell r="J648">
            <v>30.283333333333335</v>
          </cell>
        </row>
        <row r="649">
          <cell r="B649">
            <v>33.18</v>
          </cell>
          <cell r="C649">
            <v>82.02</v>
          </cell>
          <cell r="D649">
            <v>18.399999999999999</v>
          </cell>
          <cell r="E649">
            <v>8.98</v>
          </cell>
          <cell r="H649">
            <v>45318</v>
          </cell>
          <cell r="I649">
            <v>0.88222222222222213</v>
          </cell>
          <cell r="J649">
            <v>29.557777777777776</v>
          </cell>
        </row>
        <row r="650">
          <cell r="B650">
            <v>31.23</v>
          </cell>
          <cell r="C650">
            <v>78.62</v>
          </cell>
          <cell r="D650">
            <v>18.48</v>
          </cell>
          <cell r="E650">
            <v>8.42</v>
          </cell>
          <cell r="H650">
            <v>45319</v>
          </cell>
          <cell r="I650">
            <v>0.85222222222222233</v>
          </cell>
          <cell r="J650">
            <v>28.986666666666665</v>
          </cell>
        </row>
        <row r="651">
          <cell r="B651">
            <v>32.479999999999997</v>
          </cell>
          <cell r="C651">
            <v>75.14</v>
          </cell>
          <cell r="D651">
            <v>18.25</v>
          </cell>
          <cell r="E651">
            <v>7.7</v>
          </cell>
          <cell r="H651">
            <v>45319</v>
          </cell>
          <cell r="I651">
            <v>0.82111111111111112</v>
          </cell>
          <cell r="J651">
            <v>28.37222222222222</v>
          </cell>
        </row>
        <row r="652">
          <cell r="B652">
            <v>30.82</v>
          </cell>
          <cell r="C652">
            <v>69.2</v>
          </cell>
          <cell r="D652">
            <v>18.100000000000001</v>
          </cell>
          <cell r="E652">
            <v>8.34</v>
          </cell>
          <cell r="H652">
            <v>45319</v>
          </cell>
          <cell r="I652">
            <v>0.78555555555555556</v>
          </cell>
          <cell r="J652">
            <v>27.91333333333333</v>
          </cell>
        </row>
        <row r="653">
          <cell r="B653">
            <v>29.92</v>
          </cell>
          <cell r="C653">
            <v>65.97</v>
          </cell>
          <cell r="D653">
            <v>18.13</v>
          </cell>
          <cell r="E653">
            <v>8.49</v>
          </cell>
          <cell r="H653">
            <v>45319</v>
          </cell>
          <cell r="I653">
            <v>0.74777777777777776</v>
          </cell>
          <cell r="J653">
            <v>27.484444444444442</v>
          </cell>
        </row>
        <row r="654">
          <cell r="B654">
            <v>26.97</v>
          </cell>
          <cell r="C654">
            <v>61.48</v>
          </cell>
          <cell r="D654">
            <v>18.07</v>
          </cell>
          <cell r="E654">
            <v>8.3000000000000007</v>
          </cell>
          <cell r="H654">
            <v>45319</v>
          </cell>
          <cell r="I654">
            <v>0.70777777777777784</v>
          </cell>
          <cell r="J654">
            <v>27.434444444444441</v>
          </cell>
        </row>
        <row r="655">
          <cell r="B655">
            <v>25.81</v>
          </cell>
          <cell r="C655">
            <v>59.23</v>
          </cell>
          <cell r="D655">
            <v>18.260000000000002</v>
          </cell>
          <cell r="E655">
            <v>8.1</v>
          </cell>
          <cell r="H655">
            <v>45319</v>
          </cell>
          <cell r="I655">
            <v>0.67222222222222228</v>
          </cell>
          <cell r="J655">
            <v>27.347777777777775</v>
          </cell>
        </row>
        <row r="656">
          <cell r="B656">
            <v>26.38</v>
          </cell>
          <cell r="C656">
            <v>59.24</v>
          </cell>
          <cell r="D656">
            <v>18.43</v>
          </cell>
          <cell r="E656">
            <v>7.89</v>
          </cell>
          <cell r="H656">
            <v>45319</v>
          </cell>
          <cell r="I656">
            <v>0.64777777777777779</v>
          </cell>
          <cell r="J656">
            <v>27.118888888888886</v>
          </cell>
        </row>
        <row r="657">
          <cell r="B657">
            <v>28.03</v>
          </cell>
          <cell r="C657">
            <v>62.88</v>
          </cell>
          <cell r="D657">
            <v>17.190000000000001</v>
          </cell>
          <cell r="E657">
            <v>8.16</v>
          </cell>
          <cell r="H657">
            <v>45319</v>
          </cell>
          <cell r="I657">
            <v>0.62777777777777777</v>
          </cell>
          <cell r="J657">
            <v>26.974444444444444</v>
          </cell>
        </row>
        <row r="658">
          <cell r="B658">
            <v>27.95</v>
          </cell>
          <cell r="C658">
            <v>69.97</v>
          </cell>
          <cell r="D658">
            <v>17.2</v>
          </cell>
          <cell r="E658">
            <v>8.15</v>
          </cell>
          <cell r="H658">
            <v>45319</v>
          </cell>
          <cell r="I658">
            <v>0.62000000000000011</v>
          </cell>
          <cell r="J658">
            <v>27.11</v>
          </cell>
        </row>
        <row r="659">
          <cell r="B659">
            <v>25.14</v>
          </cell>
          <cell r="C659">
            <v>66.87</v>
          </cell>
          <cell r="D659">
            <v>17.559999999999999</v>
          </cell>
          <cell r="E659">
            <v>8.86</v>
          </cell>
          <cell r="H659">
            <v>45319</v>
          </cell>
          <cell r="I659">
            <v>0.63555555555555565</v>
          </cell>
          <cell r="J659">
            <v>27.472222222222221</v>
          </cell>
        </row>
        <row r="660">
          <cell r="B660">
            <v>24.47</v>
          </cell>
          <cell r="C660">
            <v>68.28</v>
          </cell>
          <cell r="D660">
            <v>17.559999999999999</v>
          </cell>
          <cell r="E660">
            <v>9.27</v>
          </cell>
          <cell r="H660">
            <v>45319</v>
          </cell>
          <cell r="I660">
            <v>0.65777777777777779</v>
          </cell>
          <cell r="J660">
            <v>27.965555555555554</v>
          </cell>
        </row>
        <row r="661">
          <cell r="B661">
            <v>22.28</v>
          </cell>
          <cell r="C661">
            <v>62.47</v>
          </cell>
          <cell r="D661">
            <v>17.71</v>
          </cell>
          <cell r="E661">
            <v>9.1300000000000008</v>
          </cell>
          <cell r="H661">
            <v>45319</v>
          </cell>
          <cell r="I661">
            <v>0.68666666666666665</v>
          </cell>
          <cell r="J661">
            <v>28.706666666666667</v>
          </cell>
        </row>
        <row r="662">
          <cell r="B662">
            <v>22.12</v>
          </cell>
          <cell r="C662">
            <v>66.930000000000007</v>
          </cell>
          <cell r="D662">
            <v>17.75</v>
          </cell>
          <cell r="E662">
            <v>9.58</v>
          </cell>
          <cell r="H662">
            <v>45319</v>
          </cell>
          <cell r="I662">
            <v>0.7155555555555555</v>
          </cell>
          <cell r="J662">
            <v>29.683333333333337</v>
          </cell>
        </row>
        <row r="663">
          <cell r="B663">
            <v>22.94</v>
          </cell>
          <cell r="C663">
            <v>63.38</v>
          </cell>
          <cell r="D663">
            <v>17.84</v>
          </cell>
          <cell r="E663">
            <v>9.07</v>
          </cell>
          <cell r="H663">
            <v>45319</v>
          </cell>
          <cell r="I663">
            <v>0.73777777777777764</v>
          </cell>
          <cell r="J663">
            <v>30.793333333333333</v>
          </cell>
        </row>
        <row r="664">
          <cell r="B664">
            <v>24.5</v>
          </cell>
          <cell r="C664">
            <v>61.93</v>
          </cell>
          <cell r="D664">
            <v>17.850000000000001</v>
          </cell>
          <cell r="E664">
            <v>8.89</v>
          </cell>
          <cell r="H664">
            <v>45319</v>
          </cell>
          <cell r="I664">
            <v>0.75555555555555565</v>
          </cell>
          <cell r="J664">
            <v>31.834444444444443</v>
          </cell>
        </row>
        <row r="665">
          <cell r="B665">
            <v>46.55</v>
          </cell>
          <cell r="C665">
            <v>61.93</v>
          </cell>
          <cell r="D665">
            <v>18.100000000000001</v>
          </cell>
          <cell r="E665">
            <v>8.8800000000000008</v>
          </cell>
          <cell r="H665">
            <v>45319</v>
          </cell>
          <cell r="I665">
            <v>0.7911111111111111</v>
          </cell>
          <cell r="J665">
            <v>32.952222222222218</v>
          </cell>
        </row>
        <row r="666">
          <cell r="B666">
            <v>90.38</v>
          </cell>
          <cell r="C666">
            <v>73.36</v>
          </cell>
          <cell r="D666">
            <v>17.739999999999998</v>
          </cell>
          <cell r="E666">
            <v>8.31</v>
          </cell>
          <cell r="H666">
            <v>45319</v>
          </cell>
          <cell r="I666">
            <v>0.82111111111111112</v>
          </cell>
          <cell r="J666">
            <v>33.742222222222225</v>
          </cell>
        </row>
        <row r="667">
          <cell r="B667">
            <v>40.65</v>
          </cell>
          <cell r="C667">
            <v>91.94</v>
          </cell>
          <cell r="D667">
            <v>16.760000000000002</v>
          </cell>
          <cell r="E667">
            <v>7.52</v>
          </cell>
          <cell r="H667">
            <v>45319</v>
          </cell>
          <cell r="I667">
            <v>0.83111111111111113</v>
          </cell>
          <cell r="J667">
            <v>34.028888888888886</v>
          </cell>
        </row>
        <row r="668">
          <cell r="B668">
            <v>29.24</v>
          </cell>
          <cell r="C668">
            <v>86.99</v>
          </cell>
          <cell r="D668">
            <v>17.3</v>
          </cell>
          <cell r="E668">
            <v>7.26</v>
          </cell>
          <cell r="H668">
            <v>45319</v>
          </cell>
          <cell r="I668">
            <v>0.84444444444444455</v>
          </cell>
          <cell r="J668">
            <v>33.516666666666666</v>
          </cell>
        </row>
        <row r="669">
          <cell r="B669">
            <v>32.840000000000003</v>
          </cell>
          <cell r="C669">
            <v>88.28</v>
          </cell>
          <cell r="D669">
            <v>17.63</v>
          </cell>
          <cell r="E669">
            <v>7.76</v>
          </cell>
          <cell r="H669">
            <v>45319</v>
          </cell>
          <cell r="I669">
            <v>0.86222222222222222</v>
          </cell>
          <cell r="J669">
            <v>32.919999999999995</v>
          </cell>
        </row>
        <row r="670">
          <cell r="B670">
            <v>36.32</v>
          </cell>
          <cell r="C670">
            <v>90.98</v>
          </cell>
          <cell r="D670">
            <v>18.79</v>
          </cell>
          <cell r="E670">
            <v>8.74</v>
          </cell>
          <cell r="H670">
            <v>45319</v>
          </cell>
          <cell r="I670">
            <v>0.86777777777777776</v>
          </cell>
          <cell r="J670">
            <v>31.843333333333337</v>
          </cell>
        </row>
        <row r="671">
          <cell r="B671">
            <v>36.19</v>
          </cell>
          <cell r="C671">
            <v>90.3</v>
          </cell>
          <cell r="D671">
            <v>18.82</v>
          </cell>
          <cell r="E671">
            <v>9.2100000000000009</v>
          </cell>
          <cell r="H671">
            <v>45319</v>
          </cell>
          <cell r="I671">
            <v>0.86333333333333329</v>
          </cell>
          <cell r="J671">
            <v>30.771111111111111</v>
          </cell>
        </row>
        <row r="672">
          <cell r="B672">
            <v>35.57</v>
          </cell>
          <cell r="C672">
            <v>85.97</v>
          </cell>
          <cell r="D672">
            <v>18.68</v>
          </cell>
          <cell r="E672">
            <v>7.47</v>
          </cell>
          <cell r="H672">
            <v>45319</v>
          </cell>
          <cell r="I672">
            <v>0.8588888888888887</v>
          </cell>
          <cell r="J672">
            <v>29.742222222222228</v>
          </cell>
        </row>
        <row r="673">
          <cell r="B673">
            <v>35.47</v>
          </cell>
          <cell r="C673">
            <v>83.68</v>
          </cell>
          <cell r="D673">
            <v>18.190000000000001</v>
          </cell>
          <cell r="E673">
            <v>8.3800000000000008</v>
          </cell>
          <cell r="H673">
            <v>45319</v>
          </cell>
          <cell r="I673">
            <v>0.84777777777777774</v>
          </cell>
          <cell r="J673">
            <v>29.008888888888887</v>
          </cell>
        </row>
        <row r="674">
          <cell r="B674">
            <v>37.24</v>
          </cell>
          <cell r="C674">
            <v>83.39</v>
          </cell>
          <cell r="D674">
            <v>18.63</v>
          </cell>
          <cell r="E674">
            <v>8.0399999999999991</v>
          </cell>
          <cell r="H674">
            <v>45320</v>
          </cell>
          <cell r="I674">
            <v>0.81888888888888878</v>
          </cell>
          <cell r="J674">
            <v>28.256666666666668</v>
          </cell>
        </row>
        <row r="675">
          <cell r="B675">
            <v>37.06</v>
          </cell>
          <cell r="C675">
            <v>81.3</v>
          </cell>
          <cell r="D675">
            <v>18.12</v>
          </cell>
          <cell r="E675">
            <v>8.0399999999999991</v>
          </cell>
          <cell r="H675">
            <v>45320</v>
          </cell>
          <cell r="I675">
            <v>0.79555555555555557</v>
          </cell>
          <cell r="J675">
            <v>27.781111111111112</v>
          </cell>
        </row>
        <row r="676">
          <cell r="B676">
            <v>34.67</v>
          </cell>
          <cell r="C676">
            <v>76.8</v>
          </cell>
          <cell r="D676">
            <v>18.11</v>
          </cell>
          <cell r="E676">
            <v>7.64</v>
          </cell>
          <cell r="H676">
            <v>45320</v>
          </cell>
          <cell r="I676">
            <v>0.78111111111111109</v>
          </cell>
          <cell r="J676">
            <v>27.61888888888889</v>
          </cell>
        </row>
        <row r="677">
          <cell r="B677">
            <v>31.92</v>
          </cell>
          <cell r="C677">
            <v>71.97</v>
          </cell>
          <cell r="D677">
            <v>18.05</v>
          </cell>
          <cell r="E677">
            <v>7.7</v>
          </cell>
          <cell r="H677">
            <v>45320</v>
          </cell>
          <cell r="I677">
            <v>0.75111111111111106</v>
          </cell>
          <cell r="J677">
            <v>27.865555555555556</v>
          </cell>
        </row>
        <row r="678">
          <cell r="B678">
            <v>31.37</v>
          </cell>
          <cell r="C678">
            <v>67.63</v>
          </cell>
          <cell r="D678">
            <v>18.2</v>
          </cell>
          <cell r="E678">
            <v>7.42</v>
          </cell>
          <cell r="H678">
            <v>45320</v>
          </cell>
          <cell r="I678">
            <v>0.71888888888888891</v>
          </cell>
          <cell r="J678">
            <v>28.252222222222219</v>
          </cell>
        </row>
        <row r="679">
          <cell r="B679">
            <v>31.79</v>
          </cell>
          <cell r="C679">
            <v>65.66</v>
          </cell>
          <cell r="D679">
            <v>18.39</v>
          </cell>
          <cell r="E679">
            <v>7.4</v>
          </cell>
          <cell r="H679">
            <v>45320</v>
          </cell>
          <cell r="I679">
            <v>0.69666666666666666</v>
          </cell>
          <cell r="J679">
            <v>28.847777777777779</v>
          </cell>
        </row>
        <row r="680">
          <cell r="B680">
            <v>31.29</v>
          </cell>
          <cell r="C680">
            <v>67.95</v>
          </cell>
          <cell r="D680">
            <v>18.37</v>
          </cell>
          <cell r="E680">
            <v>7.19</v>
          </cell>
          <cell r="H680">
            <v>45320</v>
          </cell>
          <cell r="I680">
            <v>0.67999999999999994</v>
          </cell>
          <cell r="J680">
            <v>29.218888888888884</v>
          </cell>
        </row>
        <row r="681">
          <cell r="B681">
            <v>35.270000000000003</v>
          </cell>
          <cell r="C681">
            <v>79.599999999999994</v>
          </cell>
          <cell r="D681">
            <v>18.23</v>
          </cell>
          <cell r="E681">
            <v>7.36</v>
          </cell>
          <cell r="H681">
            <v>45320</v>
          </cell>
          <cell r="I681">
            <v>0.67999999999999994</v>
          </cell>
          <cell r="J681">
            <v>29.264444444444443</v>
          </cell>
        </row>
        <row r="682">
          <cell r="B682">
            <v>38.47</v>
          </cell>
          <cell r="C682">
            <v>87.87</v>
          </cell>
          <cell r="D682">
            <v>18.77</v>
          </cell>
          <cell r="E682">
            <v>7.29</v>
          </cell>
          <cell r="H682">
            <v>45320</v>
          </cell>
          <cell r="I682">
            <v>0.68555555555555558</v>
          </cell>
          <cell r="J682">
            <v>29.453333333333337</v>
          </cell>
        </row>
        <row r="683">
          <cell r="B683">
            <v>37.35</v>
          </cell>
          <cell r="C683">
            <v>86.89</v>
          </cell>
          <cell r="D683">
            <v>18.57</v>
          </cell>
          <cell r="E683">
            <v>7.82</v>
          </cell>
          <cell r="H683">
            <v>45320</v>
          </cell>
          <cell r="I683">
            <v>0.7022222222222223</v>
          </cell>
          <cell r="J683">
            <v>30.042222222222222</v>
          </cell>
        </row>
        <row r="684">
          <cell r="B684">
            <v>38.1</v>
          </cell>
          <cell r="C684">
            <v>87.71</v>
          </cell>
          <cell r="D684">
            <v>18.55</v>
          </cell>
          <cell r="E684">
            <v>7.65</v>
          </cell>
          <cell r="H684">
            <v>45320</v>
          </cell>
          <cell r="I684">
            <v>0.71777777777777785</v>
          </cell>
          <cell r="J684">
            <v>30.617777777777778</v>
          </cell>
        </row>
        <row r="685">
          <cell r="B685">
            <v>33.14</v>
          </cell>
          <cell r="C685">
            <v>74.83</v>
          </cell>
          <cell r="D685">
            <v>19.670000000000002</v>
          </cell>
          <cell r="E685">
            <v>8.82</v>
          </cell>
          <cell r="H685">
            <v>45320</v>
          </cell>
          <cell r="I685">
            <v>0.73111111111111127</v>
          </cell>
          <cell r="J685">
            <v>31.166666666666668</v>
          </cell>
        </row>
        <row r="686">
          <cell r="B686">
            <v>33.76</v>
          </cell>
          <cell r="C686">
            <v>79.47</v>
          </cell>
          <cell r="D686">
            <v>19.61</v>
          </cell>
          <cell r="E686">
            <v>9.68</v>
          </cell>
          <cell r="H686">
            <v>45320</v>
          </cell>
          <cell r="I686">
            <v>0.75555555555555554</v>
          </cell>
          <cell r="J686">
            <v>31.772222222222222</v>
          </cell>
        </row>
        <row r="687">
          <cell r="B687">
            <v>32.729999999999997</v>
          </cell>
          <cell r="C687">
            <v>77.959999999999994</v>
          </cell>
          <cell r="D687">
            <v>19.55</v>
          </cell>
          <cell r="E687">
            <v>9.35</v>
          </cell>
          <cell r="H687">
            <v>45320</v>
          </cell>
          <cell r="I687">
            <v>0.76555555555555566</v>
          </cell>
          <cell r="J687">
            <v>32.351111111111109</v>
          </cell>
        </row>
        <row r="688">
          <cell r="B688">
            <v>34.340000000000003</v>
          </cell>
          <cell r="C688">
            <v>82.47</v>
          </cell>
          <cell r="D688">
            <v>19.95</v>
          </cell>
          <cell r="E688">
            <v>8.4700000000000006</v>
          </cell>
          <cell r="H688">
            <v>45320</v>
          </cell>
          <cell r="I688">
            <v>0.77333333333333332</v>
          </cell>
          <cell r="J688">
            <v>33.056666666666665</v>
          </cell>
        </row>
        <row r="689">
          <cell r="B689">
            <v>34.979999999999997</v>
          </cell>
          <cell r="C689">
            <v>89.69</v>
          </cell>
          <cell r="D689">
            <v>19.98</v>
          </cell>
          <cell r="E689">
            <v>8.42</v>
          </cell>
          <cell r="H689">
            <v>45320</v>
          </cell>
          <cell r="I689">
            <v>0.77999999999999992</v>
          </cell>
          <cell r="J689">
            <v>33.698888888888888</v>
          </cell>
        </row>
        <row r="690">
          <cell r="B690">
            <v>32.76</v>
          </cell>
          <cell r="C690">
            <v>89.34</v>
          </cell>
          <cell r="D690">
            <v>18.989999999999998</v>
          </cell>
          <cell r="E690">
            <v>8</v>
          </cell>
          <cell r="H690">
            <v>45320</v>
          </cell>
          <cell r="I690">
            <v>0.78111111111111109</v>
          </cell>
          <cell r="J690">
            <v>34.547777777777782</v>
          </cell>
        </row>
        <row r="691">
          <cell r="B691">
            <v>41.66</v>
          </cell>
          <cell r="C691">
            <v>89.95</v>
          </cell>
          <cell r="D691">
            <v>20.88</v>
          </cell>
          <cell r="E691">
            <v>8.59</v>
          </cell>
          <cell r="H691">
            <v>45320</v>
          </cell>
          <cell r="I691">
            <v>0.78222222222222226</v>
          </cell>
          <cell r="J691">
            <v>35.137777777777778</v>
          </cell>
        </row>
        <row r="692">
          <cell r="B692">
            <v>45.82</v>
          </cell>
          <cell r="C692">
            <v>105.94</v>
          </cell>
          <cell r="D692">
            <v>20.21</v>
          </cell>
          <cell r="E692">
            <v>7.81</v>
          </cell>
          <cell r="H692">
            <v>45320</v>
          </cell>
          <cell r="I692">
            <v>0.78111111111111109</v>
          </cell>
          <cell r="J692">
            <v>34.724444444444444</v>
          </cell>
        </row>
        <row r="693">
          <cell r="B693">
            <v>48.2</v>
          </cell>
          <cell r="C693">
            <v>118.46</v>
          </cell>
          <cell r="D693">
            <v>21.92</v>
          </cell>
          <cell r="E693">
            <v>7.97</v>
          </cell>
          <cell r="H693">
            <v>45320</v>
          </cell>
          <cell r="I693">
            <v>0.79555555555555557</v>
          </cell>
          <cell r="J693">
            <v>33.729999999999997</v>
          </cell>
        </row>
        <row r="694">
          <cell r="B694">
            <v>49.12</v>
          </cell>
          <cell r="C694">
            <v>112.86</v>
          </cell>
          <cell r="D694">
            <v>20.98</v>
          </cell>
          <cell r="E694">
            <v>8.0299999999999994</v>
          </cell>
          <cell r="H694">
            <v>45320</v>
          </cell>
          <cell r="I694">
            <v>0.80777777777777782</v>
          </cell>
          <cell r="J694">
            <v>32.856666666666662</v>
          </cell>
        </row>
        <row r="695">
          <cell r="B695">
            <v>47.89</v>
          </cell>
          <cell r="C695">
            <v>105.51</v>
          </cell>
          <cell r="D695">
            <v>20.73</v>
          </cell>
          <cell r="E695">
            <v>8.4</v>
          </cell>
          <cell r="H695">
            <v>45320</v>
          </cell>
          <cell r="I695">
            <v>0.80555555555555558</v>
          </cell>
          <cell r="J695">
            <v>32.137777777777778</v>
          </cell>
        </row>
        <row r="696">
          <cell r="B696">
            <v>45.84</v>
          </cell>
          <cell r="C696">
            <v>101.88</v>
          </cell>
          <cell r="D696">
            <v>19.940000000000001</v>
          </cell>
          <cell r="E696">
            <v>8.35</v>
          </cell>
          <cell r="H696">
            <v>45320</v>
          </cell>
          <cell r="I696">
            <v>0.80555555555555547</v>
          </cell>
          <cell r="J696">
            <v>31.414444444444445</v>
          </cell>
        </row>
        <row r="697">
          <cell r="B697">
            <v>42.88</v>
          </cell>
          <cell r="C697">
            <v>93.86</v>
          </cell>
          <cell r="D697">
            <v>19.48</v>
          </cell>
          <cell r="E697">
            <v>8.24</v>
          </cell>
          <cell r="H697">
            <v>45320</v>
          </cell>
          <cell r="I697">
            <v>0.79666666666666652</v>
          </cell>
          <cell r="J697">
            <v>30.717777777777776</v>
          </cell>
        </row>
        <row r="698">
          <cell r="B698">
            <v>40.57</v>
          </cell>
          <cell r="C698">
            <v>86.7</v>
          </cell>
          <cell r="D698">
            <v>19.100000000000001</v>
          </cell>
          <cell r="E698">
            <v>8.4499999999999993</v>
          </cell>
          <cell r="H698">
            <v>45321</v>
          </cell>
          <cell r="I698">
            <v>0.78999999999999992</v>
          </cell>
          <cell r="J698">
            <v>30.127777777777776</v>
          </cell>
        </row>
        <row r="699">
          <cell r="B699">
            <v>38.979999999999997</v>
          </cell>
          <cell r="C699">
            <v>82.89</v>
          </cell>
          <cell r="D699">
            <v>18.72</v>
          </cell>
          <cell r="E699">
            <v>8.0299999999999994</v>
          </cell>
          <cell r="H699">
            <v>45321</v>
          </cell>
          <cell r="I699">
            <v>0.78555555555555556</v>
          </cell>
          <cell r="J699">
            <v>29.573333333333331</v>
          </cell>
        </row>
        <row r="700">
          <cell r="B700">
            <v>38.65</v>
          </cell>
          <cell r="C700">
            <v>81.58</v>
          </cell>
          <cell r="D700">
            <v>18.55</v>
          </cell>
          <cell r="E700">
            <v>8.0299999999999994</v>
          </cell>
          <cell r="H700">
            <v>45321</v>
          </cell>
          <cell r="I700">
            <v>0.77555555555555544</v>
          </cell>
          <cell r="J700">
            <v>28.86333333333333</v>
          </cell>
        </row>
        <row r="701">
          <cell r="B701">
            <v>39.340000000000003</v>
          </cell>
          <cell r="C701">
            <v>80.8</v>
          </cell>
          <cell r="D701">
            <v>18.739999999999998</v>
          </cell>
          <cell r="E701">
            <v>8.15</v>
          </cell>
          <cell r="H701">
            <v>45321</v>
          </cell>
          <cell r="I701">
            <v>0.75888888888888872</v>
          </cell>
          <cell r="J701">
            <v>28.717777777777783</v>
          </cell>
        </row>
        <row r="702">
          <cell r="B702">
            <v>38.409999999999997</v>
          </cell>
          <cell r="C702">
            <v>79.180000000000007</v>
          </cell>
          <cell r="D702">
            <v>18.84</v>
          </cell>
          <cell r="E702">
            <v>7.86</v>
          </cell>
          <cell r="H702">
            <v>45321</v>
          </cell>
          <cell r="I702">
            <v>0.72888888888888892</v>
          </cell>
          <cell r="J702">
            <v>28.975555555555552</v>
          </cell>
        </row>
        <row r="703">
          <cell r="B703">
            <v>37.53</v>
          </cell>
          <cell r="C703">
            <v>79.36</v>
          </cell>
          <cell r="D703">
            <v>18.829999999999998</v>
          </cell>
          <cell r="E703">
            <v>8.15</v>
          </cell>
          <cell r="H703">
            <v>45321</v>
          </cell>
          <cell r="I703">
            <v>0.70555555555555549</v>
          </cell>
          <cell r="J703">
            <v>29.018888888888892</v>
          </cell>
        </row>
        <row r="704">
          <cell r="B704">
            <v>39.450000000000003</v>
          </cell>
          <cell r="C704">
            <v>81.83</v>
          </cell>
          <cell r="D704">
            <v>19.420000000000002</v>
          </cell>
          <cell r="E704">
            <v>8.64</v>
          </cell>
          <cell r="H704">
            <v>45321</v>
          </cell>
          <cell r="I704">
            <v>0.69777777777777772</v>
          </cell>
          <cell r="J704">
            <v>28.454444444444448</v>
          </cell>
        </row>
        <row r="705">
          <cell r="B705">
            <v>44.22</v>
          </cell>
          <cell r="C705">
            <v>92.86</v>
          </cell>
          <cell r="D705">
            <v>19.97</v>
          </cell>
          <cell r="E705">
            <v>8.77</v>
          </cell>
          <cell r="H705">
            <v>45321</v>
          </cell>
          <cell r="I705">
            <v>0.70333333333333337</v>
          </cell>
          <cell r="J705">
            <v>27.978888888888889</v>
          </cell>
        </row>
        <row r="706">
          <cell r="B706">
            <v>46.06</v>
          </cell>
          <cell r="C706">
            <v>102.33</v>
          </cell>
          <cell r="D706">
            <v>20.37</v>
          </cell>
          <cell r="E706">
            <v>9.08</v>
          </cell>
          <cell r="H706">
            <v>45321</v>
          </cell>
          <cell r="I706">
            <v>0.71777777777777785</v>
          </cell>
          <cell r="J706">
            <v>27.648888888888887</v>
          </cell>
        </row>
        <row r="707">
          <cell r="B707">
            <v>44.06</v>
          </cell>
          <cell r="C707">
            <v>106.23</v>
          </cell>
          <cell r="D707">
            <v>20.420000000000002</v>
          </cell>
          <cell r="E707">
            <v>9.19</v>
          </cell>
          <cell r="H707">
            <v>45321</v>
          </cell>
          <cell r="I707">
            <v>0.73999999999999988</v>
          </cell>
          <cell r="J707">
            <v>27.847777777777772</v>
          </cell>
        </row>
        <row r="708">
          <cell r="B708">
            <v>43.01</v>
          </cell>
          <cell r="C708">
            <v>105.42</v>
          </cell>
          <cell r="D708">
            <v>19.690000000000001</v>
          </cell>
          <cell r="E708">
            <v>8.56</v>
          </cell>
          <cell r="H708">
            <v>45321</v>
          </cell>
          <cell r="I708">
            <v>0.75888888888888895</v>
          </cell>
          <cell r="J708">
            <v>28.40444444444444</v>
          </cell>
        </row>
        <row r="709">
          <cell r="B709">
            <v>38.54</v>
          </cell>
          <cell r="C709">
            <v>92.71</v>
          </cell>
          <cell r="D709">
            <v>18.059999999999999</v>
          </cell>
          <cell r="E709">
            <v>7.89</v>
          </cell>
          <cell r="H709">
            <v>45321</v>
          </cell>
          <cell r="I709">
            <v>0.76666666666666661</v>
          </cell>
          <cell r="J709">
            <v>29.354444444444443</v>
          </cell>
        </row>
        <row r="710">
          <cell r="B710">
            <v>37.85</v>
          </cell>
          <cell r="C710">
            <v>90.66</v>
          </cell>
          <cell r="D710">
            <v>18.68</v>
          </cell>
          <cell r="E710">
            <v>8.01</v>
          </cell>
          <cell r="H710">
            <v>45321</v>
          </cell>
          <cell r="I710">
            <v>0.77555555555555555</v>
          </cell>
          <cell r="J710">
            <v>30.735555555555557</v>
          </cell>
        </row>
        <row r="711">
          <cell r="B711">
            <v>38.85</v>
          </cell>
          <cell r="C711">
            <v>96.52</v>
          </cell>
          <cell r="D711">
            <v>17.41</v>
          </cell>
          <cell r="E711">
            <v>7.75</v>
          </cell>
          <cell r="H711">
            <v>45321</v>
          </cell>
          <cell r="I711">
            <v>0.78333333333333333</v>
          </cell>
          <cell r="J711">
            <v>32.097777777777779</v>
          </cell>
        </row>
        <row r="712">
          <cell r="B712">
            <v>40.25</v>
          </cell>
          <cell r="C712">
            <v>107.15</v>
          </cell>
          <cell r="D712">
            <v>17.18</v>
          </cell>
          <cell r="E712">
            <v>7.72</v>
          </cell>
          <cell r="H712">
            <v>45321</v>
          </cell>
          <cell r="I712">
            <v>0.78555555555555556</v>
          </cell>
          <cell r="J712">
            <v>33.835555555555558</v>
          </cell>
        </row>
        <row r="713">
          <cell r="B713">
            <v>43.4</v>
          </cell>
          <cell r="C713">
            <v>105.32</v>
          </cell>
          <cell r="D713">
            <v>17.73</v>
          </cell>
          <cell r="E713">
            <v>7.72</v>
          </cell>
          <cell r="H713">
            <v>45321</v>
          </cell>
          <cell r="I713">
            <v>0.79000000000000015</v>
          </cell>
          <cell r="J713">
            <v>35.63111111111111</v>
          </cell>
        </row>
        <row r="714">
          <cell r="B714">
            <v>46.7</v>
          </cell>
          <cell r="C714">
            <v>104.51</v>
          </cell>
          <cell r="D714">
            <v>17.420000000000002</v>
          </cell>
          <cell r="E714">
            <v>7.43</v>
          </cell>
          <cell r="H714">
            <v>45321</v>
          </cell>
          <cell r="I714">
            <v>0.79222222222222216</v>
          </cell>
          <cell r="J714">
            <v>36.994444444444447</v>
          </cell>
        </row>
        <row r="715">
          <cell r="B715">
            <v>53.7</v>
          </cell>
          <cell r="C715">
            <v>124.45</v>
          </cell>
          <cell r="D715">
            <v>18.09</v>
          </cell>
          <cell r="E715">
            <v>7.24</v>
          </cell>
          <cell r="H715">
            <v>45321</v>
          </cell>
          <cell r="I715">
            <v>0.78333333333333344</v>
          </cell>
          <cell r="J715">
            <v>39.387777777777778</v>
          </cell>
        </row>
        <row r="716">
          <cell r="B716">
            <v>68.400000000000006</v>
          </cell>
          <cell r="C716">
            <v>159.37</v>
          </cell>
          <cell r="D716">
            <v>20.399999999999999</v>
          </cell>
          <cell r="E716">
            <v>7.54</v>
          </cell>
          <cell r="H716">
            <v>45321</v>
          </cell>
          <cell r="I716">
            <v>0.88</v>
          </cell>
          <cell r="J716">
            <v>38.257777777777783</v>
          </cell>
        </row>
        <row r="717">
          <cell r="B717">
            <v>104.17</v>
          </cell>
          <cell r="C717">
            <v>259.44</v>
          </cell>
          <cell r="D717">
            <v>24.01</v>
          </cell>
          <cell r="E717">
            <v>8.5299999999999994</v>
          </cell>
          <cell r="H717">
            <v>45321</v>
          </cell>
          <cell r="I717">
            <v>0.99444444444444435</v>
          </cell>
          <cell r="J717">
            <v>36.103333333333325</v>
          </cell>
        </row>
        <row r="718">
          <cell r="B718">
            <v>123.4</v>
          </cell>
          <cell r="C718">
            <v>344.41</v>
          </cell>
          <cell r="D718">
            <v>27.05</v>
          </cell>
          <cell r="E718">
            <v>9.6</v>
          </cell>
          <cell r="H718">
            <v>45321</v>
          </cell>
          <cell r="I718">
            <v>1.1311111111111112</v>
          </cell>
          <cell r="J718">
            <v>34.051111111111112</v>
          </cell>
        </row>
        <row r="719">
          <cell r="B719">
            <v>116.69</v>
          </cell>
          <cell r="C719">
            <v>304.32</v>
          </cell>
          <cell r="D719">
            <v>27.4</v>
          </cell>
          <cell r="E719">
            <v>9.43</v>
          </cell>
          <cell r="H719">
            <v>45321</v>
          </cell>
          <cell r="I719">
            <v>1.21</v>
          </cell>
          <cell r="J719">
            <v>31.359999999999996</v>
          </cell>
        </row>
        <row r="720">
          <cell r="B720">
            <v>94.1</v>
          </cell>
          <cell r="C720">
            <v>238.69</v>
          </cell>
          <cell r="D720">
            <v>23.97</v>
          </cell>
          <cell r="E720">
            <v>8.32</v>
          </cell>
          <cell r="H720">
            <v>45321</v>
          </cell>
          <cell r="I720">
            <v>1.2322222222222221</v>
          </cell>
          <cell r="J720">
            <v>29.562222222222221</v>
          </cell>
        </row>
        <row r="721">
          <cell r="B721">
            <v>77.459999999999994</v>
          </cell>
          <cell r="C721">
            <v>185.81</v>
          </cell>
          <cell r="D721">
            <v>19.899999999999999</v>
          </cell>
          <cell r="E721">
            <v>7.7</v>
          </cell>
          <cell r="H721">
            <v>45321</v>
          </cell>
          <cell r="I721">
            <v>1.2277777777777779</v>
          </cell>
          <cell r="J721">
            <v>27.896666666666665</v>
          </cell>
        </row>
        <row r="722">
          <cell r="B722">
            <v>51.99</v>
          </cell>
          <cell r="C722">
            <v>123.8</v>
          </cell>
          <cell r="D722">
            <v>18.88</v>
          </cell>
          <cell r="E722">
            <v>7.36</v>
          </cell>
          <cell r="H722">
            <v>45322</v>
          </cell>
          <cell r="I722">
            <v>1.2122222222222225</v>
          </cell>
          <cell r="J722">
            <v>26.572222222222219</v>
          </cell>
        </row>
        <row r="723">
          <cell r="B723">
            <v>48.93</v>
          </cell>
          <cell r="C723">
            <v>114.63</v>
          </cell>
          <cell r="D723">
            <v>17.899999999999999</v>
          </cell>
          <cell r="E723">
            <v>6.8</v>
          </cell>
          <cell r="H723">
            <v>45322</v>
          </cell>
          <cell r="I723">
            <v>1.1922222222222223</v>
          </cell>
          <cell r="J723">
            <v>25.75</v>
          </cell>
        </row>
        <row r="724">
          <cell r="B724">
            <v>47.37</v>
          </cell>
          <cell r="C724">
            <v>110.93</v>
          </cell>
          <cell r="D724">
            <v>17.37</v>
          </cell>
          <cell r="E724">
            <v>6.88</v>
          </cell>
          <cell r="H724">
            <v>45322</v>
          </cell>
          <cell r="I724">
            <v>1.18</v>
          </cell>
          <cell r="J724">
            <v>23.564444444444444</v>
          </cell>
        </row>
        <row r="725">
          <cell r="B725">
            <v>45.74</v>
          </cell>
          <cell r="C725">
            <v>103.51</v>
          </cell>
          <cell r="D725">
            <v>16.96</v>
          </cell>
          <cell r="E725">
            <v>6.85</v>
          </cell>
          <cell r="H725">
            <v>45322</v>
          </cell>
          <cell r="I725">
            <v>1.0555555555555556</v>
          </cell>
          <cell r="J725">
            <v>24.17</v>
          </cell>
        </row>
        <row r="726">
          <cell r="B726">
            <v>47.79</v>
          </cell>
          <cell r="C726">
            <v>104.22</v>
          </cell>
          <cell r="D726">
            <v>16.66</v>
          </cell>
          <cell r="E726">
            <v>7.03</v>
          </cell>
          <cell r="H726">
            <v>45322</v>
          </cell>
          <cell r="I726">
            <v>0.90777777777777779</v>
          </cell>
          <cell r="J726">
            <v>25.321111111111108</v>
          </cell>
        </row>
        <row r="727">
          <cell r="B727">
            <v>45.76</v>
          </cell>
          <cell r="C727">
            <v>97.46</v>
          </cell>
          <cell r="D727">
            <v>16.72</v>
          </cell>
          <cell r="E727">
            <v>6.98</v>
          </cell>
          <cell r="H727">
            <v>45322</v>
          </cell>
          <cell r="I727">
            <v>0.75333333333333341</v>
          </cell>
          <cell r="J727">
            <v>25.948888888888884</v>
          </cell>
        </row>
        <row r="728">
          <cell r="B728">
            <v>49.38</v>
          </cell>
          <cell r="C728">
            <v>104.66</v>
          </cell>
          <cell r="D728">
            <v>16.940000000000001</v>
          </cell>
          <cell r="E728">
            <v>7.36</v>
          </cell>
          <cell r="H728">
            <v>45322</v>
          </cell>
          <cell r="I728">
            <v>0.66111111111111098</v>
          </cell>
          <cell r="J728">
            <v>26.535555555555554</v>
          </cell>
        </row>
        <row r="729">
          <cell r="B729">
            <v>53.26</v>
          </cell>
          <cell r="C729">
            <v>116.96</v>
          </cell>
          <cell r="D729">
            <v>17.329999999999998</v>
          </cell>
          <cell r="E729">
            <v>7.33</v>
          </cell>
          <cell r="H729">
            <v>45322</v>
          </cell>
          <cell r="I729">
            <v>0.63444444444444448</v>
          </cell>
          <cell r="J729">
            <v>26.546666666666667</v>
          </cell>
        </row>
        <row r="730">
          <cell r="B730">
            <v>56.75</v>
          </cell>
          <cell r="C730">
            <v>131.47999999999999</v>
          </cell>
          <cell r="D730">
            <v>17.43</v>
          </cell>
          <cell r="E730">
            <v>7.56</v>
          </cell>
          <cell r="H730">
            <v>45322</v>
          </cell>
          <cell r="I730">
            <v>0.64444444444444438</v>
          </cell>
          <cell r="J730">
            <v>26.128888888888891</v>
          </cell>
        </row>
        <row r="731">
          <cell r="B731">
            <v>55.5</v>
          </cell>
          <cell r="C731">
            <v>118.15</v>
          </cell>
          <cell r="D731">
            <v>16.72</v>
          </cell>
          <cell r="E731">
            <v>7.83</v>
          </cell>
          <cell r="H731">
            <v>45322</v>
          </cell>
          <cell r="I731">
            <v>0.6644444444444445</v>
          </cell>
          <cell r="J731">
            <v>26.486666666666668</v>
          </cell>
        </row>
        <row r="732">
          <cell r="B732">
            <v>52.86</v>
          </cell>
          <cell r="C732">
            <v>104.27</v>
          </cell>
          <cell r="D732">
            <v>16.920000000000002</v>
          </cell>
          <cell r="E732">
            <v>7.56</v>
          </cell>
          <cell r="H732">
            <v>45322</v>
          </cell>
          <cell r="I732">
            <v>0.67111111111111121</v>
          </cell>
          <cell r="J732">
            <v>27.013333333333335</v>
          </cell>
        </row>
        <row r="733">
          <cell r="B733">
            <v>45.7</v>
          </cell>
          <cell r="C733">
            <v>105.43</v>
          </cell>
          <cell r="D733">
            <v>16.100000000000001</v>
          </cell>
          <cell r="E733">
            <v>7.81</v>
          </cell>
          <cell r="H733">
            <v>45322</v>
          </cell>
          <cell r="I733">
            <v>0.67444444444444451</v>
          </cell>
          <cell r="J733">
            <v>28.714444444444446</v>
          </cell>
        </row>
        <row r="734">
          <cell r="B734">
            <v>43.94</v>
          </cell>
          <cell r="C734">
            <v>110.14</v>
          </cell>
          <cell r="D734">
            <v>15.59</v>
          </cell>
          <cell r="E734">
            <v>7.09</v>
          </cell>
          <cell r="H734">
            <v>45322</v>
          </cell>
          <cell r="I734">
            <v>0.66888888888888887</v>
          </cell>
          <cell r="J734">
            <v>30.853333333333335</v>
          </cell>
        </row>
        <row r="735">
          <cell r="B735">
            <v>41.8</v>
          </cell>
          <cell r="C735">
            <v>97.14</v>
          </cell>
          <cell r="D735">
            <v>16.53</v>
          </cell>
          <cell r="E735">
            <v>6.83</v>
          </cell>
          <cell r="H735">
            <v>45322</v>
          </cell>
          <cell r="I735">
            <v>0.6677777777777778</v>
          </cell>
          <cell r="J735">
            <v>33.292222222222222</v>
          </cell>
        </row>
        <row r="736">
          <cell r="B736">
            <v>128.88</v>
          </cell>
          <cell r="C736">
            <v>103.44</v>
          </cell>
          <cell r="D736">
            <v>17.559999999999999</v>
          </cell>
          <cell r="E736">
            <v>6.16</v>
          </cell>
          <cell r="H736">
            <v>45322</v>
          </cell>
          <cell r="I736">
            <v>0.6744444444444444</v>
          </cell>
          <cell r="J736">
            <v>35.894444444444439</v>
          </cell>
        </row>
        <row r="737">
          <cell r="B737">
            <v>101.08</v>
          </cell>
          <cell r="C737">
            <v>104.79</v>
          </cell>
          <cell r="D737">
            <v>17.149999999999999</v>
          </cell>
          <cell r="E737">
            <v>6.91</v>
          </cell>
          <cell r="H737">
            <v>45322</v>
          </cell>
          <cell r="I737">
            <v>0.66888888888888887</v>
          </cell>
          <cell r="J737">
            <v>38.347777777777772</v>
          </cell>
        </row>
        <row r="738">
          <cell r="B738">
            <v>41.09</v>
          </cell>
          <cell r="C738">
            <v>108.28</v>
          </cell>
          <cell r="D738">
            <v>14.64</v>
          </cell>
          <cell r="E738">
            <v>7.32</v>
          </cell>
          <cell r="H738">
            <v>45322</v>
          </cell>
          <cell r="I738">
            <v>0.65333333333333321</v>
          </cell>
          <cell r="J738">
            <v>40.724444444444444</v>
          </cell>
        </row>
        <row r="739">
          <cell r="B739">
            <v>39.07</v>
          </cell>
          <cell r="C739">
            <v>100.77</v>
          </cell>
          <cell r="D739">
            <v>15.35</v>
          </cell>
          <cell r="E739">
            <v>7.9</v>
          </cell>
          <cell r="H739">
            <v>45322</v>
          </cell>
          <cell r="I739">
            <v>0.67777777777777781</v>
          </cell>
          <cell r="J739">
            <v>42.468888888888891</v>
          </cell>
        </row>
        <row r="740">
          <cell r="B740">
            <v>47.57</v>
          </cell>
          <cell r="C740">
            <v>135.94</v>
          </cell>
          <cell r="D740">
            <v>16.82</v>
          </cell>
          <cell r="E740">
            <v>8.1</v>
          </cell>
          <cell r="H740">
            <v>45322</v>
          </cell>
          <cell r="I740">
            <v>0.68222222222222217</v>
          </cell>
          <cell r="J740">
            <v>42.243333333333332</v>
          </cell>
        </row>
        <row r="741">
          <cell r="B741">
            <v>73.23</v>
          </cell>
          <cell r="C741">
            <v>189.34</v>
          </cell>
          <cell r="D741">
            <v>20.02</v>
          </cell>
          <cell r="E741">
            <v>8.75</v>
          </cell>
          <cell r="H741">
            <v>45322</v>
          </cell>
          <cell r="I741">
            <v>0.7633333333333332</v>
          </cell>
          <cell r="J741">
            <v>40.593333333333334</v>
          </cell>
        </row>
        <row r="742">
          <cell r="B742">
            <v>94.92</v>
          </cell>
          <cell r="C742">
            <v>265.60000000000002</v>
          </cell>
          <cell r="D742">
            <v>23.08</v>
          </cell>
          <cell r="E742">
            <v>9.59</v>
          </cell>
          <cell r="H742">
            <v>45322</v>
          </cell>
          <cell r="I742">
            <v>0.88666666666666649</v>
          </cell>
          <cell r="J742">
            <v>37.452222222222218</v>
          </cell>
        </row>
        <row r="743">
          <cell r="B743">
            <v>89.17</v>
          </cell>
          <cell r="C743">
            <v>265.52</v>
          </cell>
          <cell r="D743">
            <v>25.97</v>
          </cell>
          <cell r="E743">
            <v>10.220000000000001</v>
          </cell>
          <cell r="H743">
            <v>45322</v>
          </cell>
          <cell r="I743">
            <v>1.0233333333333332</v>
          </cell>
          <cell r="J743">
            <v>34.295555555555559</v>
          </cell>
        </row>
        <row r="744">
          <cell r="B744">
            <v>80.900000000000006</v>
          </cell>
          <cell r="C744">
            <v>222.22</v>
          </cell>
          <cell r="D744">
            <v>21.74</v>
          </cell>
          <cell r="E744">
            <v>8.59</v>
          </cell>
          <cell r="H744">
            <v>45322</v>
          </cell>
          <cell r="I744">
            <v>1.0411111111111111</v>
          </cell>
          <cell r="J744">
            <v>31.535555555555554</v>
          </cell>
        </row>
        <row r="745">
          <cell r="B745">
            <v>55.18</v>
          </cell>
          <cell r="C745">
            <v>138</v>
          </cell>
          <cell r="D745">
            <v>18.989999999999998</v>
          </cell>
          <cell r="E745">
            <v>8.1300000000000008</v>
          </cell>
          <cell r="H745">
            <v>45322</v>
          </cell>
          <cell r="I745">
            <v>1.04</v>
          </cell>
          <cell r="J745">
            <v>29.204444444444448</v>
          </cell>
        </row>
        <row r="746">
          <cell r="B746">
            <v>43.83</v>
          </cell>
          <cell r="C746">
            <v>91.67</v>
          </cell>
          <cell r="D746">
            <v>17.89</v>
          </cell>
          <cell r="E746">
            <v>8.1199999999999992</v>
          </cell>
          <cell r="H746">
            <v>45323</v>
          </cell>
          <cell r="I746">
            <v>1.0466666666666669</v>
          </cell>
          <cell r="J746">
            <v>27.05</v>
          </cell>
        </row>
        <row r="747">
          <cell r="B747">
            <v>39.74</v>
          </cell>
          <cell r="C747">
            <v>83.65</v>
          </cell>
          <cell r="D747">
            <v>17.100000000000001</v>
          </cell>
          <cell r="E747">
            <v>6.61</v>
          </cell>
          <cell r="H747">
            <v>45323</v>
          </cell>
          <cell r="I747">
            <v>1.0488888888888888</v>
          </cell>
          <cell r="J747">
            <v>24.718888888888888</v>
          </cell>
        </row>
        <row r="748">
          <cell r="B748">
            <v>37.93</v>
          </cell>
          <cell r="C748">
            <v>76.650000000000006</v>
          </cell>
          <cell r="D748">
            <v>16.37</v>
          </cell>
          <cell r="E748">
            <v>6.66</v>
          </cell>
          <cell r="H748">
            <v>45323</v>
          </cell>
          <cell r="I748">
            <v>1.0055555555555555</v>
          </cell>
          <cell r="J748">
            <v>22.985555555555557</v>
          </cell>
        </row>
        <row r="749">
          <cell r="B749">
            <v>35.11</v>
          </cell>
          <cell r="C749">
            <v>67.680000000000007</v>
          </cell>
          <cell r="D749">
            <v>16.010000000000002</v>
          </cell>
          <cell r="E749">
            <v>6.1</v>
          </cell>
          <cell r="H749">
            <v>45323</v>
          </cell>
          <cell r="I749">
            <v>0.97777777777777786</v>
          </cell>
          <cell r="J749">
            <v>22.59888888888889</v>
          </cell>
        </row>
        <row r="750">
          <cell r="B750">
            <v>34.770000000000003</v>
          </cell>
          <cell r="C750">
            <v>68.48</v>
          </cell>
          <cell r="D750">
            <v>15.79</v>
          </cell>
          <cell r="E750">
            <v>5.63</v>
          </cell>
          <cell r="H750">
            <v>45323</v>
          </cell>
          <cell r="I750">
            <v>0.88444444444444459</v>
          </cell>
          <cell r="J750">
            <v>23.183333333333334</v>
          </cell>
        </row>
        <row r="751">
          <cell r="B751">
            <v>36.380000000000003</v>
          </cell>
          <cell r="C751">
            <v>70.42</v>
          </cell>
          <cell r="D751">
            <v>15.72</v>
          </cell>
          <cell r="E751">
            <v>5.6</v>
          </cell>
          <cell r="H751">
            <v>45323</v>
          </cell>
          <cell r="I751">
            <v>0.75555555555555542</v>
          </cell>
          <cell r="J751">
            <v>23.895555555555557</v>
          </cell>
        </row>
        <row r="752">
          <cell r="B752">
            <v>40.25</v>
          </cell>
          <cell r="C752">
            <v>82.13</v>
          </cell>
          <cell r="D752">
            <v>15.92</v>
          </cell>
          <cell r="E752">
            <v>5.9</v>
          </cell>
          <cell r="H752">
            <v>45323</v>
          </cell>
          <cell r="I752">
            <v>0.62333333333333341</v>
          </cell>
          <cell r="J752">
            <v>24.226666666666667</v>
          </cell>
        </row>
        <row r="753">
          <cell r="B753">
            <v>48.13</v>
          </cell>
          <cell r="C753">
            <v>103.56</v>
          </cell>
          <cell r="D753">
            <v>16.079999999999998</v>
          </cell>
          <cell r="E753">
            <v>6.12</v>
          </cell>
          <cell r="H753">
            <v>45323</v>
          </cell>
          <cell r="I753">
            <v>0.61444444444444435</v>
          </cell>
          <cell r="J753">
            <v>24.047777777777775</v>
          </cell>
        </row>
        <row r="754">
          <cell r="B754">
            <v>52.89</v>
          </cell>
          <cell r="C754">
            <v>112.16</v>
          </cell>
          <cell r="D754">
            <v>16.600000000000001</v>
          </cell>
          <cell r="E754">
            <v>6.89</v>
          </cell>
          <cell r="H754">
            <v>45323</v>
          </cell>
          <cell r="I754">
            <v>0.61888888888888893</v>
          </cell>
          <cell r="J754">
            <v>24.126666666666665</v>
          </cell>
        </row>
        <row r="755">
          <cell r="B755">
            <v>44.86</v>
          </cell>
          <cell r="C755">
            <v>93.65</v>
          </cell>
          <cell r="D755">
            <v>16.73</v>
          </cell>
          <cell r="E755">
            <v>6.86</v>
          </cell>
          <cell r="H755">
            <v>45323</v>
          </cell>
          <cell r="I755">
            <v>0.62222222222222223</v>
          </cell>
          <cell r="J755">
            <v>25.138888888888889</v>
          </cell>
        </row>
        <row r="756">
          <cell r="B756">
            <v>38.479999999999997</v>
          </cell>
          <cell r="C756">
            <v>86.6</v>
          </cell>
          <cell r="D756">
            <v>16.329999999999998</v>
          </cell>
          <cell r="E756">
            <v>7.02</v>
          </cell>
          <cell r="H756">
            <v>45323</v>
          </cell>
          <cell r="I756">
            <v>0.63222222222222213</v>
          </cell>
          <cell r="J756">
            <v>26.371111111111109</v>
          </cell>
        </row>
        <row r="757">
          <cell r="B757">
            <v>37.89</v>
          </cell>
          <cell r="C757">
            <v>85.49</v>
          </cell>
          <cell r="D757">
            <v>15.67</v>
          </cell>
          <cell r="E757">
            <v>6.63</v>
          </cell>
          <cell r="H757">
            <v>45323</v>
          </cell>
          <cell r="I757">
            <v>0.63777777777777778</v>
          </cell>
          <cell r="J757">
            <v>27.827777777777776</v>
          </cell>
        </row>
        <row r="758">
          <cell r="B758">
            <v>31.42</v>
          </cell>
          <cell r="C758">
            <v>70.069999999999993</v>
          </cell>
          <cell r="D758">
            <v>15.38</v>
          </cell>
          <cell r="E758">
            <v>6.68</v>
          </cell>
          <cell r="H758">
            <v>45323</v>
          </cell>
          <cell r="I758">
            <v>0.64000000000000012</v>
          </cell>
          <cell r="J758">
            <v>29.667777777777772</v>
          </cell>
        </row>
        <row r="759">
          <cell r="B759">
            <v>30.37</v>
          </cell>
          <cell r="C759">
            <v>71.349999999999994</v>
          </cell>
          <cell r="D759">
            <v>15.71</v>
          </cell>
          <cell r="E759">
            <v>7.21</v>
          </cell>
          <cell r="H759">
            <v>45323</v>
          </cell>
          <cell r="I759">
            <v>0.64444444444444438</v>
          </cell>
          <cell r="J759">
            <v>32.349999999999994</v>
          </cell>
        </row>
        <row r="760">
          <cell r="B760">
            <v>33.76</v>
          </cell>
          <cell r="C760">
            <v>74.33</v>
          </cell>
          <cell r="D760">
            <v>15.8</v>
          </cell>
          <cell r="E760">
            <v>7.18</v>
          </cell>
          <cell r="H760">
            <v>45323</v>
          </cell>
          <cell r="I760">
            <v>0.64222222222222214</v>
          </cell>
          <cell r="J760">
            <v>34.898888888888891</v>
          </cell>
        </row>
        <row r="761">
          <cell r="B761">
            <v>28.59</v>
          </cell>
          <cell r="C761">
            <v>73</v>
          </cell>
          <cell r="D761">
            <v>16.2</v>
          </cell>
          <cell r="E761">
            <v>6.81</v>
          </cell>
          <cell r="H761">
            <v>45323</v>
          </cell>
          <cell r="I761">
            <v>0.63666666666666671</v>
          </cell>
          <cell r="J761">
            <v>37.637777777777771</v>
          </cell>
        </row>
        <row r="762">
          <cell r="B762">
            <v>29.54</v>
          </cell>
          <cell r="C762">
            <v>74.28</v>
          </cell>
          <cell r="D762">
            <v>15.07</v>
          </cell>
          <cell r="E762">
            <v>6.61</v>
          </cell>
          <cell r="H762">
            <v>45323</v>
          </cell>
          <cell r="I762">
            <v>0.62777777777777777</v>
          </cell>
          <cell r="J762">
            <v>40.666666666666664</v>
          </cell>
        </row>
        <row r="763">
          <cell r="B763">
            <v>35.93</v>
          </cell>
          <cell r="C763">
            <v>87.45</v>
          </cell>
          <cell r="D763">
            <v>15.71</v>
          </cell>
          <cell r="E763">
            <v>6.77</v>
          </cell>
          <cell r="H763">
            <v>45323</v>
          </cell>
          <cell r="I763">
            <v>0.62666666666666659</v>
          </cell>
          <cell r="J763">
            <v>43.089999999999996</v>
          </cell>
        </row>
        <row r="764">
          <cell r="B764">
            <v>43.58</v>
          </cell>
          <cell r="C764">
            <v>112.23</v>
          </cell>
          <cell r="D764">
            <v>16.48</v>
          </cell>
          <cell r="E764">
            <v>6.98</v>
          </cell>
          <cell r="H764">
            <v>45323</v>
          </cell>
          <cell r="I764">
            <v>0.64888888888888885</v>
          </cell>
          <cell r="J764">
            <v>43.033333333333339</v>
          </cell>
        </row>
        <row r="765">
          <cell r="B765">
            <v>52.67</v>
          </cell>
          <cell r="C765">
            <v>150.79</v>
          </cell>
          <cell r="D765">
            <v>18.920000000000002</v>
          </cell>
          <cell r="E765">
            <v>7.56</v>
          </cell>
          <cell r="H765">
            <v>45323</v>
          </cell>
          <cell r="I765">
            <v>0.7155555555555555</v>
          </cell>
          <cell r="J765">
            <v>41.707777777777778</v>
          </cell>
        </row>
        <row r="766">
          <cell r="B766">
            <v>69.900000000000006</v>
          </cell>
          <cell r="C766">
            <v>197.24</v>
          </cell>
          <cell r="D766">
            <v>21.26</v>
          </cell>
          <cell r="E766">
            <v>8.86</v>
          </cell>
          <cell r="H766">
            <v>45323</v>
          </cell>
          <cell r="I766">
            <v>0.83333333333333337</v>
          </cell>
          <cell r="J766">
            <v>39.564444444444447</v>
          </cell>
        </row>
        <row r="767">
          <cell r="B767">
            <v>84.12</v>
          </cell>
          <cell r="C767">
            <v>226.36</v>
          </cell>
          <cell r="D767">
            <v>23.58</v>
          </cell>
          <cell r="E767">
            <v>8.8800000000000008</v>
          </cell>
          <cell r="H767">
            <v>45323</v>
          </cell>
          <cell r="I767">
            <v>0.95444444444444443</v>
          </cell>
          <cell r="J767">
            <v>37.078888888888883</v>
          </cell>
        </row>
        <row r="768">
          <cell r="B768">
            <v>75.84</v>
          </cell>
          <cell r="C768">
            <v>204.46</v>
          </cell>
          <cell r="D768">
            <v>22.74</v>
          </cell>
          <cell r="E768">
            <v>7.63</v>
          </cell>
          <cell r="H768">
            <v>45323</v>
          </cell>
          <cell r="I768">
            <v>1.0055555555555555</v>
          </cell>
          <cell r="J768">
            <v>34.380000000000003</v>
          </cell>
        </row>
        <row r="769">
          <cell r="B769">
            <v>56.04</v>
          </cell>
          <cell r="C769">
            <v>136.66999999999999</v>
          </cell>
          <cell r="D769">
            <v>20</v>
          </cell>
          <cell r="E769">
            <v>6.82</v>
          </cell>
          <cell r="H769">
            <v>45323</v>
          </cell>
          <cell r="I769">
            <v>1.0155555555555553</v>
          </cell>
          <cell r="J769">
            <v>32.467777777777776</v>
          </cell>
        </row>
        <row r="770">
          <cell r="B770">
            <v>44.34</v>
          </cell>
          <cell r="C770">
            <v>95.3</v>
          </cell>
          <cell r="D770">
            <v>18.670000000000002</v>
          </cell>
          <cell r="E770">
            <v>6.12</v>
          </cell>
          <cell r="H770">
            <v>45324</v>
          </cell>
          <cell r="I770">
            <v>1.02</v>
          </cell>
          <cell r="J770">
            <v>30.635555555555559</v>
          </cell>
        </row>
        <row r="771">
          <cell r="B771">
            <v>43.36</v>
          </cell>
          <cell r="C771">
            <v>92.38</v>
          </cell>
          <cell r="D771">
            <v>18.05</v>
          </cell>
          <cell r="E771">
            <v>5.86</v>
          </cell>
          <cell r="H771">
            <v>45324</v>
          </cell>
          <cell r="I771">
            <v>1.0199999999999998</v>
          </cell>
          <cell r="J771">
            <v>28.275555555555556</v>
          </cell>
        </row>
        <row r="772">
          <cell r="B772">
            <v>41.73</v>
          </cell>
          <cell r="C772">
            <v>89.07</v>
          </cell>
          <cell r="D772">
            <v>17.239999999999998</v>
          </cell>
          <cell r="E772">
            <v>5.82</v>
          </cell>
          <cell r="H772">
            <v>45324</v>
          </cell>
          <cell r="I772">
            <v>1.0166666666666666</v>
          </cell>
          <cell r="J772">
            <v>25.648888888888887</v>
          </cell>
        </row>
        <row r="773">
          <cell r="B773">
            <v>40.24</v>
          </cell>
          <cell r="C773">
            <v>80.5</v>
          </cell>
          <cell r="D773">
            <v>16.57</v>
          </cell>
          <cell r="E773">
            <v>5.82</v>
          </cell>
          <cell r="H773">
            <v>45324</v>
          </cell>
          <cell r="I773">
            <v>0.99</v>
          </cell>
          <cell r="J773">
            <v>24.362222222222222</v>
          </cell>
        </row>
        <row r="774">
          <cell r="B774">
            <v>39.880000000000003</v>
          </cell>
          <cell r="C774">
            <v>79.180000000000007</v>
          </cell>
          <cell r="D774">
            <v>16.45</v>
          </cell>
          <cell r="E774">
            <v>6.18</v>
          </cell>
          <cell r="H774">
            <v>45324</v>
          </cell>
          <cell r="I774">
            <v>0.91999999999999993</v>
          </cell>
          <cell r="J774">
            <v>24.272222222222226</v>
          </cell>
        </row>
        <row r="775">
          <cell r="B775">
            <v>43.39</v>
          </cell>
          <cell r="C775">
            <v>84.5</v>
          </cell>
          <cell r="D775">
            <v>16.18</v>
          </cell>
          <cell r="E775">
            <v>5.93</v>
          </cell>
          <cell r="H775">
            <v>45324</v>
          </cell>
          <cell r="I775">
            <v>0.80333333333333323</v>
          </cell>
          <cell r="J775">
            <v>24.691111111111113</v>
          </cell>
        </row>
        <row r="776">
          <cell r="B776">
            <v>48.44</v>
          </cell>
          <cell r="C776">
            <v>91.83</v>
          </cell>
          <cell r="D776">
            <v>16.54</v>
          </cell>
          <cell r="E776">
            <v>5.79</v>
          </cell>
          <cell r="H776">
            <v>45324</v>
          </cell>
          <cell r="I776">
            <v>0.69</v>
          </cell>
          <cell r="J776">
            <v>24.96444444444445</v>
          </cell>
        </row>
        <row r="777">
          <cell r="B777">
            <v>55.64</v>
          </cell>
          <cell r="C777">
            <v>112.38</v>
          </cell>
          <cell r="D777">
            <v>16.79</v>
          </cell>
          <cell r="E777">
            <v>6.08</v>
          </cell>
          <cell r="H777">
            <v>45324</v>
          </cell>
          <cell r="I777">
            <v>0.65666666666666673</v>
          </cell>
          <cell r="J777">
            <v>24.605555555555558</v>
          </cell>
        </row>
        <row r="778">
          <cell r="B778">
            <v>56.88</v>
          </cell>
          <cell r="C778">
            <v>132.63</v>
          </cell>
          <cell r="D778">
            <v>16.93</v>
          </cell>
          <cell r="E778">
            <v>5.83</v>
          </cell>
          <cell r="H778">
            <v>45324</v>
          </cell>
          <cell r="I778">
            <v>0.67</v>
          </cell>
          <cell r="J778">
            <v>24.272222222222226</v>
          </cell>
        </row>
        <row r="779">
          <cell r="B779">
            <v>50.49</v>
          </cell>
          <cell r="C779">
            <v>106.15</v>
          </cell>
          <cell r="D779">
            <v>16.77</v>
          </cell>
          <cell r="E779">
            <v>6.45</v>
          </cell>
          <cell r="H779">
            <v>45324</v>
          </cell>
          <cell r="I779">
            <v>0.68</v>
          </cell>
          <cell r="J779">
            <v>24.564444444444444</v>
          </cell>
        </row>
        <row r="780">
          <cell r="B780">
            <v>38.39</v>
          </cell>
          <cell r="C780">
            <v>93.9</v>
          </cell>
          <cell r="D780">
            <v>16.12</v>
          </cell>
          <cell r="E780">
            <v>6.96</v>
          </cell>
          <cell r="H780">
            <v>45324</v>
          </cell>
          <cell r="I780">
            <v>0.69666666666666677</v>
          </cell>
          <cell r="J780">
            <v>25.441111111111113</v>
          </cell>
        </row>
        <row r="781">
          <cell r="B781">
            <v>32.700000000000003</v>
          </cell>
          <cell r="C781">
            <v>86.59</v>
          </cell>
          <cell r="D781">
            <v>15.91</v>
          </cell>
          <cell r="E781">
            <v>6.87</v>
          </cell>
          <cell r="H781">
            <v>45324</v>
          </cell>
          <cell r="I781">
            <v>0.69222222222222229</v>
          </cell>
          <cell r="J781">
            <v>27.351111111111109</v>
          </cell>
        </row>
        <row r="782">
          <cell r="B782">
            <v>25.47</v>
          </cell>
          <cell r="C782">
            <v>74.19</v>
          </cell>
          <cell r="D782">
            <v>15.79</v>
          </cell>
          <cell r="E782">
            <v>6.5</v>
          </cell>
          <cell r="H782">
            <v>45324</v>
          </cell>
          <cell r="I782">
            <v>0.69000000000000006</v>
          </cell>
          <cell r="J782">
            <v>30.186666666666667</v>
          </cell>
        </row>
        <row r="783">
          <cell r="B783">
            <v>30.28</v>
          </cell>
          <cell r="C783">
            <v>69.2</v>
          </cell>
          <cell r="D783">
            <v>16.82</v>
          </cell>
          <cell r="E783">
            <v>6.51</v>
          </cell>
          <cell r="H783">
            <v>45324</v>
          </cell>
          <cell r="I783">
            <v>0.68777777777777782</v>
          </cell>
          <cell r="J783">
            <v>33.406666666666666</v>
          </cell>
        </row>
        <row r="784">
          <cell r="B784">
            <v>35.81</v>
          </cell>
          <cell r="C784">
            <v>82.55</v>
          </cell>
          <cell r="D784">
            <v>16.489999999999998</v>
          </cell>
          <cell r="E784">
            <v>6.82</v>
          </cell>
          <cell r="H784">
            <v>45324</v>
          </cell>
          <cell r="I784">
            <v>0.68777777777777782</v>
          </cell>
          <cell r="J784">
            <v>36.452222222222218</v>
          </cell>
        </row>
        <row r="785">
          <cell r="B785">
            <v>47.5</v>
          </cell>
          <cell r="C785">
            <v>114.96</v>
          </cell>
          <cell r="D785">
            <v>16.260000000000002</v>
          </cell>
          <cell r="E785">
            <v>6.79</v>
          </cell>
          <cell r="H785">
            <v>45324</v>
          </cell>
          <cell r="I785">
            <v>0.67999999999999994</v>
          </cell>
          <cell r="J785">
            <v>39.414444444444442</v>
          </cell>
        </row>
        <row r="786">
          <cell r="B786">
            <v>36.22</v>
          </cell>
          <cell r="C786">
            <v>90.39</v>
          </cell>
          <cell r="D786">
            <v>16.45</v>
          </cell>
          <cell r="E786">
            <v>6.4</v>
          </cell>
          <cell r="H786">
            <v>45324</v>
          </cell>
          <cell r="I786">
            <v>0.66555555555555546</v>
          </cell>
          <cell r="J786">
            <v>41.927777777777777</v>
          </cell>
        </row>
        <row r="787">
          <cell r="B787">
            <v>35.659999999999997</v>
          </cell>
          <cell r="C787">
            <v>89.46</v>
          </cell>
          <cell r="D787">
            <v>17</v>
          </cell>
          <cell r="E787">
            <v>6.81</v>
          </cell>
          <cell r="H787">
            <v>45324</v>
          </cell>
          <cell r="I787">
            <v>0.65</v>
          </cell>
          <cell r="J787">
            <v>43.478888888888882</v>
          </cell>
        </row>
        <row r="788">
          <cell r="B788">
            <v>43.53</v>
          </cell>
          <cell r="C788">
            <v>115.91</v>
          </cell>
          <cell r="D788">
            <v>17.91</v>
          </cell>
          <cell r="E788">
            <v>6.74</v>
          </cell>
          <cell r="H788">
            <v>45324</v>
          </cell>
          <cell r="I788">
            <v>0.65777777777777791</v>
          </cell>
          <cell r="J788">
            <v>43.113333333333337</v>
          </cell>
        </row>
        <row r="789">
          <cell r="B789">
            <v>56.42</v>
          </cell>
          <cell r="C789">
            <v>158.91999999999999</v>
          </cell>
          <cell r="D789">
            <v>20.03</v>
          </cell>
          <cell r="E789">
            <v>7.2</v>
          </cell>
          <cell r="H789">
            <v>45324</v>
          </cell>
          <cell r="I789">
            <v>0.68333333333333335</v>
          </cell>
          <cell r="J789">
            <v>41.732222222222227</v>
          </cell>
        </row>
        <row r="790">
          <cell r="B790">
            <v>67.73</v>
          </cell>
          <cell r="C790">
            <v>193.68</v>
          </cell>
          <cell r="D790">
            <v>20.25</v>
          </cell>
          <cell r="E790">
            <v>7.47</v>
          </cell>
          <cell r="H790">
            <v>45324</v>
          </cell>
          <cell r="I790">
            <v>0.73888888888888882</v>
          </cell>
          <cell r="J790">
            <v>39.44777777777778</v>
          </cell>
        </row>
        <row r="791">
          <cell r="B791">
            <v>72.709999999999994</v>
          </cell>
          <cell r="C791">
            <v>190.24</v>
          </cell>
          <cell r="D791">
            <v>19.71</v>
          </cell>
          <cell r="E791">
            <v>7.45</v>
          </cell>
          <cell r="H791">
            <v>45324</v>
          </cell>
          <cell r="I791">
            <v>0.76777777777777778</v>
          </cell>
          <cell r="J791">
            <v>36.682222222222229</v>
          </cell>
        </row>
        <row r="792">
          <cell r="B792">
            <v>71.08</v>
          </cell>
          <cell r="C792">
            <v>175.11</v>
          </cell>
          <cell r="D792">
            <v>19.71</v>
          </cell>
          <cell r="E792">
            <v>7.23</v>
          </cell>
          <cell r="H792">
            <v>45324</v>
          </cell>
          <cell r="I792">
            <v>0.78777777777777791</v>
          </cell>
          <cell r="J792">
            <v>33.838888888888889</v>
          </cell>
        </row>
        <row r="793">
          <cell r="B793">
            <v>60.93</v>
          </cell>
          <cell r="C793">
            <v>155.46</v>
          </cell>
          <cell r="D793">
            <v>19.04</v>
          </cell>
          <cell r="E793">
            <v>6.84</v>
          </cell>
          <cell r="H793">
            <v>45324</v>
          </cell>
          <cell r="I793">
            <v>0.78666666666666663</v>
          </cell>
          <cell r="J793">
            <v>31.52333333333333</v>
          </cell>
        </row>
        <row r="794">
          <cell r="B794">
            <v>49.95</v>
          </cell>
          <cell r="C794">
            <v>115.3</v>
          </cell>
          <cell r="D794">
            <v>18.61</v>
          </cell>
          <cell r="E794">
            <v>7.18</v>
          </cell>
          <cell r="H794">
            <v>45325</v>
          </cell>
          <cell r="I794">
            <v>0.7877777777777778</v>
          </cell>
          <cell r="J794">
            <v>29.333333333333332</v>
          </cell>
        </row>
        <row r="795">
          <cell r="B795">
            <v>43.87</v>
          </cell>
          <cell r="C795">
            <v>94.07</v>
          </cell>
          <cell r="D795">
            <v>18.03</v>
          </cell>
          <cell r="E795">
            <v>7.6</v>
          </cell>
          <cell r="H795">
            <v>45325</v>
          </cell>
          <cell r="I795">
            <v>0.79888888888888887</v>
          </cell>
          <cell r="J795">
            <v>27.544444444444441</v>
          </cell>
        </row>
        <row r="796">
          <cell r="B796">
            <v>40.46</v>
          </cell>
          <cell r="C796">
            <v>90.39</v>
          </cell>
          <cell r="D796">
            <v>17.91</v>
          </cell>
          <cell r="E796">
            <v>7.77</v>
          </cell>
          <cell r="H796">
            <v>45325</v>
          </cell>
          <cell r="I796">
            <v>0.7977777777777777</v>
          </cell>
          <cell r="J796">
            <v>26.283333333333335</v>
          </cell>
        </row>
        <row r="797">
          <cell r="B797">
            <v>37.01</v>
          </cell>
          <cell r="C797">
            <v>88.39</v>
          </cell>
          <cell r="D797">
            <v>17.77</v>
          </cell>
          <cell r="E797">
            <v>7.4</v>
          </cell>
          <cell r="H797">
            <v>45325</v>
          </cell>
          <cell r="I797">
            <v>0.77888888888888885</v>
          </cell>
          <cell r="J797">
            <v>26.22333333333334</v>
          </cell>
        </row>
        <row r="798">
          <cell r="B798">
            <v>37.51</v>
          </cell>
          <cell r="C798">
            <v>82.76</v>
          </cell>
          <cell r="D798">
            <v>17.8</v>
          </cell>
          <cell r="E798">
            <v>7.1</v>
          </cell>
          <cell r="H798">
            <v>45325</v>
          </cell>
          <cell r="I798">
            <v>0.73888888888888882</v>
          </cell>
          <cell r="J798">
            <v>26.528888888888893</v>
          </cell>
        </row>
        <row r="799">
          <cell r="B799">
            <v>37.07</v>
          </cell>
          <cell r="C799">
            <v>81.47</v>
          </cell>
          <cell r="D799">
            <v>18.079999999999998</v>
          </cell>
          <cell r="E799">
            <v>7.17</v>
          </cell>
          <cell r="H799">
            <v>45325</v>
          </cell>
          <cell r="I799">
            <v>0.69222222222222229</v>
          </cell>
          <cell r="J799">
            <v>26.830000000000002</v>
          </cell>
        </row>
        <row r="800">
          <cell r="B800">
            <v>57.52</v>
          </cell>
          <cell r="C800">
            <v>79.83</v>
          </cell>
          <cell r="D800">
            <v>18.239999999999998</v>
          </cell>
          <cell r="E800">
            <v>7.94</v>
          </cell>
          <cell r="H800">
            <v>45325</v>
          </cell>
          <cell r="I800">
            <v>0.6744444444444444</v>
          </cell>
          <cell r="J800">
            <v>26.921111111111109</v>
          </cell>
        </row>
        <row r="801">
          <cell r="B801">
            <v>95.23</v>
          </cell>
          <cell r="C801">
            <v>84.82</v>
          </cell>
          <cell r="D801">
            <v>18.38</v>
          </cell>
          <cell r="E801">
            <v>8.06</v>
          </cell>
          <cell r="H801">
            <v>45325</v>
          </cell>
          <cell r="I801">
            <v>0.66999999999999993</v>
          </cell>
          <cell r="J801">
            <v>26.66333333333333</v>
          </cell>
        </row>
        <row r="802">
          <cell r="B802">
            <v>42.5</v>
          </cell>
          <cell r="C802">
            <v>91.17</v>
          </cell>
          <cell r="D802">
            <v>18.23</v>
          </cell>
          <cell r="E802">
            <v>8.42</v>
          </cell>
          <cell r="H802">
            <v>45325</v>
          </cell>
          <cell r="I802">
            <v>0.67999999999999994</v>
          </cell>
          <cell r="J802">
            <v>26.313333333333329</v>
          </cell>
        </row>
        <row r="803">
          <cell r="B803">
            <v>48.13</v>
          </cell>
          <cell r="C803">
            <v>104.36</v>
          </cell>
          <cell r="D803">
            <v>18.07</v>
          </cell>
          <cell r="E803">
            <v>8.6199999999999992</v>
          </cell>
          <cell r="H803">
            <v>45325</v>
          </cell>
          <cell r="I803">
            <v>0.69333333333333325</v>
          </cell>
          <cell r="J803">
            <v>26.43</v>
          </cell>
        </row>
        <row r="804">
          <cell r="B804">
            <v>61.03</v>
          </cell>
          <cell r="C804">
            <v>98.47</v>
          </cell>
          <cell r="D804">
            <v>17.57</v>
          </cell>
          <cell r="E804">
            <v>8.56</v>
          </cell>
          <cell r="H804">
            <v>45325</v>
          </cell>
          <cell r="I804">
            <v>0.70333333333333337</v>
          </cell>
          <cell r="J804">
            <v>27.201111111111111</v>
          </cell>
        </row>
        <row r="805">
          <cell r="B805">
            <v>97.26</v>
          </cell>
          <cell r="C805">
            <v>77.650000000000006</v>
          </cell>
          <cell r="D805">
            <v>17.52</v>
          </cell>
          <cell r="E805">
            <v>8.1300000000000008</v>
          </cell>
          <cell r="H805">
            <v>45325</v>
          </cell>
          <cell r="I805">
            <v>0.70888888888888879</v>
          </cell>
          <cell r="J805">
            <v>28.658888888888889</v>
          </cell>
        </row>
        <row r="806">
          <cell r="B806">
            <v>38.74</v>
          </cell>
          <cell r="C806">
            <v>83.66</v>
          </cell>
          <cell r="D806">
            <v>17.100000000000001</v>
          </cell>
          <cell r="E806">
            <v>8.2100000000000009</v>
          </cell>
          <cell r="H806">
            <v>45325</v>
          </cell>
          <cell r="I806">
            <v>0.72333333333333327</v>
          </cell>
          <cell r="J806">
            <v>30.844444444444449</v>
          </cell>
        </row>
        <row r="807">
          <cell r="B807">
            <v>39.15</v>
          </cell>
          <cell r="C807">
            <v>86.55</v>
          </cell>
          <cell r="D807">
            <v>17.43</v>
          </cell>
          <cell r="E807">
            <v>8.01</v>
          </cell>
          <cell r="H807">
            <v>45325</v>
          </cell>
          <cell r="I807">
            <v>0.73555555555555563</v>
          </cell>
          <cell r="J807">
            <v>33.322222222222223</v>
          </cell>
        </row>
        <row r="808">
          <cell r="B808">
            <v>40.58</v>
          </cell>
          <cell r="C808">
            <v>97.81</v>
          </cell>
          <cell r="D808">
            <v>17.3</v>
          </cell>
          <cell r="E808">
            <v>8.2899999999999991</v>
          </cell>
          <cell r="H808">
            <v>45325</v>
          </cell>
          <cell r="I808">
            <v>0.73888888888888882</v>
          </cell>
          <cell r="J808">
            <v>35.395555555555553</v>
          </cell>
        </row>
        <row r="809">
          <cell r="B809">
            <v>44</v>
          </cell>
          <cell r="C809">
            <v>106.59</v>
          </cell>
          <cell r="D809">
            <v>17.260000000000002</v>
          </cell>
          <cell r="E809">
            <v>8.2799999999999994</v>
          </cell>
          <cell r="H809">
            <v>45325</v>
          </cell>
          <cell r="I809">
            <v>0.74111111111111105</v>
          </cell>
          <cell r="J809">
            <v>37.406666666666666</v>
          </cell>
        </row>
        <row r="810">
          <cell r="B810">
            <v>42.2</v>
          </cell>
          <cell r="C810">
            <v>100.61</v>
          </cell>
          <cell r="D810">
            <v>17.600000000000001</v>
          </cell>
          <cell r="E810">
            <v>8</v>
          </cell>
          <cell r="H810">
            <v>45325</v>
          </cell>
          <cell r="I810">
            <v>0.73888888888888882</v>
          </cell>
          <cell r="J810">
            <v>39.06111111111111</v>
          </cell>
        </row>
        <row r="811">
          <cell r="B811">
            <v>41.39</v>
          </cell>
          <cell r="C811">
            <v>103.26</v>
          </cell>
          <cell r="D811">
            <v>17.29</v>
          </cell>
          <cell r="E811">
            <v>8.52</v>
          </cell>
          <cell r="H811">
            <v>45325</v>
          </cell>
          <cell r="I811">
            <v>0.74111111111111116</v>
          </cell>
          <cell r="J811">
            <v>40.251111111111108</v>
          </cell>
        </row>
        <row r="812">
          <cell r="B812">
            <v>45.37</v>
          </cell>
          <cell r="C812">
            <v>107.94</v>
          </cell>
          <cell r="D812">
            <v>18.61</v>
          </cell>
          <cell r="E812">
            <v>8.9499999999999993</v>
          </cell>
          <cell r="H812">
            <v>45325</v>
          </cell>
          <cell r="I812">
            <v>0.75333333333333341</v>
          </cell>
          <cell r="J812">
            <v>40.085555555555558</v>
          </cell>
        </row>
        <row r="813">
          <cell r="B813">
            <v>50.36</v>
          </cell>
          <cell r="C813">
            <v>118.44</v>
          </cell>
          <cell r="D813">
            <v>19.22</v>
          </cell>
          <cell r="E813">
            <v>8.98</v>
          </cell>
          <cell r="H813">
            <v>45325</v>
          </cell>
          <cell r="I813">
            <v>0.76444444444444448</v>
          </cell>
          <cell r="J813">
            <v>39.058888888888895</v>
          </cell>
        </row>
        <row r="814">
          <cell r="B814">
            <v>49.44</v>
          </cell>
          <cell r="C814">
            <v>122.85</v>
          </cell>
          <cell r="D814">
            <v>18.52</v>
          </cell>
          <cell r="E814">
            <v>9.0299999999999994</v>
          </cell>
          <cell r="H814">
            <v>45325</v>
          </cell>
          <cell r="I814">
            <v>0.77777777777777779</v>
          </cell>
          <cell r="J814">
            <v>37.715555555555554</v>
          </cell>
        </row>
        <row r="815">
          <cell r="B815">
            <v>45.62</v>
          </cell>
          <cell r="C815">
            <v>115.66</v>
          </cell>
          <cell r="D815">
            <v>18.38</v>
          </cell>
          <cell r="E815">
            <v>8.51</v>
          </cell>
          <cell r="H815">
            <v>45325</v>
          </cell>
          <cell r="I815">
            <v>0.77444444444444438</v>
          </cell>
          <cell r="J815">
            <v>35.903333333333336</v>
          </cell>
        </row>
        <row r="816">
          <cell r="B816">
            <v>40.21</v>
          </cell>
          <cell r="C816">
            <v>98.69</v>
          </cell>
          <cell r="D816">
            <v>17.88</v>
          </cell>
          <cell r="E816">
            <v>8.67</v>
          </cell>
          <cell r="H816">
            <v>45325</v>
          </cell>
          <cell r="I816">
            <v>0.76777777777777789</v>
          </cell>
          <cell r="J816">
            <v>34.348888888888894</v>
          </cell>
        </row>
        <row r="817">
          <cell r="B817">
            <v>39.659999999999997</v>
          </cell>
          <cell r="C817">
            <v>91.08</v>
          </cell>
          <cell r="D817">
            <v>17.739999999999998</v>
          </cell>
          <cell r="E817">
            <v>8.57</v>
          </cell>
          <cell r="H817">
            <v>45325</v>
          </cell>
          <cell r="I817">
            <v>0.75777777777777766</v>
          </cell>
          <cell r="J817">
            <v>33.592222222222226</v>
          </cell>
        </row>
        <row r="818">
          <cell r="B818">
            <v>38.21</v>
          </cell>
          <cell r="C818">
            <v>84.5</v>
          </cell>
          <cell r="D818">
            <v>17.649999999999999</v>
          </cell>
          <cell r="E818">
            <v>8.2100000000000009</v>
          </cell>
          <cell r="H818">
            <v>45326</v>
          </cell>
          <cell r="I818">
            <v>0.74444444444444446</v>
          </cell>
          <cell r="J818">
            <v>33.158888888888889</v>
          </cell>
        </row>
        <row r="819">
          <cell r="B819">
            <v>40.65</v>
          </cell>
          <cell r="C819">
            <v>87.24</v>
          </cell>
          <cell r="D819">
            <v>17.760000000000002</v>
          </cell>
          <cell r="E819">
            <v>8.2200000000000006</v>
          </cell>
          <cell r="H819">
            <v>45326</v>
          </cell>
          <cell r="I819">
            <v>0.73111111111111116</v>
          </cell>
          <cell r="J819">
            <v>33.025555555555556</v>
          </cell>
        </row>
        <row r="820">
          <cell r="B820">
            <v>40.53</v>
          </cell>
          <cell r="C820">
            <v>88.52</v>
          </cell>
          <cell r="D820">
            <v>17.75</v>
          </cell>
          <cell r="E820">
            <v>7.87</v>
          </cell>
          <cell r="H820">
            <v>45326</v>
          </cell>
          <cell r="I820">
            <v>0.71666666666666667</v>
          </cell>
          <cell r="J820">
            <v>33.168888888888887</v>
          </cell>
        </row>
        <row r="821">
          <cell r="B821">
            <v>40.53</v>
          </cell>
          <cell r="C821">
            <v>87.81</v>
          </cell>
          <cell r="D821">
            <v>17.420000000000002</v>
          </cell>
          <cell r="E821">
            <v>7.74</v>
          </cell>
          <cell r="H821">
            <v>45326</v>
          </cell>
          <cell r="I821">
            <v>0.68888888888888888</v>
          </cell>
          <cell r="J821">
            <v>34.025555555555549</v>
          </cell>
        </row>
        <row r="822">
          <cell r="B822">
            <v>41.51</v>
          </cell>
          <cell r="C822">
            <v>88.58</v>
          </cell>
          <cell r="D822">
            <v>17.41</v>
          </cell>
          <cell r="E822">
            <v>7.82</v>
          </cell>
          <cell r="H822">
            <v>45326</v>
          </cell>
          <cell r="I822">
            <v>0.65555555555555556</v>
          </cell>
          <cell r="J822">
            <v>35.102222222222217</v>
          </cell>
        </row>
        <row r="823">
          <cell r="B823">
            <v>43.25</v>
          </cell>
          <cell r="C823">
            <v>90.92</v>
          </cell>
          <cell r="D823">
            <v>17.420000000000002</v>
          </cell>
          <cell r="E823">
            <v>8.1</v>
          </cell>
          <cell r="H823">
            <v>45326</v>
          </cell>
          <cell r="I823">
            <v>0.63555555555555554</v>
          </cell>
          <cell r="J823">
            <v>35.53</v>
          </cell>
        </row>
        <row r="824">
          <cell r="B824">
            <v>45.7</v>
          </cell>
          <cell r="C824">
            <v>95.17</v>
          </cell>
          <cell r="D824">
            <v>17.72</v>
          </cell>
          <cell r="E824">
            <v>7.95</v>
          </cell>
          <cell r="H824">
            <v>45326</v>
          </cell>
          <cell r="I824">
            <v>0.63</v>
          </cell>
          <cell r="J824">
            <v>35.451111111111103</v>
          </cell>
        </row>
        <row r="825">
          <cell r="B825">
            <v>46.19</v>
          </cell>
          <cell r="C825">
            <v>100.7</v>
          </cell>
          <cell r="D825">
            <v>17.850000000000001</v>
          </cell>
          <cell r="E825">
            <v>7.93</v>
          </cell>
          <cell r="H825">
            <v>45326</v>
          </cell>
          <cell r="I825">
            <v>0.63111111111111107</v>
          </cell>
          <cell r="J825">
            <v>34.924444444444447</v>
          </cell>
        </row>
        <row r="826">
          <cell r="B826">
            <v>48.39</v>
          </cell>
          <cell r="C826">
            <v>110.55</v>
          </cell>
          <cell r="D826">
            <v>17.23</v>
          </cell>
          <cell r="E826">
            <v>8.4</v>
          </cell>
          <cell r="H826">
            <v>45326</v>
          </cell>
          <cell r="I826">
            <v>0.64111111111111108</v>
          </cell>
          <cell r="J826">
            <v>34.305555555555557</v>
          </cell>
        </row>
        <row r="827">
          <cell r="B827">
            <v>46.28</v>
          </cell>
          <cell r="C827">
            <v>103.19</v>
          </cell>
          <cell r="D827">
            <v>17</v>
          </cell>
          <cell r="E827">
            <v>8.5</v>
          </cell>
          <cell r="H827">
            <v>45326</v>
          </cell>
          <cell r="I827">
            <v>0.64999999999999991</v>
          </cell>
          <cell r="J827">
            <v>34.118888888888897</v>
          </cell>
        </row>
        <row r="828">
          <cell r="B828">
            <v>38.630000000000003</v>
          </cell>
          <cell r="C828">
            <v>96.66</v>
          </cell>
          <cell r="D828">
            <v>16.48</v>
          </cell>
          <cell r="E828">
            <v>8.6300000000000008</v>
          </cell>
          <cell r="H828">
            <v>45326</v>
          </cell>
          <cell r="I828">
            <v>0.65</v>
          </cell>
          <cell r="J828">
            <v>34.635555555555555</v>
          </cell>
        </row>
        <row r="829">
          <cell r="B829">
            <v>42.03</v>
          </cell>
          <cell r="C829">
            <v>98.63</v>
          </cell>
          <cell r="D829">
            <v>16.27</v>
          </cell>
          <cell r="E829">
            <v>8.0399999999999991</v>
          </cell>
          <cell r="H829">
            <v>45326</v>
          </cell>
          <cell r="I829">
            <v>0.6544444444444445</v>
          </cell>
          <cell r="J829">
            <v>35.193333333333335</v>
          </cell>
        </row>
        <row r="830">
          <cell r="B830">
            <v>54.64</v>
          </cell>
          <cell r="C830">
            <v>110.68</v>
          </cell>
          <cell r="D830">
            <v>16.55</v>
          </cell>
          <cell r="E830">
            <v>7.89</v>
          </cell>
          <cell r="H830">
            <v>45326</v>
          </cell>
          <cell r="I830">
            <v>0.65555555555555567</v>
          </cell>
          <cell r="J830">
            <v>35.925555555555562</v>
          </cell>
        </row>
        <row r="831">
          <cell r="B831">
            <v>29.84</v>
          </cell>
          <cell r="C831">
            <v>82.66</v>
          </cell>
          <cell r="D831">
            <v>16.55</v>
          </cell>
          <cell r="E831">
            <v>7.84</v>
          </cell>
          <cell r="H831">
            <v>45326</v>
          </cell>
          <cell r="I831">
            <v>0.65444444444444461</v>
          </cell>
          <cell r="J831">
            <v>37.023333333333333</v>
          </cell>
        </row>
        <row r="832">
          <cell r="B832">
            <v>27.99</v>
          </cell>
          <cell r="C832">
            <v>77.64</v>
          </cell>
          <cell r="D832">
            <v>16.64</v>
          </cell>
          <cell r="E832">
            <v>8.35</v>
          </cell>
          <cell r="H832">
            <v>45326</v>
          </cell>
          <cell r="I832">
            <v>0.64444444444444449</v>
          </cell>
          <cell r="J832">
            <v>38.095555555555556</v>
          </cell>
        </row>
        <row r="833">
          <cell r="B833">
            <v>29.68</v>
          </cell>
          <cell r="C833">
            <v>74.650000000000006</v>
          </cell>
          <cell r="D833">
            <v>15.99</v>
          </cell>
          <cell r="E833">
            <v>8.5500000000000007</v>
          </cell>
          <cell r="H833">
            <v>45326</v>
          </cell>
          <cell r="I833">
            <v>0.63444444444444448</v>
          </cell>
          <cell r="J833">
            <v>39.431111111111107</v>
          </cell>
        </row>
        <row r="834">
          <cell r="B834">
            <v>31.83</v>
          </cell>
          <cell r="C834">
            <v>74.45</v>
          </cell>
          <cell r="D834">
            <v>15.24</v>
          </cell>
          <cell r="E834">
            <v>8.77</v>
          </cell>
          <cell r="H834">
            <v>45326</v>
          </cell>
          <cell r="I834">
            <v>0.64777777777777779</v>
          </cell>
          <cell r="J834">
            <v>40.823333333333331</v>
          </cell>
        </row>
        <row r="835">
          <cell r="B835">
            <v>32.94</v>
          </cell>
          <cell r="C835">
            <v>76.89</v>
          </cell>
          <cell r="D835">
            <v>15.16</v>
          </cell>
          <cell r="E835">
            <v>8.6199999999999992</v>
          </cell>
          <cell r="H835">
            <v>45326</v>
          </cell>
          <cell r="I835">
            <v>0.63222222222222213</v>
          </cell>
          <cell r="J835">
            <v>41.561111111111103</v>
          </cell>
        </row>
        <row r="836">
          <cell r="B836">
            <v>33.46</v>
          </cell>
          <cell r="C836">
            <v>91.61</v>
          </cell>
          <cell r="D836">
            <v>15.62</v>
          </cell>
          <cell r="E836">
            <v>9.06</v>
          </cell>
          <cell r="H836">
            <v>45326</v>
          </cell>
          <cell r="I836">
            <v>0.63666666666666671</v>
          </cell>
          <cell r="J836">
            <v>40.726666666666667</v>
          </cell>
        </row>
        <row r="837">
          <cell r="B837">
            <v>41.72</v>
          </cell>
          <cell r="C837">
            <v>112.22</v>
          </cell>
          <cell r="D837">
            <v>16.3</v>
          </cell>
          <cell r="E837">
            <v>9.19</v>
          </cell>
          <cell r="H837">
            <v>45326</v>
          </cell>
          <cell r="I837">
            <v>0.64888888888888885</v>
          </cell>
          <cell r="J837">
            <v>38.867777777777775</v>
          </cell>
        </row>
        <row r="838">
          <cell r="B838">
            <v>43.47</v>
          </cell>
          <cell r="C838">
            <v>103.13</v>
          </cell>
          <cell r="D838">
            <v>16.43</v>
          </cell>
          <cell r="E838">
            <v>8.42</v>
          </cell>
          <cell r="H838">
            <v>45326</v>
          </cell>
          <cell r="I838">
            <v>0.65999999999999992</v>
          </cell>
          <cell r="J838">
            <v>37.284444444444446</v>
          </cell>
        </row>
        <row r="839">
          <cell r="B839">
            <v>42.69</v>
          </cell>
          <cell r="C839">
            <v>99.63</v>
          </cell>
          <cell r="D839">
            <v>16.52</v>
          </cell>
          <cell r="E839">
            <v>8.36</v>
          </cell>
          <cell r="H839">
            <v>45326</v>
          </cell>
          <cell r="I839">
            <v>0.68</v>
          </cell>
          <cell r="J839">
            <v>35.833333333333336</v>
          </cell>
        </row>
        <row r="840">
          <cell r="B840">
            <v>38.840000000000003</v>
          </cell>
          <cell r="C840">
            <v>93.35</v>
          </cell>
          <cell r="D840">
            <v>16.38</v>
          </cell>
          <cell r="E840">
            <v>8.81</v>
          </cell>
          <cell r="H840">
            <v>45326</v>
          </cell>
          <cell r="I840">
            <v>0.70777777777777773</v>
          </cell>
          <cell r="J840">
            <v>34.373333333333335</v>
          </cell>
        </row>
        <row r="841">
          <cell r="B841">
            <v>37.79</v>
          </cell>
          <cell r="C841">
            <v>89.9</v>
          </cell>
          <cell r="D841">
            <v>16.350000000000001</v>
          </cell>
          <cell r="E841">
            <v>9.0399999999999991</v>
          </cell>
          <cell r="H841">
            <v>45326</v>
          </cell>
          <cell r="I841">
            <v>0.74222222222222223</v>
          </cell>
          <cell r="J841">
            <v>32.888888888888893</v>
          </cell>
        </row>
        <row r="842">
          <cell r="B842">
            <v>36.619999999999997</v>
          </cell>
          <cell r="C842">
            <v>86.99</v>
          </cell>
          <cell r="D842">
            <v>16.34</v>
          </cell>
          <cell r="E842">
            <v>8.68</v>
          </cell>
          <cell r="H842">
            <v>45327</v>
          </cell>
          <cell r="I842">
            <v>0.76444444444444448</v>
          </cell>
          <cell r="J842">
            <v>31.426666666666669</v>
          </cell>
        </row>
        <row r="843">
          <cell r="B843">
            <v>35.67</v>
          </cell>
          <cell r="C843">
            <v>83.45</v>
          </cell>
          <cell r="D843">
            <v>16.420000000000002</v>
          </cell>
          <cell r="E843">
            <v>8.3000000000000007</v>
          </cell>
          <cell r="H843">
            <v>45327</v>
          </cell>
          <cell r="I843">
            <v>0.76333333333333331</v>
          </cell>
          <cell r="J843">
            <v>30.502222222222219</v>
          </cell>
        </row>
        <row r="844">
          <cell r="B844">
            <v>35.04</v>
          </cell>
          <cell r="C844">
            <v>81.099999999999994</v>
          </cell>
          <cell r="D844">
            <v>16.100000000000001</v>
          </cell>
          <cell r="E844">
            <v>8.59</v>
          </cell>
          <cell r="H844">
            <v>45327</v>
          </cell>
          <cell r="I844">
            <v>0.7844444444444445</v>
          </cell>
          <cell r="J844">
            <v>29.926666666666662</v>
          </cell>
        </row>
        <row r="845">
          <cell r="B845">
            <v>33.89</v>
          </cell>
          <cell r="C845">
            <v>79.22</v>
          </cell>
          <cell r="D845">
            <v>16.23</v>
          </cell>
          <cell r="E845">
            <v>8.42</v>
          </cell>
          <cell r="H845">
            <v>45327</v>
          </cell>
          <cell r="I845">
            <v>0.76666666666666672</v>
          </cell>
          <cell r="J845">
            <v>30.17</v>
          </cell>
        </row>
        <row r="846">
          <cell r="B846">
            <v>34.81</v>
          </cell>
          <cell r="C846">
            <v>78.2</v>
          </cell>
          <cell r="D846">
            <v>16.23</v>
          </cell>
          <cell r="E846">
            <v>7.92</v>
          </cell>
          <cell r="H846">
            <v>45327</v>
          </cell>
          <cell r="I846">
            <v>0.75111111111111106</v>
          </cell>
          <cell r="J846">
            <v>30.598888888888887</v>
          </cell>
        </row>
        <row r="847">
          <cell r="B847">
            <v>37.26</v>
          </cell>
          <cell r="C847">
            <v>83.06</v>
          </cell>
          <cell r="D847">
            <v>16.13</v>
          </cell>
          <cell r="E847">
            <v>8.2200000000000006</v>
          </cell>
          <cell r="H847">
            <v>45327</v>
          </cell>
          <cell r="I847">
            <v>0.73888888888888882</v>
          </cell>
          <cell r="J847">
            <v>30.321111111111108</v>
          </cell>
        </row>
        <row r="848">
          <cell r="B848">
            <v>39.700000000000003</v>
          </cell>
          <cell r="C848">
            <v>85.08</v>
          </cell>
          <cell r="D848">
            <v>16.29</v>
          </cell>
          <cell r="E848">
            <v>8.73</v>
          </cell>
          <cell r="H848">
            <v>45327</v>
          </cell>
          <cell r="I848">
            <v>0.72666666666666657</v>
          </cell>
          <cell r="J848">
            <v>29.175555555555555</v>
          </cell>
        </row>
        <row r="849">
          <cell r="B849">
            <v>46.76</v>
          </cell>
          <cell r="C849">
            <v>100.17</v>
          </cell>
          <cell r="D849">
            <v>17.260000000000002</v>
          </cell>
          <cell r="E849">
            <v>9.1300000000000008</v>
          </cell>
          <cell r="H849">
            <v>45327</v>
          </cell>
          <cell r="I849">
            <v>0.71888888888888891</v>
          </cell>
          <cell r="J849">
            <v>27.835555555555558</v>
          </cell>
        </row>
        <row r="850">
          <cell r="B850">
            <v>51.27</v>
          </cell>
          <cell r="C850">
            <v>109.92</v>
          </cell>
          <cell r="D850">
            <v>17.309999999999999</v>
          </cell>
          <cell r="E850">
            <v>9.74</v>
          </cell>
          <cell r="H850">
            <v>45327</v>
          </cell>
          <cell r="I850">
            <v>0.71777777777777774</v>
          </cell>
          <cell r="J850">
            <v>27.264444444444447</v>
          </cell>
        </row>
        <row r="851">
          <cell r="B851">
            <v>44.04</v>
          </cell>
          <cell r="C851">
            <v>95.15</v>
          </cell>
          <cell r="D851">
            <v>16.75</v>
          </cell>
          <cell r="E851">
            <v>9.8800000000000008</v>
          </cell>
          <cell r="H851">
            <v>45327</v>
          </cell>
          <cell r="I851">
            <v>0.73111111111111116</v>
          </cell>
          <cell r="J851">
            <v>27.898888888888891</v>
          </cell>
        </row>
        <row r="852">
          <cell r="B852">
            <v>38.5</v>
          </cell>
          <cell r="C852">
            <v>89.9</v>
          </cell>
          <cell r="D852">
            <v>16.489999999999998</v>
          </cell>
          <cell r="E852">
            <v>9.43</v>
          </cell>
          <cell r="H852">
            <v>45327</v>
          </cell>
          <cell r="I852">
            <v>0.71777777777777774</v>
          </cell>
          <cell r="J852">
            <v>28.492222222222225</v>
          </cell>
        </row>
        <row r="853">
          <cell r="B853">
            <v>35.04</v>
          </cell>
          <cell r="C853">
            <v>86.87</v>
          </cell>
          <cell r="D853">
            <v>15.01</v>
          </cell>
          <cell r="E853">
            <v>9.27</v>
          </cell>
          <cell r="H853">
            <v>45327</v>
          </cell>
          <cell r="I853">
            <v>0.71</v>
          </cell>
          <cell r="J853">
            <v>28.988888888888887</v>
          </cell>
        </row>
        <row r="854">
          <cell r="B854">
            <v>36.049999999999997</v>
          </cell>
          <cell r="C854">
            <v>89.2</v>
          </cell>
          <cell r="D854">
            <v>17.940000000000001</v>
          </cell>
          <cell r="E854">
            <v>8.9600000000000009</v>
          </cell>
          <cell r="H854">
            <v>45327</v>
          </cell>
          <cell r="I854">
            <v>0.72111111111111104</v>
          </cell>
          <cell r="J854">
            <v>30.153333333333332</v>
          </cell>
        </row>
        <row r="855">
          <cell r="B855">
            <v>34.21</v>
          </cell>
          <cell r="C855">
            <v>83.3</v>
          </cell>
          <cell r="D855">
            <v>16.62</v>
          </cell>
          <cell r="E855">
            <v>8.83</v>
          </cell>
          <cell r="H855">
            <v>45327</v>
          </cell>
          <cell r="I855">
            <v>0.72888888888888892</v>
          </cell>
          <cell r="J855">
            <v>31.556666666666665</v>
          </cell>
        </row>
        <row r="856">
          <cell r="B856">
            <v>27.17</v>
          </cell>
          <cell r="C856">
            <v>78.040000000000006</v>
          </cell>
          <cell r="D856">
            <v>15.83</v>
          </cell>
          <cell r="E856">
            <v>8.1300000000000008</v>
          </cell>
          <cell r="H856">
            <v>45327</v>
          </cell>
          <cell r="I856">
            <v>0.72444444444444445</v>
          </cell>
          <cell r="J856">
            <v>33.321111111111108</v>
          </cell>
        </row>
        <row r="857">
          <cell r="B857">
            <v>27.9</v>
          </cell>
          <cell r="C857">
            <v>77.3</v>
          </cell>
          <cell r="D857">
            <v>15.61</v>
          </cell>
          <cell r="E857">
            <v>8.5</v>
          </cell>
          <cell r="H857">
            <v>45327</v>
          </cell>
          <cell r="I857">
            <v>0.71444444444444433</v>
          </cell>
          <cell r="J857">
            <v>35.604444444444454</v>
          </cell>
        </row>
        <row r="858">
          <cell r="B858">
            <v>30.95</v>
          </cell>
          <cell r="C858">
            <v>78.06</v>
          </cell>
          <cell r="D858">
            <v>15.77</v>
          </cell>
          <cell r="E858">
            <v>7.93</v>
          </cell>
          <cell r="H858">
            <v>45327</v>
          </cell>
          <cell r="I858">
            <v>0.69111111111111101</v>
          </cell>
          <cell r="J858">
            <v>37.694444444444443</v>
          </cell>
        </row>
        <row r="859">
          <cell r="B859">
            <v>32.659999999999997</v>
          </cell>
          <cell r="C859">
            <v>82.95</v>
          </cell>
          <cell r="D859">
            <v>15.97</v>
          </cell>
          <cell r="E859">
            <v>7.17</v>
          </cell>
          <cell r="H859">
            <v>45327</v>
          </cell>
          <cell r="I859">
            <v>0.66555555555555557</v>
          </cell>
          <cell r="J859">
            <v>39.048888888888889</v>
          </cell>
        </row>
        <row r="860">
          <cell r="B860">
            <v>35.19</v>
          </cell>
          <cell r="C860">
            <v>86.36</v>
          </cell>
          <cell r="D860">
            <v>16.75</v>
          </cell>
          <cell r="E860">
            <v>6.89</v>
          </cell>
          <cell r="H860">
            <v>45327</v>
          </cell>
          <cell r="I860">
            <v>0.64222222222222225</v>
          </cell>
          <cell r="J860">
            <v>37.927777777777777</v>
          </cell>
        </row>
        <row r="861">
          <cell r="B861">
            <v>39.590000000000003</v>
          </cell>
          <cell r="C861">
            <v>92.89</v>
          </cell>
          <cell r="D861">
            <v>17.84</v>
          </cell>
          <cell r="E861">
            <v>7</v>
          </cell>
          <cell r="H861">
            <v>45327</v>
          </cell>
          <cell r="I861">
            <v>0.65</v>
          </cell>
          <cell r="J861">
            <v>36.006666666666668</v>
          </cell>
        </row>
        <row r="862">
          <cell r="B862">
            <v>52.51</v>
          </cell>
          <cell r="C862">
            <v>96.88</v>
          </cell>
          <cell r="D862">
            <v>19.11</v>
          </cell>
          <cell r="E862">
            <v>6.82</v>
          </cell>
          <cell r="H862">
            <v>45327</v>
          </cell>
          <cell r="I862">
            <v>0.65222222222222226</v>
          </cell>
          <cell r="J862">
            <v>34.528888888888893</v>
          </cell>
        </row>
        <row r="863">
          <cell r="B863">
            <v>38.54</v>
          </cell>
          <cell r="C863">
            <v>93.47</v>
          </cell>
          <cell r="D863">
            <v>18.690000000000001</v>
          </cell>
          <cell r="E863">
            <v>7.04</v>
          </cell>
          <cell r="H863">
            <v>45327</v>
          </cell>
          <cell r="I863">
            <v>0.64777777777777767</v>
          </cell>
          <cell r="J863">
            <v>32.782222222222224</v>
          </cell>
        </row>
        <row r="864">
          <cell r="B864">
            <v>39.46</v>
          </cell>
          <cell r="C864">
            <v>90.59</v>
          </cell>
          <cell r="D864">
            <v>17.78</v>
          </cell>
          <cell r="E864">
            <v>6.94</v>
          </cell>
          <cell r="H864">
            <v>45327</v>
          </cell>
          <cell r="I864">
            <v>0.6433333333333332</v>
          </cell>
          <cell r="J864">
            <v>30.965555555555561</v>
          </cell>
        </row>
        <row r="865">
          <cell r="B865">
            <v>37.380000000000003</v>
          </cell>
          <cell r="C865">
            <v>84.82</v>
          </cell>
          <cell r="D865">
            <v>17.440000000000001</v>
          </cell>
          <cell r="E865">
            <v>7.09</v>
          </cell>
          <cell r="H865">
            <v>45327</v>
          </cell>
          <cell r="I865">
            <v>0.64111111111111108</v>
          </cell>
          <cell r="J865">
            <v>29.374444444444446</v>
          </cell>
        </row>
        <row r="866">
          <cell r="B866">
            <v>35.94</v>
          </cell>
          <cell r="C866">
            <v>81.12</v>
          </cell>
          <cell r="D866">
            <v>17.39</v>
          </cell>
          <cell r="E866">
            <v>6.91</v>
          </cell>
          <cell r="H866">
            <v>45328</v>
          </cell>
          <cell r="I866">
            <v>0.6333333333333333</v>
          </cell>
          <cell r="J866">
            <v>28.130000000000003</v>
          </cell>
        </row>
        <row r="867">
          <cell r="B867">
            <v>37.92</v>
          </cell>
          <cell r="C867">
            <v>82.28</v>
          </cell>
          <cell r="D867">
            <v>17.54</v>
          </cell>
          <cell r="E867">
            <v>7.14</v>
          </cell>
          <cell r="H867">
            <v>45328</v>
          </cell>
          <cell r="I867">
            <v>0.63222222222222224</v>
          </cell>
          <cell r="J867">
            <v>27.152222222222221</v>
          </cell>
        </row>
        <row r="868">
          <cell r="B868">
            <v>37.92</v>
          </cell>
          <cell r="C868">
            <v>82.84</v>
          </cell>
          <cell r="D868">
            <v>17.23</v>
          </cell>
          <cell r="E868">
            <v>7.59</v>
          </cell>
          <cell r="H868">
            <v>45328</v>
          </cell>
          <cell r="I868">
            <v>0.62666666666666671</v>
          </cell>
          <cell r="J868">
            <v>26.32</v>
          </cell>
        </row>
        <row r="869">
          <cell r="B869">
            <v>38.159999999999997</v>
          </cell>
          <cell r="C869">
            <v>82.17</v>
          </cell>
          <cell r="D869">
            <v>17.34</v>
          </cell>
          <cell r="E869">
            <v>7.22</v>
          </cell>
          <cell r="H869">
            <v>45328</v>
          </cell>
          <cell r="I869">
            <v>0.6100000000000001</v>
          </cell>
          <cell r="J869">
            <v>26.569999999999997</v>
          </cell>
        </row>
        <row r="870">
          <cell r="B870">
            <v>39.89</v>
          </cell>
          <cell r="C870">
            <v>85.41</v>
          </cell>
          <cell r="D870">
            <v>17.510000000000002</v>
          </cell>
          <cell r="E870">
            <v>7.03</v>
          </cell>
          <cell r="H870">
            <v>45328</v>
          </cell>
          <cell r="I870">
            <v>0.58888888888888891</v>
          </cell>
          <cell r="J870">
            <v>26.977777777777774</v>
          </cell>
        </row>
        <row r="871">
          <cell r="B871">
            <v>78.8</v>
          </cell>
          <cell r="C871">
            <v>118.73</v>
          </cell>
          <cell r="D871">
            <v>17.600000000000001</v>
          </cell>
          <cell r="E871">
            <v>7.24</v>
          </cell>
          <cell r="H871">
            <v>45328</v>
          </cell>
          <cell r="I871">
            <v>0.57777777777777783</v>
          </cell>
          <cell r="J871">
            <v>26.677777777777777</v>
          </cell>
        </row>
        <row r="872">
          <cell r="B872">
            <v>88.61</v>
          </cell>
          <cell r="C872">
            <v>105.57</v>
          </cell>
          <cell r="D872">
            <v>17.72</v>
          </cell>
          <cell r="E872">
            <v>8.0299999999999994</v>
          </cell>
          <cell r="H872">
            <v>45328</v>
          </cell>
          <cell r="I872">
            <v>0.58777777777777773</v>
          </cell>
          <cell r="J872">
            <v>25.90111111111111</v>
          </cell>
        </row>
        <row r="873">
          <cell r="B873">
            <v>76.05</v>
          </cell>
          <cell r="C873">
            <v>159.54</v>
          </cell>
          <cell r="D873">
            <v>18.07</v>
          </cell>
          <cell r="E873">
            <v>8.08</v>
          </cell>
          <cell r="H873">
            <v>45328</v>
          </cell>
          <cell r="I873">
            <v>0.60666666666666669</v>
          </cell>
          <cell r="J873">
            <v>25.21777777777778</v>
          </cell>
        </row>
        <row r="874">
          <cell r="B874">
            <v>70.37</v>
          </cell>
          <cell r="C874">
            <v>153.74</v>
          </cell>
          <cell r="D874">
            <v>18.739999999999998</v>
          </cell>
          <cell r="E874">
            <v>8.75</v>
          </cell>
          <cell r="H874">
            <v>45328</v>
          </cell>
          <cell r="I874">
            <v>0.64333333333333331</v>
          </cell>
          <cell r="J874">
            <v>24.775555555555556</v>
          </cell>
        </row>
        <row r="875">
          <cell r="B875">
            <v>55.88</v>
          </cell>
          <cell r="C875">
            <v>132.31</v>
          </cell>
          <cell r="D875">
            <v>19.420000000000002</v>
          </cell>
          <cell r="E875">
            <v>8.9700000000000006</v>
          </cell>
          <cell r="H875">
            <v>45328</v>
          </cell>
          <cell r="I875">
            <v>0.67444444444444451</v>
          </cell>
          <cell r="J875">
            <v>24.64222222222222</v>
          </cell>
        </row>
        <row r="876">
          <cell r="B876">
            <v>39.090000000000003</v>
          </cell>
          <cell r="C876">
            <v>98.07</v>
          </cell>
          <cell r="D876">
            <v>18.11</v>
          </cell>
          <cell r="E876">
            <v>8.43</v>
          </cell>
          <cell r="H876">
            <v>45328</v>
          </cell>
          <cell r="I876">
            <v>0.69444444444444442</v>
          </cell>
          <cell r="J876">
            <v>25.01444444444444</v>
          </cell>
        </row>
        <row r="877">
          <cell r="B877">
            <v>32.24</v>
          </cell>
          <cell r="C877">
            <v>88.56</v>
          </cell>
          <cell r="D877">
            <v>17.8</v>
          </cell>
          <cell r="E877">
            <v>8.59</v>
          </cell>
          <cell r="H877">
            <v>45328</v>
          </cell>
          <cell r="I877">
            <v>0.71</v>
          </cell>
          <cell r="J877">
            <v>25.227777777777778</v>
          </cell>
        </row>
        <row r="878">
          <cell r="B878">
            <v>29</v>
          </cell>
          <cell r="C878">
            <v>86.89</v>
          </cell>
          <cell r="D878">
            <v>17.23</v>
          </cell>
          <cell r="E878">
            <v>8.3000000000000007</v>
          </cell>
          <cell r="H878">
            <v>45328</v>
          </cell>
          <cell r="I878">
            <v>0.72777777777777786</v>
          </cell>
          <cell r="J878">
            <v>25.6</v>
          </cell>
        </row>
        <row r="879">
          <cell r="B879">
            <v>29.01</v>
          </cell>
          <cell r="C879">
            <v>86.09</v>
          </cell>
          <cell r="D879">
            <v>17.38</v>
          </cell>
          <cell r="E879">
            <v>7.9</v>
          </cell>
          <cell r="H879">
            <v>45328</v>
          </cell>
          <cell r="I879">
            <v>0.73888888888888893</v>
          </cell>
          <cell r="J879">
            <v>26.416666666666668</v>
          </cell>
        </row>
        <row r="880">
          <cell r="B880">
            <v>29.16</v>
          </cell>
          <cell r="C880">
            <v>86.14</v>
          </cell>
          <cell r="D880">
            <v>17.579999999999998</v>
          </cell>
          <cell r="E880">
            <v>8.8699999999999992</v>
          </cell>
          <cell r="H880">
            <v>45328</v>
          </cell>
          <cell r="I880">
            <v>0.74444444444444458</v>
          </cell>
          <cell r="J880">
            <v>27.688888888888894</v>
          </cell>
        </row>
        <row r="881">
          <cell r="B881">
            <v>27.08</v>
          </cell>
          <cell r="C881">
            <v>77.36</v>
          </cell>
          <cell r="D881">
            <v>16.73</v>
          </cell>
          <cell r="E881">
            <v>9.07</v>
          </cell>
          <cell r="H881">
            <v>45328</v>
          </cell>
          <cell r="I881">
            <v>0.7366666666666668</v>
          </cell>
          <cell r="J881">
            <v>29.146666666666665</v>
          </cell>
        </row>
        <row r="882">
          <cell r="B882">
            <v>27.59</v>
          </cell>
          <cell r="C882">
            <v>79.86</v>
          </cell>
          <cell r="D882">
            <v>16.22</v>
          </cell>
          <cell r="E882">
            <v>8.74</v>
          </cell>
          <cell r="H882">
            <v>45328</v>
          </cell>
          <cell r="I882">
            <v>0.73111111111111116</v>
          </cell>
          <cell r="J882">
            <v>30.63666666666667</v>
          </cell>
        </row>
        <row r="883">
          <cell r="B883">
            <v>30.54</v>
          </cell>
          <cell r="C883">
            <v>81.900000000000006</v>
          </cell>
          <cell r="D883">
            <v>17.38</v>
          </cell>
          <cell r="E883">
            <v>8.41</v>
          </cell>
          <cell r="H883">
            <v>45328</v>
          </cell>
          <cell r="I883">
            <v>0.70555555555555549</v>
          </cell>
          <cell r="J883">
            <v>31.642222222222227</v>
          </cell>
        </row>
        <row r="884">
          <cell r="B884">
            <v>37.979999999999997</v>
          </cell>
          <cell r="C884">
            <v>93.78</v>
          </cell>
          <cell r="D884">
            <v>18.45</v>
          </cell>
          <cell r="E884">
            <v>8.34</v>
          </cell>
          <cell r="H884">
            <v>45328</v>
          </cell>
          <cell r="I884">
            <v>0.70444444444444432</v>
          </cell>
          <cell r="J884">
            <v>31.688888888888894</v>
          </cell>
        </row>
        <row r="885">
          <cell r="B885">
            <v>46.96</v>
          </cell>
          <cell r="C885">
            <v>106.64</v>
          </cell>
          <cell r="D885">
            <v>19.329999999999998</v>
          </cell>
          <cell r="E885">
            <v>8.59</v>
          </cell>
          <cell r="H885">
            <v>45328</v>
          </cell>
          <cell r="I885">
            <v>0.72</v>
          </cell>
          <cell r="J885">
            <v>30.734444444444446</v>
          </cell>
        </row>
        <row r="886">
          <cell r="B886">
            <v>39.68</v>
          </cell>
          <cell r="C886">
            <v>100.89</v>
          </cell>
          <cell r="D886">
            <v>18.84</v>
          </cell>
          <cell r="E886">
            <v>8.2799999999999994</v>
          </cell>
          <cell r="H886">
            <v>45328</v>
          </cell>
          <cell r="I886">
            <v>0.73777777777777775</v>
          </cell>
          <cell r="J886">
            <v>30.621111111111109</v>
          </cell>
        </row>
        <row r="887">
          <cell r="B887">
            <v>44</v>
          </cell>
          <cell r="C887">
            <v>100.19</v>
          </cell>
          <cell r="D887">
            <v>19.329999999999998</v>
          </cell>
          <cell r="E887">
            <v>8.06</v>
          </cell>
          <cell r="H887">
            <v>45328</v>
          </cell>
          <cell r="I887">
            <v>0.74888888888888894</v>
          </cell>
          <cell r="J887">
            <v>31.058888888888891</v>
          </cell>
        </row>
        <row r="888">
          <cell r="B888">
            <v>43.3</v>
          </cell>
          <cell r="C888">
            <v>94.68</v>
          </cell>
          <cell r="D888">
            <v>18.71</v>
          </cell>
          <cell r="E888">
            <v>8.4600000000000009</v>
          </cell>
          <cell r="H888">
            <v>45328</v>
          </cell>
          <cell r="I888">
            <v>0.75777777777777777</v>
          </cell>
          <cell r="J888">
            <v>31.047777777777778</v>
          </cell>
        </row>
        <row r="889">
          <cell r="B889">
            <v>44.1</v>
          </cell>
          <cell r="C889">
            <v>93.72</v>
          </cell>
          <cell r="D889">
            <v>18.3</v>
          </cell>
          <cell r="E889">
            <v>8.35</v>
          </cell>
          <cell r="H889">
            <v>45328</v>
          </cell>
          <cell r="I889">
            <v>0.75888888888888895</v>
          </cell>
          <cell r="J889">
            <v>31.022222222222222</v>
          </cell>
        </row>
        <row r="890">
          <cell r="B890">
            <v>46.77</v>
          </cell>
          <cell r="C890">
            <v>94.53</v>
          </cell>
          <cell r="D890">
            <v>18.22</v>
          </cell>
          <cell r="E890">
            <v>8.16</v>
          </cell>
          <cell r="H890">
            <v>45329</v>
          </cell>
          <cell r="I890">
            <v>0.75888888888888895</v>
          </cell>
          <cell r="J890">
            <v>31.262222222222224</v>
          </cell>
        </row>
        <row r="891">
          <cell r="B891">
            <v>50.8</v>
          </cell>
          <cell r="C891">
            <v>102.28</v>
          </cell>
          <cell r="D891">
            <v>18.190000000000001</v>
          </cell>
          <cell r="E891">
            <v>8.2899999999999991</v>
          </cell>
          <cell r="H891">
            <v>45329</v>
          </cell>
          <cell r="I891">
            <v>0.7533333333333333</v>
          </cell>
          <cell r="J891">
            <v>31.558888888888891</v>
          </cell>
        </row>
        <row r="892">
          <cell r="B892">
            <v>55.93</v>
          </cell>
          <cell r="C892">
            <v>111.57</v>
          </cell>
          <cell r="D892">
            <v>18.18</v>
          </cell>
          <cell r="E892">
            <v>8.18</v>
          </cell>
          <cell r="H892">
            <v>45329</v>
          </cell>
          <cell r="I892">
            <v>0.7566666666666666</v>
          </cell>
          <cell r="J892">
            <v>32.168888888888894</v>
          </cell>
        </row>
        <row r="893">
          <cell r="B893">
            <v>60.39</v>
          </cell>
          <cell r="C893">
            <v>121.06</v>
          </cell>
          <cell r="D893">
            <v>18.47</v>
          </cell>
          <cell r="E893">
            <v>8.56</v>
          </cell>
          <cell r="H893">
            <v>45329</v>
          </cell>
          <cell r="I893">
            <v>0.74444444444444458</v>
          </cell>
          <cell r="J893">
            <v>33.926666666666669</v>
          </cell>
        </row>
        <row r="894">
          <cell r="B894">
            <v>63.5</v>
          </cell>
          <cell r="C894">
            <v>124</v>
          </cell>
          <cell r="D894">
            <v>18.52</v>
          </cell>
          <cell r="E894">
            <v>8.07</v>
          </cell>
          <cell r="H894">
            <v>45329</v>
          </cell>
          <cell r="I894">
            <v>0.72222222222222221</v>
          </cell>
          <cell r="J894">
            <v>36.074444444444438</v>
          </cell>
        </row>
        <row r="895">
          <cell r="B895">
            <v>65.92</v>
          </cell>
          <cell r="C895">
            <v>127.1</v>
          </cell>
          <cell r="D895">
            <v>18.670000000000002</v>
          </cell>
          <cell r="E895">
            <v>7.78</v>
          </cell>
          <cell r="H895">
            <v>45329</v>
          </cell>
          <cell r="I895">
            <v>0.70666666666666655</v>
          </cell>
          <cell r="J895">
            <v>36.511111111111106</v>
          </cell>
        </row>
        <row r="896">
          <cell r="B896">
            <v>72</v>
          </cell>
          <cell r="C896">
            <v>135.13999999999999</v>
          </cell>
          <cell r="D896">
            <v>19.670000000000002</v>
          </cell>
          <cell r="E896">
            <v>7.64</v>
          </cell>
          <cell r="H896">
            <v>45329</v>
          </cell>
          <cell r="I896">
            <v>0.70666666666666655</v>
          </cell>
          <cell r="J896">
            <v>35.318888888888893</v>
          </cell>
        </row>
        <row r="897">
          <cell r="B897">
            <v>82.64</v>
          </cell>
          <cell r="C897">
            <v>154.30000000000001</v>
          </cell>
          <cell r="D897">
            <v>20.97</v>
          </cell>
          <cell r="E897">
            <v>8</v>
          </cell>
          <cell r="H897">
            <v>45329</v>
          </cell>
          <cell r="I897">
            <v>0.71888888888888891</v>
          </cell>
          <cell r="J897">
            <v>34.475555555555552</v>
          </cell>
        </row>
        <row r="898">
          <cell r="B898">
            <v>65.87</v>
          </cell>
          <cell r="C898">
            <v>149.97999999999999</v>
          </cell>
          <cell r="D898">
            <v>20.97</v>
          </cell>
          <cell r="E898">
            <v>8.8800000000000008</v>
          </cell>
          <cell r="H898">
            <v>45329</v>
          </cell>
          <cell r="I898">
            <v>0.73666666666666669</v>
          </cell>
          <cell r="J898">
            <v>33.978888888888882</v>
          </cell>
        </row>
        <row r="899">
          <cell r="B899">
            <v>46.97</v>
          </cell>
          <cell r="C899">
            <v>120.46</v>
          </cell>
          <cell r="D899">
            <v>21.12</v>
          </cell>
          <cell r="E899">
            <v>9.23</v>
          </cell>
          <cell r="H899">
            <v>45329</v>
          </cell>
          <cell r="I899">
            <v>0.7533333333333333</v>
          </cell>
          <cell r="J899">
            <v>33.668888888888887</v>
          </cell>
        </row>
        <row r="900">
          <cell r="B900">
            <v>33.409999999999997</v>
          </cell>
          <cell r="C900">
            <v>103.09</v>
          </cell>
          <cell r="D900">
            <v>19.18</v>
          </cell>
          <cell r="E900">
            <v>8.91</v>
          </cell>
          <cell r="H900">
            <v>45329</v>
          </cell>
          <cell r="I900">
            <v>0.76555555555555554</v>
          </cell>
          <cell r="J900">
            <v>33.544444444444444</v>
          </cell>
        </row>
        <row r="901">
          <cell r="B901">
            <v>26.17</v>
          </cell>
          <cell r="C901">
            <v>85.14</v>
          </cell>
          <cell r="D901">
            <v>18.399999999999999</v>
          </cell>
          <cell r="E901">
            <v>9.89</v>
          </cell>
          <cell r="H901">
            <v>45329</v>
          </cell>
          <cell r="I901">
            <v>0.76222222222222202</v>
          </cell>
          <cell r="J901">
            <v>33.342222222222226</v>
          </cell>
        </row>
        <row r="902">
          <cell r="B902">
            <v>23.93</v>
          </cell>
          <cell r="C902">
            <v>71.73</v>
          </cell>
          <cell r="D902">
            <v>18.14</v>
          </cell>
          <cell r="E902">
            <v>8.8000000000000007</v>
          </cell>
          <cell r="H902">
            <v>45329</v>
          </cell>
          <cell r="I902">
            <v>0.76888888888888873</v>
          </cell>
          <cell r="J902">
            <v>32.218888888888884</v>
          </cell>
        </row>
        <row r="903">
          <cell r="B903">
            <v>31.97</v>
          </cell>
          <cell r="C903">
            <v>85.74</v>
          </cell>
          <cell r="D903">
            <v>17.68</v>
          </cell>
          <cell r="E903">
            <v>7.81</v>
          </cell>
          <cell r="H903">
            <v>45329</v>
          </cell>
          <cell r="I903">
            <v>0.76111111111111107</v>
          </cell>
          <cell r="J903">
            <v>31.776666666666667</v>
          </cell>
        </row>
        <row r="904">
          <cell r="B904">
            <v>30.09</v>
          </cell>
          <cell r="C904">
            <v>77.680000000000007</v>
          </cell>
          <cell r="D904">
            <v>17.98</v>
          </cell>
          <cell r="E904">
            <v>8.18</v>
          </cell>
          <cell r="H904">
            <v>45329</v>
          </cell>
          <cell r="I904">
            <v>0.74888888888888894</v>
          </cell>
          <cell r="J904">
            <v>32.472222222222221</v>
          </cell>
        </row>
        <row r="905">
          <cell r="B905">
            <v>25.59</v>
          </cell>
          <cell r="C905">
            <v>76.09</v>
          </cell>
          <cell r="D905">
            <v>19.04</v>
          </cell>
          <cell r="E905">
            <v>8.07</v>
          </cell>
          <cell r="H905">
            <v>45329</v>
          </cell>
          <cell r="I905">
            <v>0.74555555555555564</v>
          </cell>
          <cell r="J905">
            <v>34.461111111111109</v>
          </cell>
        </row>
        <row r="906">
          <cell r="B906">
            <v>26.94</v>
          </cell>
          <cell r="C906">
            <v>72.400000000000006</v>
          </cell>
          <cell r="D906">
            <v>19.079999999999998</v>
          </cell>
          <cell r="E906">
            <v>8.2899999999999991</v>
          </cell>
          <cell r="H906">
            <v>45329</v>
          </cell>
          <cell r="I906">
            <v>0.74444444444444446</v>
          </cell>
          <cell r="J906">
            <v>35.680000000000007</v>
          </cell>
        </row>
        <row r="907">
          <cell r="B907">
            <v>27.41</v>
          </cell>
          <cell r="C907">
            <v>72.209999999999994</v>
          </cell>
          <cell r="D907">
            <v>20.010000000000002</v>
          </cell>
          <cell r="E907">
            <v>8.18</v>
          </cell>
          <cell r="H907">
            <v>45329</v>
          </cell>
          <cell r="I907">
            <v>0.73444444444444446</v>
          </cell>
          <cell r="J907">
            <v>36.437777777777775</v>
          </cell>
        </row>
        <row r="908">
          <cell r="B908">
            <v>29.83</v>
          </cell>
          <cell r="C908">
            <v>78.760000000000005</v>
          </cell>
          <cell r="D908">
            <v>22.04</v>
          </cell>
          <cell r="E908">
            <v>8.5500000000000007</v>
          </cell>
          <cell r="H908">
            <v>45329</v>
          </cell>
          <cell r="I908">
            <v>0.74555555555555553</v>
          </cell>
          <cell r="J908">
            <v>35.788888888888884</v>
          </cell>
        </row>
        <row r="909">
          <cell r="B909">
            <v>58.36</v>
          </cell>
          <cell r="C909">
            <v>96.78</v>
          </cell>
          <cell r="D909">
            <v>23.19</v>
          </cell>
          <cell r="E909">
            <v>8.42</v>
          </cell>
          <cell r="H909">
            <v>45329</v>
          </cell>
          <cell r="I909">
            <v>0.76222222222222225</v>
          </cell>
          <cell r="J909">
            <v>34.353333333333332</v>
          </cell>
        </row>
        <row r="910">
          <cell r="B910">
            <v>127.69</v>
          </cell>
          <cell r="C910">
            <v>104.12</v>
          </cell>
          <cell r="D910">
            <v>22.67</v>
          </cell>
          <cell r="E910">
            <v>8.5</v>
          </cell>
          <cell r="H910">
            <v>45329</v>
          </cell>
          <cell r="I910">
            <v>0.7844444444444445</v>
          </cell>
          <cell r="J910">
            <v>33.04</v>
          </cell>
        </row>
        <row r="911">
          <cell r="B911">
            <v>125.57</v>
          </cell>
          <cell r="C911">
            <v>100.39</v>
          </cell>
          <cell r="D911">
            <v>21.18</v>
          </cell>
          <cell r="E911">
            <v>7.57</v>
          </cell>
          <cell r="H911">
            <v>45329</v>
          </cell>
          <cell r="I911">
            <v>0.78666666666666663</v>
          </cell>
          <cell r="J911">
            <v>32.202222222222225</v>
          </cell>
        </row>
        <row r="912">
          <cell r="B912">
            <v>78.41</v>
          </cell>
          <cell r="C912">
            <v>92.87</v>
          </cell>
          <cell r="D912">
            <v>20.69</v>
          </cell>
          <cell r="E912">
            <v>8.01</v>
          </cell>
          <cell r="H912">
            <v>45329</v>
          </cell>
          <cell r="I912">
            <v>0.79333333333333345</v>
          </cell>
          <cell r="J912">
            <v>31.234444444444446</v>
          </cell>
        </row>
        <row r="913">
          <cell r="B913">
            <v>37.93</v>
          </cell>
          <cell r="C913">
            <v>93.73</v>
          </cell>
          <cell r="D913">
            <v>20.29</v>
          </cell>
          <cell r="E913">
            <v>8.25</v>
          </cell>
          <cell r="H913">
            <v>45329</v>
          </cell>
          <cell r="I913">
            <v>0.80222222222222206</v>
          </cell>
          <cell r="J913">
            <v>30.392222222222227</v>
          </cell>
        </row>
        <row r="914">
          <cell r="B914">
            <v>37.94</v>
          </cell>
          <cell r="C914">
            <v>91.7</v>
          </cell>
          <cell r="D914">
            <v>19.53</v>
          </cell>
          <cell r="E914">
            <v>8.6999999999999993</v>
          </cell>
          <cell r="H914">
            <v>45330</v>
          </cell>
          <cell r="I914">
            <v>0.78888888888888875</v>
          </cell>
          <cell r="J914">
            <v>29.555555555555557</v>
          </cell>
        </row>
        <row r="915">
          <cell r="B915">
            <v>37.090000000000003</v>
          </cell>
          <cell r="C915">
            <v>88.51</v>
          </cell>
          <cell r="D915">
            <v>19.61</v>
          </cell>
          <cell r="E915">
            <v>8.42</v>
          </cell>
          <cell r="H915">
            <v>45330</v>
          </cell>
          <cell r="I915">
            <v>0.77444444444444427</v>
          </cell>
          <cell r="J915">
            <v>29.782222222222217</v>
          </cell>
        </row>
        <row r="916">
          <cell r="B916">
            <v>39.51</v>
          </cell>
          <cell r="C916">
            <v>89.74</v>
          </cell>
          <cell r="D916">
            <v>19.37</v>
          </cell>
          <cell r="E916">
            <v>8.2200000000000006</v>
          </cell>
          <cell r="H916">
            <v>45330</v>
          </cell>
          <cell r="I916">
            <v>0.76444444444444437</v>
          </cell>
          <cell r="J916">
            <v>30.174444444444443</v>
          </cell>
        </row>
        <row r="917">
          <cell r="B917">
            <v>42.41</v>
          </cell>
          <cell r="C917">
            <v>94.16</v>
          </cell>
          <cell r="D917">
            <v>19.37</v>
          </cell>
          <cell r="E917">
            <v>7.95</v>
          </cell>
          <cell r="H917">
            <v>45330</v>
          </cell>
          <cell r="I917">
            <v>0.73555555555555563</v>
          </cell>
          <cell r="J917">
            <v>31.799999999999997</v>
          </cell>
        </row>
        <row r="918">
          <cell r="B918">
            <v>44.36</v>
          </cell>
          <cell r="C918">
            <v>97.8</v>
          </cell>
          <cell r="D918">
            <v>19.62</v>
          </cell>
          <cell r="E918">
            <v>7.85</v>
          </cell>
          <cell r="H918">
            <v>45330</v>
          </cell>
          <cell r="I918">
            <v>0.70666666666666678</v>
          </cell>
          <cell r="J918">
            <v>33.593333333333334</v>
          </cell>
        </row>
        <row r="919">
          <cell r="B919">
            <v>49.32</v>
          </cell>
          <cell r="C919">
            <v>105.69</v>
          </cell>
          <cell r="D919">
            <v>19.88</v>
          </cell>
          <cell r="E919">
            <v>7.95</v>
          </cell>
          <cell r="H919">
            <v>45330</v>
          </cell>
          <cell r="I919">
            <v>0.68777777777777782</v>
          </cell>
          <cell r="J919">
            <v>34.979999999999997</v>
          </cell>
        </row>
        <row r="920">
          <cell r="B920">
            <v>50.26</v>
          </cell>
          <cell r="C920">
            <v>111.92</v>
          </cell>
          <cell r="D920">
            <v>20.05</v>
          </cell>
          <cell r="E920">
            <v>8.93</v>
          </cell>
          <cell r="H920">
            <v>45330</v>
          </cell>
          <cell r="I920">
            <v>0.69222222222222229</v>
          </cell>
          <cell r="J920">
            <v>35.254444444444438</v>
          </cell>
        </row>
        <row r="921">
          <cell r="B921">
            <v>54.36</v>
          </cell>
          <cell r="C921">
            <v>123.01</v>
          </cell>
          <cell r="D921">
            <v>21.12</v>
          </cell>
          <cell r="E921">
            <v>9.01</v>
          </cell>
          <cell r="H921">
            <v>45330</v>
          </cell>
          <cell r="I921">
            <v>0.71777777777777785</v>
          </cell>
          <cell r="J921">
            <v>34.423333333333332</v>
          </cell>
        </row>
        <row r="922">
          <cell r="B922">
            <v>58.17</v>
          </cell>
          <cell r="C922">
            <v>131.22</v>
          </cell>
          <cell r="D922">
            <v>21.58</v>
          </cell>
          <cell r="E922">
            <v>10</v>
          </cell>
          <cell r="H922">
            <v>45330</v>
          </cell>
          <cell r="I922">
            <v>0.74222222222222223</v>
          </cell>
          <cell r="J922">
            <v>33.421111111111109</v>
          </cell>
        </row>
        <row r="923">
          <cell r="B923">
            <v>49.02</v>
          </cell>
          <cell r="C923">
            <v>122.07</v>
          </cell>
          <cell r="D923">
            <v>21.33</v>
          </cell>
          <cell r="E923">
            <v>9.7100000000000009</v>
          </cell>
          <cell r="H923">
            <v>45330</v>
          </cell>
          <cell r="I923">
            <v>0.76333333333333331</v>
          </cell>
          <cell r="J923">
            <v>32.927777777777777</v>
          </cell>
        </row>
        <row r="924">
          <cell r="B924">
            <v>42.1</v>
          </cell>
          <cell r="C924">
            <v>104.66</v>
          </cell>
          <cell r="D924">
            <v>19.7</v>
          </cell>
          <cell r="E924">
            <v>8.74</v>
          </cell>
          <cell r="H924">
            <v>45330</v>
          </cell>
          <cell r="I924">
            <v>0.76888888888888884</v>
          </cell>
          <cell r="J924">
            <v>32.682222222222222</v>
          </cell>
        </row>
        <row r="925">
          <cell r="B925">
            <v>82.51</v>
          </cell>
          <cell r="C925">
            <v>92.7</v>
          </cell>
          <cell r="D925">
            <v>17.48</v>
          </cell>
          <cell r="E925">
            <v>8.4499999999999993</v>
          </cell>
          <cell r="H925">
            <v>45330</v>
          </cell>
          <cell r="I925">
            <v>0.78666666666666663</v>
          </cell>
          <cell r="J925">
            <v>32.552222222222227</v>
          </cell>
        </row>
        <row r="926">
          <cell r="B926">
            <v>131.35</v>
          </cell>
          <cell r="C926">
            <v>86.65</v>
          </cell>
          <cell r="D926">
            <v>17.489999999999998</v>
          </cell>
          <cell r="E926">
            <v>7.73</v>
          </cell>
          <cell r="H926">
            <v>45330</v>
          </cell>
          <cell r="I926">
            <v>0.7844444444444445</v>
          </cell>
          <cell r="J926">
            <v>32.462222222222216</v>
          </cell>
        </row>
        <row r="927">
          <cell r="B927">
            <v>50.54</v>
          </cell>
          <cell r="C927">
            <v>82.26</v>
          </cell>
          <cell r="D927">
            <v>17.260000000000002</v>
          </cell>
          <cell r="E927">
            <v>8.6300000000000008</v>
          </cell>
          <cell r="H927">
            <v>45330</v>
          </cell>
          <cell r="I927">
            <v>0.78111111111111109</v>
          </cell>
          <cell r="J927">
            <v>33.115555555555559</v>
          </cell>
        </row>
        <row r="928">
          <cell r="B928">
            <v>42.7</v>
          </cell>
          <cell r="C928">
            <v>70.06</v>
          </cell>
          <cell r="D928">
            <v>17.38</v>
          </cell>
          <cell r="E928">
            <v>8.24</v>
          </cell>
          <cell r="H928">
            <v>45330</v>
          </cell>
          <cell r="I928">
            <v>0.79333333333333345</v>
          </cell>
          <cell r="J928">
            <v>33.728888888888896</v>
          </cell>
        </row>
        <row r="929">
          <cell r="B929">
            <v>39.869999999999997</v>
          </cell>
          <cell r="C929">
            <v>65.61</v>
          </cell>
          <cell r="D929">
            <v>17.649999999999999</v>
          </cell>
          <cell r="E929">
            <v>9.08</v>
          </cell>
          <cell r="H929">
            <v>45330</v>
          </cell>
          <cell r="I929">
            <v>0.78555555555555556</v>
          </cell>
          <cell r="J929">
            <v>34.746666666666663</v>
          </cell>
        </row>
        <row r="930">
          <cell r="B930">
            <v>46.41</v>
          </cell>
          <cell r="C930">
            <v>71.94</v>
          </cell>
          <cell r="D930">
            <v>17.98</v>
          </cell>
          <cell r="E930">
            <v>9.2200000000000006</v>
          </cell>
          <cell r="H930">
            <v>45330</v>
          </cell>
          <cell r="I930">
            <v>0.76222222222222225</v>
          </cell>
          <cell r="J930">
            <v>36.486666666666665</v>
          </cell>
        </row>
        <row r="931">
          <cell r="B931">
            <v>48.4</v>
          </cell>
          <cell r="C931">
            <v>79.36</v>
          </cell>
          <cell r="D931">
            <v>18.78</v>
          </cell>
          <cell r="E931">
            <v>8.9600000000000009</v>
          </cell>
          <cell r="H931">
            <v>45330</v>
          </cell>
          <cell r="I931">
            <v>0.73777777777777787</v>
          </cell>
          <cell r="J931">
            <v>37.897777777777769</v>
          </cell>
        </row>
        <row r="932">
          <cell r="B932">
            <v>40.97</v>
          </cell>
          <cell r="C932">
            <v>91.06</v>
          </cell>
          <cell r="D932">
            <v>20.2</v>
          </cell>
          <cell r="E932">
            <v>9.34</v>
          </cell>
          <cell r="H932">
            <v>45330</v>
          </cell>
          <cell r="I932">
            <v>0.7433333333333334</v>
          </cell>
          <cell r="J932">
            <v>37.30333333333332</v>
          </cell>
        </row>
        <row r="933">
          <cell r="B933">
            <v>43.79</v>
          </cell>
          <cell r="C933">
            <v>103.43</v>
          </cell>
          <cell r="D933">
            <v>20.5</v>
          </cell>
          <cell r="E933">
            <v>8.99</v>
          </cell>
          <cell r="H933">
            <v>45330</v>
          </cell>
          <cell r="I933">
            <v>0.76444444444444448</v>
          </cell>
          <cell r="J933">
            <v>35.699999999999996</v>
          </cell>
        </row>
        <row r="934">
          <cell r="B934">
            <v>49.3</v>
          </cell>
          <cell r="C934">
            <v>108.47</v>
          </cell>
          <cell r="D934">
            <v>19.62</v>
          </cell>
          <cell r="E934">
            <v>8.15</v>
          </cell>
          <cell r="H934">
            <v>45330</v>
          </cell>
          <cell r="I934">
            <v>0.76222222222222225</v>
          </cell>
          <cell r="J934">
            <v>34.274444444444441</v>
          </cell>
        </row>
        <row r="935">
          <cell r="B935">
            <v>55.95</v>
          </cell>
          <cell r="C935">
            <v>104.77</v>
          </cell>
          <cell r="D935">
            <v>19.38</v>
          </cell>
          <cell r="E935">
            <v>7.84</v>
          </cell>
          <cell r="H935">
            <v>45330</v>
          </cell>
          <cell r="I935">
            <v>0.77333333333333321</v>
          </cell>
          <cell r="J935">
            <v>32.99</v>
          </cell>
        </row>
        <row r="936">
          <cell r="B936">
            <v>53.04</v>
          </cell>
          <cell r="C936">
            <v>98.78</v>
          </cell>
          <cell r="D936">
            <v>19.39</v>
          </cell>
          <cell r="E936">
            <v>8.4700000000000006</v>
          </cell>
          <cell r="H936">
            <v>45330</v>
          </cell>
          <cell r="I936">
            <v>0.77666666666666651</v>
          </cell>
          <cell r="J936">
            <v>31.114444444444441</v>
          </cell>
        </row>
        <row r="937">
          <cell r="B937">
            <v>43.92</v>
          </cell>
          <cell r="C937">
            <v>91.37</v>
          </cell>
          <cell r="D937">
            <v>17.559999999999999</v>
          </cell>
          <cell r="E937">
            <v>8.11</v>
          </cell>
          <cell r="H937">
            <v>45330</v>
          </cell>
          <cell r="I937">
            <v>0.75444444444444447</v>
          </cell>
          <cell r="J937">
            <v>29.373333333333328</v>
          </cell>
        </row>
        <row r="938">
          <cell r="B938">
            <v>40.659999999999997</v>
          </cell>
          <cell r="C938">
            <v>86.97</v>
          </cell>
          <cell r="D938">
            <v>17.14</v>
          </cell>
          <cell r="E938">
            <v>7.64</v>
          </cell>
          <cell r="H938">
            <v>45331</v>
          </cell>
          <cell r="I938">
            <v>0.73666666666666669</v>
          </cell>
          <cell r="J938">
            <v>28.20888888888889</v>
          </cell>
        </row>
        <row r="939">
          <cell r="B939">
            <v>38.08</v>
          </cell>
          <cell r="C939">
            <v>82.74</v>
          </cell>
          <cell r="D939">
            <v>16.809999999999999</v>
          </cell>
          <cell r="E939">
            <v>7.38</v>
          </cell>
          <cell r="H939">
            <v>45331</v>
          </cell>
          <cell r="I939">
            <v>0.7255555555555554</v>
          </cell>
          <cell r="J939">
            <v>26.743333333333332</v>
          </cell>
        </row>
        <row r="940">
          <cell r="B940">
            <v>35.79</v>
          </cell>
          <cell r="C940">
            <v>79.02</v>
          </cell>
          <cell r="D940">
            <v>15.94</v>
          </cell>
          <cell r="E940">
            <v>7.26</v>
          </cell>
          <cell r="H940">
            <v>45331</v>
          </cell>
          <cell r="I940">
            <v>0.71444444444444444</v>
          </cell>
          <cell r="J940">
            <v>25.569999999999997</v>
          </cell>
        </row>
        <row r="941">
          <cell r="B941">
            <v>35.770000000000003</v>
          </cell>
          <cell r="C941">
            <v>77.05</v>
          </cell>
          <cell r="D941">
            <v>16.16</v>
          </cell>
          <cell r="E941">
            <v>7.31</v>
          </cell>
          <cell r="H941">
            <v>45331</v>
          </cell>
          <cell r="I941">
            <v>0.67222222222222205</v>
          </cell>
          <cell r="J941">
            <v>25.582222222222221</v>
          </cell>
        </row>
        <row r="942">
          <cell r="B942">
            <v>37.799999999999997</v>
          </cell>
          <cell r="C942">
            <v>75.83</v>
          </cell>
          <cell r="D942">
            <v>16.12</v>
          </cell>
          <cell r="E942">
            <v>7.96</v>
          </cell>
          <cell r="H942">
            <v>45331</v>
          </cell>
          <cell r="I942">
            <v>0.62777777777777777</v>
          </cell>
          <cell r="J942">
            <v>25.796666666666667</v>
          </cell>
        </row>
        <row r="943">
          <cell r="B943">
            <v>34.82</v>
          </cell>
          <cell r="C943">
            <v>73.64</v>
          </cell>
          <cell r="D943">
            <v>16.48</v>
          </cell>
          <cell r="E943">
            <v>8</v>
          </cell>
          <cell r="H943">
            <v>45331</v>
          </cell>
          <cell r="I943">
            <v>0.62222222222222223</v>
          </cell>
          <cell r="J943">
            <v>25.594444444444445</v>
          </cell>
        </row>
        <row r="944">
          <cell r="B944">
            <v>39.619999999999997</v>
          </cell>
          <cell r="C944">
            <v>76.7</v>
          </cell>
          <cell r="D944">
            <v>16.48</v>
          </cell>
          <cell r="E944">
            <v>8.19</v>
          </cell>
          <cell r="H944">
            <v>45331</v>
          </cell>
          <cell r="I944">
            <v>0.62222222222222223</v>
          </cell>
          <cell r="J944">
            <v>24.606666666666669</v>
          </cell>
        </row>
        <row r="945">
          <cell r="B945">
            <v>45.73</v>
          </cell>
          <cell r="C945">
            <v>81.22</v>
          </cell>
          <cell r="D945">
            <v>17.05</v>
          </cell>
          <cell r="E945">
            <v>7.85</v>
          </cell>
          <cell r="H945">
            <v>45331</v>
          </cell>
          <cell r="I945">
            <v>0.63555555555555565</v>
          </cell>
          <cell r="J945">
            <v>23.821111111111112</v>
          </cell>
        </row>
        <row r="946">
          <cell r="B946">
            <v>48.13</v>
          </cell>
          <cell r="C946">
            <v>93.68</v>
          </cell>
          <cell r="D946">
            <v>18.059999999999999</v>
          </cell>
          <cell r="E946">
            <v>8.44</v>
          </cell>
          <cell r="H946">
            <v>45331</v>
          </cell>
          <cell r="I946">
            <v>0.64777777777777779</v>
          </cell>
          <cell r="J946">
            <v>23.713333333333335</v>
          </cell>
        </row>
        <row r="947">
          <cell r="B947">
            <v>45.58</v>
          </cell>
          <cell r="C947">
            <v>94.02</v>
          </cell>
          <cell r="D947">
            <v>17.64</v>
          </cell>
          <cell r="E947">
            <v>9.39</v>
          </cell>
          <cell r="H947">
            <v>45331</v>
          </cell>
          <cell r="I947">
            <v>0.66555555555555557</v>
          </cell>
          <cell r="J947">
            <v>23.918888888888894</v>
          </cell>
        </row>
        <row r="948">
          <cell r="B948">
            <v>41.64</v>
          </cell>
          <cell r="C948">
            <v>90.94</v>
          </cell>
          <cell r="D948">
            <v>17.2</v>
          </cell>
          <cell r="E948">
            <v>8.9</v>
          </cell>
          <cell r="H948">
            <v>45331</v>
          </cell>
          <cell r="I948">
            <v>0.68444444444444441</v>
          </cell>
          <cell r="J948">
            <v>25.007777777777775</v>
          </cell>
        </row>
        <row r="949">
          <cell r="B949">
            <v>37.380000000000003</v>
          </cell>
          <cell r="C949">
            <v>89.86</v>
          </cell>
          <cell r="D949">
            <v>17.11</v>
          </cell>
          <cell r="E949">
            <v>8.5500000000000007</v>
          </cell>
          <cell r="H949">
            <v>45331</v>
          </cell>
          <cell r="I949">
            <v>0.68888888888888888</v>
          </cell>
          <cell r="J949">
            <v>26.597777777777775</v>
          </cell>
        </row>
        <row r="950">
          <cell r="B950">
            <v>41.52</v>
          </cell>
          <cell r="C950">
            <v>92.78</v>
          </cell>
          <cell r="D950">
            <v>16.68</v>
          </cell>
          <cell r="E950">
            <v>9.44</v>
          </cell>
          <cell r="H950">
            <v>45331</v>
          </cell>
          <cell r="I950">
            <v>0.7</v>
          </cell>
          <cell r="J950">
            <v>28.634444444444441</v>
          </cell>
        </row>
        <row r="951">
          <cell r="B951">
            <v>40.07</v>
          </cell>
          <cell r="C951">
            <v>90.77</v>
          </cell>
          <cell r="D951">
            <v>17.559999999999999</v>
          </cell>
          <cell r="E951">
            <v>8.26</v>
          </cell>
          <cell r="H951">
            <v>45331</v>
          </cell>
          <cell r="I951">
            <v>0.70555555555555538</v>
          </cell>
          <cell r="J951">
            <v>31.035555555555554</v>
          </cell>
        </row>
        <row r="952">
          <cell r="B952">
            <v>29.19</v>
          </cell>
          <cell r="C952">
            <v>83.44</v>
          </cell>
          <cell r="D952">
            <v>17.2</v>
          </cell>
          <cell r="E952">
            <v>8.16</v>
          </cell>
          <cell r="H952">
            <v>45331</v>
          </cell>
          <cell r="I952">
            <v>0.68666666666666665</v>
          </cell>
          <cell r="J952">
            <v>33.105555555555561</v>
          </cell>
        </row>
        <row r="953">
          <cell r="B953">
            <v>28.84</v>
          </cell>
          <cell r="C953">
            <v>80.14</v>
          </cell>
          <cell r="D953">
            <v>17.23</v>
          </cell>
          <cell r="E953">
            <v>8.08</v>
          </cell>
          <cell r="H953">
            <v>45331</v>
          </cell>
          <cell r="I953">
            <v>0.67666666666666664</v>
          </cell>
          <cell r="J953">
            <v>35.132222222222225</v>
          </cell>
        </row>
        <row r="954">
          <cell r="B954">
            <v>26.23</v>
          </cell>
          <cell r="C954">
            <v>77.58</v>
          </cell>
          <cell r="D954">
            <v>17.82</v>
          </cell>
          <cell r="E954">
            <v>8.6300000000000008</v>
          </cell>
          <cell r="H954">
            <v>45331</v>
          </cell>
          <cell r="I954">
            <v>0.65555555555555556</v>
          </cell>
          <cell r="J954">
            <v>37.206666666666671</v>
          </cell>
        </row>
        <row r="955">
          <cell r="B955">
            <v>32.06</v>
          </cell>
          <cell r="C955">
            <v>77.73</v>
          </cell>
          <cell r="D955">
            <v>18.18</v>
          </cell>
          <cell r="E955">
            <v>8.15</v>
          </cell>
          <cell r="H955">
            <v>45331</v>
          </cell>
          <cell r="I955">
            <v>0.65333333333333332</v>
          </cell>
          <cell r="J955">
            <v>38.230000000000004</v>
          </cell>
        </row>
        <row r="956">
          <cell r="B956">
            <v>84.59</v>
          </cell>
          <cell r="C956">
            <v>85.45</v>
          </cell>
          <cell r="D956">
            <v>17.920000000000002</v>
          </cell>
          <cell r="E956">
            <v>6.97</v>
          </cell>
          <cell r="H956">
            <v>45331</v>
          </cell>
          <cell r="I956">
            <v>0.6677777777777778</v>
          </cell>
          <cell r="J956">
            <v>37.901111111111113</v>
          </cell>
        </row>
        <row r="957">
          <cell r="B957">
            <v>111.33</v>
          </cell>
          <cell r="C957">
            <v>100.05</v>
          </cell>
          <cell r="D957">
            <v>19.899999999999999</v>
          </cell>
          <cell r="E957">
            <v>8.73</v>
          </cell>
          <cell r="H957">
            <v>45331</v>
          </cell>
          <cell r="I957">
            <v>0.68333333333333335</v>
          </cell>
          <cell r="J957">
            <v>36.694444444444436</v>
          </cell>
        </row>
        <row r="958">
          <cell r="B958">
            <v>54.97</v>
          </cell>
          <cell r="C958">
            <v>107.88</v>
          </cell>
          <cell r="D958">
            <v>19.350000000000001</v>
          </cell>
          <cell r="E958">
            <v>8.6</v>
          </cell>
          <cell r="H958">
            <v>45331</v>
          </cell>
          <cell r="I958">
            <v>0.70000000000000007</v>
          </cell>
          <cell r="J958">
            <v>35.315555555555555</v>
          </cell>
        </row>
        <row r="959">
          <cell r="B959">
            <v>53.17</v>
          </cell>
          <cell r="C959">
            <v>102.98</v>
          </cell>
          <cell r="D959">
            <v>18.29</v>
          </cell>
          <cell r="E959">
            <v>8.42</v>
          </cell>
          <cell r="H959">
            <v>45331</v>
          </cell>
          <cell r="I959">
            <v>0.7122222222222222</v>
          </cell>
          <cell r="J959">
            <v>33.628888888888888</v>
          </cell>
        </row>
        <row r="960">
          <cell r="B960">
            <v>67.099999999999994</v>
          </cell>
          <cell r="C960">
            <v>96.21</v>
          </cell>
          <cell r="D960">
            <v>17.91</v>
          </cell>
          <cell r="E960">
            <v>8.6</v>
          </cell>
          <cell r="H960">
            <v>45331</v>
          </cell>
          <cell r="I960">
            <v>0.72333333333333327</v>
          </cell>
          <cell r="J960">
            <v>31.602222222222224</v>
          </cell>
        </row>
        <row r="961">
          <cell r="B961">
            <v>107.49</v>
          </cell>
          <cell r="C961">
            <v>90.24</v>
          </cell>
          <cell r="D961">
            <v>18.62</v>
          </cell>
          <cell r="E961">
            <v>7.65</v>
          </cell>
          <cell r="H961">
            <v>45331</v>
          </cell>
          <cell r="I961">
            <v>0.72555555555555551</v>
          </cell>
          <cell r="J961">
            <v>30.281111111111116</v>
          </cell>
        </row>
        <row r="962">
          <cell r="B962">
            <v>41.8</v>
          </cell>
          <cell r="C962">
            <v>84.46</v>
          </cell>
          <cell r="D962">
            <v>18.309999999999999</v>
          </cell>
          <cell r="E962">
            <v>7.54</v>
          </cell>
          <cell r="H962">
            <v>45332</v>
          </cell>
          <cell r="I962">
            <v>0.72111111111111115</v>
          </cell>
          <cell r="J962">
            <v>30.142222222222227</v>
          </cell>
        </row>
        <row r="963">
          <cell r="B963">
            <v>43.72</v>
          </cell>
          <cell r="C963">
            <v>85.52</v>
          </cell>
          <cell r="D963">
            <v>18.12</v>
          </cell>
          <cell r="E963">
            <v>7.49</v>
          </cell>
          <cell r="H963">
            <v>45332</v>
          </cell>
          <cell r="I963">
            <v>0.73555555555555552</v>
          </cell>
          <cell r="J963">
            <v>29.95888888888889</v>
          </cell>
        </row>
        <row r="964">
          <cell r="B964">
            <v>40.799999999999997</v>
          </cell>
          <cell r="C964">
            <v>82.51</v>
          </cell>
          <cell r="D964">
            <v>17.399999999999999</v>
          </cell>
          <cell r="E964">
            <v>7.65</v>
          </cell>
          <cell r="H964">
            <v>45332</v>
          </cell>
          <cell r="I964">
            <v>0.7188888888888888</v>
          </cell>
          <cell r="J964">
            <v>29.832222222222224</v>
          </cell>
        </row>
        <row r="965">
          <cell r="B965">
            <v>37.25</v>
          </cell>
          <cell r="C965">
            <v>79.47</v>
          </cell>
          <cell r="D965">
            <v>17.329999999999998</v>
          </cell>
          <cell r="E965">
            <v>7.66</v>
          </cell>
          <cell r="H965">
            <v>45332</v>
          </cell>
          <cell r="I965">
            <v>0.68333333333333324</v>
          </cell>
          <cell r="J965">
            <v>30.495555555555555</v>
          </cell>
        </row>
        <row r="966">
          <cell r="B966">
            <v>38.200000000000003</v>
          </cell>
          <cell r="C966">
            <v>80.95</v>
          </cell>
          <cell r="D966">
            <v>16.98</v>
          </cell>
          <cell r="E966">
            <v>7.67</v>
          </cell>
          <cell r="H966">
            <v>45332</v>
          </cell>
          <cell r="I966">
            <v>0.64555555555555555</v>
          </cell>
          <cell r="J966">
            <v>31.005555555555556</v>
          </cell>
        </row>
        <row r="967">
          <cell r="B967">
            <v>41.27</v>
          </cell>
          <cell r="C967">
            <v>83.99</v>
          </cell>
          <cell r="D967">
            <v>17.100000000000001</v>
          </cell>
          <cell r="E967">
            <v>7.65</v>
          </cell>
          <cell r="H967">
            <v>45332</v>
          </cell>
          <cell r="I967">
            <v>0.63111111111111118</v>
          </cell>
          <cell r="J967">
            <v>31.115555555555559</v>
          </cell>
        </row>
        <row r="968">
          <cell r="B968">
            <v>60.87</v>
          </cell>
          <cell r="C968">
            <v>85.12</v>
          </cell>
          <cell r="D968">
            <v>17.399999999999999</v>
          </cell>
          <cell r="E968">
            <v>8.11</v>
          </cell>
          <cell r="H968">
            <v>45332</v>
          </cell>
          <cell r="I968">
            <v>0.62333333333333341</v>
          </cell>
          <cell r="J968">
            <v>31.092222222222219</v>
          </cell>
        </row>
        <row r="969">
          <cell r="B969">
            <v>109.48</v>
          </cell>
          <cell r="C969">
            <v>86.9</v>
          </cell>
          <cell r="D969">
            <v>17.309999999999999</v>
          </cell>
          <cell r="E969">
            <v>8.67</v>
          </cell>
          <cell r="H969">
            <v>45332</v>
          </cell>
          <cell r="I969">
            <v>0.62111111111111095</v>
          </cell>
          <cell r="J969">
            <v>30.90333333333334</v>
          </cell>
        </row>
        <row r="970">
          <cell r="B970">
            <v>43.51</v>
          </cell>
          <cell r="C970">
            <v>88.97</v>
          </cell>
          <cell r="D970">
            <v>17.579999999999998</v>
          </cell>
          <cell r="E970">
            <v>8.4600000000000009</v>
          </cell>
          <cell r="H970">
            <v>45332</v>
          </cell>
          <cell r="I970">
            <v>0.62888888888888883</v>
          </cell>
          <cell r="J970">
            <v>30.736666666666672</v>
          </cell>
        </row>
        <row r="971">
          <cell r="B971">
            <v>38.36</v>
          </cell>
          <cell r="C971">
            <v>89.12</v>
          </cell>
          <cell r="D971">
            <v>17.510000000000002</v>
          </cell>
          <cell r="E971">
            <v>8.4</v>
          </cell>
          <cell r="H971">
            <v>45332</v>
          </cell>
          <cell r="I971">
            <v>0.64111111111111119</v>
          </cell>
          <cell r="J971">
            <v>30.095555555555556</v>
          </cell>
        </row>
        <row r="972">
          <cell r="B972">
            <v>36.630000000000003</v>
          </cell>
          <cell r="C972">
            <v>86.38</v>
          </cell>
          <cell r="D972">
            <v>16.920000000000002</v>
          </cell>
          <cell r="E972">
            <v>8.52</v>
          </cell>
          <cell r="H972">
            <v>45332</v>
          </cell>
          <cell r="I972">
            <v>0.63444444444444459</v>
          </cell>
          <cell r="J972">
            <v>29.934444444444448</v>
          </cell>
        </row>
        <row r="973">
          <cell r="B973">
            <v>37.54</v>
          </cell>
          <cell r="C973">
            <v>86.91</v>
          </cell>
          <cell r="D973">
            <v>16.79</v>
          </cell>
          <cell r="E973">
            <v>8.2200000000000006</v>
          </cell>
          <cell r="H973">
            <v>45332</v>
          </cell>
          <cell r="I973">
            <v>0.64222222222222225</v>
          </cell>
          <cell r="J973">
            <v>30.45888888888889</v>
          </cell>
        </row>
        <row r="974">
          <cell r="B974">
            <v>36.75</v>
          </cell>
          <cell r="C974">
            <v>86.89</v>
          </cell>
          <cell r="D974">
            <v>17.04</v>
          </cell>
          <cell r="E974">
            <v>7.8</v>
          </cell>
          <cell r="H974">
            <v>45332</v>
          </cell>
          <cell r="I974">
            <v>0.64999999999999991</v>
          </cell>
          <cell r="J974">
            <v>31.231111111111108</v>
          </cell>
        </row>
        <row r="975">
          <cell r="B975">
            <v>35.15</v>
          </cell>
          <cell r="C975">
            <v>83.68</v>
          </cell>
          <cell r="D975">
            <v>17.100000000000001</v>
          </cell>
          <cell r="E975">
            <v>8.35</v>
          </cell>
          <cell r="H975">
            <v>45332</v>
          </cell>
          <cell r="I975">
            <v>0.65444444444444438</v>
          </cell>
          <cell r="J975">
            <v>32.282222222222224</v>
          </cell>
        </row>
        <row r="976">
          <cell r="B976">
            <v>36.950000000000003</v>
          </cell>
          <cell r="C976">
            <v>82.83</v>
          </cell>
          <cell r="D976">
            <v>17.43</v>
          </cell>
          <cell r="E976">
            <v>8.58</v>
          </cell>
          <cell r="H976">
            <v>45332</v>
          </cell>
          <cell r="I976">
            <v>0.64888888888888885</v>
          </cell>
          <cell r="J976">
            <v>33.476666666666667</v>
          </cell>
        </row>
        <row r="977">
          <cell r="B977">
            <v>35.04</v>
          </cell>
          <cell r="C977">
            <v>82.09</v>
          </cell>
          <cell r="D977">
            <v>17.22</v>
          </cell>
          <cell r="E977">
            <v>8.23</v>
          </cell>
          <cell r="H977">
            <v>45332</v>
          </cell>
          <cell r="I977">
            <v>0.64444444444444438</v>
          </cell>
          <cell r="J977">
            <v>34.492222222222217</v>
          </cell>
        </row>
        <row r="978">
          <cell r="B978">
            <v>34.729999999999997</v>
          </cell>
          <cell r="C978">
            <v>81.599999999999994</v>
          </cell>
          <cell r="D978">
            <v>17.350000000000001</v>
          </cell>
          <cell r="E978">
            <v>8.59</v>
          </cell>
          <cell r="H978">
            <v>45332</v>
          </cell>
          <cell r="I978">
            <v>0.64444444444444438</v>
          </cell>
          <cell r="J978">
            <v>35.793333333333329</v>
          </cell>
        </row>
        <row r="979">
          <cell r="B979">
            <v>37.53</v>
          </cell>
          <cell r="C979">
            <v>87.25</v>
          </cell>
          <cell r="D979">
            <v>17.940000000000001</v>
          </cell>
          <cell r="E979">
            <v>8.75</v>
          </cell>
          <cell r="H979">
            <v>45332</v>
          </cell>
          <cell r="I979">
            <v>0.64555555555555555</v>
          </cell>
          <cell r="J979">
            <v>36.282222222222217</v>
          </cell>
        </row>
        <row r="980">
          <cell r="B980">
            <v>42.39</v>
          </cell>
          <cell r="C980">
            <v>92.23</v>
          </cell>
          <cell r="D980">
            <v>18.55</v>
          </cell>
          <cell r="E980">
            <v>8.67</v>
          </cell>
          <cell r="H980">
            <v>45332</v>
          </cell>
          <cell r="I980">
            <v>0.64444444444444438</v>
          </cell>
          <cell r="J980">
            <v>36.237777777777779</v>
          </cell>
        </row>
        <row r="981">
          <cell r="B981">
            <v>45.82</v>
          </cell>
          <cell r="C981">
            <v>96.21</v>
          </cell>
          <cell r="D981">
            <v>19.13</v>
          </cell>
          <cell r="E981">
            <v>8.68</v>
          </cell>
          <cell r="H981">
            <v>45332</v>
          </cell>
          <cell r="I981">
            <v>0.6544444444444445</v>
          </cell>
          <cell r="J981">
            <v>35.582222222222221</v>
          </cell>
        </row>
        <row r="982">
          <cell r="B982">
            <v>44.24</v>
          </cell>
          <cell r="C982">
            <v>95.19</v>
          </cell>
          <cell r="D982">
            <v>19.61</v>
          </cell>
          <cell r="E982">
            <v>8.4</v>
          </cell>
          <cell r="H982">
            <v>45332</v>
          </cell>
          <cell r="I982">
            <v>0.68111111111111122</v>
          </cell>
          <cell r="J982">
            <v>34.723333333333329</v>
          </cell>
        </row>
        <row r="983">
          <cell r="B983">
            <v>46.67</v>
          </cell>
          <cell r="C983">
            <v>97.07</v>
          </cell>
          <cell r="D983">
            <v>19.32</v>
          </cell>
          <cell r="E983">
            <v>8.5500000000000007</v>
          </cell>
          <cell r="H983">
            <v>45332</v>
          </cell>
          <cell r="I983">
            <v>0.69333333333333336</v>
          </cell>
          <cell r="J983">
            <v>33.72</v>
          </cell>
        </row>
        <row r="984">
          <cell r="B984">
            <v>46.77</v>
          </cell>
          <cell r="C984">
            <v>97.94</v>
          </cell>
          <cell r="D984">
            <v>19.38</v>
          </cell>
          <cell r="E984">
            <v>8.67</v>
          </cell>
          <cell r="H984">
            <v>45332</v>
          </cell>
          <cell r="I984">
            <v>0.70666666666666678</v>
          </cell>
          <cell r="J984">
            <v>32.661111111111119</v>
          </cell>
        </row>
        <row r="985">
          <cell r="B985">
            <v>48.67</v>
          </cell>
          <cell r="C985">
            <v>103.91</v>
          </cell>
          <cell r="D985">
            <v>18.690000000000001</v>
          </cell>
          <cell r="E985">
            <v>7.59</v>
          </cell>
          <cell r="H985">
            <v>45332</v>
          </cell>
          <cell r="I985">
            <v>0.71555555555555572</v>
          </cell>
          <cell r="J985">
            <v>32.114444444444445</v>
          </cell>
        </row>
        <row r="986">
          <cell r="B986">
            <v>59.89</v>
          </cell>
          <cell r="C986">
            <v>104.54</v>
          </cell>
          <cell r="D986">
            <v>18.440000000000001</v>
          </cell>
          <cell r="E986">
            <v>8.33</v>
          </cell>
          <cell r="H986">
            <v>45333</v>
          </cell>
          <cell r="I986">
            <v>0.71888888888888891</v>
          </cell>
          <cell r="J986">
            <v>31.82</v>
          </cell>
        </row>
        <row r="987">
          <cell r="B987">
            <v>51.88</v>
          </cell>
          <cell r="C987">
            <v>99.05</v>
          </cell>
          <cell r="D987">
            <v>17.8</v>
          </cell>
          <cell r="E987">
            <v>7.92</v>
          </cell>
          <cell r="H987">
            <v>45333</v>
          </cell>
          <cell r="I987">
            <v>0.71333333333333337</v>
          </cell>
          <cell r="J987">
            <v>31.228888888888889</v>
          </cell>
        </row>
        <row r="988">
          <cell r="B988">
            <v>50.25</v>
          </cell>
          <cell r="C988">
            <v>96.59</v>
          </cell>
          <cell r="D988">
            <v>17.47</v>
          </cell>
          <cell r="E988">
            <v>8.1</v>
          </cell>
          <cell r="H988">
            <v>45333</v>
          </cell>
          <cell r="I988">
            <v>0.70333333333333337</v>
          </cell>
          <cell r="J988">
            <v>30.815555555555552</v>
          </cell>
        </row>
        <row r="989">
          <cell r="B989">
            <v>47.28</v>
          </cell>
          <cell r="C989">
            <v>95.43</v>
          </cell>
          <cell r="D989">
            <v>17.16</v>
          </cell>
          <cell r="E989">
            <v>7.69</v>
          </cell>
          <cell r="H989">
            <v>45333</v>
          </cell>
          <cell r="I989">
            <v>0.69333333333333336</v>
          </cell>
          <cell r="J989">
            <v>30.66</v>
          </cell>
        </row>
        <row r="990">
          <cell r="B990">
            <v>41.62</v>
          </cell>
          <cell r="C990">
            <v>93.25</v>
          </cell>
          <cell r="D990">
            <v>17.12</v>
          </cell>
          <cell r="E990">
            <v>7.69</v>
          </cell>
          <cell r="H990">
            <v>45333</v>
          </cell>
          <cell r="I990">
            <v>0.67222222222222217</v>
          </cell>
          <cell r="J990">
            <v>30.691111111111109</v>
          </cell>
        </row>
        <row r="991">
          <cell r="B991">
            <v>44.08</v>
          </cell>
          <cell r="C991">
            <v>88.53</v>
          </cell>
          <cell r="D991">
            <v>17.21</v>
          </cell>
          <cell r="E991">
            <v>7.6</v>
          </cell>
          <cell r="H991">
            <v>45333</v>
          </cell>
          <cell r="I991">
            <v>0.64666666666666661</v>
          </cell>
          <cell r="J991">
            <v>30.488888888888887</v>
          </cell>
        </row>
        <row r="992">
          <cell r="B992">
            <v>41.59</v>
          </cell>
          <cell r="C992">
            <v>88.75</v>
          </cell>
          <cell r="D992">
            <v>17.11</v>
          </cell>
          <cell r="E992">
            <v>7.5</v>
          </cell>
          <cell r="H992">
            <v>45333</v>
          </cell>
          <cell r="I992">
            <v>0.6366666666666666</v>
          </cell>
          <cell r="J992">
            <v>30.121111111111116</v>
          </cell>
        </row>
        <row r="993">
          <cell r="B993">
            <v>50.53</v>
          </cell>
          <cell r="C993">
            <v>93.6</v>
          </cell>
          <cell r="D993">
            <v>17.21</v>
          </cell>
          <cell r="E993">
            <v>7.53</v>
          </cell>
          <cell r="H993">
            <v>45333</v>
          </cell>
          <cell r="I993">
            <v>0.62888888888888883</v>
          </cell>
          <cell r="J993">
            <v>29.706666666666663</v>
          </cell>
        </row>
        <row r="994">
          <cell r="B994">
            <v>46.67</v>
          </cell>
          <cell r="C994">
            <v>93.31</v>
          </cell>
          <cell r="D994">
            <v>17.63</v>
          </cell>
          <cell r="E994">
            <v>7.42</v>
          </cell>
          <cell r="H994">
            <v>45333</v>
          </cell>
          <cell r="I994">
            <v>0.62666666666666659</v>
          </cell>
          <cell r="J994">
            <v>28.965555555555554</v>
          </cell>
        </row>
        <row r="995">
          <cell r="B995">
            <v>41.4</v>
          </cell>
          <cell r="C995">
            <v>90.86</v>
          </cell>
          <cell r="D995">
            <v>17.739999999999998</v>
          </cell>
          <cell r="E995">
            <v>7.51</v>
          </cell>
          <cell r="H995">
            <v>45333</v>
          </cell>
          <cell r="I995">
            <v>0.62666666666666659</v>
          </cell>
          <cell r="J995">
            <v>28.591111111111111</v>
          </cell>
        </row>
        <row r="996">
          <cell r="B996">
            <v>44.68</v>
          </cell>
          <cell r="C996">
            <v>86.99</v>
          </cell>
          <cell r="D996">
            <v>17.04</v>
          </cell>
          <cell r="E996">
            <v>7.29</v>
          </cell>
          <cell r="H996">
            <v>45333</v>
          </cell>
          <cell r="I996">
            <v>0.63444444444444459</v>
          </cell>
          <cell r="J996">
            <v>28.942222222222224</v>
          </cell>
        </row>
        <row r="997">
          <cell r="B997">
            <v>39.82</v>
          </cell>
          <cell r="C997">
            <v>84.41</v>
          </cell>
          <cell r="D997">
            <v>16.829999999999998</v>
          </cell>
          <cell r="E997">
            <v>7.22</v>
          </cell>
          <cell r="H997">
            <v>45333</v>
          </cell>
          <cell r="I997">
            <v>0.63555555555555565</v>
          </cell>
          <cell r="J997">
            <v>29.744444444444444</v>
          </cell>
        </row>
        <row r="998">
          <cell r="B998">
            <v>38.590000000000003</v>
          </cell>
          <cell r="C998">
            <v>81.349999999999994</v>
          </cell>
          <cell r="D998">
            <v>16.82</v>
          </cell>
          <cell r="E998">
            <v>7.36</v>
          </cell>
          <cell r="H998">
            <v>45333</v>
          </cell>
          <cell r="I998">
            <v>0.6333333333333333</v>
          </cell>
          <cell r="J998">
            <v>30.824444444444438</v>
          </cell>
        </row>
        <row r="999">
          <cell r="B999">
            <v>37.4</v>
          </cell>
          <cell r="C999">
            <v>80.27</v>
          </cell>
          <cell r="D999">
            <v>16.93</v>
          </cell>
          <cell r="E999">
            <v>8.1199999999999992</v>
          </cell>
          <cell r="H999">
            <v>45333</v>
          </cell>
          <cell r="I999">
            <v>0.63111111111111107</v>
          </cell>
          <cell r="J999">
            <v>31.653333333333332</v>
          </cell>
        </row>
        <row r="1000">
          <cell r="B1000">
            <v>37.799999999999997</v>
          </cell>
          <cell r="C1000">
            <v>79.37</v>
          </cell>
          <cell r="D1000">
            <v>16.89</v>
          </cell>
          <cell r="E1000">
            <v>7.48</v>
          </cell>
          <cell r="H1000">
            <v>45333</v>
          </cell>
          <cell r="I1000">
            <v>0.62222222222222223</v>
          </cell>
          <cell r="J1000">
            <v>32.518888888888888</v>
          </cell>
        </row>
        <row r="1001">
          <cell r="B1001">
            <v>37.729999999999997</v>
          </cell>
          <cell r="C1001">
            <v>84.43</v>
          </cell>
          <cell r="D1001">
            <v>17.36</v>
          </cell>
          <cell r="E1001">
            <v>7.83</v>
          </cell>
          <cell r="H1001">
            <v>45333</v>
          </cell>
          <cell r="I1001">
            <v>0.60888888888888892</v>
          </cell>
          <cell r="J1001">
            <v>33.736666666666665</v>
          </cell>
        </row>
        <row r="1002">
          <cell r="B1002">
            <v>31.61</v>
          </cell>
          <cell r="C1002">
            <v>79.05</v>
          </cell>
          <cell r="D1002">
            <v>16.329999999999998</v>
          </cell>
          <cell r="E1002">
            <v>7.24</v>
          </cell>
          <cell r="H1002">
            <v>45333</v>
          </cell>
          <cell r="I1002">
            <v>0.60111111111111115</v>
          </cell>
          <cell r="J1002">
            <v>34.83</v>
          </cell>
        </row>
        <row r="1003">
          <cell r="B1003">
            <v>26.59</v>
          </cell>
          <cell r="C1003">
            <v>75.84</v>
          </cell>
          <cell r="D1003">
            <v>16.53</v>
          </cell>
          <cell r="E1003">
            <v>7.64</v>
          </cell>
          <cell r="H1003">
            <v>45333</v>
          </cell>
          <cell r="I1003">
            <v>0.59000000000000008</v>
          </cell>
          <cell r="J1003">
            <v>35.794444444444444</v>
          </cell>
        </row>
        <row r="1004">
          <cell r="B1004">
            <v>33.58</v>
          </cell>
          <cell r="C1004">
            <v>79.400000000000006</v>
          </cell>
          <cell r="D1004">
            <v>17.41</v>
          </cell>
          <cell r="E1004">
            <v>7.32</v>
          </cell>
          <cell r="H1004">
            <v>45333</v>
          </cell>
          <cell r="I1004">
            <v>0.5855555555555555</v>
          </cell>
          <cell r="J1004">
            <v>36.384444444444448</v>
          </cell>
        </row>
        <row r="1005">
          <cell r="B1005">
            <v>46.74</v>
          </cell>
          <cell r="C1005">
            <v>89.1</v>
          </cell>
          <cell r="D1005">
            <v>18.43</v>
          </cell>
          <cell r="E1005">
            <v>7.93</v>
          </cell>
          <cell r="H1005">
            <v>45333</v>
          </cell>
          <cell r="I1005">
            <v>0.58777777777777773</v>
          </cell>
          <cell r="J1005">
            <v>35.805555555555557</v>
          </cell>
        </row>
        <row r="1006">
          <cell r="B1006">
            <v>47.33</v>
          </cell>
          <cell r="C1006">
            <v>93.19</v>
          </cell>
          <cell r="D1006">
            <v>18.63</v>
          </cell>
          <cell r="E1006">
            <v>7.38</v>
          </cell>
          <cell r="H1006">
            <v>45333</v>
          </cell>
          <cell r="I1006">
            <v>0.5988888888888888</v>
          </cell>
          <cell r="J1006">
            <v>34.962222222222223</v>
          </cell>
        </row>
        <row r="1007">
          <cell r="B1007">
            <v>43.08</v>
          </cell>
          <cell r="C1007">
            <v>92.78</v>
          </cell>
          <cell r="D1007">
            <v>18.14</v>
          </cell>
          <cell r="E1007">
            <v>7.11</v>
          </cell>
          <cell r="H1007">
            <v>45333</v>
          </cell>
          <cell r="I1007">
            <v>0.60777777777777775</v>
          </cell>
          <cell r="J1007">
            <v>34.105555555555554</v>
          </cell>
        </row>
        <row r="1008">
          <cell r="B1008">
            <v>46.07</v>
          </cell>
          <cell r="C1008">
            <v>92.36</v>
          </cell>
          <cell r="D1008">
            <v>18.37</v>
          </cell>
          <cell r="E1008">
            <v>6.56</v>
          </cell>
          <cell r="H1008">
            <v>45333</v>
          </cell>
          <cell r="I1008">
            <v>0.6166666666666667</v>
          </cell>
          <cell r="J1008">
            <v>33.723333333333329</v>
          </cell>
        </row>
        <row r="1009">
          <cell r="B1009">
            <v>49.29</v>
          </cell>
          <cell r="C1009">
            <v>96.82</v>
          </cell>
          <cell r="D1009">
            <v>17.63</v>
          </cell>
          <cell r="E1009">
            <v>7.14</v>
          </cell>
          <cell r="H1009">
            <v>45333</v>
          </cell>
          <cell r="I1009">
            <v>0.62222222222222223</v>
          </cell>
          <cell r="J1009">
            <v>33.70333333333334</v>
          </cell>
        </row>
        <row r="1010">
          <cell r="B1010">
            <v>54.86</v>
          </cell>
          <cell r="C1010">
            <v>97.94</v>
          </cell>
          <cell r="D1010">
            <v>16.7</v>
          </cell>
          <cell r="E1010">
            <v>7.75</v>
          </cell>
          <cell r="H1010">
            <v>45334</v>
          </cell>
          <cell r="I1010">
            <v>0.62666666666666671</v>
          </cell>
          <cell r="J1010">
            <v>33.736666666666665</v>
          </cell>
        </row>
        <row r="1011">
          <cell r="B1011">
            <v>51.39</v>
          </cell>
          <cell r="C1011">
            <v>96.8</v>
          </cell>
          <cell r="D1011">
            <v>16.559999999999999</v>
          </cell>
          <cell r="E1011">
            <v>7.7</v>
          </cell>
          <cell r="H1011">
            <v>45334</v>
          </cell>
          <cell r="I1011">
            <v>0.62555555555555542</v>
          </cell>
          <cell r="J1011">
            <v>33.967777777777783</v>
          </cell>
        </row>
        <row r="1012">
          <cell r="B1012">
            <v>50.34</v>
          </cell>
          <cell r="C1012">
            <v>97.25</v>
          </cell>
          <cell r="D1012">
            <v>16.350000000000001</v>
          </cell>
          <cell r="E1012">
            <v>7.59</v>
          </cell>
          <cell r="H1012">
            <v>45334</v>
          </cell>
          <cell r="I1012">
            <v>0.62777777777777777</v>
          </cell>
          <cell r="J1012">
            <v>33.847777777777786</v>
          </cell>
        </row>
        <row r="1013">
          <cell r="B1013">
            <v>49.53</v>
          </cell>
          <cell r="C1013">
            <v>94.14</v>
          </cell>
          <cell r="D1013">
            <v>16.43</v>
          </cell>
          <cell r="E1013">
            <v>7.69</v>
          </cell>
          <cell r="H1013">
            <v>45334</v>
          </cell>
          <cell r="I1013">
            <v>0.62777777777777777</v>
          </cell>
          <cell r="J1013">
            <v>33.472222222222221</v>
          </cell>
        </row>
        <row r="1014">
          <cell r="B1014">
            <v>54.45</v>
          </cell>
          <cell r="C1014">
            <v>95.85</v>
          </cell>
          <cell r="D1014">
            <v>16.23</v>
          </cell>
          <cell r="E1014">
            <v>7.91</v>
          </cell>
          <cell r="H1014">
            <v>45334</v>
          </cell>
          <cell r="I1014">
            <v>0.61444444444444435</v>
          </cell>
          <cell r="J1014">
            <v>33.475555555555552</v>
          </cell>
        </row>
        <row r="1015">
          <cell r="B1015">
            <v>55.33</v>
          </cell>
          <cell r="C1015">
            <v>100.61</v>
          </cell>
          <cell r="D1015">
            <v>16.64</v>
          </cell>
          <cell r="E1015">
            <v>7.76</v>
          </cell>
          <cell r="H1015">
            <v>45334</v>
          </cell>
          <cell r="I1015">
            <v>0.60444444444444445</v>
          </cell>
          <cell r="J1015">
            <v>33.144444444444439</v>
          </cell>
        </row>
        <row r="1016">
          <cell r="B1016">
            <v>58.84</v>
          </cell>
          <cell r="C1016">
            <v>103.83</v>
          </cell>
          <cell r="D1016">
            <v>16.8</v>
          </cell>
          <cell r="E1016">
            <v>7.53</v>
          </cell>
          <cell r="H1016">
            <v>45334</v>
          </cell>
          <cell r="I1016">
            <v>0.60222222222222233</v>
          </cell>
          <cell r="J1016">
            <v>32.25555555555556</v>
          </cell>
        </row>
        <row r="1017">
          <cell r="B1017">
            <v>61.96</v>
          </cell>
          <cell r="C1017">
            <v>113.88</v>
          </cell>
          <cell r="D1017">
            <v>17.53</v>
          </cell>
          <cell r="E1017">
            <v>7.63</v>
          </cell>
          <cell r="H1017">
            <v>45334</v>
          </cell>
          <cell r="I1017">
            <v>0.6066666666666668</v>
          </cell>
          <cell r="J1017">
            <v>31.051111111111108</v>
          </cell>
        </row>
        <row r="1018">
          <cell r="B1018">
            <v>65.08</v>
          </cell>
          <cell r="C1018">
            <v>119.56</v>
          </cell>
          <cell r="D1018">
            <v>17.16</v>
          </cell>
          <cell r="E1018">
            <v>7.96</v>
          </cell>
          <cell r="H1018">
            <v>45334</v>
          </cell>
          <cell r="I1018">
            <v>0.61888888888888882</v>
          </cell>
          <cell r="J1018">
            <v>29.961111111111109</v>
          </cell>
        </row>
        <row r="1019">
          <cell r="B1019">
            <v>46.18</v>
          </cell>
          <cell r="C1019">
            <v>95.37</v>
          </cell>
          <cell r="D1019">
            <v>17.2</v>
          </cell>
          <cell r="E1019">
            <v>7.16</v>
          </cell>
          <cell r="H1019">
            <v>45334</v>
          </cell>
          <cell r="I1019">
            <v>0.64222222222222214</v>
          </cell>
          <cell r="J1019">
            <v>29.098888888888887</v>
          </cell>
        </row>
        <row r="1020">
          <cell r="B1020">
            <v>35.54</v>
          </cell>
          <cell r="C1020">
            <v>88.72</v>
          </cell>
          <cell r="D1020">
            <v>16.690000000000001</v>
          </cell>
          <cell r="E1020">
            <v>8.82</v>
          </cell>
          <cell r="H1020">
            <v>45334</v>
          </cell>
          <cell r="I1020">
            <v>0.65333333333333321</v>
          </cell>
          <cell r="J1020">
            <v>28.488888888888887</v>
          </cell>
        </row>
        <row r="1021">
          <cell r="B1021">
            <v>50.85</v>
          </cell>
          <cell r="C1021">
            <v>79.83</v>
          </cell>
          <cell r="D1021">
            <v>17.16</v>
          </cell>
          <cell r="E1021">
            <v>8.16</v>
          </cell>
          <cell r="H1021">
            <v>45334</v>
          </cell>
          <cell r="I1021">
            <v>0.65666666666666662</v>
          </cell>
          <cell r="J1021">
            <v>28.337777777777781</v>
          </cell>
        </row>
        <row r="1022">
          <cell r="B1022">
            <v>110.37</v>
          </cell>
          <cell r="C1022">
            <v>70.48</v>
          </cell>
          <cell r="D1022">
            <v>16.86</v>
          </cell>
          <cell r="E1022">
            <v>8.1300000000000008</v>
          </cell>
          <cell r="H1022">
            <v>45334</v>
          </cell>
          <cell r="I1022">
            <v>0.66222222222222216</v>
          </cell>
          <cell r="J1022">
            <v>28.720000000000002</v>
          </cell>
        </row>
        <row r="1023">
          <cell r="B1023">
            <v>106.59</v>
          </cell>
          <cell r="C1023">
            <v>70.66</v>
          </cell>
          <cell r="D1023">
            <v>16.78</v>
          </cell>
          <cell r="E1023">
            <v>7.99</v>
          </cell>
          <cell r="H1023">
            <v>45334</v>
          </cell>
          <cell r="I1023">
            <v>0.66333333333333333</v>
          </cell>
          <cell r="J1023">
            <v>29.647777777777776</v>
          </cell>
        </row>
        <row r="1024">
          <cell r="B1024">
            <v>111.16</v>
          </cell>
          <cell r="C1024">
            <v>70.23</v>
          </cell>
          <cell r="D1024">
            <v>16.82</v>
          </cell>
          <cell r="E1024">
            <v>8.41</v>
          </cell>
          <cell r="H1024">
            <v>45334</v>
          </cell>
          <cell r="I1024">
            <v>0.66222222222222216</v>
          </cell>
          <cell r="J1024">
            <v>30.856666666666669</v>
          </cell>
        </row>
        <row r="1025">
          <cell r="B1025">
            <v>121.06</v>
          </cell>
          <cell r="C1025">
            <v>73.12</v>
          </cell>
          <cell r="D1025">
            <v>17.03</v>
          </cell>
          <cell r="E1025">
            <v>7.92</v>
          </cell>
          <cell r="H1025">
            <v>45334</v>
          </cell>
          <cell r="I1025">
            <v>0.65666666666666651</v>
          </cell>
          <cell r="J1025">
            <v>32.394444444444446</v>
          </cell>
        </row>
        <row r="1026">
          <cell r="B1026">
            <v>133.4</v>
          </cell>
          <cell r="C1026">
            <v>71.89</v>
          </cell>
          <cell r="D1026">
            <v>16.489999999999998</v>
          </cell>
          <cell r="E1026">
            <v>8.11</v>
          </cell>
          <cell r="H1026">
            <v>45334</v>
          </cell>
          <cell r="I1026">
            <v>0.65444444444444427</v>
          </cell>
          <cell r="J1026">
            <v>33.940000000000005</v>
          </cell>
        </row>
        <row r="1027">
          <cell r="B1027">
            <v>134.44999999999999</v>
          </cell>
          <cell r="C1027">
            <v>67.31</v>
          </cell>
          <cell r="D1027">
            <v>17.23</v>
          </cell>
          <cell r="E1027">
            <v>8.24</v>
          </cell>
          <cell r="H1027">
            <v>45334</v>
          </cell>
          <cell r="I1027">
            <v>0.64777777777777779</v>
          </cell>
          <cell r="J1027">
            <v>34.72</v>
          </cell>
        </row>
        <row r="1028">
          <cell r="B1028">
            <v>130.82</v>
          </cell>
          <cell r="C1028">
            <v>73.680000000000007</v>
          </cell>
          <cell r="D1028">
            <v>17.54</v>
          </cell>
          <cell r="E1028">
            <v>8.4700000000000006</v>
          </cell>
          <cell r="H1028">
            <v>45334</v>
          </cell>
          <cell r="I1028">
            <v>0.64000000000000012</v>
          </cell>
          <cell r="J1028">
            <v>34.578888888888883</v>
          </cell>
        </row>
        <row r="1029">
          <cell r="B1029">
            <v>146.43</v>
          </cell>
          <cell r="C1029">
            <v>86.8</v>
          </cell>
          <cell r="D1029">
            <v>18.87</v>
          </cell>
          <cell r="E1029">
            <v>8.2899999999999991</v>
          </cell>
          <cell r="H1029">
            <v>45334</v>
          </cell>
          <cell r="I1029">
            <v>0.64777777777777779</v>
          </cell>
          <cell r="J1029">
            <v>34.202222222222218</v>
          </cell>
        </row>
        <row r="1030">
          <cell r="B1030">
            <v>145.47</v>
          </cell>
          <cell r="C1030">
            <v>92.94</v>
          </cell>
          <cell r="D1030">
            <v>18.63</v>
          </cell>
          <cell r="E1030">
            <v>8.58</v>
          </cell>
          <cell r="H1030">
            <v>45334</v>
          </cell>
          <cell r="I1030">
            <v>0.65999999999999992</v>
          </cell>
          <cell r="J1030">
            <v>33.718888888888891</v>
          </cell>
        </row>
        <row r="1031">
          <cell r="B1031">
            <v>136.01</v>
          </cell>
          <cell r="C1031">
            <v>93.1</v>
          </cell>
          <cell r="D1031">
            <v>18.350000000000001</v>
          </cell>
          <cell r="E1031">
            <v>8.64</v>
          </cell>
          <cell r="H1031">
            <v>45334</v>
          </cell>
          <cell r="I1031">
            <v>0.66333333333333333</v>
          </cell>
          <cell r="J1031">
            <v>33.19777777777778</v>
          </cell>
        </row>
        <row r="1032">
          <cell r="B1032">
            <v>143.13999999999999</v>
          </cell>
          <cell r="C1032">
            <v>86.99</v>
          </cell>
          <cell r="D1032">
            <v>18.34</v>
          </cell>
          <cell r="E1032">
            <v>8.44</v>
          </cell>
          <cell r="H1032">
            <v>45334</v>
          </cell>
          <cell r="I1032">
            <v>0.67</v>
          </cell>
          <cell r="J1032">
            <v>32.624444444444443</v>
          </cell>
        </row>
        <row r="1033">
          <cell r="B1033">
            <v>141.13999999999999</v>
          </cell>
          <cell r="C1033">
            <v>83.82</v>
          </cell>
          <cell r="D1033">
            <v>17.86</v>
          </cell>
          <cell r="E1033">
            <v>8.27</v>
          </cell>
          <cell r="H1033">
            <v>45334</v>
          </cell>
          <cell r="I1033">
            <v>0.67333333333333334</v>
          </cell>
          <cell r="J1033">
            <v>32.43666666666666</v>
          </cell>
        </row>
        <row r="1034">
          <cell r="B1034">
            <v>142.88</v>
          </cell>
          <cell r="C1034">
            <v>81.17</v>
          </cell>
          <cell r="D1034">
            <v>17.78</v>
          </cell>
          <cell r="E1034">
            <v>8.2899999999999991</v>
          </cell>
          <cell r="H1034">
            <v>45335</v>
          </cell>
          <cell r="I1034">
            <v>0.6777777777777777</v>
          </cell>
          <cell r="J1034">
            <v>32.464444444444446</v>
          </cell>
        </row>
        <row r="1035">
          <cell r="B1035">
            <v>39.9</v>
          </cell>
          <cell r="C1035">
            <v>76.569999999999993</v>
          </cell>
          <cell r="D1035">
            <v>17.559999999999999</v>
          </cell>
          <cell r="E1035">
            <v>8.08</v>
          </cell>
          <cell r="H1035">
            <v>45335</v>
          </cell>
          <cell r="I1035">
            <v>0.6777777777777777</v>
          </cell>
          <cell r="J1035">
            <v>32.581111111111106</v>
          </cell>
        </row>
        <row r="1036">
          <cell r="B1036">
            <v>38.18</v>
          </cell>
          <cell r="C1036">
            <v>72.97</v>
          </cell>
          <cell r="D1036">
            <v>17.600000000000001</v>
          </cell>
          <cell r="E1036">
            <v>7.95</v>
          </cell>
          <cell r="H1036">
            <v>45335</v>
          </cell>
          <cell r="I1036">
            <v>0.6777777777777777</v>
          </cell>
          <cell r="J1036">
            <v>32.789999999999992</v>
          </cell>
        </row>
        <row r="1037">
          <cell r="B1037">
            <v>42.99</v>
          </cell>
          <cell r="C1037">
            <v>72.8</v>
          </cell>
          <cell r="D1037">
            <v>17.600000000000001</v>
          </cell>
          <cell r="E1037">
            <v>8.25</v>
          </cell>
          <cell r="H1037">
            <v>45335</v>
          </cell>
          <cell r="I1037">
            <v>0.67222222222222228</v>
          </cell>
          <cell r="J1037">
            <v>33.273333333333333</v>
          </cell>
        </row>
        <row r="1038">
          <cell r="B1038">
            <v>39.42</v>
          </cell>
          <cell r="C1038">
            <v>75.319999999999993</v>
          </cell>
          <cell r="D1038">
            <v>17.350000000000001</v>
          </cell>
          <cell r="E1038">
            <v>8.41</v>
          </cell>
          <cell r="H1038">
            <v>45335</v>
          </cell>
          <cell r="I1038">
            <v>0.6611111111111112</v>
          </cell>
          <cell r="J1038">
            <v>33.642222222222223</v>
          </cell>
        </row>
        <row r="1039">
          <cell r="B1039">
            <v>35.71</v>
          </cell>
          <cell r="C1039">
            <v>70.66</v>
          </cell>
          <cell r="D1039">
            <v>17.45</v>
          </cell>
          <cell r="E1039">
            <v>8.36</v>
          </cell>
          <cell r="H1039">
            <v>45335</v>
          </cell>
          <cell r="I1039">
            <v>0.6544444444444445</v>
          </cell>
          <cell r="J1039">
            <v>33.68888888888889</v>
          </cell>
        </row>
        <row r="1040">
          <cell r="B1040">
            <v>34.86</v>
          </cell>
          <cell r="C1040">
            <v>68.67</v>
          </cell>
          <cell r="D1040">
            <v>17.899999999999999</v>
          </cell>
          <cell r="E1040">
            <v>9.26</v>
          </cell>
          <cell r="H1040">
            <v>45335</v>
          </cell>
          <cell r="I1040">
            <v>0.65555555555555556</v>
          </cell>
          <cell r="J1040">
            <v>33.215555555555554</v>
          </cell>
        </row>
        <row r="1041">
          <cell r="B1041">
            <v>36.94</v>
          </cell>
          <cell r="C1041">
            <v>71.95</v>
          </cell>
          <cell r="D1041">
            <v>17.899999999999999</v>
          </cell>
          <cell r="E1041">
            <v>8.98</v>
          </cell>
          <cell r="H1041">
            <v>45335</v>
          </cell>
          <cell r="I1041">
            <v>0.66111111111111098</v>
          </cell>
          <cell r="J1041">
            <v>32.379999999999995</v>
          </cell>
        </row>
        <row r="1042">
          <cell r="B1042">
            <v>37.78</v>
          </cell>
          <cell r="C1042">
            <v>74.55</v>
          </cell>
          <cell r="D1042">
            <v>18.2</v>
          </cell>
          <cell r="E1042">
            <v>8.92</v>
          </cell>
          <cell r="H1042">
            <v>45335</v>
          </cell>
          <cell r="I1042">
            <v>0.67222222222222228</v>
          </cell>
          <cell r="J1042">
            <v>31.417777777777776</v>
          </cell>
        </row>
        <row r="1043">
          <cell r="B1043">
            <v>41.07</v>
          </cell>
          <cell r="C1043">
            <v>75</v>
          </cell>
          <cell r="D1043">
            <v>18.09</v>
          </cell>
          <cell r="E1043">
            <v>8.81</v>
          </cell>
          <cell r="H1043">
            <v>45335</v>
          </cell>
          <cell r="I1043">
            <v>0.68333333333333335</v>
          </cell>
          <cell r="J1043">
            <v>30.674444444444443</v>
          </cell>
        </row>
        <row r="1044">
          <cell r="B1044">
            <v>30.94</v>
          </cell>
          <cell r="C1044">
            <v>67.319999999999993</v>
          </cell>
          <cell r="D1044">
            <v>17.8</v>
          </cell>
          <cell r="E1044">
            <v>8.81</v>
          </cell>
          <cell r="H1044">
            <v>45335</v>
          </cell>
          <cell r="I1044">
            <v>0.69777777777777783</v>
          </cell>
          <cell r="J1044">
            <v>30.048888888888889</v>
          </cell>
        </row>
        <row r="1045">
          <cell r="B1045">
            <v>27.37</v>
          </cell>
          <cell r="C1045">
            <v>61.43</v>
          </cell>
          <cell r="D1045">
            <v>17.41</v>
          </cell>
          <cell r="E1045">
            <v>8.19</v>
          </cell>
          <cell r="H1045">
            <v>45335</v>
          </cell>
          <cell r="I1045">
            <v>0.69444444444444442</v>
          </cell>
          <cell r="J1045">
            <v>29.786666666666665</v>
          </cell>
        </row>
        <row r="1046">
          <cell r="B1046">
            <v>21.4</v>
          </cell>
          <cell r="C1046">
            <v>60.81</v>
          </cell>
          <cell r="D1046">
            <v>16.96</v>
          </cell>
          <cell r="E1046">
            <v>8.18</v>
          </cell>
          <cell r="H1046">
            <v>45335</v>
          </cell>
          <cell r="I1046">
            <v>0.68555555555555558</v>
          </cell>
          <cell r="J1046">
            <v>29.891111111111108</v>
          </cell>
        </row>
        <row r="1047">
          <cell r="B1047">
            <v>25.21</v>
          </cell>
          <cell r="C1047">
            <v>62.82</v>
          </cell>
          <cell r="D1047">
            <v>16.739999999999998</v>
          </cell>
          <cell r="E1047">
            <v>8.2100000000000009</v>
          </cell>
          <cell r="H1047">
            <v>45335</v>
          </cell>
          <cell r="I1047">
            <v>0.67555555555555558</v>
          </cell>
          <cell r="J1047">
            <v>30.025555555555556</v>
          </cell>
        </row>
        <row r="1048">
          <cell r="B1048">
            <v>20.27</v>
          </cell>
          <cell r="C1048">
            <v>59.8</v>
          </cell>
          <cell r="D1048">
            <v>16.55</v>
          </cell>
          <cell r="E1048">
            <v>8.58</v>
          </cell>
          <cell r="H1048">
            <v>45335</v>
          </cell>
          <cell r="I1048">
            <v>0.6644444444444445</v>
          </cell>
          <cell r="J1048">
            <v>30.547777777777778</v>
          </cell>
        </row>
        <row r="1049">
          <cell r="B1049">
            <v>22.83</v>
          </cell>
          <cell r="C1049">
            <v>60.9</v>
          </cell>
          <cell r="D1049">
            <v>16.66</v>
          </cell>
          <cell r="E1049">
            <v>8.32</v>
          </cell>
          <cell r="H1049">
            <v>45335</v>
          </cell>
          <cell r="I1049">
            <v>0.6477777777777779</v>
          </cell>
          <cell r="J1049">
            <v>31.277777777777779</v>
          </cell>
        </row>
        <row r="1050">
          <cell r="B1050">
            <v>22.38</v>
          </cell>
          <cell r="C1050">
            <v>58.98</v>
          </cell>
          <cell r="D1050">
            <v>16.79</v>
          </cell>
          <cell r="E1050">
            <v>8.09</v>
          </cell>
          <cell r="H1050">
            <v>45335</v>
          </cell>
          <cell r="I1050">
            <v>0.64777777777777779</v>
          </cell>
          <cell r="J1050">
            <v>32.123333333333328</v>
          </cell>
        </row>
        <row r="1051">
          <cell r="B1051">
            <v>24.76</v>
          </cell>
          <cell r="C1051">
            <v>59.92</v>
          </cell>
          <cell r="D1051">
            <v>17.25</v>
          </cell>
          <cell r="E1051">
            <v>8.74</v>
          </cell>
          <cell r="H1051">
            <v>45335</v>
          </cell>
          <cell r="I1051">
            <v>0.64555555555555555</v>
          </cell>
          <cell r="J1051">
            <v>32.334444444444443</v>
          </cell>
        </row>
        <row r="1052">
          <cell r="B1052">
            <v>30.76</v>
          </cell>
          <cell r="C1052">
            <v>65.08</v>
          </cell>
          <cell r="D1052">
            <v>17.38</v>
          </cell>
          <cell r="E1052">
            <v>8.57</v>
          </cell>
          <cell r="H1052">
            <v>45335</v>
          </cell>
          <cell r="I1052">
            <v>0.63888888888888884</v>
          </cell>
          <cell r="J1052">
            <v>31.657777777777781</v>
          </cell>
        </row>
        <row r="1053">
          <cell r="B1053">
            <v>37.68</v>
          </cell>
          <cell r="C1053">
            <v>69.989999999999995</v>
          </cell>
          <cell r="D1053">
            <v>18.260000000000002</v>
          </cell>
          <cell r="E1053">
            <v>8.44</v>
          </cell>
          <cell r="H1053">
            <v>45335</v>
          </cell>
          <cell r="I1053">
            <v>0.62777777777777777</v>
          </cell>
          <cell r="J1053">
            <v>30.568888888888889</v>
          </cell>
        </row>
        <row r="1054">
          <cell r="B1054">
            <v>36.29</v>
          </cell>
          <cell r="C1054">
            <v>80.16</v>
          </cell>
          <cell r="D1054">
            <v>18.760000000000002</v>
          </cell>
          <cell r="E1054">
            <v>8.36</v>
          </cell>
          <cell r="H1054">
            <v>45335</v>
          </cell>
          <cell r="I1054">
            <v>0.65999999999999992</v>
          </cell>
          <cell r="J1054">
            <v>29.591111111111111</v>
          </cell>
        </row>
        <row r="1055">
          <cell r="B1055">
            <v>37.83</v>
          </cell>
          <cell r="C1055">
            <v>77.2</v>
          </cell>
          <cell r="D1055">
            <v>18.100000000000001</v>
          </cell>
          <cell r="E1055">
            <v>8.1199999999999992</v>
          </cell>
          <cell r="H1055">
            <v>45335</v>
          </cell>
          <cell r="I1055">
            <v>0.66222222222222227</v>
          </cell>
          <cell r="J1055">
            <v>28.832222222222224</v>
          </cell>
        </row>
        <row r="1056">
          <cell r="B1056">
            <v>37.56</v>
          </cell>
          <cell r="C1056">
            <v>68.98</v>
          </cell>
          <cell r="D1056">
            <v>17.38</v>
          </cell>
          <cell r="E1056">
            <v>8.26</v>
          </cell>
          <cell r="H1056">
            <v>45335</v>
          </cell>
          <cell r="I1056">
            <v>0.65777777777777779</v>
          </cell>
          <cell r="J1056">
            <v>28.074444444444445</v>
          </cell>
        </row>
        <row r="1057">
          <cell r="B1057">
            <v>36.68</v>
          </cell>
          <cell r="C1057">
            <v>64.55</v>
          </cell>
          <cell r="D1057">
            <v>16.989999999999998</v>
          </cell>
          <cell r="E1057">
            <v>8.81</v>
          </cell>
          <cell r="H1057">
            <v>45335</v>
          </cell>
          <cell r="I1057">
            <v>0.65222222222222215</v>
          </cell>
          <cell r="J1057">
            <v>27.487777777777779</v>
          </cell>
        </row>
        <row r="1058">
          <cell r="B1058">
            <v>35.840000000000003</v>
          </cell>
          <cell r="C1058">
            <v>71.48</v>
          </cell>
          <cell r="D1058">
            <v>16.809999999999999</v>
          </cell>
          <cell r="E1058">
            <v>8.25</v>
          </cell>
          <cell r="H1058">
            <v>45336</v>
          </cell>
          <cell r="I1058">
            <v>0.65555555555555556</v>
          </cell>
          <cell r="J1058">
            <v>27.285555555555554</v>
          </cell>
        </row>
        <row r="1059">
          <cell r="B1059">
            <v>38.770000000000003</v>
          </cell>
          <cell r="C1059">
            <v>70.83</v>
          </cell>
          <cell r="D1059">
            <v>16.73</v>
          </cell>
          <cell r="E1059">
            <v>8.2799999999999994</v>
          </cell>
          <cell r="H1059">
            <v>45336</v>
          </cell>
          <cell r="I1059">
            <v>0.64111111111111108</v>
          </cell>
          <cell r="J1059">
            <v>27.182222222222222</v>
          </cell>
        </row>
        <row r="1060">
          <cell r="B1060">
            <v>40.49</v>
          </cell>
          <cell r="C1060">
            <v>70.5</v>
          </cell>
          <cell r="D1060">
            <v>16.850000000000001</v>
          </cell>
          <cell r="E1060">
            <v>8.57</v>
          </cell>
          <cell r="H1060">
            <v>45336</v>
          </cell>
          <cell r="I1060">
            <v>0.62666666666666671</v>
          </cell>
          <cell r="J1060">
            <v>27.344444444444449</v>
          </cell>
        </row>
        <row r="1061">
          <cell r="B1061">
            <v>39.25</v>
          </cell>
          <cell r="C1061">
            <v>72.260000000000005</v>
          </cell>
          <cell r="D1061">
            <v>16.82</v>
          </cell>
          <cell r="E1061">
            <v>8.6300000000000008</v>
          </cell>
          <cell r="H1061">
            <v>45336</v>
          </cell>
          <cell r="I1061">
            <v>0.61555555555555552</v>
          </cell>
          <cell r="J1061">
            <v>27.713333333333335</v>
          </cell>
        </row>
        <row r="1062">
          <cell r="B1062">
            <v>35.909999999999997</v>
          </cell>
          <cell r="C1062">
            <v>68.959999999999994</v>
          </cell>
          <cell r="D1062">
            <v>16.91</v>
          </cell>
          <cell r="E1062">
            <v>8.49</v>
          </cell>
          <cell r="H1062">
            <v>45336</v>
          </cell>
          <cell r="I1062">
            <v>0.59666666666666668</v>
          </cell>
          <cell r="J1062">
            <v>28.09</v>
          </cell>
        </row>
        <row r="1063">
          <cell r="B1063">
            <v>37.36</v>
          </cell>
          <cell r="C1063">
            <v>63.98</v>
          </cell>
          <cell r="D1063">
            <v>16.8</v>
          </cell>
          <cell r="E1063">
            <v>8.44</v>
          </cell>
          <cell r="H1063">
            <v>45336</v>
          </cell>
          <cell r="I1063">
            <v>0.56000000000000005</v>
          </cell>
          <cell r="J1063">
            <v>28.218888888888895</v>
          </cell>
        </row>
        <row r="1064">
          <cell r="B1064">
            <v>33.619999999999997</v>
          </cell>
          <cell r="C1064">
            <v>65.05</v>
          </cell>
          <cell r="D1064">
            <v>16.809999999999999</v>
          </cell>
          <cell r="E1064">
            <v>8.89</v>
          </cell>
          <cell r="H1064">
            <v>45336</v>
          </cell>
          <cell r="I1064">
            <v>0.55888888888888888</v>
          </cell>
          <cell r="J1064">
            <v>27.875555555555561</v>
          </cell>
        </row>
        <row r="1065">
          <cell r="B1065">
            <v>35.659999999999997</v>
          </cell>
          <cell r="C1065">
            <v>67.88</v>
          </cell>
          <cell r="D1065">
            <v>17.170000000000002</v>
          </cell>
          <cell r="E1065">
            <v>8.51</v>
          </cell>
          <cell r="H1065">
            <v>45336</v>
          </cell>
          <cell r="I1065">
            <v>0.57222222222222219</v>
          </cell>
          <cell r="J1065">
            <v>27.496666666666673</v>
          </cell>
        </row>
        <row r="1066">
          <cell r="B1066">
            <v>36.119999999999997</v>
          </cell>
          <cell r="C1066">
            <v>77.72</v>
          </cell>
          <cell r="D1066">
            <v>18.05</v>
          </cell>
          <cell r="E1066">
            <v>9.01</v>
          </cell>
          <cell r="H1066">
            <v>45336</v>
          </cell>
          <cell r="I1066">
            <v>0.59666666666666657</v>
          </cell>
          <cell r="J1066">
            <v>26.907777777777781</v>
          </cell>
        </row>
        <row r="1067">
          <cell r="B1067">
            <v>38.549999999999997</v>
          </cell>
          <cell r="C1067">
            <v>78.75</v>
          </cell>
          <cell r="D1067">
            <v>17.940000000000001</v>
          </cell>
          <cell r="E1067">
            <v>9.42</v>
          </cell>
          <cell r="H1067">
            <v>45336</v>
          </cell>
          <cell r="I1067">
            <v>0.61999999999999977</v>
          </cell>
          <cell r="J1067">
            <v>26.227777777777778</v>
          </cell>
        </row>
        <row r="1068">
          <cell r="B1068">
            <v>38.979999999999997</v>
          </cell>
          <cell r="C1068">
            <v>74.87</v>
          </cell>
          <cell r="D1068">
            <v>17.59</v>
          </cell>
          <cell r="E1068">
            <v>9.36</v>
          </cell>
          <cell r="H1068">
            <v>45336</v>
          </cell>
          <cell r="I1068">
            <v>0.64555555555555566</v>
          </cell>
          <cell r="J1068">
            <v>26.026666666666671</v>
          </cell>
        </row>
        <row r="1069">
          <cell r="B1069">
            <v>33.07</v>
          </cell>
          <cell r="C1069">
            <v>66.75</v>
          </cell>
          <cell r="D1069">
            <v>17.52</v>
          </cell>
          <cell r="E1069">
            <v>9.24</v>
          </cell>
          <cell r="H1069">
            <v>45336</v>
          </cell>
          <cell r="I1069">
            <v>0.65666666666666673</v>
          </cell>
          <cell r="J1069">
            <v>26.413333333333334</v>
          </cell>
        </row>
        <row r="1070">
          <cell r="B1070">
            <v>24.69</v>
          </cell>
          <cell r="C1070">
            <v>60.29</v>
          </cell>
          <cell r="D1070">
            <v>16.89</v>
          </cell>
          <cell r="E1070">
            <v>9.06</v>
          </cell>
          <cell r="H1070">
            <v>45336</v>
          </cell>
          <cell r="I1070">
            <v>0.65888888888888886</v>
          </cell>
          <cell r="J1070">
            <v>27.150000000000002</v>
          </cell>
        </row>
        <row r="1071">
          <cell r="B1071">
            <v>20.84</v>
          </cell>
          <cell r="C1071">
            <v>57.3</v>
          </cell>
          <cell r="D1071">
            <v>16.77</v>
          </cell>
          <cell r="E1071">
            <v>8.44</v>
          </cell>
          <cell r="H1071">
            <v>45336</v>
          </cell>
          <cell r="I1071">
            <v>0.66333333333333333</v>
          </cell>
          <cell r="J1071">
            <v>28.033333333333335</v>
          </cell>
        </row>
        <row r="1072">
          <cell r="B1072">
            <v>20.61</v>
          </cell>
          <cell r="C1072">
            <v>55.79</v>
          </cell>
          <cell r="D1072">
            <v>16.61</v>
          </cell>
          <cell r="E1072">
            <v>9.1999999999999993</v>
          </cell>
          <cell r="H1072">
            <v>45336</v>
          </cell>
          <cell r="I1072">
            <v>0.66333333333333333</v>
          </cell>
          <cell r="J1072">
            <v>29</v>
          </cell>
        </row>
        <row r="1073">
          <cell r="B1073">
            <v>21.45</v>
          </cell>
          <cell r="C1073">
            <v>59</v>
          </cell>
          <cell r="D1073">
            <v>16.77</v>
          </cell>
          <cell r="E1073">
            <v>10.220000000000001</v>
          </cell>
          <cell r="H1073">
            <v>45336</v>
          </cell>
          <cell r="I1073">
            <v>0.67555555555555558</v>
          </cell>
          <cell r="J1073">
            <v>30.191111111111113</v>
          </cell>
        </row>
        <row r="1074">
          <cell r="B1074">
            <v>23.07</v>
          </cell>
          <cell r="C1074">
            <v>62.18</v>
          </cell>
          <cell r="D1074">
            <v>16.23</v>
          </cell>
          <cell r="E1074">
            <v>9.52</v>
          </cell>
          <cell r="H1074">
            <v>45336</v>
          </cell>
          <cell r="I1074">
            <v>0.6777777777777777</v>
          </cell>
          <cell r="J1074">
            <v>31.538888888888891</v>
          </cell>
        </row>
        <row r="1075">
          <cell r="B1075">
            <v>33.68</v>
          </cell>
          <cell r="C1075">
            <v>66.67</v>
          </cell>
          <cell r="D1075">
            <v>16.559999999999999</v>
          </cell>
          <cell r="E1075">
            <v>8.7799999999999994</v>
          </cell>
          <cell r="H1075">
            <v>45336</v>
          </cell>
          <cell r="I1075">
            <v>0.67333333333333334</v>
          </cell>
          <cell r="J1075">
            <v>32.44222222222222</v>
          </cell>
        </row>
        <row r="1076">
          <cell r="B1076">
            <v>39.090000000000003</v>
          </cell>
          <cell r="C1076">
            <v>73.39</v>
          </cell>
          <cell r="D1076">
            <v>17.079999999999998</v>
          </cell>
          <cell r="E1076">
            <v>8.74</v>
          </cell>
          <cell r="H1076">
            <v>45336</v>
          </cell>
          <cell r="I1076">
            <v>0.66777777777777769</v>
          </cell>
          <cell r="J1076">
            <v>32.909999999999997</v>
          </cell>
        </row>
        <row r="1077">
          <cell r="B1077">
            <v>38.43</v>
          </cell>
          <cell r="C1077">
            <v>80.66</v>
          </cell>
          <cell r="D1077">
            <v>17.96</v>
          </cell>
          <cell r="E1077">
            <v>8.92</v>
          </cell>
          <cell r="H1077">
            <v>45336</v>
          </cell>
          <cell r="I1077">
            <v>0.6644444444444445</v>
          </cell>
          <cell r="J1077">
            <v>32.993333333333332</v>
          </cell>
        </row>
        <row r="1078">
          <cell r="B1078">
            <v>39.65</v>
          </cell>
          <cell r="C1078">
            <v>88.31</v>
          </cell>
          <cell r="D1078">
            <v>18.38</v>
          </cell>
          <cell r="E1078">
            <v>9.0500000000000007</v>
          </cell>
          <cell r="H1078">
            <v>45336</v>
          </cell>
          <cell r="I1078">
            <v>0.6711111111111111</v>
          </cell>
          <cell r="J1078">
            <v>32.595555555555556</v>
          </cell>
        </row>
        <row r="1079">
          <cell r="B1079">
            <v>43.32</v>
          </cell>
          <cell r="C1079">
            <v>83.47</v>
          </cell>
          <cell r="D1079">
            <v>17.82</v>
          </cell>
          <cell r="E1079">
            <v>8.92</v>
          </cell>
          <cell r="H1079">
            <v>45336</v>
          </cell>
          <cell r="I1079">
            <v>0.68111111111111122</v>
          </cell>
          <cell r="J1079">
            <v>32.296666666666667</v>
          </cell>
        </row>
        <row r="1080">
          <cell r="B1080">
            <v>39.880000000000003</v>
          </cell>
          <cell r="C1080">
            <v>83.81</v>
          </cell>
          <cell r="D1080">
            <v>17.809999999999999</v>
          </cell>
          <cell r="E1080">
            <v>9.06</v>
          </cell>
          <cell r="H1080">
            <v>45336</v>
          </cell>
          <cell r="I1080">
            <v>0.69333333333333336</v>
          </cell>
          <cell r="J1080">
            <v>32.416666666666657</v>
          </cell>
        </row>
        <row r="1081">
          <cell r="B1081">
            <v>47.48</v>
          </cell>
          <cell r="C1081">
            <v>79.739999999999995</v>
          </cell>
          <cell r="D1081">
            <v>17.87</v>
          </cell>
          <cell r="E1081">
            <v>8.5299999999999994</v>
          </cell>
          <cell r="H1081">
            <v>45336</v>
          </cell>
          <cell r="I1081">
            <v>0.70000000000000007</v>
          </cell>
          <cell r="J1081">
            <v>32.824444444444445</v>
          </cell>
        </row>
        <row r="1082">
          <cell r="B1082">
            <v>41.95</v>
          </cell>
          <cell r="C1082">
            <v>79.91</v>
          </cell>
          <cell r="D1082">
            <v>17.54</v>
          </cell>
          <cell r="E1082">
            <v>8.59</v>
          </cell>
          <cell r="H1082">
            <v>45337</v>
          </cell>
          <cell r="I1082">
            <v>0.69777777777777794</v>
          </cell>
          <cell r="J1082">
            <v>33.178888888888892</v>
          </cell>
        </row>
        <row r="1083">
          <cell r="B1083">
            <v>42.01</v>
          </cell>
          <cell r="C1083">
            <v>76.14</v>
          </cell>
          <cell r="D1083">
            <v>17.440000000000001</v>
          </cell>
          <cell r="E1083">
            <v>8.9499999999999993</v>
          </cell>
          <cell r="H1083">
            <v>45337</v>
          </cell>
          <cell r="I1083">
            <v>0.69444444444444442</v>
          </cell>
          <cell r="J1083">
            <v>33.584444444444443</v>
          </cell>
        </row>
        <row r="1084">
          <cell r="B1084">
            <v>37.299999999999997</v>
          </cell>
          <cell r="C1084">
            <v>69.94</v>
          </cell>
          <cell r="D1084">
            <v>17.57</v>
          </cell>
          <cell r="E1084">
            <v>9</v>
          </cell>
          <cell r="H1084">
            <v>45337</v>
          </cell>
          <cell r="I1084">
            <v>0.68888888888888888</v>
          </cell>
          <cell r="J1084">
            <v>33.738888888888894</v>
          </cell>
        </row>
        <row r="1085">
          <cell r="B1085">
            <v>36.380000000000003</v>
          </cell>
          <cell r="C1085">
            <v>68.92</v>
          </cell>
          <cell r="D1085">
            <v>17.43</v>
          </cell>
          <cell r="E1085">
            <v>8.9600000000000009</v>
          </cell>
          <cell r="H1085">
            <v>45337</v>
          </cell>
          <cell r="I1085">
            <v>0.67999999999999994</v>
          </cell>
          <cell r="J1085">
            <v>33.900000000000006</v>
          </cell>
        </row>
        <row r="1086">
          <cell r="B1086">
            <v>32.729999999999997</v>
          </cell>
          <cell r="C1086">
            <v>67.5</v>
          </cell>
          <cell r="D1086">
            <v>17.66</v>
          </cell>
          <cell r="E1086">
            <v>8.9600000000000009</v>
          </cell>
          <cell r="H1086">
            <v>45337</v>
          </cell>
          <cell r="I1086">
            <v>0.66444444444444428</v>
          </cell>
          <cell r="J1086">
            <v>33.601111111111109</v>
          </cell>
        </row>
        <row r="1087">
          <cell r="B1087">
            <v>37.01</v>
          </cell>
          <cell r="C1087">
            <v>69.010000000000005</v>
          </cell>
          <cell r="D1087">
            <v>17.829999999999998</v>
          </cell>
          <cell r="E1087">
            <v>9.1999999999999993</v>
          </cell>
          <cell r="H1087">
            <v>45337</v>
          </cell>
          <cell r="I1087">
            <v>0.65444444444444438</v>
          </cell>
          <cell r="J1087">
            <v>33.223333333333329</v>
          </cell>
        </row>
        <row r="1088">
          <cell r="B1088">
            <v>38.65</v>
          </cell>
          <cell r="C1088">
            <v>75.22</v>
          </cell>
          <cell r="D1088">
            <v>17.84</v>
          </cell>
          <cell r="E1088">
            <v>9.67</v>
          </cell>
          <cell r="H1088">
            <v>45337</v>
          </cell>
          <cell r="I1088">
            <v>0.66</v>
          </cell>
          <cell r="J1088">
            <v>32.090000000000003</v>
          </cell>
        </row>
        <row r="1089">
          <cell r="B1089">
            <v>45.61</v>
          </cell>
          <cell r="C1089">
            <v>88.39</v>
          </cell>
          <cell r="D1089">
            <v>18.350000000000001</v>
          </cell>
          <cell r="E1089">
            <v>9.7200000000000006</v>
          </cell>
          <cell r="H1089">
            <v>45337</v>
          </cell>
          <cell r="I1089">
            <v>0.66888888888888898</v>
          </cell>
          <cell r="J1089">
            <v>30.522222222222222</v>
          </cell>
        </row>
        <row r="1090">
          <cell r="B1090">
            <v>52.33</v>
          </cell>
          <cell r="C1090">
            <v>104.07</v>
          </cell>
          <cell r="D1090">
            <v>18.559999999999999</v>
          </cell>
          <cell r="E1090">
            <v>9.9600000000000009</v>
          </cell>
          <cell r="H1090">
            <v>45337</v>
          </cell>
          <cell r="I1090">
            <v>0.68333333333333335</v>
          </cell>
          <cell r="J1090">
            <v>29.017777777777781</v>
          </cell>
        </row>
        <row r="1091">
          <cell r="B1091">
            <v>49.61</v>
          </cell>
          <cell r="C1091">
            <v>98.08</v>
          </cell>
          <cell r="D1091">
            <v>18.440000000000001</v>
          </cell>
          <cell r="E1091">
            <v>10.28</v>
          </cell>
          <cell r="H1091">
            <v>45337</v>
          </cell>
          <cell r="I1091">
            <v>0.69333333333333336</v>
          </cell>
          <cell r="J1091">
            <v>28.18888888888889</v>
          </cell>
        </row>
        <row r="1092">
          <cell r="B1092">
            <v>35.36</v>
          </cell>
          <cell r="C1092">
            <v>81.180000000000007</v>
          </cell>
          <cell r="D1092">
            <v>17.54</v>
          </cell>
          <cell r="E1092">
            <v>10.28</v>
          </cell>
          <cell r="H1092">
            <v>45337</v>
          </cell>
          <cell r="I1092">
            <v>0.70555555555555549</v>
          </cell>
          <cell r="J1092">
            <v>27.72</v>
          </cell>
        </row>
        <row r="1093">
          <cell r="B1093">
            <v>27.82</v>
          </cell>
          <cell r="C1093">
            <v>66.44</v>
          </cell>
          <cell r="D1093">
            <v>17.43</v>
          </cell>
          <cell r="E1093">
            <v>10.74</v>
          </cell>
          <cell r="H1093">
            <v>45337</v>
          </cell>
          <cell r="I1093">
            <v>0.70333333333333337</v>
          </cell>
          <cell r="J1093">
            <v>27.936666666666667</v>
          </cell>
        </row>
        <row r="1094">
          <cell r="B1094">
            <v>26.04</v>
          </cell>
          <cell r="C1094">
            <v>60.36</v>
          </cell>
          <cell r="D1094">
            <v>16.98</v>
          </cell>
          <cell r="E1094">
            <v>9.69</v>
          </cell>
          <cell r="H1094">
            <v>45337</v>
          </cell>
          <cell r="I1094">
            <v>0.69888888888888889</v>
          </cell>
          <cell r="J1094">
            <v>28.501111111111115</v>
          </cell>
        </row>
        <row r="1095">
          <cell r="B1095">
            <v>23.1</v>
          </cell>
          <cell r="C1095">
            <v>60</v>
          </cell>
          <cell r="D1095">
            <v>17.079999999999998</v>
          </cell>
          <cell r="E1095">
            <v>9.6199999999999992</v>
          </cell>
          <cell r="H1095">
            <v>45337</v>
          </cell>
          <cell r="I1095">
            <v>0.69444444444444442</v>
          </cell>
          <cell r="J1095">
            <v>29.452222222222222</v>
          </cell>
        </row>
        <row r="1096">
          <cell r="B1096">
            <v>21.61</v>
          </cell>
          <cell r="C1096">
            <v>56.08</v>
          </cell>
          <cell r="D1096">
            <v>18.329999999999998</v>
          </cell>
          <cell r="E1096">
            <v>9.91</v>
          </cell>
          <cell r="H1096">
            <v>45337</v>
          </cell>
          <cell r="I1096">
            <v>0.69444444444444442</v>
          </cell>
          <cell r="J1096">
            <v>30.470000000000002</v>
          </cell>
        </row>
        <row r="1097">
          <cell r="B1097">
            <v>27.29</v>
          </cell>
          <cell r="C1097">
            <v>58.36</v>
          </cell>
          <cell r="D1097">
            <v>17.97</v>
          </cell>
          <cell r="E1097">
            <v>9.84</v>
          </cell>
          <cell r="H1097">
            <v>45337</v>
          </cell>
          <cell r="I1097">
            <v>0.68666666666666665</v>
          </cell>
          <cell r="J1097">
            <v>32.232222222222227</v>
          </cell>
        </row>
        <row r="1098">
          <cell r="B1098">
            <v>25.53</v>
          </cell>
          <cell r="C1098">
            <v>61.22</v>
          </cell>
          <cell r="D1098">
            <v>17.829999999999998</v>
          </cell>
          <cell r="E1098">
            <v>9.74</v>
          </cell>
          <cell r="H1098">
            <v>45337</v>
          </cell>
          <cell r="I1098">
            <v>0.67888888888888899</v>
          </cell>
          <cell r="J1098">
            <v>34.391111111111108</v>
          </cell>
        </row>
        <row r="1099">
          <cell r="B1099">
            <v>28.02</v>
          </cell>
          <cell r="C1099">
            <v>69.67</v>
          </cell>
          <cell r="D1099">
            <v>18.14</v>
          </cell>
          <cell r="E1099">
            <v>9.1300000000000008</v>
          </cell>
          <cell r="H1099">
            <v>45337</v>
          </cell>
          <cell r="I1099">
            <v>0.67888888888888888</v>
          </cell>
          <cell r="J1099">
            <v>35.768888888888881</v>
          </cell>
        </row>
        <row r="1100">
          <cell r="B1100">
            <v>38.44</v>
          </cell>
          <cell r="C1100">
            <v>73</v>
          </cell>
          <cell r="D1100">
            <v>18.64</v>
          </cell>
          <cell r="E1100">
            <v>9.3000000000000007</v>
          </cell>
          <cell r="H1100">
            <v>45337</v>
          </cell>
          <cell r="I1100">
            <v>0.68111111111111122</v>
          </cell>
          <cell r="J1100">
            <v>35.918888888888894</v>
          </cell>
        </row>
        <row r="1101">
          <cell r="B1101">
            <v>42</v>
          </cell>
          <cell r="C1101">
            <v>78.069999999999993</v>
          </cell>
          <cell r="D1101">
            <v>19.97</v>
          </cell>
          <cell r="E1101">
            <v>9.17</v>
          </cell>
          <cell r="H1101">
            <v>45337</v>
          </cell>
          <cell r="I1101">
            <v>0.69</v>
          </cell>
          <cell r="J1101">
            <v>35.361111111111114</v>
          </cell>
        </row>
        <row r="1102">
          <cell r="B1102">
            <v>40.32</v>
          </cell>
          <cell r="C1102">
            <v>81.22</v>
          </cell>
          <cell r="D1102">
            <v>19.64</v>
          </cell>
          <cell r="E1102">
            <v>8.76</v>
          </cell>
          <cell r="H1102">
            <v>45337</v>
          </cell>
          <cell r="I1102">
            <v>0.70777777777777784</v>
          </cell>
          <cell r="J1102">
            <v>35.278888888888893</v>
          </cell>
        </row>
        <row r="1103">
          <cell r="B1103">
            <v>41.19</v>
          </cell>
          <cell r="C1103">
            <v>80.180000000000007</v>
          </cell>
          <cell r="D1103">
            <v>19.37</v>
          </cell>
          <cell r="E1103">
            <v>8.8699999999999992</v>
          </cell>
          <cell r="H1103">
            <v>45337</v>
          </cell>
          <cell r="I1103">
            <v>0.72333333333333338</v>
          </cell>
          <cell r="J1103">
            <v>35.467777777777776</v>
          </cell>
        </row>
        <row r="1104">
          <cell r="B1104">
            <v>46.01</v>
          </cell>
          <cell r="C1104">
            <v>82.57</v>
          </cell>
          <cell r="D1104">
            <v>19.260000000000002</v>
          </cell>
          <cell r="E1104">
            <v>8.8000000000000007</v>
          </cell>
          <cell r="H1104">
            <v>45337</v>
          </cell>
          <cell r="I1104">
            <v>0.7400000000000001</v>
          </cell>
          <cell r="J1104">
            <v>35.908888888888889</v>
          </cell>
        </row>
        <row r="1105">
          <cell r="B1105">
            <v>54.41</v>
          </cell>
          <cell r="C1105">
            <v>89.04</v>
          </cell>
          <cell r="D1105">
            <v>18.8</v>
          </cell>
          <cell r="E1105">
            <v>8.81</v>
          </cell>
          <cell r="H1105">
            <v>45337</v>
          </cell>
          <cell r="I1105">
            <v>0.74888888888888894</v>
          </cell>
          <cell r="J1105">
            <v>36.443333333333335</v>
          </cell>
        </row>
        <row r="1106">
          <cell r="B1106">
            <v>48.74</v>
          </cell>
          <cell r="C1106">
            <v>78.44</v>
          </cell>
          <cell r="D1106">
            <v>18.71</v>
          </cell>
          <cell r="E1106">
            <v>8.5500000000000007</v>
          </cell>
          <cell r="H1106">
            <v>45338</v>
          </cell>
          <cell r="I1106">
            <v>0.74555555555555553</v>
          </cell>
          <cell r="J1106">
            <v>36.861111111111114</v>
          </cell>
        </row>
        <row r="1107">
          <cell r="B1107">
            <v>48.61</v>
          </cell>
          <cell r="C1107">
            <v>77.05</v>
          </cell>
          <cell r="D1107">
            <v>18.54</v>
          </cell>
          <cell r="E1107">
            <v>8.99</v>
          </cell>
          <cell r="H1107">
            <v>45338</v>
          </cell>
          <cell r="I1107">
            <v>0.73888888888888893</v>
          </cell>
          <cell r="J1107">
            <v>36.732222222222227</v>
          </cell>
        </row>
        <row r="1108">
          <cell r="B1108">
            <v>52.81</v>
          </cell>
          <cell r="C1108">
            <v>81.290000000000006</v>
          </cell>
          <cell r="D1108">
            <v>18.559999999999999</v>
          </cell>
          <cell r="E1108">
            <v>9</v>
          </cell>
          <cell r="H1108">
            <v>45338</v>
          </cell>
          <cell r="I1108">
            <v>0.72444444444444445</v>
          </cell>
          <cell r="J1108">
            <v>36.493333333333339</v>
          </cell>
        </row>
        <row r="1109">
          <cell r="B1109">
            <v>52.02</v>
          </cell>
          <cell r="C1109">
            <v>81.819999999999993</v>
          </cell>
          <cell r="D1109">
            <v>18.440000000000001</v>
          </cell>
          <cell r="E1109">
            <v>9.16</v>
          </cell>
          <cell r="H1109">
            <v>45338</v>
          </cell>
          <cell r="I1109">
            <v>0.71444444444444444</v>
          </cell>
          <cell r="J1109">
            <v>36.297777777777782</v>
          </cell>
        </row>
        <row r="1110">
          <cell r="B1110">
            <v>44.72</v>
          </cell>
          <cell r="C1110">
            <v>82.16</v>
          </cell>
          <cell r="D1110">
            <v>18.489999999999998</v>
          </cell>
          <cell r="E1110">
            <v>9.5</v>
          </cell>
          <cell r="H1110">
            <v>45338</v>
          </cell>
          <cell r="I1110">
            <v>0.69666666666666677</v>
          </cell>
          <cell r="J1110">
            <v>36.35</v>
          </cell>
        </row>
        <row r="1111">
          <cell r="B1111">
            <v>35.21</v>
          </cell>
          <cell r="C1111">
            <v>65.19</v>
          </cell>
          <cell r="D1111">
            <v>18.68</v>
          </cell>
          <cell r="E1111">
            <v>9.4600000000000009</v>
          </cell>
          <cell r="H1111">
            <v>45338</v>
          </cell>
          <cell r="I1111">
            <v>0.68111111111111111</v>
          </cell>
          <cell r="J1111">
            <v>35.725555555555552</v>
          </cell>
        </row>
        <row r="1112">
          <cell r="B1112">
            <v>35.68</v>
          </cell>
          <cell r="C1112">
            <v>67.11</v>
          </cell>
          <cell r="D1112">
            <v>18.91</v>
          </cell>
          <cell r="E1112">
            <v>9.5299999999999994</v>
          </cell>
          <cell r="H1112">
            <v>45338</v>
          </cell>
          <cell r="I1112">
            <v>0.68444444444444441</v>
          </cell>
          <cell r="J1112">
            <v>34.374444444444435</v>
          </cell>
        </row>
        <row r="1113">
          <cell r="B1113">
            <v>39.31</v>
          </cell>
          <cell r="C1113">
            <v>75.39</v>
          </cell>
          <cell r="D1113">
            <v>19.309999999999999</v>
          </cell>
          <cell r="E1113">
            <v>9.93</v>
          </cell>
          <cell r="H1113">
            <v>45338</v>
          </cell>
          <cell r="I1113">
            <v>0.68444444444444441</v>
          </cell>
          <cell r="J1113">
            <v>32.698888888888888</v>
          </cell>
        </row>
        <row r="1114">
          <cell r="B1114">
            <v>43.47</v>
          </cell>
          <cell r="C1114">
            <v>82.33</v>
          </cell>
          <cell r="D1114">
            <v>19.010000000000002</v>
          </cell>
          <cell r="E1114">
            <v>10.34</v>
          </cell>
          <cell r="H1114">
            <v>45338</v>
          </cell>
          <cell r="I1114">
            <v>0.68222222222222217</v>
          </cell>
          <cell r="J1114">
            <v>31.322222222222226</v>
          </cell>
        </row>
        <row r="1115">
          <cell r="B1115">
            <v>42.52</v>
          </cell>
          <cell r="C1115">
            <v>77.12</v>
          </cell>
          <cell r="D1115">
            <v>17.579999999999998</v>
          </cell>
          <cell r="E1115">
            <v>9.9600000000000009</v>
          </cell>
          <cell r="H1115">
            <v>45338</v>
          </cell>
          <cell r="I1115">
            <v>0.68444444444444441</v>
          </cell>
          <cell r="J1115">
            <v>30.401111111111113</v>
          </cell>
        </row>
        <row r="1116">
          <cell r="B1116">
            <v>37.56</v>
          </cell>
          <cell r="C1116">
            <v>76.17</v>
          </cell>
          <cell r="D1116">
            <v>17.100000000000001</v>
          </cell>
          <cell r="E1116">
            <v>9.56</v>
          </cell>
          <cell r="H1116">
            <v>45338</v>
          </cell>
          <cell r="I1116">
            <v>0.69111111111111123</v>
          </cell>
          <cell r="J1116">
            <v>29.59</v>
          </cell>
        </row>
        <row r="1117">
          <cell r="B1117">
            <v>30.18</v>
          </cell>
          <cell r="C1117">
            <v>76.14</v>
          </cell>
          <cell r="D1117">
            <v>16.72</v>
          </cell>
          <cell r="E1117">
            <v>8.76</v>
          </cell>
          <cell r="H1117">
            <v>45338</v>
          </cell>
          <cell r="I1117">
            <v>0.69222222222222229</v>
          </cell>
          <cell r="J1117">
            <v>29.275555555555552</v>
          </cell>
        </row>
        <row r="1118">
          <cell r="B1118">
            <v>27.63</v>
          </cell>
          <cell r="C1118">
            <v>79.319999999999993</v>
          </cell>
          <cell r="D1118">
            <v>17.84</v>
          </cell>
          <cell r="E1118">
            <v>9.11</v>
          </cell>
          <cell r="H1118">
            <v>45338</v>
          </cell>
          <cell r="I1118">
            <v>0.69222222222222229</v>
          </cell>
          <cell r="J1118">
            <v>30.241111111111113</v>
          </cell>
        </row>
        <row r="1119">
          <cell r="B1119">
            <v>29.48</v>
          </cell>
          <cell r="C1119">
            <v>73.180000000000007</v>
          </cell>
          <cell r="D1119">
            <v>16.77</v>
          </cell>
          <cell r="E1119">
            <v>9.32</v>
          </cell>
          <cell r="H1119">
            <v>45338</v>
          </cell>
          <cell r="I1119">
            <v>0.68777777777777782</v>
          </cell>
          <cell r="J1119">
            <v>30.764444444444443</v>
          </cell>
        </row>
        <row r="1120">
          <cell r="B1120">
            <v>26.35</v>
          </cell>
          <cell r="C1120">
            <v>65.08</v>
          </cell>
          <cell r="D1120">
            <v>16.88</v>
          </cell>
          <cell r="E1120">
            <v>9.1300000000000008</v>
          </cell>
          <cell r="H1120">
            <v>45338</v>
          </cell>
          <cell r="I1120">
            <v>0.68555555555555558</v>
          </cell>
          <cell r="J1120">
            <v>31.204444444444448</v>
          </cell>
        </row>
        <row r="1121">
          <cell r="B1121">
            <v>25.96</v>
          </cell>
          <cell r="C1121">
            <v>69.239999999999995</v>
          </cell>
          <cell r="D1121">
            <v>16.95</v>
          </cell>
          <cell r="E1121">
            <v>9.0299999999999994</v>
          </cell>
          <cell r="H1121">
            <v>45338</v>
          </cell>
          <cell r="I1121">
            <v>0.66888888888888898</v>
          </cell>
          <cell r="J1121">
            <v>32.037777777777784</v>
          </cell>
        </row>
        <row r="1122">
          <cell r="B1122">
            <v>26.43</v>
          </cell>
          <cell r="C1122">
            <v>66.78</v>
          </cell>
          <cell r="D1122">
            <v>16.18</v>
          </cell>
          <cell r="E1122">
            <v>9.5</v>
          </cell>
          <cell r="H1122">
            <v>45338</v>
          </cell>
          <cell r="I1122">
            <v>0.6644444444444445</v>
          </cell>
          <cell r="J1122">
            <v>32.962222222222223</v>
          </cell>
        </row>
        <row r="1123">
          <cell r="B1123">
            <v>32.18</v>
          </cell>
          <cell r="C1123">
            <v>72.239999999999995</v>
          </cell>
          <cell r="D1123">
            <v>16.79</v>
          </cell>
          <cell r="E1123">
            <v>9.7799999999999994</v>
          </cell>
          <cell r="H1123">
            <v>45338</v>
          </cell>
          <cell r="I1123">
            <v>0.66555555555555557</v>
          </cell>
          <cell r="J1123">
            <v>33.36</v>
          </cell>
        </row>
        <row r="1124">
          <cell r="B1124">
            <v>34.57</v>
          </cell>
          <cell r="C1124">
            <v>71.66</v>
          </cell>
          <cell r="D1124">
            <v>17.03</v>
          </cell>
          <cell r="E1124">
            <v>10.24</v>
          </cell>
          <cell r="H1124">
            <v>45338</v>
          </cell>
          <cell r="I1124">
            <v>0.6777777777777777</v>
          </cell>
          <cell r="J1124">
            <v>32.833333333333336</v>
          </cell>
        </row>
        <row r="1125">
          <cell r="B1125">
            <v>33.880000000000003</v>
          </cell>
          <cell r="C1125">
            <v>74.23</v>
          </cell>
          <cell r="D1125">
            <v>17.64</v>
          </cell>
          <cell r="E1125">
            <v>9.65</v>
          </cell>
          <cell r="H1125">
            <v>45338</v>
          </cell>
          <cell r="I1125">
            <v>0.68333333333333335</v>
          </cell>
          <cell r="J1125">
            <v>32.251111111111108</v>
          </cell>
        </row>
        <row r="1126">
          <cell r="B1126">
            <v>37.35</v>
          </cell>
          <cell r="C1126">
            <v>72.67</v>
          </cell>
          <cell r="D1126">
            <v>17.690000000000001</v>
          </cell>
          <cell r="E1126">
            <v>9.5299999999999994</v>
          </cell>
          <cell r="H1126">
            <v>45338</v>
          </cell>
          <cell r="I1126">
            <v>0.69444444444444442</v>
          </cell>
          <cell r="J1126">
            <v>31.777777777777779</v>
          </cell>
        </row>
        <row r="1127">
          <cell r="B1127">
            <v>40.04</v>
          </cell>
          <cell r="C1127">
            <v>74.36</v>
          </cell>
          <cell r="D1127">
            <v>17.78</v>
          </cell>
          <cell r="E1127">
            <v>9.14</v>
          </cell>
          <cell r="H1127">
            <v>45338</v>
          </cell>
          <cell r="I1127">
            <v>0.69777777777777783</v>
          </cell>
          <cell r="J1127">
            <v>30.744444444444444</v>
          </cell>
        </row>
        <row r="1128">
          <cell r="B1128">
            <v>39.11</v>
          </cell>
          <cell r="C1128">
            <v>69.95</v>
          </cell>
          <cell r="D1128">
            <v>17.98</v>
          </cell>
          <cell r="E1128">
            <v>9.0299999999999994</v>
          </cell>
          <cell r="H1128">
            <v>45338</v>
          </cell>
          <cell r="I1128">
            <v>0.70888888888888879</v>
          </cell>
          <cell r="J1128">
            <v>30.511111111111106</v>
          </cell>
        </row>
        <row r="1129">
          <cell r="B1129">
            <v>39.99</v>
          </cell>
          <cell r="C1129">
            <v>70.510000000000005</v>
          </cell>
          <cell r="D1129">
            <v>17.68</v>
          </cell>
          <cell r="E1129">
            <v>8.8699999999999992</v>
          </cell>
          <cell r="H1129">
            <v>45338</v>
          </cell>
          <cell r="I1129">
            <v>0.71333333333333326</v>
          </cell>
          <cell r="J1129">
            <v>30.475555555555552</v>
          </cell>
        </row>
        <row r="1130">
          <cell r="B1130">
            <v>37.36</v>
          </cell>
          <cell r="C1130">
            <v>70.87</v>
          </cell>
          <cell r="D1130">
            <v>17.940000000000001</v>
          </cell>
          <cell r="E1130">
            <v>8.6300000000000008</v>
          </cell>
          <cell r="H1130">
            <v>45339</v>
          </cell>
          <cell r="I1130">
            <v>0.7155555555555555</v>
          </cell>
          <cell r="J1130">
            <v>30.282222222222217</v>
          </cell>
        </row>
        <row r="1131">
          <cell r="B1131">
            <v>33.520000000000003</v>
          </cell>
          <cell r="C1131">
            <v>68.400000000000006</v>
          </cell>
          <cell r="D1131">
            <v>17.760000000000002</v>
          </cell>
          <cell r="E1131">
            <v>7.9</v>
          </cell>
          <cell r="H1131">
            <v>45339</v>
          </cell>
          <cell r="I1131">
            <v>0.71111111111111103</v>
          </cell>
          <cell r="J1131">
            <v>29.827777777777783</v>
          </cell>
        </row>
        <row r="1132">
          <cell r="B1132">
            <v>34.32</v>
          </cell>
          <cell r="C1132">
            <v>63.37</v>
          </cell>
          <cell r="D1132">
            <v>17.649999999999999</v>
          </cell>
          <cell r="E1132">
            <v>8.0299999999999994</v>
          </cell>
          <cell r="H1132">
            <v>45339</v>
          </cell>
          <cell r="I1132">
            <v>0.70111111111111102</v>
          </cell>
          <cell r="J1132">
            <v>29.63666666666667</v>
          </cell>
        </row>
        <row r="1133">
          <cell r="B1133">
            <v>35.46</v>
          </cell>
          <cell r="C1133">
            <v>65.959999999999994</v>
          </cell>
          <cell r="D1133">
            <v>17.78</v>
          </cell>
          <cell r="E1133">
            <v>8.2799999999999994</v>
          </cell>
          <cell r="H1133">
            <v>45339</v>
          </cell>
          <cell r="I1133">
            <v>0.68888888888888877</v>
          </cell>
          <cell r="J1133">
            <v>29.746666666666663</v>
          </cell>
        </row>
        <row r="1134">
          <cell r="B1134">
            <v>37.81</v>
          </cell>
          <cell r="C1134">
            <v>68.010000000000005</v>
          </cell>
          <cell r="D1134">
            <v>17.95</v>
          </cell>
          <cell r="E1134">
            <v>8.56</v>
          </cell>
          <cell r="H1134">
            <v>45339</v>
          </cell>
          <cell r="I1134">
            <v>0.67555555555555569</v>
          </cell>
          <cell r="J1134">
            <v>29.899999999999995</v>
          </cell>
        </row>
        <row r="1135">
          <cell r="B1135">
            <v>37.229999999999997</v>
          </cell>
          <cell r="C1135">
            <v>65.739999999999995</v>
          </cell>
          <cell r="D1135">
            <v>17.899999999999999</v>
          </cell>
          <cell r="E1135">
            <v>8.5500000000000007</v>
          </cell>
          <cell r="H1135">
            <v>45339</v>
          </cell>
          <cell r="I1135">
            <v>0.65888888888888897</v>
          </cell>
          <cell r="J1135">
            <v>29.799999999999997</v>
          </cell>
        </row>
        <row r="1136">
          <cell r="B1136">
            <v>33.22</v>
          </cell>
          <cell r="C1136">
            <v>67.7</v>
          </cell>
          <cell r="D1136">
            <v>18.41</v>
          </cell>
          <cell r="E1136">
            <v>9.2799999999999994</v>
          </cell>
          <cell r="H1136">
            <v>45339</v>
          </cell>
          <cell r="I1136">
            <v>0.66222222222222227</v>
          </cell>
          <cell r="J1136">
            <v>29.001111111111111</v>
          </cell>
        </row>
        <row r="1137">
          <cell r="B1137">
            <v>42.29</v>
          </cell>
          <cell r="C1137">
            <v>77.12</v>
          </cell>
          <cell r="D1137">
            <v>18.579999999999998</v>
          </cell>
          <cell r="E1137">
            <v>10.46</v>
          </cell>
          <cell r="H1137">
            <v>45339</v>
          </cell>
          <cell r="I1137">
            <v>0.67</v>
          </cell>
          <cell r="J1137">
            <v>27.995555555555555</v>
          </cell>
        </row>
        <row r="1138">
          <cell r="B1138">
            <v>46.81</v>
          </cell>
          <cell r="C1138">
            <v>88.88</v>
          </cell>
          <cell r="D1138">
            <v>18.809999999999999</v>
          </cell>
          <cell r="E1138">
            <v>9.51</v>
          </cell>
          <cell r="H1138">
            <v>45339</v>
          </cell>
          <cell r="I1138">
            <v>0.6711111111111111</v>
          </cell>
          <cell r="J1138">
            <v>27.977777777777778</v>
          </cell>
        </row>
        <row r="1139">
          <cell r="B1139">
            <v>40.450000000000003</v>
          </cell>
          <cell r="C1139">
            <v>82.42</v>
          </cell>
          <cell r="D1139">
            <v>17.940000000000001</v>
          </cell>
          <cell r="E1139">
            <v>9.26</v>
          </cell>
          <cell r="H1139">
            <v>45339</v>
          </cell>
          <cell r="I1139">
            <v>0.67444444444444451</v>
          </cell>
          <cell r="J1139">
            <v>28.185555555555553</v>
          </cell>
        </row>
        <row r="1140">
          <cell r="B1140">
            <v>39.67</v>
          </cell>
          <cell r="C1140">
            <v>79.069999999999993</v>
          </cell>
          <cell r="D1140">
            <v>16.84</v>
          </cell>
          <cell r="E1140">
            <v>8.57</v>
          </cell>
          <cell r="H1140">
            <v>45339</v>
          </cell>
          <cell r="I1140">
            <v>0.67666666666666664</v>
          </cell>
          <cell r="J1140">
            <v>28.538888888888891</v>
          </cell>
        </row>
        <row r="1141">
          <cell r="B1141">
            <v>33.450000000000003</v>
          </cell>
          <cell r="C1141">
            <v>78.38</v>
          </cell>
          <cell r="D1141">
            <v>17.29</v>
          </cell>
          <cell r="E1141">
            <v>8.99</v>
          </cell>
          <cell r="H1141">
            <v>45339</v>
          </cell>
          <cell r="I1141">
            <v>0.67222222222222228</v>
          </cell>
          <cell r="J1141">
            <v>29.338888888888889</v>
          </cell>
        </row>
        <row r="1142">
          <cell r="B1142">
            <v>26.7</v>
          </cell>
          <cell r="C1142">
            <v>75.709999999999994</v>
          </cell>
          <cell r="D1142">
            <v>17.309999999999999</v>
          </cell>
          <cell r="E1142">
            <v>9.2799999999999994</v>
          </cell>
          <cell r="H1142">
            <v>45339</v>
          </cell>
          <cell r="I1142">
            <v>0.66222222222222227</v>
          </cell>
          <cell r="J1142">
            <v>30.408888888888882</v>
          </cell>
        </row>
        <row r="1143">
          <cell r="B1143">
            <v>28.34</v>
          </cell>
          <cell r="C1143">
            <v>75.61</v>
          </cell>
          <cell r="D1143">
            <v>16.13</v>
          </cell>
          <cell r="E1143">
            <v>9.2100000000000009</v>
          </cell>
          <cell r="H1143">
            <v>45339</v>
          </cell>
          <cell r="I1143">
            <v>0.65444444444444438</v>
          </cell>
          <cell r="J1143">
            <v>32.087777777777774</v>
          </cell>
        </row>
        <row r="1144">
          <cell r="B1144">
            <v>26.97</v>
          </cell>
          <cell r="C1144">
            <v>70.73</v>
          </cell>
          <cell r="D1144">
            <v>16.23</v>
          </cell>
          <cell r="E1144">
            <v>9.15</v>
          </cell>
          <cell r="H1144">
            <v>45339</v>
          </cell>
          <cell r="I1144">
            <v>0.64666666666666672</v>
          </cell>
          <cell r="J1144">
            <v>34.63666666666667</v>
          </cell>
        </row>
        <row r="1145">
          <cell r="B1145">
            <v>26.72</v>
          </cell>
          <cell r="C1145">
            <v>70.25</v>
          </cell>
          <cell r="D1145">
            <v>15.59</v>
          </cell>
          <cell r="E1145">
            <v>8.99</v>
          </cell>
          <cell r="H1145">
            <v>45339</v>
          </cell>
          <cell r="I1145">
            <v>0.62777777777777777</v>
          </cell>
          <cell r="J1145">
            <v>37.23555555555555</v>
          </cell>
        </row>
        <row r="1146">
          <cell r="B1146">
            <v>28.06</v>
          </cell>
          <cell r="C1146">
            <v>68.81</v>
          </cell>
          <cell r="D1146">
            <v>15.32</v>
          </cell>
          <cell r="E1146">
            <v>9.23</v>
          </cell>
          <cell r="H1146">
            <v>45339</v>
          </cell>
          <cell r="I1146">
            <v>0.60777777777777786</v>
          </cell>
          <cell r="J1146">
            <v>39.632222222222225</v>
          </cell>
        </row>
        <row r="1147">
          <cell r="B1147">
            <v>39.340000000000003</v>
          </cell>
          <cell r="C1147">
            <v>71.2</v>
          </cell>
          <cell r="D1147">
            <v>15.69</v>
          </cell>
          <cell r="E1147">
            <v>9.67</v>
          </cell>
          <cell r="H1147">
            <v>45339</v>
          </cell>
          <cell r="I1147">
            <v>0.61444444444444435</v>
          </cell>
          <cell r="J1147">
            <v>39.983333333333334</v>
          </cell>
        </row>
        <row r="1148">
          <cell r="B1148">
            <v>43.86</v>
          </cell>
          <cell r="C1148">
            <v>82.96</v>
          </cell>
          <cell r="D1148">
            <v>16.54</v>
          </cell>
          <cell r="E1148">
            <v>9.43</v>
          </cell>
          <cell r="H1148">
            <v>45339</v>
          </cell>
          <cell r="I1148">
            <v>0.62555555555555542</v>
          </cell>
          <cell r="J1148">
            <v>39.604444444444447</v>
          </cell>
        </row>
        <row r="1149">
          <cell r="B1149">
            <v>48.11</v>
          </cell>
          <cell r="C1149">
            <v>90.87</v>
          </cell>
          <cell r="D1149">
            <v>16.84</v>
          </cell>
          <cell r="E1149">
            <v>9.1300000000000008</v>
          </cell>
          <cell r="H1149">
            <v>45339</v>
          </cell>
          <cell r="I1149">
            <v>0.63111111111111107</v>
          </cell>
          <cell r="J1149">
            <v>38.771111111111111</v>
          </cell>
        </row>
        <row r="1150">
          <cell r="B1150">
            <v>47.99</v>
          </cell>
          <cell r="C1150">
            <v>93.8</v>
          </cell>
          <cell r="D1150">
            <v>17.14</v>
          </cell>
          <cell r="E1150">
            <v>9.02</v>
          </cell>
          <cell r="H1150">
            <v>45339</v>
          </cell>
          <cell r="I1150">
            <v>0.64</v>
          </cell>
          <cell r="J1150">
            <v>38.213333333333338</v>
          </cell>
        </row>
        <row r="1151">
          <cell r="B1151">
            <v>45.85</v>
          </cell>
          <cell r="C1151">
            <v>89.65</v>
          </cell>
          <cell r="D1151">
            <v>16.809999999999999</v>
          </cell>
          <cell r="E1151">
            <v>8.76</v>
          </cell>
          <cell r="H1151">
            <v>45339</v>
          </cell>
          <cell r="I1151">
            <v>0.6433333333333332</v>
          </cell>
          <cell r="J1151">
            <v>37.736666666666665</v>
          </cell>
        </row>
        <row r="1152">
          <cell r="B1152">
            <v>45.56</v>
          </cell>
          <cell r="C1152">
            <v>86.18</v>
          </cell>
          <cell r="D1152">
            <v>16.579999999999998</v>
          </cell>
          <cell r="E1152">
            <v>8.6300000000000008</v>
          </cell>
          <cell r="H1152">
            <v>45339</v>
          </cell>
          <cell r="I1152">
            <v>0.64999999999999991</v>
          </cell>
          <cell r="J1152">
            <v>36.786666666666662</v>
          </cell>
        </row>
        <row r="1153">
          <cell r="B1153">
            <v>44.83</v>
          </cell>
          <cell r="C1153">
            <v>82.51</v>
          </cell>
          <cell r="D1153">
            <v>16.71</v>
          </cell>
          <cell r="E1153">
            <v>8.64</v>
          </cell>
          <cell r="H1153">
            <v>45339</v>
          </cell>
          <cell r="I1153">
            <v>0.65444444444444438</v>
          </cell>
          <cell r="J1153">
            <v>35.448888888888888</v>
          </cell>
        </row>
        <row r="1154">
          <cell r="B1154">
            <v>45.34</v>
          </cell>
          <cell r="C1154">
            <v>81.52</v>
          </cell>
          <cell r="D1154">
            <v>16.52</v>
          </cell>
          <cell r="E1154">
            <v>8.83</v>
          </cell>
          <cell r="H1154">
            <v>45340</v>
          </cell>
          <cell r="I1154">
            <v>0.65777777777777779</v>
          </cell>
          <cell r="J1154">
            <v>34.557777777777773</v>
          </cell>
        </row>
        <row r="1155">
          <cell r="B1155">
            <v>45.98</v>
          </cell>
          <cell r="C1155">
            <v>81.87</v>
          </cell>
          <cell r="D1155">
            <v>16.37</v>
          </cell>
          <cell r="E1155">
            <v>8.85</v>
          </cell>
          <cell r="H1155">
            <v>45340</v>
          </cell>
          <cell r="I1155">
            <v>0.66111111111111109</v>
          </cell>
          <cell r="J1155">
            <v>33.769999999999996</v>
          </cell>
        </row>
        <row r="1156">
          <cell r="B1156">
            <v>44.44</v>
          </cell>
          <cell r="C1156">
            <v>78.81</v>
          </cell>
          <cell r="D1156">
            <v>15.05</v>
          </cell>
          <cell r="E1156">
            <v>8.5399999999999991</v>
          </cell>
          <cell r="H1156">
            <v>45340</v>
          </cell>
          <cell r="I1156">
            <v>0.65666666666666673</v>
          </cell>
          <cell r="J1156">
            <v>33.806666666666665</v>
          </cell>
        </row>
        <row r="1157">
          <cell r="B1157">
            <v>40.659999999999997</v>
          </cell>
          <cell r="C1157">
            <v>74.3</v>
          </cell>
          <cell r="D1157">
            <v>16.2</v>
          </cell>
          <cell r="E1157">
            <v>8.56</v>
          </cell>
          <cell r="H1157">
            <v>45340</v>
          </cell>
          <cell r="I1157">
            <v>0.64777777777777779</v>
          </cell>
          <cell r="J1157">
            <v>34.028888888888886</v>
          </cell>
        </row>
        <row r="1158">
          <cell r="B1158">
            <v>40.85</v>
          </cell>
          <cell r="C1158">
            <v>72.5</v>
          </cell>
          <cell r="D1158">
            <v>16.489999999999998</v>
          </cell>
          <cell r="E1158">
            <v>9.11</v>
          </cell>
          <cell r="H1158">
            <v>45340</v>
          </cell>
          <cell r="I1158">
            <v>0.64</v>
          </cell>
          <cell r="J1158">
            <v>34.533333333333331</v>
          </cell>
        </row>
        <row r="1159">
          <cell r="B1159">
            <v>42.12</v>
          </cell>
          <cell r="C1159">
            <v>74.44</v>
          </cell>
          <cell r="D1159">
            <v>16.55</v>
          </cell>
          <cell r="E1159">
            <v>8.8800000000000008</v>
          </cell>
          <cell r="H1159">
            <v>45340</v>
          </cell>
          <cell r="I1159">
            <v>0.64444444444444438</v>
          </cell>
          <cell r="J1159">
            <v>34.059999999999995</v>
          </cell>
        </row>
        <row r="1160">
          <cell r="B1160">
            <v>45.17</v>
          </cell>
          <cell r="C1160">
            <v>79.86</v>
          </cell>
          <cell r="D1160">
            <v>16.72</v>
          </cell>
          <cell r="E1160">
            <v>8.9600000000000009</v>
          </cell>
          <cell r="H1160">
            <v>45340</v>
          </cell>
          <cell r="I1160">
            <v>0.66222222222222227</v>
          </cell>
          <cell r="J1160">
            <v>32.792222222222222</v>
          </cell>
        </row>
        <row r="1161">
          <cell r="B1161">
            <v>56.06</v>
          </cell>
          <cell r="C1161">
            <v>103.55</v>
          </cell>
          <cell r="D1161">
            <v>17.11</v>
          </cell>
          <cell r="E1161">
            <v>9.61</v>
          </cell>
          <cell r="H1161">
            <v>45340</v>
          </cell>
          <cell r="I1161">
            <v>0.67999999999999994</v>
          </cell>
          <cell r="J1161">
            <v>31.622222222222224</v>
          </cell>
        </row>
        <row r="1162">
          <cell r="B1162">
            <v>58.54</v>
          </cell>
          <cell r="C1162">
            <v>113.25</v>
          </cell>
          <cell r="D1162">
            <v>17.57</v>
          </cell>
          <cell r="E1162">
            <v>9.19</v>
          </cell>
          <cell r="H1162">
            <v>45340</v>
          </cell>
          <cell r="I1162">
            <v>0.69777777777777772</v>
          </cell>
          <cell r="J1162">
            <v>30.747777777777774</v>
          </cell>
        </row>
        <row r="1163">
          <cell r="B1163">
            <v>50.95</v>
          </cell>
          <cell r="C1163">
            <v>100.2</v>
          </cell>
          <cell r="D1163">
            <v>17.2</v>
          </cell>
          <cell r="E1163">
            <v>8.67</v>
          </cell>
          <cell r="H1163">
            <v>45340</v>
          </cell>
          <cell r="I1163">
            <v>0.70555555555555549</v>
          </cell>
          <cell r="J1163">
            <v>31.042222222222215</v>
          </cell>
        </row>
        <row r="1164">
          <cell r="B1164">
            <v>45.56</v>
          </cell>
          <cell r="C1164">
            <v>92.52</v>
          </cell>
          <cell r="D1164">
            <v>15.91</v>
          </cell>
          <cell r="E1164">
            <v>9.59</v>
          </cell>
          <cell r="H1164">
            <v>45340</v>
          </cell>
          <cell r="I1164">
            <v>0.70999999999999985</v>
          </cell>
          <cell r="J1164">
            <v>31.35444444444445</v>
          </cell>
        </row>
        <row r="1165">
          <cell r="B1165">
            <v>40.72</v>
          </cell>
          <cell r="C1165">
            <v>86.42</v>
          </cell>
          <cell r="D1165">
            <v>16.87</v>
          </cell>
          <cell r="E1165">
            <v>9.18</v>
          </cell>
          <cell r="H1165">
            <v>45340</v>
          </cell>
          <cell r="I1165">
            <v>0.70666666666666655</v>
          </cell>
          <cell r="J1165">
            <v>32.162222222222219</v>
          </cell>
        </row>
        <row r="1166">
          <cell r="B1166">
            <v>28.18</v>
          </cell>
          <cell r="C1166">
            <v>75.75</v>
          </cell>
          <cell r="D1166">
            <v>16.53</v>
          </cell>
          <cell r="E1166">
            <v>8.89</v>
          </cell>
          <cell r="H1166">
            <v>45340</v>
          </cell>
          <cell r="I1166">
            <v>0.69666666666666655</v>
          </cell>
          <cell r="J1166">
            <v>33.715555555555547</v>
          </cell>
        </row>
        <row r="1167">
          <cell r="B1167">
            <v>25.73</v>
          </cell>
          <cell r="C1167">
            <v>69.930000000000007</v>
          </cell>
          <cell r="D1167">
            <v>16.52</v>
          </cell>
          <cell r="E1167">
            <v>9.2200000000000006</v>
          </cell>
          <cell r="H1167">
            <v>45340</v>
          </cell>
          <cell r="I1167">
            <v>0.69222222222222229</v>
          </cell>
          <cell r="J1167">
            <v>35.406666666666666</v>
          </cell>
        </row>
        <row r="1168">
          <cell r="B1168">
            <v>28.96</v>
          </cell>
          <cell r="C1168">
            <v>68.959999999999994</v>
          </cell>
          <cell r="D1168">
            <v>16.32</v>
          </cell>
          <cell r="E1168">
            <v>8.92</v>
          </cell>
          <cell r="H1168">
            <v>45340</v>
          </cell>
          <cell r="I1168">
            <v>0.68555555555555558</v>
          </cell>
          <cell r="J1168">
            <v>37.556666666666665</v>
          </cell>
        </row>
        <row r="1169">
          <cell r="B1169">
            <v>25.67</v>
          </cell>
          <cell r="C1169">
            <v>69.73</v>
          </cell>
          <cell r="D1169">
            <v>16.309999999999999</v>
          </cell>
          <cell r="E1169">
            <v>8.84</v>
          </cell>
          <cell r="H1169">
            <v>45340</v>
          </cell>
          <cell r="I1169">
            <v>0.66888888888888898</v>
          </cell>
          <cell r="J1169">
            <v>40.326666666666668</v>
          </cell>
        </row>
        <row r="1170">
          <cell r="B1170">
            <v>26.85</v>
          </cell>
          <cell r="C1170">
            <v>70.92</v>
          </cell>
          <cell r="D1170">
            <v>16.3</v>
          </cell>
          <cell r="E1170">
            <v>8.75</v>
          </cell>
          <cell r="H1170">
            <v>45340</v>
          </cell>
          <cell r="I1170">
            <v>0.6511111111111112</v>
          </cell>
          <cell r="J1170">
            <v>42.957777777777778</v>
          </cell>
        </row>
        <row r="1171">
          <cell r="B1171">
            <v>36.17</v>
          </cell>
          <cell r="C1171">
            <v>79.95</v>
          </cell>
          <cell r="D1171">
            <v>15.28</v>
          </cell>
          <cell r="E1171">
            <v>9.3000000000000007</v>
          </cell>
          <cell r="H1171">
            <v>45340</v>
          </cell>
          <cell r="I1171">
            <v>0.64555555555555566</v>
          </cell>
          <cell r="J1171">
            <v>44.603333333333325</v>
          </cell>
        </row>
        <row r="1172">
          <cell r="B1172">
            <v>38.130000000000003</v>
          </cell>
          <cell r="C1172">
            <v>81.92</v>
          </cell>
          <cell r="D1172">
            <v>16.07</v>
          </cell>
          <cell r="E1172">
            <v>9.48</v>
          </cell>
          <cell r="H1172">
            <v>45340</v>
          </cell>
          <cell r="I1172">
            <v>0.66777777777777769</v>
          </cell>
          <cell r="J1172">
            <v>44.4</v>
          </cell>
        </row>
        <row r="1173">
          <cell r="B1173">
            <v>44.55</v>
          </cell>
          <cell r="C1173">
            <v>101.93</v>
          </cell>
          <cell r="D1173">
            <v>18.760000000000002</v>
          </cell>
          <cell r="E1173">
            <v>8.94</v>
          </cell>
          <cell r="H1173">
            <v>45340</v>
          </cell>
          <cell r="I1173">
            <v>0.69666666666666666</v>
          </cell>
          <cell r="J1173">
            <v>43.204444444444441</v>
          </cell>
        </row>
        <row r="1174">
          <cell r="B1174">
            <v>43.5</v>
          </cell>
          <cell r="C1174">
            <v>95.83</v>
          </cell>
          <cell r="D1174">
            <v>17.77</v>
          </cell>
          <cell r="E1174">
            <v>8.69</v>
          </cell>
          <cell r="H1174">
            <v>45340</v>
          </cell>
          <cell r="I1174">
            <v>0.70333333333333325</v>
          </cell>
          <cell r="J1174">
            <v>41.834444444444443</v>
          </cell>
        </row>
        <row r="1175">
          <cell r="B1175">
            <v>42.41</v>
          </cell>
          <cell r="C1175">
            <v>90.85</v>
          </cell>
          <cell r="D1175">
            <v>16.760000000000002</v>
          </cell>
          <cell r="E1175">
            <v>8.64</v>
          </cell>
          <cell r="H1175">
            <v>45340</v>
          </cell>
          <cell r="I1175">
            <v>0.71111111111111103</v>
          </cell>
          <cell r="J1175">
            <v>40.13666666666667</v>
          </cell>
        </row>
        <row r="1176">
          <cell r="B1176">
            <v>39.68</v>
          </cell>
          <cell r="C1176">
            <v>74.28</v>
          </cell>
          <cell r="D1176">
            <v>17.23</v>
          </cell>
          <cell r="E1176">
            <v>8.43</v>
          </cell>
          <cell r="H1176">
            <v>45340</v>
          </cell>
          <cell r="I1176">
            <v>0.71222222222222209</v>
          </cell>
          <cell r="J1176">
            <v>38.624444444444443</v>
          </cell>
        </row>
        <row r="1177">
          <cell r="B1177">
            <v>39.31</v>
          </cell>
          <cell r="C1177">
            <v>70.14</v>
          </cell>
          <cell r="D1177">
            <v>17.22</v>
          </cell>
          <cell r="E1177">
            <v>8.1300000000000008</v>
          </cell>
          <cell r="H1177">
            <v>45340</v>
          </cell>
          <cell r="I1177">
            <v>0.70777777777777784</v>
          </cell>
          <cell r="J1177">
            <v>37.13333333333334</v>
          </cell>
        </row>
        <row r="1178">
          <cell r="B1178">
            <v>35.21</v>
          </cell>
          <cell r="C1178">
            <v>68.650000000000006</v>
          </cell>
          <cell r="D1178">
            <v>17.27</v>
          </cell>
          <cell r="E1178">
            <v>8.18</v>
          </cell>
          <cell r="H1178">
            <v>45341</v>
          </cell>
          <cell r="I1178">
            <v>0.70777777777777784</v>
          </cell>
          <cell r="J1178">
            <v>35.742222222222225</v>
          </cell>
        </row>
        <row r="1179">
          <cell r="B1179">
            <v>35.24</v>
          </cell>
          <cell r="C1179">
            <v>63.88</v>
          </cell>
          <cell r="D1179">
            <v>16.97</v>
          </cell>
          <cell r="E1179">
            <v>7.7</v>
          </cell>
          <cell r="H1179">
            <v>45341</v>
          </cell>
          <cell r="I1179">
            <v>0.7088888888888889</v>
          </cell>
          <cell r="J1179">
            <v>34.284444444444446</v>
          </cell>
        </row>
        <row r="1180">
          <cell r="B1180">
            <v>32.979999999999997</v>
          </cell>
          <cell r="C1180">
            <v>59.49</v>
          </cell>
          <cell r="D1180">
            <v>15.62</v>
          </cell>
          <cell r="E1180">
            <v>8.23</v>
          </cell>
          <cell r="H1180">
            <v>45341</v>
          </cell>
          <cell r="I1180">
            <v>0.70111111111111113</v>
          </cell>
          <cell r="J1180">
            <v>33.11888888888889</v>
          </cell>
        </row>
        <row r="1181">
          <cell r="B1181">
            <v>32.01</v>
          </cell>
          <cell r="C1181">
            <v>56.4</v>
          </cell>
          <cell r="D1181">
            <v>16.309999999999999</v>
          </cell>
          <cell r="E1181">
            <v>7.58</v>
          </cell>
          <cell r="H1181">
            <v>45341</v>
          </cell>
          <cell r="I1181">
            <v>0.67</v>
          </cell>
          <cell r="J1181">
            <v>32.392222222222216</v>
          </cell>
        </row>
        <row r="1182">
          <cell r="B1182">
            <v>32.159999999999997</v>
          </cell>
          <cell r="C1182">
            <v>55.51</v>
          </cell>
          <cell r="D1182">
            <v>16.329999999999998</v>
          </cell>
          <cell r="E1182">
            <v>8.26</v>
          </cell>
          <cell r="H1182">
            <v>45341</v>
          </cell>
          <cell r="I1182">
            <v>0.63555555555555554</v>
          </cell>
          <cell r="J1182">
            <v>32.332222222222214</v>
          </cell>
        </row>
        <row r="1183">
          <cell r="B1183">
            <v>33.270000000000003</v>
          </cell>
          <cell r="C1183">
            <v>57.07</v>
          </cell>
          <cell r="D1183">
            <v>16.29</v>
          </cell>
          <cell r="E1183">
            <v>8.1300000000000008</v>
          </cell>
          <cell r="H1183">
            <v>45341</v>
          </cell>
          <cell r="I1183">
            <v>0.62888888888888894</v>
          </cell>
          <cell r="J1183">
            <v>31.935555555555553</v>
          </cell>
        </row>
        <row r="1184">
          <cell r="B1184">
            <v>38.92</v>
          </cell>
          <cell r="C1184">
            <v>69.36</v>
          </cell>
          <cell r="D1184">
            <v>16.66</v>
          </cell>
          <cell r="E1184">
            <v>8.6999999999999993</v>
          </cell>
          <cell r="H1184">
            <v>45341</v>
          </cell>
          <cell r="I1184">
            <v>0.6333333333333333</v>
          </cell>
          <cell r="J1184">
            <v>31.351111111111113</v>
          </cell>
        </row>
        <row r="1185">
          <cell r="B1185">
            <v>41.81</v>
          </cell>
          <cell r="C1185">
            <v>80.62</v>
          </cell>
          <cell r="D1185">
            <v>16.75</v>
          </cell>
          <cell r="E1185">
            <v>8.57</v>
          </cell>
          <cell r="H1185">
            <v>45341</v>
          </cell>
          <cell r="I1185">
            <v>0.64666666666666661</v>
          </cell>
          <cell r="J1185">
            <v>30.342222222222226</v>
          </cell>
        </row>
        <row r="1186">
          <cell r="B1186">
            <v>47.59</v>
          </cell>
          <cell r="C1186">
            <v>93.67</v>
          </cell>
          <cell r="D1186">
            <v>17.260000000000002</v>
          </cell>
          <cell r="E1186">
            <v>8.7799999999999994</v>
          </cell>
          <cell r="H1186">
            <v>45341</v>
          </cell>
          <cell r="I1186">
            <v>0.66555555555555557</v>
          </cell>
          <cell r="J1186">
            <v>29.793333333333333</v>
          </cell>
        </row>
        <row r="1187">
          <cell r="B1187">
            <v>44.32</v>
          </cell>
          <cell r="C1187">
            <v>84.74</v>
          </cell>
          <cell r="D1187">
            <v>15.59</v>
          </cell>
          <cell r="E1187">
            <v>7.82</v>
          </cell>
          <cell r="H1187">
            <v>45341</v>
          </cell>
          <cell r="I1187">
            <v>0.68111111111111111</v>
          </cell>
          <cell r="J1187">
            <v>29.423333333333332</v>
          </cell>
        </row>
        <row r="1188">
          <cell r="B1188">
            <v>36.5</v>
          </cell>
          <cell r="C1188">
            <v>74.42</v>
          </cell>
          <cell r="D1188">
            <v>15.3</v>
          </cell>
          <cell r="E1188">
            <v>7.49</v>
          </cell>
          <cell r="H1188">
            <v>45341</v>
          </cell>
          <cell r="I1188">
            <v>0.69333333333333336</v>
          </cell>
          <cell r="J1188">
            <v>29.400000000000002</v>
          </cell>
        </row>
        <row r="1189">
          <cell r="B1189">
            <v>28.64</v>
          </cell>
          <cell r="C1189">
            <v>69.17</v>
          </cell>
          <cell r="D1189">
            <v>15.3</v>
          </cell>
          <cell r="E1189">
            <v>8.17</v>
          </cell>
          <cell r="H1189">
            <v>45341</v>
          </cell>
          <cell r="I1189">
            <v>0.70777777777777784</v>
          </cell>
          <cell r="J1189">
            <v>29.652222222222221</v>
          </cell>
        </row>
        <row r="1190">
          <cell r="B1190">
            <v>29.48</v>
          </cell>
          <cell r="C1190">
            <v>80.64</v>
          </cell>
          <cell r="D1190">
            <v>15.88</v>
          </cell>
          <cell r="E1190">
            <v>8.2100000000000009</v>
          </cell>
          <cell r="H1190">
            <v>45341</v>
          </cell>
          <cell r="I1190">
            <v>0.71222222222222209</v>
          </cell>
          <cell r="J1190">
            <v>31.293333333333337</v>
          </cell>
        </row>
        <row r="1191">
          <cell r="B1191">
            <v>27.98</v>
          </cell>
          <cell r="C1191">
            <v>69.400000000000006</v>
          </cell>
          <cell r="D1191">
            <v>15.67</v>
          </cell>
          <cell r="E1191">
            <v>8.1199999999999992</v>
          </cell>
          <cell r="H1191">
            <v>45341</v>
          </cell>
          <cell r="I1191">
            <v>0.71000000000000008</v>
          </cell>
          <cell r="J1191">
            <v>33.578888888888891</v>
          </cell>
        </row>
        <row r="1192">
          <cell r="B1192">
            <v>28.09</v>
          </cell>
          <cell r="C1192">
            <v>67.69</v>
          </cell>
          <cell r="D1192">
            <v>14.98</v>
          </cell>
          <cell r="E1192">
            <v>8.6999999999999993</v>
          </cell>
          <cell r="H1192">
            <v>45341</v>
          </cell>
          <cell r="I1192">
            <v>0.70444444444444454</v>
          </cell>
          <cell r="J1192">
            <v>36.815555555555562</v>
          </cell>
        </row>
        <row r="1193">
          <cell r="B1193">
            <v>25.57</v>
          </cell>
          <cell r="C1193">
            <v>59.31</v>
          </cell>
          <cell r="D1193">
            <v>14.86</v>
          </cell>
          <cell r="E1193">
            <v>8.61</v>
          </cell>
          <cell r="H1193">
            <v>45341</v>
          </cell>
          <cell r="I1193">
            <v>0.69222222222222229</v>
          </cell>
          <cell r="J1193">
            <v>39.565555555555562</v>
          </cell>
        </row>
        <row r="1194">
          <cell r="B1194">
            <v>34.51</v>
          </cell>
          <cell r="C1194">
            <v>61.23</v>
          </cell>
          <cell r="D1194">
            <v>14.7</v>
          </cell>
          <cell r="E1194">
            <v>8.25</v>
          </cell>
          <cell r="H1194">
            <v>45341</v>
          </cell>
          <cell r="I1194">
            <v>0.6777777777777777</v>
          </cell>
          <cell r="J1194">
            <v>42.196666666666665</v>
          </cell>
        </row>
        <row r="1195">
          <cell r="B1195">
            <v>39.69</v>
          </cell>
          <cell r="C1195">
            <v>72.61</v>
          </cell>
          <cell r="D1195">
            <v>14.8</v>
          </cell>
          <cell r="E1195">
            <v>8.17</v>
          </cell>
          <cell r="H1195">
            <v>45341</v>
          </cell>
          <cell r="I1195">
            <v>0.67999999999999994</v>
          </cell>
          <cell r="J1195">
            <v>43.227777777777774</v>
          </cell>
        </row>
        <row r="1196">
          <cell r="B1196">
            <v>42.73</v>
          </cell>
          <cell r="C1196">
            <v>86.84</v>
          </cell>
          <cell r="D1196">
            <v>16.329999999999998</v>
          </cell>
          <cell r="E1196">
            <v>8.4499999999999993</v>
          </cell>
          <cell r="H1196">
            <v>45341</v>
          </cell>
          <cell r="I1196">
            <v>0.69222222222222229</v>
          </cell>
          <cell r="J1196">
            <v>42.9</v>
          </cell>
        </row>
        <row r="1197">
          <cell r="B1197">
            <v>47.96</v>
          </cell>
          <cell r="C1197">
            <v>105.51</v>
          </cell>
          <cell r="D1197">
            <v>17.53</v>
          </cell>
          <cell r="E1197">
            <v>8.9499999999999993</v>
          </cell>
          <cell r="H1197">
            <v>45341</v>
          </cell>
          <cell r="I1197">
            <v>0.72222222222222221</v>
          </cell>
          <cell r="J1197">
            <v>41.765555555555558</v>
          </cell>
        </row>
        <row r="1198">
          <cell r="B1198">
            <v>53.6</v>
          </cell>
          <cell r="C1198">
            <v>104.52</v>
          </cell>
          <cell r="D1198">
            <v>17.18</v>
          </cell>
          <cell r="E1198">
            <v>8.3800000000000008</v>
          </cell>
          <cell r="H1198">
            <v>45341</v>
          </cell>
          <cell r="I1198">
            <v>0.72555555555555562</v>
          </cell>
          <cell r="J1198">
            <v>40.763333333333328</v>
          </cell>
        </row>
        <row r="1199">
          <cell r="B1199">
            <v>51.11</v>
          </cell>
          <cell r="C1199">
            <v>95.64</v>
          </cell>
          <cell r="D1199">
            <v>17.649999999999999</v>
          </cell>
          <cell r="E1199">
            <v>8.0500000000000007</v>
          </cell>
          <cell r="H1199">
            <v>45341</v>
          </cell>
          <cell r="I1199">
            <v>0.73</v>
          </cell>
          <cell r="J1199">
            <v>38.745555555555555</v>
          </cell>
        </row>
        <row r="1200">
          <cell r="B1200">
            <v>45.09</v>
          </cell>
          <cell r="C1200">
            <v>80.59</v>
          </cell>
          <cell r="D1200">
            <v>17.690000000000001</v>
          </cell>
          <cell r="E1200">
            <v>7.84</v>
          </cell>
          <cell r="H1200">
            <v>45341</v>
          </cell>
          <cell r="I1200">
            <v>0.73444444444444446</v>
          </cell>
          <cell r="J1200">
            <v>36.404444444444444</v>
          </cell>
        </row>
        <row r="1201">
          <cell r="B1201">
            <v>39.520000000000003</v>
          </cell>
          <cell r="C1201">
            <v>74.06</v>
          </cell>
          <cell r="D1201">
            <v>17.329999999999998</v>
          </cell>
          <cell r="E1201">
            <v>7.76</v>
          </cell>
          <cell r="H1201">
            <v>45341</v>
          </cell>
          <cell r="I1201">
            <v>0.73666666666666669</v>
          </cell>
          <cell r="J1201">
            <v>33.455555555555556</v>
          </cell>
        </row>
        <row r="1202">
          <cell r="B1202">
            <v>38.799999999999997</v>
          </cell>
          <cell r="C1202">
            <v>69.48</v>
          </cell>
          <cell r="D1202">
            <v>17.62</v>
          </cell>
          <cell r="E1202">
            <v>8.23</v>
          </cell>
          <cell r="H1202">
            <v>45342</v>
          </cell>
          <cell r="I1202">
            <v>0.74222222222222234</v>
          </cell>
          <cell r="J1202">
            <v>31.160000000000007</v>
          </cell>
        </row>
        <row r="1203">
          <cell r="B1203">
            <v>37.340000000000003</v>
          </cell>
          <cell r="C1203">
            <v>64.88</v>
          </cell>
          <cell r="D1203">
            <v>17.48</v>
          </cell>
          <cell r="E1203">
            <v>8.91</v>
          </cell>
          <cell r="H1203">
            <v>45342</v>
          </cell>
          <cell r="I1203">
            <v>0.74222222222222234</v>
          </cell>
          <cell r="J1203">
            <v>29.196666666666673</v>
          </cell>
        </row>
        <row r="1204">
          <cell r="B1204">
            <v>34.94</v>
          </cell>
          <cell r="C1204">
            <v>64.319999999999993</v>
          </cell>
          <cell r="D1204">
            <v>17.48</v>
          </cell>
          <cell r="E1204">
            <v>8.98</v>
          </cell>
          <cell r="H1204">
            <v>45342</v>
          </cell>
          <cell r="I1204">
            <v>0.72333333333333327</v>
          </cell>
          <cell r="J1204">
            <v>28.088888888888889</v>
          </cell>
        </row>
        <row r="1205">
          <cell r="B1205">
            <v>40.93</v>
          </cell>
          <cell r="C1205">
            <v>64.7</v>
          </cell>
          <cell r="D1205">
            <v>17.600000000000001</v>
          </cell>
          <cell r="E1205">
            <v>9.1</v>
          </cell>
          <cell r="H1205">
            <v>45342</v>
          </cell>
          <cell r="I1205">
            <v>0.7</v>
          </cell>
          <cell r="J1205">
            <v>27.790000000000006</v>
          </cell>
        </row>
        <row r="1206">
          <cell r="B1206">
            <v>38.61</v>
          </cell>
          <cell r="C1206">
            <v>66.45</v>
          </cell>
          <cell r="D1206">
            <v>17.68</v>
          </cell>
          <cell r="E1206">
            <v>9.11</v>
          </cell>
          <cell r="H1206">
            <v>45342</v>
          </cell>
          <cell r="I1206">
            <v>0.66111111111111109</v>
          </cell>
          <cell r="J1206">
            <v>28.163333333333338</v>
          </cell>
        </row>
        <row r="1207">
          <cell r="B1207">
            <v>35.020000000000003</v>
          </cell>
          <cell r="C1207">
            <v>60.1</v>
          </cell>
          <cell r="D1207">
            <v>17.97</v>
          </cell>
          <cell r="E1207">
            <v>8.89</v>
          </cell>
          <cell r="H1207">
            <v>45342</v>
          </cell>
          <cell r="I1207">
            <v>0.64999999999999991</v>
          </cell>
          <cell r="J1207">
            <v>28.067777777777778</v>
          </cell>
        </row>
        <row r="1208">
          <cell r="B1208">
            <v>34.590000000000003</v>
          </cell>
          <cell r="C1208">
            <v>60.86</v>
          </cell>
          <cell r="D1208">
            <v>18.489999999999998</v>
          </cell>
          <cell r="E1208">
            <v>10.15</v>
          </cell>
          <cell r="H1208">
            <v>45342</v>
          </cell>
          <cell r="I1208">
            <v>0.65444444444444438</v>
          </cell>
          <cell r="J1208">
            <v>27.485555555555557</v>
          </cell>
        </row>
        <row r="1209">
          <cell r="B1209">
            <v>36.49</v>
          </cell>
          <cell r="C1209">
            <v>74.56</v>
          </cell>
          <cell r="D1209">
            <v>18.66</v>
          </cell>
          <cell r="E1209">
            <v>9.8800000000000008</v>
          </cell>
          <cell r="H1209">
            <v>45342</v>
          </cell>
          <cell r="I1209">
            <v>0.67222222222222205</v>
          </cell>
          <cell r="J1209">
            <v>26.642222222222223</v>
          </cell>
        </row>
        <row r="1210">
          <cell r="B1210">
            <v>50.53</v>
          </cell>
          <cell r="C1210">
            <v>92.92</v>
          </cell>
          <cell r="D1210">
            <v>19.059999999999999</v>
          </cell>
          <cell r="E1210">
            <v>8.9499999999999993</v>
          </cell>
          <cell r="H1210">
            <v>45342</v>
          </cell>
          <cell r="I1210">
            <v>0.69222222222222229</v>
          </cell>
          <cell r="J1210">
            <v>26.173333333333332</v>
          </cell>
        </row>
        <row r="1211">
          <cell r="B1211">
            <v>41.77</v>
          </cell>
          <cell r="C1211">
            <v>93.58</v>
          </cell>
          <cell r="D1211">
            <v>19.059999999999999</v>
          </cell>
          <cell r="E1211">
            <v>8.4600000000000009</v>
          </cell>
          <cell r="H1211">
            <v>45342</v>
          </cell>
          <cell r="I1211">
            <v>0.71000000000000008</v>
          </cell>
          <cell r="J1211">
            <v>26.283333333333335</v>
          </cell>
        </row>
        <row r="1212">
          <cell r="B1212">
            <v>46.71</v>
          </cell>
          <cell r="C1212">
            <v>94.9</v>
          </cell>
          <cell r="D1212">
            <v>18.739999999999998</v>
          </cell>
          <cell r="E1212">
            <v>8.5299999999999994</v>
          </cell>
          <cell r="H1212">
            <v>45342</v>
          </cell>
          <cell r="I1212">
            <v>0.72444444444444456</v>
          </cell>
          <cell r="J1212">
            <v>27.366666666666667</v>
          </cell>
        </row>
        <row r="1213">
          <cell r="B1213">
            <v>36.840000000000003</v>
          </cell>
          <cell r="C1213">
            <v>84.66</v>
          </cell>
          <cell r="D1213">
            <v>18.399999999999999</v>
          </cell>
          <cell r="E1213">
            <v>8.73</v>
          </cell>
          <cell r="H1213">
            <v>45342</v>
          </cell>
          <cell r="I1213">
            <v>0.71888888888888891</v>
          </cell>
          <cell r="J1213">
            <v>29.008888888888887</v>
          </cell>
        </row>
        <row r="1214">
          <cell r="B1214">
            <v>33.28</v>
          </cell>
          <cell r="C1214">
            <v>74.069999999999993</v>
          </cell>
          <cell r="D1214">
            <v>17.97</v>
          </cell>
          <cell r="E1214">
            <v>8.76</v>
          </cell>
          <cell r="H1214">
            <v>45342</v>
          </cell>
          <cell r="I1214">
            <v>0.70888888888888901</v>
          </cell>
          <cell r="J1214">
            <v>31.117777777777778</v>
          </cell>
        </row>
        <row r="1215">
          <cell r="B1215">
            <v>29.39</v>
          </cell>
          <cell r="C1215">
            <v>70.97</v>
          </cell>
          <cell r="D1215">
            <v>17.98</v>
          </cell>
          <cell r="E1215">
            <v>8.3699999999999992</v>
          </cell>
          <cell r="H1215">
            <v>45342</v>
          </cell>
          <cell r="I1215">
            <v>0.70000000000000007</v>
          </cell>
          <cell r="J1215">
            <v>34.177777777777777</v>
          </cell>
        </row>
        <row r="1216">
          <cell r="B1216">
            <v>34.47</v>
          </cell>
          <cell r="C1216">
            <v>70.2</v>
          </cell>
          <cell r="D1216">
            <v>17.260000000000002</v>
          </cell>
          <cell r="E1216">
            <v>8.35</v>
          </cell>
          <cell r="H1216">
            <v>45342</v>
          </cell>
          <cell r="I1216">
            <v>0.69555555555555559</v>
          </cell>
          <cell r="J1216">
            <v>37.054444444444442</v>
          </cell>
        </row>
        <row r="1217">
          <cell r="B1217">
            <v>34.270000000000003</v>
          </cell>
          <cell r="C1217">
            <v>77.33</v>
          </cell>
          <cell r="D1217">
            <v>15.49</v>
          </cell>
          <cell r="E1217">
            <v>9.5399999999999991</v>
          </cell>
          <cell r="H1217">
            <v>45342</v>
          </cell>
          <cell r="I1217">
            <v>0.68333333333333335</v>
          </cell>
          <cell r="J1217">
            <v>39.814444444444447</v>
          </cell>
        </row>
        <row r="1218">
          <cell r="B1218">
            <v>40.25</v>
          </cell>
          <cell r="C1218">
            <v>80.03</v>
          </cell>
          <cell r="D1218">
            <v>16.100000000000001</v>
          </cell>
          <cell r="E1218">
            <v>9.35</v>
          </cell>
          <cell r="H1218">
            <v>45342</v>
          </cell>
          <cell r="I1218">
            <v>0.66666666666666663</v>
          </cell>
          <cell r="J1218">
            <v>43.401111111111113</v>
          </cell>
        </row>
        <row r="1219">
          <cell r="B1219">
            <v>38.840000000000003</v>
          </cell>
          <cell r="C1219">
            <v>85.31</v>
          </cell>
          <cell r="D1219">
            <v>16.39</v>
          </cell>
          <cell r="E1219">
            <v>9.91</v>
          </cell>
          <cell r="H1219">
            <v>45342</v>
          </cell>
          <cell r="I1219">
            <v>0.64888888888888896</v>
          </cell>
          <cell r="J1219">
            <v>45.642222222222216</v>
          </cell>
        </row>
        <row r="1220">
          <cell r="B1220">
            <v>45.1</v>
          </cell>
          <cell r="C1220">
            <v>102.48</v>
          </cell>
          <cell r="D1220">
            <v>16.43</v>
          </cell>
          <cell r="E1220">
            <v>10.11</v>
          </cell>
          <cell r="H1220">
            <v>45342</v>
          </cell>
          <cell r="I1220">
            <v>0.66111111111111109</v>
          </cell>
          <cell r="J1220">
            <v>45.699999999999996</v>
          </cell>
        </row>
        <row r="1221">
          <cell r="B1221">
            <v>68.19</v>
          </cell>
          <cell r="C1221">
            <v>172.02</v>
          </cell>
          <cell r="D1221">
            <v>18.579999999999998</v>
          </cell>
          <cell r="E1221">
            <v>10.67</v>
          </cell>
          <cell r="H1221">
            <v>45342</v>
          </cell>
          <cell r="I1221">
            <v>0.7366666666666668</v>
          </cell>
          <cell r="J1221">
            <v>43.994444444444447</v>
          </cell>
        </row>
        <row r="1222">
          <cell r="B1222">
            <v>80.92</v>
          </cell>
          <cell r="C1222">
            <v>203.2</v>
          </cell>
          <cell r="D1222">
            <v>19.75</v>
          </cell>
          <cell r="E1222">
            <v>11.37</v>
          </cell>
          <cell r="H1222">
            <v>45342</v>
          </cell>
          <cell r="I1222">
            <v>0.81666666666666676</v>
          </cell>
          <cell r="J1222">
            <v>42.151111111111121</v>
          </cell>
        </row>
        <row r="1223">
          <cell r="B1223">
            <v>96.62</v>
          </cell>
          <cell r="C1223">
            <v>178.22</v>
          </cell>
          <cell r="D1223">
            <v>18.079999999999998</v>
          </cell>
          <cell r="E1223">
            <v>10.09</v>
          </cell>
          <cell r="H1223">
            <v>45342</v>
          </cell>
          <cell r="I1223">
            <v>0.8322222222222222</v>
          </cell>
          <cell r="J1223">
            <v>40.605555555555554</v>
          </cell>
        </row>
        <row r="1224">
          <cell r="B1224">
            <v>52.35</v>
          </cell>
          <cell r="C1224">
            <v>105.53</v>
          </cell>
          <cell r="D1224">
            <v>18.64</v>
          </cell>
          <cell r="E1224">
            <v>8.57</v>
          </cell>
          <cell r="H1224">
            <v>45342</v>
          </cell>
          <cell r="I1224">
            <v>0.83777777777777773</v>
          </cell>
          <cell r="J1224">
            <v>38.144444444444439</v>
          </cell>
        </row>
        <row r="1225">
          <cell r="B1225">
            <v>51.6</v>
          </cell>
          <cell r="C1225">
            <v>89.47</v>
          </cell>
          <cell r="D1225">
            <v>17.95</v>
          </cell>
          <cell r="E1225">
            <v>8.2200000000000006</v>
          </cell>
          <cell r="H1225">
            <v>45342</v>
          </cell>
          <cell r="I1225">
            <v>0.82777777777777772</v>
          </cell>
          <cell r="J1225">
            <v>36.25555555555556</v>
          </cell>
        </row>
        <row r="1226">
          <cell r="B1226">
            <v>42.72</v>
          </cell>
          <cell r="C1226">
            <v>80.86</v>
          </cell>
          <cell r="D1226">
            <v>17.16</v>
          </cell>
          <cell r="E1226">
            <v>7.84</v>
          </cell>
          <cell r="H1226">
            <v>45343</v>
          </cell>
          <cell r="I1226">
            <v>0.82333333333333336</v>
          </cell>
          <cell r="J1226">
            <v>34.804444444444442</v>
          </cell>
        </row>
        <row r="1227">
          <cell r="B1227">
            <v>46.65</v>
          </cell>
          <cell r="C1227">
            <v>77.28</v>
          </cell>
          <cell r="D1227">
            <v>17.11</v>
          </cell>
          <cell r="E1227">
            <v>7.44</v>
          </cell>
          <cell r="H1227">
            <v>45343</v>
          </cell>
          <cell r="I1227">
            <v>0.81444444444444442</v>
          </cell>
          <cell r="J1227">
            <v>32.707777777777778</v>
          </cell>
        </row>
        <row r="1228">
          <cell r="B1228">
            <v>44.11</v>
          </cell>
          <cell r="C1228">
            <v>83.33</v>
          </cell>
          <cell r="D1228">
            <v>16.8</v>
          </cell>
          <cell r="E1228">
            <v>8.1</v>
          </cell>
          <cell r="H1228">
            <v>45343</v>
          </cell>
          <cell r="I1228">
            <v>0.80888888888888888</v>
          </cell>
          <cell r="J1228">
            <v>31.834444444444443</v>
          </cell>
        </row>
        <row r="1229">
          <cell r="B1229">
            <v>43.33</v>
          </cell>
          <cell r="C1229">
            <v>85.96</v>
          </cell>
          <cell r="D1229">
            <v>16.77</v>
          </cell>
          <cell r="E1229">
            <v>8.52</v>
          </cell>
          <cell r="H1229">
            <v>45343</v>
          </cell>
          <cell r="I1229">
            <v>0.77555555555555555</v>
          </cell>
          <cell r="J1229">
            <v>32.43555555555556</v>
          </cell>
        </row>
        <row r="1230">
          <cell r="B1230">
            <v>45.78</v>
          </cell>
          <cell r="C1230">
            <v>87.1</v>
          </cell>
          <cell r="D1230">
            <v>16.7</v>
          </cell>
          <cell r="E1230">
            <v>8.85</v>
          </cell>
          <cell r="H1230">
            <v>45343</v>
          </cell>
          <cell r="I1230">
            <v>0.68444444444444441</v>
          </cell>
          <cell r="J1230">
            <v>33.624444444444443</v>
          </cell>
        </row>
        <row r="1231">
          <cell r="B1231">
            <v>50.17</v>
          </cell>
          <cell r="C1231">
            <v>91.02</v>
          </cell>
          <cell r="D1231">
            <v>17.149999999999999</v>
          </cell>
          <cell r="E1231">
            <v>8.3000000000000007</v>
          </cell>
          <cell r="H1231">
            <v>45343</v>
          </cell>
          <cell r="I1231">
            <v>0.60888888888888892</v>
          </cell>
          <cell r="J1231">
            <v>33.979999999999997</v>
          </cell>
        </row>
        <row r="1232">
          <cell r="B1232">
            <v>52.12</v>
          </cell>
          <cell r="C1232">
            <v>96.78</v>
          </cell>
          <cell r="D1232">
            <v>17.260000000000002</v>
          </cell>
          <cell r="E1232">
            <v>8.24</v>
          </cell>
          <cell r="H1232">
            <v>45343</v>
          </cell>
          <cell r="I1232">
            <v>0.60333333333333339</v>
          </cell>
          <cell r="J1232">
            <v>34.090000000000003</v>
          </cell>
        </row>
        <row r="1233">
          <cell r="B1233">
            <v>52.06</v>
          </cell>
          <cell r="C1233">
            <v>96.58</v>
          </cell>
          <cell r="D1233">
            <v>17.399999999999999</v>
          </cell>
          <cell r="E1233">
            <v>8</v>
          </cell>
          <cell r="H1233">
            <v>45343</v>
          </cell>
          <cell r="I1233">
            <v>0.61111111111111116</v>
          </cell>
          <cell r="J1233">
            <v>34.155555555555551</v>
          </cell>
        </row>
        <row r="1234">
          <cell r="B1234">
            <v>46.5</v>
          </cell>
          <cell r="C1234">
            <v>102.55</v>
          </cell>
          <cell r="D1234">
            <v>17.36</v>
          </cell>
          <cell r="E1234">
            <v>8.7200000000000006</v>
          </cell>
          <cell r="H1234">
            <v>45343</v>
          </cell>
          <cell r="I1234">
            <v>0.62555555555555564</v>
          </cell>
          <cell r="J1234">
            <v>33.358888888888885</v>
          </cell>
        </row>
        <row r="1235">
          <cell r="B1235">
            <v>42.03</v>
          </cell>
          <cell r="C1235">
            <v>98.56</v>
          </cell>
          <cell r="D1235">
            <v>17.440000000000001</v>
          </cell>
          <cell r="E1235">
            <v>8.76</v>
          </cell>
          <cell r="H1235">
            <v>45343</v>
          </cell>
          <cell r="I1235">
            <v>0.6333333333333333</v>
          </cell>
          <cell r="J1235">
            <v>33.191111111111113</v>
          </cell>
        </row>
        <row r="1236">
          <cell r="B1236">
            <v>40.47</v>
          </cell>
          <cell r="C1236">
            <v>92.28</v>
          </cell>
          <cell r="D1236">
            <v>18.12</v>
          </cell>
          <cell r="E1236">
            <v>9.18</v>
          </cell>
          <cell r="H1236">
            <v>45343</v>
          </cell>
          <cell r="I1236">
            <v>0.63888888888888884</v>
          </cell>
          <cell r="J1236">
            <v>33.397777777777776</v>
          </cell>
        </row>
        <row r="1237">
          <cell r="B1237">
            <v>34.99</v>
          </cell>
          <cell r="C1237">
            <v>84.99</v>
          </cell>
          <cell r="D1237">
            <v>18.260000000000002</v>
          </cell>
          <cell r="E1237">
            <v>8.8000000000000007</v>
          </cell>
          <cell r="H1237">
            <v>45343</v>
          </cell>
          <cell r="I1237">
            <v>0.63444444444444437</v>
          </cell>
          <cell r="J1237">
            <v>33.81111111111111</v>
          </cell>
        </row>
        <row r="1238">
          <cell r="B1238">
            <v>32.36</v>
          </cell>
          <cell r="C1238">
            <v>85.22</v>
          </cell>
          <cell r="D1238">
            <v>17.77</v>
          </cell>
          <cell r="E1238">
            <v>8.6999999999999993</v>
          </cell>
          <cell r="H1238">
            <v>45343</v>
          </cell>
          <cell r="I1238">
            <v>0.63444444444444448</v>
          </cell>
          <cell r="J1238">
            <v>35.398888888888891</v>
          </cell>
        </row>
        <row r="1239">
          <cell r="B1239">
            <v>34.29</v>
          </cell>
          <cell r="C1239">
            <v>90.04</v>
          </cell>
          <cell r="D1239">
            <v>17.09</v>
          </cell>
          <cell r="E1239">
            <v>8.58</v>
          </cell>
          <cell r="H1239">
            <v>45343</v>
          </cell>
          <cell r="I1239">
            <v>0.63777777777777789</v>
          </cell>
          <cell r="J1239">
            <v>37.896666666666675</v>
          </cell>
        </row>
        <row r="1240">
          <cell r="B1240">
            <v>35.28</v>
          </cell>
          <cell r="C1240">
            <v>88.45</v>
          </cell>
          <cell r="D1240">
            <v>17.600000000000001</v>
          </cell>
          <cell r="E1240">
            <v>8.7899999999999991</v>
          </cell>
          <cell r="H1240">
            <v>45343</v>
          </cell>
          <cell r="I1240">
            <v>0.64777777777777779</v>
          </cell>
          <cell r="J1240">
            <v>40.06444444444444</v>
          </cell>
        </row>
        <row r="1241">
          <cell r="B1241">
            <v>33.42</v>
          </cell>
          <cell r="C1241">
            <v>103.39</v>
          </cell>
          <cell r="D1241">
            <v>22.47</v>
          </cell>
          <cell r="E1241">
            <v>8.59</v>
          </cell>
          <cell r="H1241">
            <v>45343</v>
          </cell>
          <cell r="I1241">
            <v>0.65888888888888897</v>
          </cell>
          <cell r="J1241">
            <v>41.642222222222216</v>
          </cell>
        </row>
        <row r="1242">
          <cell r="B1242">
            <v>31.29</v>
          </cell>
          <cell r="C1242">
            <v>110</v>
          </cell>
          <cell r="D1242">
            <v>22.2</v>
          </cell>
          <cell r="E1242">
            <v>8.8699999999999992</v>
          </cell>
          <cell r="H1242">
            <v>45343</v>
          </cell>
          <cell r="I1242">
            <v>0.66333333333333344</v>
          </cell>
          <cell r="J1242">
            <v>42.954444444444434</v>
          </cell>
        </row>
        <row r="1243">
          <cell r="B1243">
            <v>31.07</v>
          </cell>
          <cell r="C1243">
            <v>91.61</v>
          </cell>
          <cell r="D1243">
            <v>22.23</v>
          </cell>
          <cell r="E1243">
            <v>9.14</v>
          </cell>
          <cell r="H1243">
            <v>45343</v>
          </cell>
          <cell r="I1243">
            <v>0.68888888888888899</v>
          </cell>
          <cell r="J1243">
            <v>44.343333333333327</v>
          </cell>
        </row>
        <row r="1244">
          <cell r="B1244">
            <v>44.79</v>
          </cell>
          <cell r="C1244">
            <v>140.15</v>
          </cell>
          <cell r="D1244">
            <v>22.72</v>
          </cell>
          <cell r="E1244">
            <v>9.15</v>
          </cell>
          <cell r="H1244">
            <v>45343</v>
          </cell>
          <cell r="I1244">
            <v>0.71666666666666667</v>
          </cell>
          <cell r="J1244">
            <v>44.312222222222218</v>
          </cell>
        </row>
        <row r="1245">
          <cell r="B1245">
            <v>59</v>
          </cell>
          <cell r="C1245">
            <v>197.32</v>
          </cell>
          <cell r="D1245">
            <v>23.95</v>
          </cell>
          <cell r="E1245">
            <v>9.18</v>
          </cell>
          <cell r="H1245">
            <v>45343</v>
          </cell>
          <cell r="I1245">
            <v>0.77777777777777768</v>
          </cell>
          <cell r="J1245">
            <v>43.371111111111105</v>
          </cell>
        </row>
        <row r="1246">
          <cell r="B1246">
            <v>68.08</v>
          </cell>
          <cell r="C1246">
            <v>204.91</v>
          </cell>
          <cell r="D1246">
            <v>23.74</v>
          </cell>
          <cell r="E1246">
            <v>9.8000000000000007</v>
          </cell>
          <cell r="H1246">
            <v>45343</v>
          </cell>
          <cell r="I1246">
            <v>0.86555555555555541</v>
          </cell>
          <cell r="J1246">
            <v>41.644444444444446</v>
          </cell>
        </row>
        <row r="1247">
          <cell r="B1247">
            <v>78.03</v>
          </cell>
          <cell r="C1247">
            <v>170.22</v>
          </cell>
          <cell r="D1247">
            <v>20.59</v>
          </cell>
          <cell r="E1247">
            <v>9.4600000000000009</v>
          </cell>
          <cell r="H1247">
            <v>45343</v>
          </cell>
          <cell r="I1247">
            <v>0.91888888888888887</v>
          </cell>
          <cell r="J1247">
            <v>39.568888888888893</v>
          </cell>
        </row>
        <row r="1248">
          <cell r="B1248">
            <v>78.680000000000007</v>
          </cell>
          <cell r="C1248">
            <v>153.85</v>
          </cell>
          <cell r="D1248">
            <v>21.38</v>
          </cell>
          <cell r="E1248">
            <v>9.42</v>
          </cell>
          <cell r="H1248">
            <v>45343</v>
          </cell>
          <cell r="I1248">
            <v>0.93222222222222206</v>
          </cell>
          <cell r="J1248">
            <v>37.155555555555559</v>
          </cell>
        </row>
        <row r="1249">
          <cell r="B1249">
            <v>91</v>
          </cell>
          <cell r="C1249">
            <v>140.59</v>
          </cell>
          <cell r="D1249">
            <v>21.57</v>
          </cell>
          <cell r="E1249">
            <v>9.14</v>
          </cell>
          <cell r="H1249">
            <v>45343</v>
          </cell>
          <cell r="I1249">
            <v>0.91555555555555557</v>
          </cell>
          <cell r="J1249">
            <v>35.562222222222225</v>
          </cell>
        </row>
        <row r="1250">
          <cell r="B1250">
            <v>118.7</v>
          </cell>
          <cell r="C1250">
            <v>95.57</v>
          </cell>
          <cell r="D1250">
            <v>23.15</v>
          </cell>
          <cell r="E1250">
            <v>8.42</v>
          </cell>
          <cell r="H1250">
            <v>45344</v>
          </cell>
          <cell r="I1250">
            <v>0.89333333333333342</v>
          </cell>
          <cell r="J1250">
            <v>34.487777777777779</v>
          </cell>
        </row>
        <row r="1251">
          <cell r="B1251">
            <v>99.7</v>
          </cell>
          <cell r="C1251">
            <v>95.69</v>
          </cell>
          <cell r="D1251">
            <v>23.27</v>
          </cell>
          <cell r="E1251">
            <v>8.18</v>
          </cell>
          <cell r="H1251">
            <v>45344</v>
          </cell>
          <cell r="I1251">
            <v>0.87555555555555553</v>
          </cell>
          <cell r="J1251">
            <v>33.437777777777775</v>
          </cell>
        </row>
        <row r="1252">
          <cell r="B1252">
            <v>53.84</v>
          </cell>
          <cell r="C1252">
            <v>96.31</v>
          </cell>
          <cell r="D1252">
            <v>23.04</v>
          </cell>
          <cell r="E1252">
            <v>8.17</v>
          </cell>
          <cell r="H1252">
            <v>45344</v>
          </cell>
          <cell r="I1252">
            <v>0.8355555555555555</v>
          </cell>
          <cell r="J1252">
            <v>32.908888888888889</v>
          </cell>
        </row>
        <row r="1253">
          <cell r="B1253">
            <v>50.05</v>
          </cell>
          <cell r="C1253">
            <v>89.28</v>
          </cell>
          <cell r="D1253">
            <v>23.07</v>
          </cell>
          <cell r="E1253">
            <v>8.18</v>
          </cell>
          <cell r="H1253">
            <v>45344</v>
          </cell>
          <cell r="I1253">
            <v>0.79777777777777781</v>
          </cell>
          <cell r="J1253">
            <v>32.766666666666673</v>
          </cell>
        </row>
        <row r="1254">
          <cell r="B1254">
            <v>50.77</v>
          </cell>
          <cell r="C1254">
            <v>86.54</v>
          </cell>
          <cell r="D1254">
            <v>22.51</v>
          </cell>
          <cell r="E1254">
            <v>7.95</v>
          </cell>
          <cell r="H1254">
            <v>45344</v>
          </cell>
          <cell r="I1254">
            <v>0.73111111111111116</v>
          </cell>
          <cell r="J1254">
            <v>32.733333333333334</v>
          </cell>
        </row>
        <row r="1255">
          <cell r="B1255">
            <v>35.72</v>
          </cell>
          <cell r="C1255">
            <v>74.63</v>
          </cell>
          <cell r="D1255">
            <v>22.92</v>
          </cell>
          <cell r="E1255">
            <v>7.57</v>
          </cell>
          <cell r="H1255">
            <v>45344</v>
          </cell>
          <cell r="I1255">
            <v>0.64888888888888896</v>
          </cell>
          <cell r="J1255">
            <v>32.848888888888894</v>
          </cell>
        </row>
        <row r="1256">
          <cell r="B1256">
            <v>48</v>
          </cell>
          <cell r="C1256">
            <v>80.11</v>
          </cell>
          <cell r="D1256">
            <v>22.93</v>
          </cell>
          <cell r="E1256">
            <v>7.82</v>
          </cell>
          <cell r="H1256">
            <v>45344</v>
          </cell>
          <cell r="I1256">
            <v>0.59333333333333327</v>
          </cell>
          <cell r="J1256">
            <v>33.658888888888896</v>
          </cell>
        </row>
        <row r="1257">
          <cell r="B1257">
            <v>37.880000000000003</v>
          </cell>
          <cell r="C1257">
            <v>91.3</v>
          </cell>
          <cell r="D1257">
            <v>23.09</v>
          </cell>
          <cell r="E1257">
            <v>7.44</v>
          </cell>
          <cell r="H1257">
            <v>45344</v>
          </cell>
          <cell r="I1257">
            <v>0.58111111111111113</v>
          </cell>
          <cell r="J1257">
            <v>33.343333333333334</v>
          </cell>
        </row>
        <row r="1258">
          <cell r="B1258">
            <v>40.01</v>
          </cell>
          <cell r="C1258">
            <v>103.04</v>
          </cell>
          <cell r="D1258">
            <v>23.4</v>
          </cell>
          <cell r="E1258">
            <v>7.73</v>
          </cell>
          <cell r="H1258">
            <v>45344</v>
          </cell>
          <cell r="I1258">
            <v>0.59222222222222221</v>
          </cell>
          <cell r="J1258">
            <v>32.63111111111111</v>
          </cell>
        </row>
        <row r="1259">
          <cell r="B1259">
            <v>31.94</v>
          </cell>
          <cell r="C1259">
            <v>104.53</v>
          </cell>
          <cell r="D1259">
            <v>23.43</v>
          </cell>
          <cell r="E1259">
            <v>8.0500000000000007</v>
          </cell>
          <cell r="H1259">
            <v>45344</v>
          </cell>
          <cell r="I1259">
            <v>0.61111111111111116</v>
          </cell>
          <cell r="J1259">
            <v>32.214444444444446</v>
          </cell>
        </row>
        <row r="1260">
          <cell r="B1260">
            <v>28.15</v>
          </cell>
          <cell r="C1260">
            <v>88.71</v>
          </cell>
          <cell r="D1260">
            <v>20.14</v>
          </cell>
          <cell r="E1260">
            <v>8.57</v>
          </cell>
          <cell r="H1260">
            <v>45344</v>
          </cell>
          <cell r="I1260">
            <v>0.62444444444444436</v>
          </cell>
          <cell r="J1260">
            <v>32.795555555555559</v>
          </cell>
        </row>
        <row r="1261">
          <cell r="B1261">
            <v>29.55</v>
          </cell>
          <cell r="C1261">
            <v>91.4</v>
          </cell>
          <cell r="D1261">
            <v>20.55</v>
          </cell>
          <cell r="E1261">
            <v>8.2799999999999994</v>
          </cell>
          <cell r="H1261">
            <v>45344</v>
          </cell>
          <cell r="I1261">
            <v>0.63444444444444448</v>
          </cell>
          <cell r="J1261">
            <v>33.885555555555555</v>
          </cell>
        </row>
        <row r="1262">
          <cell r="B1262">
            <v>29.97</v>
          </cell>
          <cell r="C1262">
            <v>84.86</v>
          </cell>
          <cell r="D1262">
            <v>19.399999999999999</v>
          </cell>
          <cell r="E1262">
            <v>8.5399999999999991</v>
          </cell>
          <cell r="H1262">
            <v>45344</v>
          </cell>
          <cell r="I1262">
            <v>0.64888888888888874</v>
          </cell>
          <cell r="J1262">
            <v>35.927777777777777</v>
          </cell>
        </row>
        <row r="1263">
          <cell r="B1263">
            <v>31.94</v>
          </cell>
          <cell r="C1263">
            <v>84.19</v>
          </cell>
          <cell r="D1263">
            <v>19.25</v>
          </cell>
          <cell r="E1263">
            <v>8.01</v>
          </cell>
          <cell r="H1263">
            <v>45344</v>
          </cell>
          <cell r="I1263">
            <v>0.65999999999999992</v>
          </cell>
          <cell r="J1263">
            <v>38.376666666666665</v>
          </cell>
        </row>
        <row r="1264">
          <cell r="B1264">
            <v>30.16</v>
          </cell>
          <cell r="C1264">
            <v>82.8</v>
          </cell>
          <cell r="D1264">
            <v>19.68</v>
          </cell>
          <cell r="E1264">
            <v>8.1199999999999992</v>
          </cell>
          <cell r="H1264">
            <v>45344</v>
          </cell>
          <cell r="I1264">
            <v>0.66666666666666652</v>
          </cell>
          <cell r="J1264">
            <v>41.135555555555555</v>
          </cell>
        </row>
        <row r="1265">
          <cell r="B1265">
            <v>29.79</v>
          </cell>
          <cell r="C1265">
            <v>87.46</v>
          </cell>
          <cell r="D1265">
            <v>19.28</v>
          </cell>
          <cell r="E1265">
            <v>8.08</v>
          </cell>
          <cell r="H1265">
            <v>45344</v>
          </cell>
          <cell r="I1265">
            <v>0.67555555555555546</v>
          </cell>
          <cell r="J1265">
            <v>42.447777777777773</v>
          </cell>
        </row>
        <row r="1266">
          <cell r="B1266">
            <v>34.93</v>
          </cell>
          <cell r="C1266">
            <v>92.36</v>
          </cell>
          <cell r="D1266">
            <v>19.63</v>
          </cell>
          <cell r="E1266">
            <v>8.44</v>
          </cell>
          <cell r="H1266">
            <v>45344</v>
          </cell>
          <cell r="I1266">
            <v>0.67888888888888888</v>
          </cell>
          <cell r="J1266">
            <v>44.526666666666671</v>
          </cell>
        </row>
        <row r="1267">
          <cell r="B1267">
            <v>37.94</v>
          </cell>
          <cell r="C1267">
            <v>94.41</v>
          </cell>
          <cell r="D1267">
            <v>19.79</v>
          </cell>
          <cell r="E1267">
            <v>8.35</v>
          </cell>
          <cell r="H1267">
            <v>45344</v>
          </cell>
          <cell r="I1267">
            <v>0.69</v>
          </cell>
          <cell r="J1267">
            <v>46.724444444444444</v>
          </cell>
        </row>
        <row r="1268">
          <cell r="B1268">
            <v>42.9</v>
          </cell>
          <cell r="C1268">
            <v>115.67</v>
          </cell>
          <cell r="D1268">
            <v>20.47</v>
          </cell>
          <cell r="E1268">
            <v>8.3800000000000008</v>
          </cell>
          <cell r="H1268">
            <v>45344</v>
          </cell>
          <cell r="I1268">
            <v>0.7122222222222222</v>
          </cell>
          <cell r="J1268">
            <v>47.272222222222219</v>
          </cell>
        </row>
        <row r="1269">
          <cell r="B1269">
            <v>55.07</v>
          </cell>
          <cell r="C1269">
            <v>172.21</v>
          </cell>
          <cell r="D1269">
            <v>22.66</v>
          </cell>
          <cell r="E1269">
            <v>8.59</v>
          </cell>
          <cell r="H1269">
            <v>45344</v>
          </cell>
          <cell r="I1269">
            <v>0.77999999999999992</v>
          </cell>
          <cell r="J1269">
            <v>46.013333333333335</v>
          </cell>
        </row>
        <row r="1270">
          <cell r="B1270">
            <v>74.44</v>
          </cell>
          <cell r="C1270">
            <v>196.79</v>
          </cell>
          <cell r="D1270">
            <v>23.08</v>
          </cell>
          <cell r="E1270">
            <v>8.94</v>
          </cell>
          <cell r="H1270">
            <v>45344</v>
          </cell>
          <cell r="I1270">
            <v>0.83777777777777773</v>
          </cell>
          <cell r="J1270">
            <v>43.994444444444447</v>
          </cell>
        </row>
        <row r="1271">
          <cell r="B1271">
            <v>69.790000000000006</v>
          </cell>
          <cell r="C1271">
            <v>167.87</v>
          </cell>
          <cell r="D1271">
            <v>22.57</v>
          </cell>
          <cell r="E1271">
            <v>9.34</v>
          </cell>
          <cell r="H1271">
            <v>45344</v>
          </cell>
          <cell r="I1271">
            <v>0.89666666666666672</v>
          </cell>
          <cell r="J1271">
            <v>41.534444444444453</v>
          </cell>
        </row>
        <row r="1272">
          <cell r="B1272">
            <v>72.930000000000007</v>
          </cell>
          <cell r="C1272">
            <v>165</v>
          </cell>
          <cell r="D1272">
            <v>22.6</v>
          </cell>
          <cell r="E1272">
            <v>9.0399999999999991</v>
          </cell>
          <cell r="H1272">
            <v>45344</v>
          </cell>
          <cell r="I1272">
            <v>0.96000000000000008</v>
          </cell>
          <cell r="J1272">
            <v>38.975555555555552</v>
          </cell>
        </row>
        <row r="1273">
          <cell r="B1273">
            <v>80.42</v>
          </cell>
          <cell r="C1273">
            <v>171.28</v>
          </cell>
          <cell r="D1273">
            <v>22.8</v>
          </cell>
          <cell r="E1273">
            <v>8.67</v>
          </cell>
          <cell r="H1273">
            <v>45344</v>
          </cell>
          <cell r="I1273">
            <v>1.0044444444444443</v>
          </cell>
          <cell r="J1273">
            <v>36.383333333333333</v>
          </cell>
        </row>
        <row r="1274">
          <cell r="B1274">
            <v>72.010000000000005</v>
          </cell>
          <cell r="C1274">
            <v>160.44</v>
          </cell>
          <cell r="D1274">
            <v>21.4</v>
          </cell>
          <cell r="E1274">
            <v>8.11</v>
          </cell>
          <cell r="H1274">
            <v>45345</v>
          </cell>
          <cell r="I1274">
            <v>1.0022222222222221</v>
          </cell>
          <cell r="J1274">
            <v>33.986666666666657</v>
          </cell>
        </row>
        <row r="1275">
          <cell r="B1275">
            <v>54.53</v>
          </cell>
          <cell r="C1275">
            <v>105.37</v>
          </cell>
          <cell r="D1275">
            <v>20.86</v>
          </cell>
          <cell r="E1275">
            <v>7.36</v>
          </cell>
          <cell r="H1275">
            <v>45345</v>
          </cell>
          <cell r="I1275">
            <v>0.99444444444444435</v>
          </cell>
          <cell r="J1275">
            <v>31.513333333333335</v>
          </cell>
        </row>
        <row r="1276">
          <cell r="B1276">
            <v>40.89</v>
          </cell>
          <cell r="C1276">
            <v>82.8</v>
          </cell>
          <cell r="D1276">
            <v>21.09</v>
          </cell>
          <cell r="E1276">
            <v>7.24</v>
          </cell>
          <cell r="H1276">
            <v>45345</v>
          </cell>
          <cell r="I1276">
            <v>0.98111111111111116</v>
          </cell>
          <cell r="J1276">
            <v>29.361111111111111</v>
          </cell>
        </row>
        <row r="1277">
          <cell r="B1277">
            <v>38.03</v>
          </cell>
          <cell r="C1277">
            <v>77.08</v>
          </cell>
          <cell r="D1277">
            <v>20.9</v>
          </cell>
          <cell r="E1277">
            <v>7.01</v>
          </cell>
          <cell r="H1277">
            <v>45345</v>
          </cell>
          <cell r="I1277">
            <v>0.94666666666666666</v>
          </cell>
          <cell r="J1277">
            <v>28.37444444444445</v>
          </cell>
        </row>
        <row r="1278">
          <cell r="B1278">
            <v>32.46</v>
          </cell>
          <cell r="C1278">
            <v>76.27</v>
          </cell>
          <cell r="D1278">
            <v>20.57</v>
          </cell>
          <cell r="E1278">
            <v>7.4</v>
          </cell>
          <cell r="H1278">
            <v>45345</v>
          </cell>
          <cell r="I1278">
            <v>0.87000000000000011</v>
          </cell>
          <cell r="J1278">
            <v>28.462222222222223</v>
          </cell>
        </row>
        <row r="1279">
          <cell r="B1279">
            <v>32.6</v>
          </cell>
          <cell r="C1279">
            <v>75.069999999999993</v>
          </cell>
          <cell r="D1279">
            <v>20.67</v>
          </cell>
          <cell r="E1279">
            <v>7.27</v>
          </cell>
          <cell r="H1279">
            <v>45345</v>
          </cell>
          <cell r="I1279">
            <v>0.81111111111111123</v>
          </cell>
          <cell r="J1279">
            <v>28.68333333333333</v>
          </cell>
        </row>
        <row r="1280">
          <cell r="B1280">
            <v>35.28</v>
          </cell>
          <cell r="C1280">
            <v>78.069999999999993</v>
          </cell>
          <cell r="D1280">
            <v>21.21</v>
          </cell>
          <cell r="E1280">
            <v>7.19</v>
          </cell>
          <cell r="H1280">
            <v>45345</v>
          </cell>
          <cell r="I1280">
            <v>0.75777777777777777</v>
          </cell>
          <cell r="J1280">
            <v>28.506666666666668</v>
          </cell>
        </row>
        <row r="1281">
          <cell r="B1281">
            <v>38.04</v>
          </cell>
          <cell r="C1281">
            <v>92.15</v>
          </cell>
          <cell r="D1281">
            <v>20.99</v>
          </cell>
          <cell r="E1281">
            <v>7.18</v>
          </cell>
          <cell r="H1281">
            <v>45345</v>
          </cell>
          <cell r="I1281">
            <v>0.70444444444444443</v>
          </cell>
          <cell r="J1281">
            <v>29.269999999999996</v>
          </cell>
        </row>
        <row r="1282">
          <cell r="B1282">
            <v>40.6</v>
          </cell>
          <cell r="C1282">
            <v>102.56</v>
          </cell>
          <cell r="D1282">
            <v>21.46</v>
          </cell>
          <cell r="E1282">
            <v>7.47</v>
          </cell>
          <cell r="H1282">
            <v>45345</v>
          </cell>
          <cell r="I1282">
            <v>0.66222222222222216</v>
          </cell>
          <cell r="J1282">
            <v>29.097777777777779</v>
          </cell>
        </row>
        <row r="1283">
          <cell r="B1283">
            <v>34.49</v>
          </cell>
          <cell r="C1283">
            <v>98.12</v>
          </cell>
          <cell r="D1283">
            <v>21.58</v>
          </cell>
          <cell r="E1283">
            <v>7.54</v>
          </cell>
          <cell r="H1283">
            <v>45345</v>
          </cell>
          <cell r="I1283">
            <v>0.66111111111111098</v>
          </cell>
          <cell r="J1283">
            <v>29.214444444444446</v>
          </cell>
        </row>
        <row r="1284">
          <cell r="B1284">
            <v>28.31</v>
          </cell>
          <cell r="C1284">
            <v>86.53</v>
          </cell>
          <cell r="D1284">
            <v>21.18</v>
          </cell>
          <cell r="E1284">
            <v>7.79</v>
          </cell>
          <cell r="H1284">
            <v>45345</v>
          </cell>
          <cell r="I1284">
            <v>0.66555555555555557</v>
          </cell>
          <cell r="J1284">
            <v>30.072222222222219</v>
          </cell>
        </row>
        <row r="1285">
          <cell r="B1285">
            <v>26.53</v>
          </cell>
          <cell r="C1285">
            <v>81.010000000000005</v>
          </cell>
          <cell r="D1285">
            <v>21.48</v>
          </cell>
          <cell r="E1285">
            <v>7.16</v>
          </cell>
          <cell r="H1285">
            <v>45345</v>
          </cell>
          <cell r="I1285">
            <v>0.66111111111111109</v>
          </cell>
          <cell r="J1285">
            <v>31.128888888888884</v>
          </cell>
        </row>
        <row r="1286">
          <cell r="B1286">
            <v>31.23</v>
          </cell>
          <cell r="C1286">
            <v>79.08</v>
          </cell>
          <cell r="D1286">
            <v>19.71</v>
          </cell>
          <cell r="E1286">
            <v>7.92</v>
          </cell>
          <cell r="H1286">
            <v>45345</v>
          </cell>
          <cell r="I1286">
            <v>0.65888888888888886</v>
          </cell>
          <cell r="J1286">
            <v>33.349999999999994</v>
          </cell>
        </row>
        <row r="1287">
          <cell r="B1287">
            <v>29.99</v>
          </cell>
          <cell r="C1287">
            <v>72.25</v>
          </cell>
          <cell r="D1287">
            <v>19.41</v>
          </cell>
          <cell r="E1287">
            <v>7.82</v>
          </cell>
          <cell r="H1287">
            <v>45345</v>
          </cell>
          <cell r="I1287">
            <v>0.66111111111111098</v>
          </cell>
          <cell r="J1287">
            <v>35.869999999999997</v>
          </cell>
        </row>
        <row r="1288">
          <cell r="B1288">
            <v>29.85</v>
          </cell>
          <cell r="C1288">
            <v>74.41</v>
          </cell>
          <cell r="D1288">
            <v>19.149999999999999</v>
          </cell>
          <cell r="E1288">
            <v>8.24</v>
          </cell>
          <cell r="H1288">
            <v>45345</v>
          </cell>
          <cell r="I1288">
            <v>0.65888888888888886</v>
          </cell>
          <cell r="J1288">
            <v>39.221111111111114</v>
          </cell>
        </row>
        <row r="1289">
          <cell r="B1289">
            <v>29.26</v>
          </cell>
          <cell r="C1289">
            <v>75.010000000000005</v>
          </cell>
          <cell r="D1289">
            <v>19.739999999999998</v>
          </cell>
          <cell r="E1289">
            <v>8.6</v>
          </cell>
          <cell r="H1289">
            <v>45345</v>
          </cell>
          <cell r="I1289">
            <v>0.64555555555555566</v>
          </cell>
          <cell r="J1289">
            <v>42.436666666666667</v>
          </cell>
        </row>
        <row r="1290">
          <cell r="B1290">
            <v>30.42</v>
          </cell>
          <cell r="C1290">
            <v>78.760000000000005</v>
          </cell>
          <cell r="D1290">
            <v>19.239999999999998</v>
          </cell>
          <cell r="E1290">
            <v>8.58</v>
          </cell>
          <cell r="H1290">
            <v>45345</v>
          </cell>
          <cell r="I1290">
            <v>0.62555555555555553</v>
          </cell>
          <cell r="J1290">
            <v>44.351111111111116</v>
          </cell>
        </row>
        <row r="1291">
          <cell r="B1291">
            <v>31.27</v>
          </cell>
          <cell r="C1291">
            <v>81.33</v>
          </cell>
          <cell r="D1291">
            <v>19.16</v>
          </cell>
          <cell r="E1291">
            <v>7.97</v>
          </cell>
          <cell r="H1291">
            <v>45345</v>
          </cell>
          <cell r="I1291">
            <v>0.61999999999999988</v>
          </cell>
          <cell r="J1291">
            <v>46.675555555555562</v>
          </cell>
        </row>
        <row r="1292">
          <cell r="B1292">
            <v>51.64</v>
          </cell>
          <cell r="C1292">
            <v>137.08000000000001</v>
          </cell>
          <cell r="D1292">
            <v>19.84</v>
          </cell>
          <cell r="E1292">
            <v>7.56</v>
          </cell>
          <cell r="H1292">
            <v>45345</v>
          </cell>
          <cell r="I1292">
            <v>0.64</v>
          </cell>
          <cell r="J1292">
            <v>48.118888888888897</v>
          </cell>
        </row>
        <row r="1293">
          <cell r="B1293">
            <v>60.36</v>
          </cell>
          <cell r="C1293">
            <v>162.08000000000001</v>
          </cell>
          <cell r="D1293">
            <v>23.38</v>
          </cell>
          <cell r="E1293">
            <v>7.55</v>
          </cell>
          <cell r="H1293">
            <v>45345</v>
          </cell>
          <cell r="I1293">
            <v>0.68333333333333324</v>
          </cell>
          <cell r="J1293">
            <v>47.813333333333333</v>
          </cell>
        </row>
        <row r="1294">
          <cell r="B1294">
            <v>71.959999999999994</v>
          </cell>
          <cell r="C1294">
            <v>188.66</v>
          </cell>
          <cell r="D1294">
            <v>22.36</v>
          </cell>
          <cell r="E1294">
            <v>8.6</v>
          </cell>
          <cell r="H1294">
            <v>45345</v>
          </cell>
          <cell r="I1294">
            <v>0.73444444444444434</v>
          </cell>
          <cell r="J1294">
            <v>46.80222222222222</v>
          </cell>
        </row>
        <row r="1295">
          <cell r="B1295">
            <v>80.09</v>
          </cell>
          <cell r="C1295">
            <v>185.75</v>
          </cell>
          <cell r="D1295">
            <v>22.08</v>
          </cell>
          <cell r="E1295">
            <v>8.8800000000000008</v>
          </cell>
          <cell r="H1295">
            <v>45345</v>
          </cell>
          <cell r="I1295">
            <v>0.79222222222222216</v>
          </cell>
          <cell r="J1295">
            <v>44.101111111111102</v>
          </cell>
        </row>
        <row r="1296">
          <cell r="B1296">
            <v>80.540000000000006</v>
          </cell>
          <cell r="C1296">
            <v>184.41</v>
          </cell>
          <cell r="D1296">
            <v>20.52</v>
          </cell>
          <cell r="E1296">
            <v>8.4</v>
          </cell>
          <cell r="H1296">
            <v>45345</v>
          </cell>
          <cell r="I1296">
            <v>0.84111111111111125</v>
          </cell>
          <cell r="J1296">
            <v>41.414444444444435</v>
          </cell>
        </row>
        <row r="1297">
          <cell r="B1297">
            <v>69.98</v>
          </cell>
          <cell r="C1297">
            <v>144.19999999999999</v>
          </cell>
          <cell r="D1297">
            <v>20.37</v>
          </cell>
          <cell r="E1297">
            <v>7.82</v>
          </cell>
          <cell r="H1297">
            <v>45345</v>
          </cell>
          <cell r="I1297">
            <v>0.86222222222222222</v>
          </cell>
          <cell r="J1297">
            <v>38.471111111111114</v>
          </cell>
        </row>
        <row r="1298">
          <cell r="B1298">
            <v>57.85</v>
          </cell>
          <cell r="C1298">
            <v>115.64</v>
          </cell>
          <cell r="D1298">
            <v>20.8</v>
          </cell>
          <cell r="E1298">
            <v>8.31</v>
          </cell>
          <cell r="H1298">
            <v>45346</v>
          </cell>
          <cell r="I1298">
            <v>0.86777777777777787</v>
          </cell>
          <cell r="J1298">
            <v>36.24666666666667</v>
          </cell>
        </row>
        <row r="1299">
          <cell r="B1299">
            <v>48.62</v>
          </cell>
          <cell r="C1299">
            <v>100.57</v>
          </cell>
          <cell r="D1299">
            <v>20.02</v>
          </cell>
          <cell r="E1299">
            <v>7.88</v>
          </cell>
          <cell r="H1299">
            <v>45346</v>
          </cell>
          <cell r="I1299">
            <v>0.87222222222222223</v>
          </cell>
          <cell r="J1299">
            <v>34.293333333333329</v>
          </cell>
        </row>
        <row r="1300">
          <cell r="B1300">
            <v>45.51</v>
          </cell>
          <cell r="C1300">
            <v>87.91</v>
          </cell>
          <cell r="D1300">
            <v>19.989999999999998</v>
          </cell>
          <cell r="E1300">
            <v>7.06</v>
          </cell>
          <cell r="H1300">
            <v>45346</v>
          </cell>
          <cell r="I1300">
            <v>0.86888888888888893</v>
          </cell>
          <cell r="J1300">
            <v>32.604444444444447</v>
          </cell>
        </row>
        <row r="1301">
          <cell r="B1301">
            <v>40.340000000000003</v>
          </cell>
          <cell r="C1301">
            <v>83.2</v>
          </cell>
          <cell r="D1301">
            <v>19.79</v>
          </cell>
          <cell r="E1301">
            <v>7.08</v>
          </cell>
          <cell r="H1301">
            <v>45346</v>
          </cell>
          <cell r="I1301">
            <v>0.84111111111111125</v>
          </cell>
          <cell r="J1301">
            <v>31.276666666666667</v>
          </cell>
        </row>
        <row r="1302">
          <cell r="B1302">
            <v>42.04</v>
          </cell>
          <cell r="C1302">
            <v>77.22</v>
          </cell>
          <cell r="D1302">
            <v>19.55</v>
          </cell>
          <cell r="E1302">
            <v>7.46</v>
          </cell>
          <cell r="H1302">
            <v>45346</v>
          </cell>
          <cell r="I1302">
            <v>0.79666666666666675</v>
          </cell>
          <cell r="J1302">
            <v>30.785555555555554</v>
          </cell>
        </row>
        <row r="1303">
          <cell r="B1303">
            <v>32.97</v>
          </cell>
          <cell r="C1303">
            <v>71.52</v>
          </cell>
          <cell r="D1303">
            <v>19.28</v>
          </cell>
          <cell r="E1303">
            <v>7.43</v>
          </cell>
          <cell r="H1303">
            <v>45346</v>
          </cell>
          <cell r="I1303">
            <v>0.75111111111111128</v>
          </cell>
          <cell r="J1303">
            <v>30.564444444444444</v>
          </cell>
        </row>
        <row r="1304">
          <cell r="B1304">
            <v>38.07</v>
          </cell>
          <cell r="C1304">
            <v>79.17</v>
          </cell>
          <cell r="D1304">
            <v>19.36</v>
          </cell>
          <cell r="E1304">
            <v>6.95</v>
          </cell>
          <cell r="H1304">
            <v>45346</v>
          </cell>
          <cell r="I1304">
            <v>0.70444444444444443</v>
          </cell>
          <cell r="J1304">
            <v>32.252222222222223</v>
          </cell>
        </row>
        <row r="1305">
          <cell r="B1305">
            <v>37.770000000000003</v>
          </cell>
          <cell r="C1305">
            <v>90.84</v>
          </cell>
          <cell r="D1305">
            <v>19.41</v>
          </cell>
          <cell r="E1305">
            <v>7.35</v>
          </cell>
          <cell r="H1305">
            <v>45346</v>
          </cell>
          <cell r="I1305">
            <v>0.66555555555555546</v>
          </cell>
          <cell r="J1305">
            <v>32.554444444444442</v>
          </cell>
        </row>
        <row r="1306">
          <cell r="B1306">
            <v>36.130000000000003</v>
          </cell>
          <cell r="C1306">
            <v>98.89</v>
          </cell>
          <cell r="D1306">
            <v>19.55</v>
          </cell>
          <cell r="E1306">
            <v>7.81</v>
          </cell>
          <cell r="H1306">
            <v>45346</v>
          </cell>
          <cell r="I1306">
            <v>0.65111111111111108</v>
          </cell>
          <cell r="J1306">
            <v>32.106666666666662</v>
          </cell>
        </row>
        <row r="1307">
          <cell r="B1307">
            <v>33.270000000000003</v>
          </cell>
          <cell r="C1307">
            <v>96.31</v>
          </cell>
          <cell r="D1307">
            <v>18.72</v>
          </cell>
          <cell r="E1307">
            <v>7.9</v>
          </cell>
          <cell r="H1307">
            <v>45346</v>
          </cell>
          <cell r="I1307">
            <v>0.68666666666666665</v>
          </cell>
          <cell r="J1307">
            <v>32.256666666666668</v>
          </cell>
        </row>
        <row r="1308">
          <cell r="B1308">
            <v>34.47</v>
          </cell>
          <cell r="C1308">
            <v>93.61</v>
          </cell>
          <cell r="D1308">
            <v>22.23</v>
          </cell>
          <cell r="E1308">
            <v>7.81</v>
          </cell>
          <cell r="H1308">
            <v>45346</v>
          </cell>
          <cell r="I1308">
            <v>0.69</v>
          </cell>
          <cell r="J1308">
            <v>33.017777777777781</v>
          </cell>
        </row>
        <row r="1309">
          <cell r="B1309">
            <v>33.76</v>
          </cell>
          <cell r="C1309">
            <v>89.66</v>
          </cell>
          <cell r="D1309">
            <v>22.04</v>
          </cell>
          <cell r="E1309">
            <v>7.68</v>
          </cell>
          <cell r="H1309">
            <v>45346</v>
          </cell>
          <cell r="I1309">
            <v>0.69666666666666666</v>
          </cell>
          <cell r="J1309">
            <v>33.914444444444449</v>
          </cell>
        </row>
        <row r="1310">
          <cell r="B1310">
            <v>34.25</v>
          </cell>
          <cell r="C1310">
            <v>87.17</v>
          </cell>
          <cell r="D1310">
            <v>21.93</v>
          </cell>
          <cell r="E1310">
            <v>7.88</v>
          </cell>
          <cell r="H1310">
            <v>45346</v>
          </cell>
          <cell r="I1310">
            <v>0.70666666666666655</v>
          </cell>
          <cell r="J1310">
            <v>34.711111111111109</v>
          </cell>
        </row>
        <row r="1311">
          <cell r="B1311">
            <v>34.549999999999997</v>
          </cell>
          <cell r="C1311">
            <v>88.6</v>
          </cell>
          <cell r="D1311">
            <v>22.19</v>
          </cell>
          <cell r="E1311">
            <v>7.95</v>
          </cell>
          <cell r="H1311">
            <v>45346</v>
          </cell>
          <cell r="I1311">
            <v>0.70555555555555538</v>
          </cell>
          <cell r="J1311">
            <v>35.99111111111111</v>
          </cell>
        </row>
        <row r="1312">
          <cell r="B1312">
            <v>32.909999999999997</v>
          </cell>
          <cell r="C1312">
            <v>87.96</v>
          </cell>
          <cell r="D1312">
            <v>21.96</v>
          </cell>
          <cell r="E1312">
            <v>7.86</v>
          </cell>
          <cell r="H1312">
            <v>45346</v>
          </cell>
          <cell r="I1312">
            <v>0.71111111111111114</v>
          </cell>
          <cell r="J1312">
            <v>37.50888888888889</v>
          </cell>
        </row>
        <row r="1313">
          <cell r="B1313">
            <v>62.75</v>
          </cell>
          <cell r="C1313">
            <v>95.37</v>
          </cell>
          <cell r="D1313">
            <v>22.24</v>
          </cell>
          <cell r="E1313">
            <v>7.7</v>
          </cell>
          <cell r="H1313">
            <v>45346</v>
          </cell>
          <cell r="I1313">
            <v>0.71111111111111114</v>
          </cell>
          <cell r="J1313">
            <v>37.757777777777768</v>
          </cell>
        </row>
        <row r="1314">
          <cell r="B1314">
            <v>101.22</v>
          </cell>
          <cell r="C1314">
            <v>101.34</v>
          </cell>
          <cell r="D1314">
            <v>22.65</v>
          </cell>
          <cell r="E1314">
            <v>7.66</v>
          </cell>
          <cell r="H1314">
            <v>45346</v>
          </cell>
          <cell r="I1314">
            <v>0.71111111111111103</v>
          </cell>
          <cell r="J1314">
            <v>39.00333333333333</v>
          </cell>
        </row>
        <row r="1315">
          <cell r="B1315">
            <v>51.56</v>
          </cell>
          <cell r="C1315">
            <v>105.84</v>
          </cell>
          <cell r="D1315">
            <v>23.73</v>
          </cell>
          <cell r="E1315">
            <v>7.92</v>
          </cell>
          <cell r="H1315">
            <v>45346</v>
          </cell>
          <cell r="I1315">
            <v>0.72555555555555551</v>
          </cell>
          <cell r="J1315">
            <v>40.468888888888884</v>
          </cell>
        </row>
        <row r="1316">
          <cell r="B1316">
            <v>51.55</v>
          </cell>
          <cell r="C1316">
            <v>107.36</v>
          </cell>
          <cell r="D1316">
            <v>24.12</v>
          </cell>
          <cell r="E1316">
            <v>7.97</v>
          </cell>
          <cell r="H1316">
            <v>45346</v>
          </cell>
          <cell r="I1316">
            <v>0.71111111111111092</v>
          </cell>
          <cell r="J1316">
            <v>40.599999999999994</v>
          </cell>
        </row>
        <row r="1317">
          <cell r="B1317">
            <v>56.46</v>
          </cell>
          <cell r="C1317">
            <v>107.03</v>
          </cell>
          <cell r="D1317">
            <v>23.93</v>
          </cell>
          <cell r="E1317">
            <v>7.92</v>
          </cell>
          <cell r="H1317">
            <v>45346</v>
          </cell>
          <cell r="I1317">
            <v>0.73111111111111104</v>
          </cell>
          <cell r="J1317">
            <v>40.424444444444447</v>
          </cell>
        </row>
        <row r="1318">
          <cell r="B1318">
            <v>52.69</v>
          </cell>
          <cell r="C1318">
            <v>106.09</v>
          </cell>
          <cell r="D1318">
            <v>24.41</v>
          </cell>
          <cell r="E1318">
            <v>7.72</v>
          </cell>
          <cell r="H1318">
            <v>45346</v>
          </cell>
          <cell r="I1318">
            <v>0.74444444444444435</v>
          </cell>
          <cell r="J1318">
            <v>40.068888888888893</v>
          </cell>
        </row>
        <row r="1319">
          <cell r="B1319">
            <v>54.47</v>
          </cell>
          <cell r="C1319">
            <v>106.66</v>
          </cell>
          <cell r="D1319">
            <v>24.27</v>
          </cell>
          <cell r="E1319">
            <v>7.4</v>
          </cell>
          <cell r="H1319">
            <v>45346</v>
          </cell>
          <cell r="I1319">
            <v>0.75111111111111106</v>
          </cell>
          <cell r="J1319">
            <v>39.903333333333336</v>
          </cell>
        </row>
        <row r="1320">
          <cell r="B1320">
            <v>46.98</v>
          </cell>
          <cell r="C1320">
            <v>106.43</v>
          </cell>
          <cell r="D1320">
            <v>23.56</v>
          </cell>
          <cell r="E1320">
            <v>7.04</v>
          </cell>
          <cell r="H1320">
            <v>45346</v>
          </cell>
          <cell r="I1320">
            <v>0.75444444444444458</v>
          </cell>
          <cell r="J1320">
            <v>39.904444444444444</v>
          </cell>
        </row>
        <row r="1321">
          <cell r="B1321">
            <v>51.22</v>
          </cell>
          <cell r="C1321">
            <v>101.82</v>
          </cell>
          <cell r="D1321">
            <v>23.69</v>
          </cell>
          <cell r="E1321">
            <v>7.21</v>
          </cell>
          <cell r="H1321">
            <v>45346</v>
          </cell>
          <cell r="I1321">
            <v>0.74555555555555553</v>
          </cell>
          <cell r="J1321">
            <v>39.357777777777784</v>
          </cell>
        </row>
        <row r="1322">
          <cell r="B1322">
            <v>53.16</v>
          </cell>
          <cell r="C1322">
            <v>100.32</v>
          </cell>
          <cell r="D1322">
            <v>23.14</v>
          </cell>
          <cell r="E1322">
            <v>7.03</v>
          </cell>
          <cell r="H1322">
            <v>45347</v>
          </cell>
          <cell r="I1322">
            <v>0.73444444444444446</v>
          </cell>
          <cell r="J1322">
            <v>38.774444444444448</v>
          </cell>
        </row>
        <row r="1323">
          <cell r="B1323">
            <v>39.979999999999997</v>
          </cell>
          <cell r="C1323">
            <v>86.94</v>
          </cell>
          <cell r="D1323">
            <v>22.95</v>
          </cell>
          <cell r="E1323">
            <v>7.76</v>
          </cell>
          <cell r="H1323">
            <v>45347</v>
          </cell>
          <cell r="I1323">
            <v>0.72888888888888881</v>
          </cell>
          <cell r="J1323">
            <v>38.248888888888885</v>
          </cell>
        </row>
        <row r="1324">
          <cell r="B1324">
            <v>37.56</v>
          </cell>
          <cell r="C1324">
            <v>72.67</v>
          </cell>
          <cell r="D1324">
            <v>22.57</v>
          </cell>
          <cell r="E1324">
            <v>8.2799999999999994</v>
          </cell>
          <cell r="H1324">
            <v>45347</v>
          </cell>
          <cell r="I1324">
            <v>0.71111111111111103</v>
          </cell>
          <cell r="J1324">
            <v>38.185555555555553</v>
          </cell>
        </row>
        <row r="1325">
          <cell r="B1325">
            <v>25.61</v>
          </cell>
          <cell r="C1325">
            <v>63.48</v>
          </cell>
          <cell r="D1325">
            <v>22.47</v>
          </cell>
          <cell r="E1325">
            <v>8.1999999999999993</v>
          </cell>
          <cell r="H1325">
            <v>45347</v>
          </cell>
          <cell r="I1325">
            <v>0.68555555555555558</v>
          </cell>
          <cell r="J1325">
            <v>38.825555555555553</v>
          </cell>
        </row>
        <row r="1326">
          <cell r="B1326">
            <v>26.31</v>
          </cell>
          <cell r="C1326">
            <v>61.52</v>
          </cell>
          <cell r="D1326">
            <v>22.72</v>
          </cell>
          <cell r="E1326">
            <v>8.24</v>
          </cell>
          <cell r="H1326">
            <v>45347</v>
          </cell>
          <cell r="I1326">
            <v>0.66555555555555557</v>
          </cell>
          <cell r="J1326">
            <v>39.465555555555554</v>
          </cell>
        </row>
        <row r="1327">
          <cell r="B1327">
            <v>25.66</v>
          </cell>
          <cell r="C1327">
            <v>59.67</v>
          </cell>
          <cell r="D1327">
            <v>22.76</v>
          </cell>
          <cell r="E1327">
            <v>8.57</v>
          </cell>
          <cell r="H1327">
            <v>45347</v>
          </cell>
          <cell r="I1327">
            <v>0.65222222222222226</v>
          </cell>
          <cell r="J1327">
            <v>39.769999999999996</v>
          </cell>
        </row>
        <row r="1328">
          <cell r="B1328">
            <v>26.5</v>
          </cell>
          <cell r="C1328">
            <v>66.040000000000006</v>
          </cell>
          <cell r="D1328">
            <v>22.8</v>
          </cell>
          <cell r="E1328">
            <v>8.86</v>
          </cell>
          <cell r="H1328">
            <v>45347</v>
          </cell>
          <cell r="I1328">
            <v>0.64888888888888885</v>
          </cell>
          <cell r="J1328">
            <v>40.206666666666671</v>
          </cell>
        </row>
        <row r="1329">
          <cell r="B1329">
            <v>28.78</v>
          </cell>
          <cell r="C1329">
            <v>71.58</v>
          </cell>
          <cell r="D1329">
            <v>22.97</v>
          </cell>
          <cell r="E1329">
            <v>8.9600000000000009</v>
          </cell>
          <cell r="H1329">
            <v>45347</v>
          </cell>
          <cell r="I1329">
            <v>0.65666666666666673</v>
          </cell>
          <cell r="J1329">
            <v>40.413333333333334</v>
          </cell>
        </row>
        <row r="1330">
          <cell r="B1330">
            <v>33.659999999999997</v>
          </cell>
          <cell r="C1330">
            <v>80.459999999999994</v>
          </cell>
          <cell r="D1330">
            <v>21.62</v>
          </cell>
          <cell r="E1330">
            <v>10.77</v>
          </cell>
          <cell r="H1330">
            <v>45347</v>
          </cell>
          <cell r="I1330">
            <v>0.67</v>
          </cell>
          <cell r="J1330">
            <v>40.093333333333334</v>
          </cell>
        </row>
        <row r="1331">
          <cell r="B1331">
            <v>35.57</v>
          </cell>
          <cell r="C1331">
            <v>86.98</v>
          </cell>
          <cell r="D1331">
            <v>21.73</v>
          </cell>
          <cell r="E1331">
            <v>10.91</v>
          </cell>
          <cell r="H1331">
            <v>45347</v>
          </cell>
          <cell r="I1331">
            <v>0.68666666666666676</v>
          </cell>
          <cell r="J1331">
            <v>40.156666666666666</v>
          </cell>
        </row>
        <row r="1332">
          <cell r="B1332">
            <v>57.17</v>
          </cell>
          <cell r="C1332">
            <v>91.76</v>
          </cell>
          <cell r="D1332">
            <v>21.21</v>
          </cell>
          <cell r="E1332">
            <v>10.51</v>
          </cell>
          <cell r="H1332">
            <v>45347</v>
          </cell>
          <cell r="I1332">
            <v>0.69444444444444453</v>
          </cell>
          <cell r="J1332">
            <v>40.691111111111113</v>
          </cell>
        </row>
        <row r="1333">
          <cell r="B1333">
            <v>108.12</v>
          </cell>
          <cell r="C1333">
            <v>82.11</v>
          </cell>
          <cell r="D1333">
            <v>21.33</v>
          </cell>
          <cell r="E1333">
            <v>9.57</v>
          </cell>
          <cell r="H1333">
            <v>45347</v>
          </cell>
          <cell r="I1333">
            <v>0.70444444444444465</v>
          </cell>
          <cell r="J1333">
            <v>40.69444444444445</v>
          </cell>
        </row>
        <row r="1334">
          <cell r="B1334">
            <v>108.38</v>
          </cell>
          <cell r="C1334">
            <v>80.62</v>
          </cell>
          <cell r="D1334">
            <v>21.58</v>
          </cell>
          <cell r="E1334">
            <v>8.68</v>
          </cell>
          <cell r="H1334">
            <v>45347</v>
          </cell>
          <cell r="I1334">
            <v>0.71444444444444455</v>
          </cell>
          <cell r="J1334">
            <v>40.663333333333334</v>
          </cell>
        </row>
        <row r="1335">
          <cell r="B1335">
            <v>87.86</v>
          </cell>
          <cell r="C1335">
            <v>90</v>
          </cell>
          <cell r="D1335">
            <v>21.63</v>
          </cell>
          <cell r="E1335">
            <v>8.59</v>
          </cell>
          <cell r="H1335">
            <v>45347</v>
          </cell>
          <cell r="I1335">
            <v>0.72333333333333338</v>
          </cell>
          <cell r="J1335">
            <v>40.93</v>
          </cell>
        </row>
        <row r="1336">
          <cell r="B1336">
            <v>38.880000000000003</v>
          </cell>
          <cell r="C1336">
            <v>91.28</v>
          </cell>
          <cell r="D1336">
            <v>22.26</v>
          </cell>
          <cell r="E1336">
            <v>8.48</v>
          </cell>
          <cell r="H1336">
            <v>45347</v>
          </cell>
          <cell r="I1336">
            <v>0.72888888888888892</v>
          </cell>
          <cell r="J1336">
            <v>41.646666666666675</v>
          </cell>
        </row>
        <row r="1337">
          <cell r="B1337">
            <v>36.979999999999997</v>
          </cell>
          <cell r="C1337">
            <v>89.82</v>
          </cell>
          <cell r="D1337">
            <v>21.88</v>
          </cell>
          <cell r="E1337">
            <v>8.16</v>
          </cell>
          <cell r="H1337">
            <v>45347</v>
          </cell>
          <cell r="I1337">
            <v>0.73</v>
          </cell>
          <cell r="J1337">
            <v>42.082222222222214</v>
          </cell>
        </row>
        <row r="1338">
          <cell r="B1338">
            <v>40.6</v>
          </cell>
          <cell r="C1338">
            <v>95.96</v>
          </cell>
          <cell r="D1338">
            <v>21.92</v>
          </cell>
          <cell r="E1338">
            <v>8.35</v>
          </cell>
          <cell r="H1338">
            <v>45347</v>
          </cell>
          <cell r="I1338">
            <v>0.72444444444444445</v>
          </cell>
          <cell r="J1338">
            <v>42.072222222222223</v>
          </cell>
        </row>
        <row r="1339">
          <cell r="B1339">
            <v>35.56</v>
          </cell>
          <cell r="C1339">
            <v>87.22</v>
          </cell>
          <cell r="D1339">
            <v>23.5</v>
          </cell>
          <cell r="E1339">
            <v>8.58</v>
          </cell>
          <cell r="H1339">
            <v>45347</v>
          </cell>
          <cell r="I1339">
            <v>0.72444444444444445</v>
          </cell>
          <cell r="J1339">
            <v>42.791111111111121</v>
          </cell>
        </row>
        <row r="1340">
          <cell r="B1340">
            <v>55.64</v>
          </cell>
          <cell r="C1340">
            <v>87.84</v>
          </cell>
          <cell r="D1340">
            <v>22.07</v>
          </cell>
          <cell r="E1340">
            <v>8.75</v>
          </cell>
          <cell r="H1340">
            <v>45347</v>
          </cell>
          <cell r="I1340">
            <v>0.73</v>
          </cell>
          <cell r="J1340">
            <v>42.463333333333338</v>
          </cell>
        </row>
        <row r="1341">
          <cell r="B1341">
            <v>115.87</v>
          </cell>
          <cell r="C1341">
            <v>93.27</v>
          </cell>
          <cell r="D1341">
            <v>22.22</v>
          </cell>
          <cell r="E1341">
            <v>8.6199999999999992</v>
          </cell>
          <cell r="H1341">
            <v>45347</v>
          </cell>
          <cell r="I1341">
            <v>0.73666666666666658</v>
          </cell>
          <cell r="J1341">
            <v>41.341111111111118</v>
          </cell>
        </row>
        <row r="1342">
          <cell r="B1342">
            <v>112.54</v>
          </cell>
          <cell r="C1342">
            <v>90.62</v>
          </cell>
          <cell r="D1342">
            <v>22.01</v>
          </cell>
          <cell r="E1342">
            <v>8.4</v>
          </cell>
          <cell r="H1342">
            <v>45347</v>
          </cell>
          <cell r="I1342">
            <v>0.73222222222222222</v>
          </cell>
          <cell r="J1342">
            <v>40.521111111111111</v>
          </cell>
        </row>
        <row r="1343">
          <cell r="B1343">
            <v>97.94</v>
          </cell>
          <cell r="C1343">
            <v>94.41</v>
          </cell>
          <cell r="D1343">
            <v>21.53</v>
          </cell>
          <cell r="E1343">
            <v>8.4499999999999993</v>
          </cell>
          <cell r="H1343">
            <v>45347</v>
          </cell>
          <cell r="I1343">
            <v>0.72999999999999987</v>
          </cell>
          <cell r="J1343">
            <v>39.077777777777783</v>
          </cell>
        </row>
        <row r="1344">
          <cell r="B1344">
            <v>44.34</v>
          </cell>
          <cell r="C1344">
            <v>84.4</v>
          </cell>
          <cell r="D1344">
            <v>21.61</v>
          </cell>
          <cell r="E1344">
            <v>8.3800000000000008</v>
          </cell>
          <cell r="H1344">
            <v>45347</v>
          </cell>
          <cell r="I1344">
            <v>0.71888888888888891</v>
          </cell>
          <cell r="J1344">
            <v>37.144444444444446</v>
          </cell>
        </row>
        <row r="1345">
          <cell r="B1345">
            <v>37.94</v>
          </cell>
          <cell r="C1345">
            <v>77.94</v>
          </cell>
          <cell r="D1345">
            <v>22.16</v>
          </cell>
          <cell r="E1345">
            <v>8.08</v>
          </cell>
          <cell r="H1345">
            <v>45347</v>
          </cell>
          <cell r="I1345">
            <v>0.70666666666666655</v>
          </cell>
          <cell r="J1345">
            <v>35.288888888888891</v>
          </cell>
        </row>
        <row r="1346">
          <cell r="B1346">
            <v>35.81</v>
          </cell>
          <cell r="C1346">
            <v>71.599999999999994</v>
          </cell>
          <cell r="D1346">
            <v>21.74</v>
          </cell>
          <cell r="E1346">
            <v>8.15</v>
          </cell>
          <cell r="H1346">
            <v>45348</v>
          </cell>
          <cell r="I1346">
            <v>0.69666666666666666</v>
          </cell>
          <cell r="J1346">
            <v>33.412222222222219</v>
          </cell>
        </row>
        <row r="1347">
          <cell r="B1347">
            <v>34.630000000000003</v>
          </cell>
          <cell r="C1347">
            <v>66.03</v>
          </cell>
          <cell r="D1347">
            <v>21.95</v>
          </cell>
          <cell r="E1347">
            <v>8.4499999999999993</v>
          </cell>
          <cell r="H1347">
            <v>45348</v>
          </cell>
          <cell r="I1347">
            <v>0.69</v>
          </cell>
          <cell r="J1347">
            <v>31.706666666666667</v>
          </cell>
        </row>
        <row r="1348">
          <cell r="B1348">
            <v>30.88</v>
          </cell>
          <cell r="C1348">
            <v>64.27</v>
          </cell>
          <cell r="D1348">
            <v>21.62</v>
          </cell>
          <cell r="E1348">
            <v>8.5500000000000007</v>
          </cell>
          <cell r="H1348">
            <v>45348</v>
          </cell>
          <cell r="I1348">
            <v>0.67777777777777781</v>
          </cell>
          <cell r="J1348">
            <v>30.332222222222224</v>
          </cell>
        </row>
        <row r="1349">
          <cell r="B1349">
            <v>31.73</v>
          </cell>
          <cell r="C1349">
            <v>61.21</v>
          </cell>
          <cell r="D1349">
            <v>21.43</v>
          </cell>
          <cell r="E1349">
            <v>8.94</v>
          </cell>
          <cell r="H1349">
            <v>45348</v>
          </cell>
          <cell r="I1349">
            <v>0.65444444444444438</v>
          </cell>
          <cell r="J1349">
            <v>29.448888888888892</v>
          </cell>
        </row>
        <row r="1350">
          <cell r="B1350">
            <v>31.38</v>
          </cell>
          <cell r="C1350">
            <v>58.13</v>
          </cell>
          <cell r="D1350">
            <v>21.6</v>
          </cell>
          <cell r="E1350">
            <v>8.7799999999999994</v>
          </cell>
          <cell r="H1350">
            <v>45348</v>
          </cell>
          <cell r="I1350">
            <v>0.63</v>
          </cell>
          <cell r="J1350">
            <v>28.79111111111111</v>
          </cell>
        </row>
        <row r="1351">
          <cell r="B1351">
            <v>27.77</v>
          </cell>
          <cell r="C1351">
            <v>54.61</v>
          </cell>
          <cell r="D1351">
            <v>21.31</v>
          </cell>
          <cell r="E1351">
            <v>9.0299999999999994</v>
          </cell>
          <cell r="H1351">
            <v>45348</v>
          </cell>
          <cell r="I1351">
            <v>0.62444444444444436</v>
          </cell>
          <cell r="J1351">
            <v>27.847777777777779</v>
          </cell>
        </row>
        <row r="1352">
          <cell r="B1352">
            <v>26.66</v>
          </cell>
          <cell r="C1352">
            <v>54.24</v>
          </cell>
          <cell r="D1352">
            <v>20.97</v>
          </cell>
          <cell r="E1352">
            <v>8.9700000000000006</v>
          </cell>
          <cell r="H1352">
            <v>45348</v>
          </cell>
          <cell r="I1352">
            <v>0.61888888888888882</v>
          </cell>
          <cell r="J1352">
            <v>27.328888888888891</v>
          </cell>
        </row>
        <row r="1353">
          <cell r="B1353">
            <v>27.56</v>
          </cell>
          <cell r="C1353">
            <v>55.85</v>
          </cell>
          <cell r="D1353">
            <v>20.86</v>
          </cell>
          <cell r="E1353">
            <v>8.98</v>
          </cell>
          <cell r="H1353">
            <v>45348</v>
          </cell>
          <cell r="I1353">
            <v>0.61888888888888882</v>
          </cell>
          <cell r="J1353">
            <v>26.764444444444443</v>
          </cell>
        </row>
        <row r="1354">
          <cell r="B1354">
            <v>27.34</v>
          </cell>
          <cell r="C1354">
            <v>61</v>
          </cell>
          <cell r="D1354">
            <v>21.15</v>
          </cell>
          <cell r="E1354">
            <v>9.61</v>
          </cell>
          <cell r="H1354">
            <v>45348</v>
          </cell>
          <cell r="I1354">
            <v>0.62444444444444447</v>
          </cell>
          <cell r="J1354">
            <v>26.04111111111111</v>
          </cell>
        </row>
        <row r="1355">
          <cell r="B1355">
            <v>24.86</v>
          </cell>
          <cell r="C1355">
            <v>61.75</v>
          </cell>
          <cell r="D1355">
            <v>21.1</v>
          </cell>
          <cell r="E1355">
            <v>9.89</v>
          </cell>
          <cell r="H1355">
            <v>45348</v>
          </cell>
          <cell r="I1355">
            <v>0.63555555555555554</v>
          </cell>
          <cell r="J1355">
            <v>25.53555555555555</v>
          </cell>
        </row>
        <row r="1356">
          <cell r="B1356">
            <v>23.82</v>
          </cell>
          <cell r="C1356">
            <v>67.209999999999994</v>
          </cell>
          <cell r="D1356">
            <v>20.41</v>
          </cell>
          <cell r="E1356">
            <v>9.5500000000000007</v>
          </cell>
          <cell r="H1356">
            <v>45348</v>
          </cell>
          <cell r="I1356">
            <v>0.64222222222222214</v>
          </cell>
          <cell r="J1356">
            <v>25.559999999999995</v>
          </cell>
        </row>
        <row r="1357">
          <cell r="B1357">
            <v>23.83</v>
          </cell>
          <cell r="C1357">
            <v>79.790000000000006</v>
          </cell>
          <cell r="D1357">
            <v>20.69</v>
          </cell>
          <cell r="E1357">
            <v>9.42</v>
          </cell>
          <cell r="H1357">
            <v>45348</v>
          </cell>
          <cell r="I1357">
            <v>0.63888888888888884</v>
          </cell>
          <cell r="J1357">
            <v>25.722222222222221</v>
          </cell>
        </row>
        <row r="1358">
          <cell r="B1358">
            <v>23.86</v>
          </cell>
          <cell r="C1358">
            <v>87.17</v>
          </cell>
          <cell r="D1358">
            <v>20.48</v>
          </cell>
          <cell r="E1358">
            <v>9.41</v>
          </cell>
          <cell r="H1358">
            <v>45348</v>
          </cell>
          <cell r="I1358">
            <v>0.63888888888888884</v>
          </cell>
          <cell r="J1358">
            <v>25.727777777777781</v>
          </cell>
        </row>
        <row r="1359">
          <cell r="B1359">
            <v>25.34</v>
          </cell>
          <cell r="C1359">
            <v>85.81</v>
          </cell>
          <cell r="D1359">
            <v>20.23</v>
          </cell>
          <cell r="E1359">
            <v>9.1300000000000008</v>
          </cell>
          <cell r="H1359">
            <v>45348</v>
          </cell>
          <cell r="I1359">
            <v>0.64111111111111108</v>
          </cell>
          <cell r="J1359">
            <v>26.100000000000005</v>
          </cell>
        </row>
        <row r="1360">
          <cell r="B1360">
            <v>24.3</v>
          </cell>
          <cell r="C1360">
            <v>88.63</v>
          </cell>
          <cell r="D1360">
            <v>20.350000000000001</v>
          </cell>
          <cell r="E1360">
            <v>8.92</v>
          </cell>
          <cell r="H1360">
            <v>45348</v>
          </cell>
          <cell r="I1360">
            <v>0.63444444444444448</v>
          </cell>
          <cell r="J1360">
            <v>27.204444444444448</v>
          </cell>
        </row>
        <row r="1361">
          <cell r="B1361">
            <v>23.56</v>
          </cell>
          <cell r="C1361">
            <v>79.08</v>
          </cell>
          <cell r="D1361">
            <v>21.33</v>
          </cell>
          <cell r="E1361">
            <v>8.6999999999999993</v>
          </cell>
          <cell r="H1361">
            <v>45348</v>
          </cell>
          <cell r="I1361">
            <v>0.6333333333333333</v>
          </cell>
          <cell r="J1361">
            <v>27.971111111111114</v>
          </cell>
        </row>
        <row r="1362">
          <cell r="B1362">
            <v>22.18</v>
          </cell>
          <cell r="C1362">
            <v>80.44</v>
          </cell>
          <cell r="D1362">
            <v>21.26</v>
          </cell>
          <cell r="E1362">
            <v>9.19</v>
          </cell>
          <cell r="H1362">
            <v>45348</v>
          </cell>
          <cell r="I1362">
            <v>0.63444444444444448</v>
          </cell>
          <cell r="J1362">
            <v>28.410000000000004</v>
          </cell>
        </row>
        <row r="1363">
          <cell r="B1363">
            <v>22</v>
          </cell>
          <cell r="C1363">
            <v>74.599999999999994</v>
          </cell>
          <cell r="D1363">
            <v>21.56</v>
          </cell>
          <cell r="E1363">
            <v>9.3000000000000007</v>
          </cell>
          <cell r="H1363">
            <v>45348</v>
          </cell>
          <cell r="I1363">
            <v>0.63555555555555565</v>
          </cell>
          <cell r="J1363">
            <v>29.305555555555557</v>
          </cell>
        </row>
        <row r="1364">
          <cell r="B1364">
            <v>23.53</v>
          </cell>
          <cell r="C1364">
            <v>74.8</v>
          </cell>
          <cell r="D1364">
            <v>21.68</v>
          </cell>
          <cell r="E1364">
            <v>8.75</v>
          </cell>
          <cell r="H1364">
            <v>45348</v>
          </cell>
          <cell r="I1364">
            <v>0.6333333333333333</v>
          </cell>
          <cell r="J1364">
            <v>29.901111111111113</v>
          </cell>
        </row>
        <row r="1365">
          <cell r="B1365">
            <v>31.07</v>
          </cell>
          <cell r="C1365">
            <v>77.87</v>
          </cell>
          <cell r="D1365">
            <v>22.04</v>
          </cell>
          <cell r="E1365">
            <v>8.67</v>
          </cell>
          <cell r="H1365">
            <v>45348</v>
          </cell>
          <cell r="I1365">
            <v>0.63555555555555554</v>
          </cell>
          <cell r="J1365">
            <v>30.215555555555554</v>
          </cell>
        </row>
        <row r="1366">
          <cell r="B1366">
            <v>33.869999999999997</v>
          </cell>
          <cell r="C1366">
            <v>79.86</v>
          </cell>
          <cell r="D1366">
            <v>21.57</v>
          </cell>
          <cell r="E1366">
            <v>9.17</v>
          </cell>
          <cell r="H1366">
            <v>45348</v>
          </cell>
          <cell r="I1366">
            <v>0.64555555555555544</v>
          </cell>
          <cell r="J1366">
            <v>30.355555555555561</v>
          </cell>
        </row>
        <row r="1367">
          <cell r="B1367">
            <v>29.45</v>
          </cell>
          <cell r="C1367">
            <v>73.290000000000006</v>
          </cell>
          <cell r="D1367">
            <v>21.72</v>
          </cell>
          <cell r="E1367">
            <v>9.24</v>
          </cell>
          <cell r="H1367">
            <v>45348</v>
          </cell>
          <cell r="I1367">
            <v>0.65333333333333343</v>
          </cell>
          <cell r="J1367">
            <v>30.577777777777776</v>
          </cell>
        </row>
        <row r="1368">
          <cell r="B1368">
            <v>30.69</v>
          </cell>
          <cell r="C1368">
            <v>65.86</v>
          </cell>
          <cell r="D1368">
            <v>21.72</v>
          </cell>
          <cell r="E1368">
            <v>8.89</v>
          </cell>
          <cell r="H1368">
            <v>45348</v>
          </cell>
          <cell r="I1368">
            <v>0.65999999999999992</v>
          </cell>
          <cell r="J1368">
            <v>30.641111111111108</v>
          </cell>
        </row>
        <row r="1369">
          <cell r="B1369">
            <v>30.49</v>
          </cell>
          <cell r="C1369">
            <v>63.89</v>
          </cell>
          <cell r="D1369">
            <v>21.51</v>
          </cell>
          <cell r="E1369">
            <v>8.77</v>
          </cell>
          <cell r="H1369">
            <v>45348</v>
          </cell>
          <cell r="I1369">
            <v>0.66666666666666674</v>
          </cell>
          <cell r="J1369">
            <v>30.171111111111113</v>
          </cell>
        </row>
        <row r="1370">
          <cell r="B1370">
            <v>33.979999999999997</v>
          </cell>
          <cell r="C1370">
            <v>66.099999999999994</v>
          </cell>
          <cell r="D1370">
            <v>21.44</v>
          </cell>
          <cell r="E1370">
            <v>8.75</v>
          </cell>
          <cell r="H1370">
            <v>45349</v>
          </cell>
          <cell r="I1370">
            <v>0.66333333333333333</v>
          </cell>
          <cell r="J1370">
            <v>29.874444444444446</v>
          </cell>
        </row>
        <row r="1371">
          <cell r="B1371">
            <v>36.53</v>
          </cell>
          <cell r="C1371">
            <v>66.430000000000007</v>
          </cell>
          <cell r="D1371">
            <v>21.21</v>
          </cell>
          <cell r="E1371">
            <v>8.7799999999999994</v>
          </cell>
          <cell r="H1371">
            <v>45349</v>
          </cell>
          <cell r="I1371">
            <v>0.65777777777777768</v>
          </cell>
          <cell r="J1371">
            <v>29.873333333333335</v>
          </cell>
        </row>
        <row r="1372">
          <cell r="B1372">
            <v>30.39</v>
          </cell>
          <cell r="C1372">
            <v>63.02</v>
          </cell>
          <cell r="D1372">
            <v>21.35</v>
          </cell>
          <cell r="E1372">
            <v>8.7899999999999991</v>
          </cell>
          <cell r="H1372">
            <v>45349</v>
          </cell>
          <cell r="I1372">
            <v>0.64888888888888874</v>
          </cell>
          <cell r="J1372">
            <v>29.685555555555553</v>
          </cell>
        </row>
        <row r="1373">
          <cell r="B1373">
            <v>39.340000000000003</v>
          </cell>
          <cell r="C1373">
            <v>61.31</v>
          </cell>
          <cell r="D1373">
            <v>21.59</v>
          </cell>
          <cell r="E1373">
            <v>8.67</v>
          </cell>
          <cell r="H1373">
            <v>45349</v>
          </cell>
          <cell r="I1373">
            <v>0.6333333333333333</v>
          </cell>
          <cell r="J1373">
            <v>29.457777777777778</v>
          </cell>
        </row>
        <row r="1374">
          <cell r="B1374">
            <v>31.78</v>
          </cell>
          <cell r="C1374">
            <v>61.58</v>
          </cell>
          <cell r="D1374">
            <v>22</v>
          </cell>
          <cell r="E1374">
            <v>8.2200000000000006</v>
          </cell>
          <cell r="H1374">
            <v>45349</v>
          </cell>
          <cell r="I1374">
            <v>0.61777777777777787</v>
          </cell>
          <cell r="J1374">
            <v>29.252222222222219</v>
          </cell>
        </row>
        <row r="1375">
          <cell r="B1375">
            <v>28.71</v>
          </cell>
          <cell r="C1375">
            <v>62.16</v>
          </cell>
          <cell r="D1375">
            <v>21.51</v>
          </cell>
          <cell r="E1375">
            <v>8.18</v>
          </cell>
          <cell r="H1375">
            <v>45349</v>
          </cell>
          <cell r="I1375">
            <v>0.60444444444444456</v>
          </cell>
          <cell r="J1375">
            <v>29.095555555555549</v>
          </cell>
        </row>
        <row r="1376">
          <cell r="B1376">
            <v>27.29</v>
          </cell>
          <cell r="C1376">
            <v>64.150000000000006</v>
          </cell>
          <cell r="D1376">
            <v>21.66</v>
          </cell>
          <cell r="E1376">
            <v>8.48</v>
          </cell>
          <cell r="H1376">
            <v>45349</v>
          </cell>
          <cell r="I1376">
            <v>0.60111111111111115</v>
          </cell>
          <cell r="J1376">
            <v>29.031111111111116</v>
          </cell>
        </row>
        <row r="1377">
          <cell r="B1377">
            <v>30.4</v>
          </cell>
          <cell r="C1377">
            <v>69.989999999999995</v>
          </cell>
          <cell r="D1377">
            <v>21.61</v>
          </cell>
          <cell r="E1377">
            <v>8.2100000000000009</v>
          </cell>
          <cell r="H1377">
            <v>45349</v>
          </cell>
          <cell r="I1377">
            <v>0.60222222222222221</v>
          </cell>
          <cell r="J1377">
            <v>29.799999999999997</v>
          </cell>
        </row>
        <row r="1378">
          <cell r="B1378">
            <v>39.4</v>
          </cell>
          <cell r="C1378">
            <v>82.55</v>
          </cell>
          <cell r="D1378">
            <v>21.57</v>
          </cell>
          <cell r="E1378">
            <v>8.66</v>
          </cell>
          <cell r="H1378">
            <v>45349</v>
          </cell>
          <cell r="I1378">
            <v>0.61222222222222222</v>
          </cell>
          <cell r="J1378">
            <v>29.361111111111111</v>
          </cell>
        </row>
        <row r="1379">
          <cell r="B1379">
            <v>34.659999999999997</v>
          </cell>
          <cell r="C1379">
            <v>75.3</v>
          </cell>
          <cell r="D1379">
            <v>19.489999999999998</v>
          </cell>
          <cell r="E1379">
            <v>9.16</v>
          </cell>
          <cell r="H1379">
            <v>45349</v>
          </cell>
          <cell r="I1379">
            <v>0.63</v>
          </cell>
          <cell r="J1379">
            <v>29.201111111111111</v>
          </cell>
        </row>
        <row r="1380">
          <cell r="B1380">
            <v>30.97</v>
          </cell>
          <cell r="C1380">
            <v>76.59</v>
          </cell>
          <cell r="D1380">
            <v>16.87</v>
          </cell>
          <cell r="E1380">
            <v>9.82</v>
          </cell>
          <cell r="H1380">
            <v>45349</v>
          </cell>
          <cell r="I1380">
            <v>0.64666666666666661</v>
          </cell>
          <cell r="J1380">
            <v>29.273333333333337</v>
          </cell>
        </row>
        <row r="1381">
          <cell r="B1381">
            <v>28.8</v>
          </cell>
          <cell r="C1381">
            <v>76.3</v>
          </cell>
          <cell r="D1381">
            <v>18.57</v>
          </cell>
          <cell r="E1381">
            <v>9.99</v>
          </cell>
          <cell r="H1381">
            <v>45349</v>
          </cell>
          <cell r="I1381">
            <v>0.65222222222222215</v>
          </cell>
          <cell r="J1381">
            <v>29.546666666666663</v>
          </cell>
        </row>
        <row r="1382">
          <cell r="B1382">
            <v>26.58</v>
          </cell>
          <cell r="C1382">
            <v>75.8</v>
          </cell>
          <cell r="D1382">
            <v>20.239999999999998</v>
          </cell>
          <cell r="E1382">
            <v>9.75</v>
          </cell>
          <cell r="H1382">
            <v>45349</v>
          </cell>
          <cell r="I1382">
            <v>0.66111111111111098</v>
          </cell>
          <cell r="J1382">
            <v>30.119999999999997</v>
          </cell>
        </row>
        <row r="1383">
          <cell r="B1383">
            <v>24.55</v>
          </cell>
          <cell r="C1383">
            <v>72.61</v>
          </cell>
          <cell r="D1383">
            <v>19.920000000000002</v>
          </cell>
          <cell r="E1383">
            <v>9.4700000000000006</v>
          </cell>
          <cell r="H1383">
            <v>45349</v>
          </cell>
          <cell r="I1383">
            <v>0.66888888888888876</v>
          </cell>
          <cell r="J1383">
            <v>30.918888888888887</v>
          </cell>
        </row>
        <row r="1384">
          <cell r="B1384">
            <v>23.63</v>
          </cell>
          <cell r="C1384">
            <v>73.73</v>
          </cell>
          <cell r="D1384">
            <v>19.73</v>
          </cell>
          <cell r="E1384">
            <v>9.4700000000000006</v>
          </cell>
          <cell r="H1384">
            <v>45349</v>
          </cell>
          <cell r="I1384">
            <v>0.67666666666666653</v>
          </cell>
          <cell r="J1384">
            <v>31.554444444444446</v>
          </cell>
        </row>
        <row r="1385">
          <cell r="B1385">
            <v>23.34</v>
          </cell>
          <cell r="C1385">
            <v>71.849999999999994</v>
          </cell>
          <cell r="D1385">
            <v>20.239999999999998</v>
          </cell>
          <cell r="E1385">
            <v>9.44</v>
          </cell>
          <cell r="H1385">
            <v>45349</v>
          </cell>
          <cell r="I1385">
            <v>0.68222222222222217</v>
          </cell>
          <cell r="J1385">
            <v>32.25</v>
          </cell>
        </row>
        <row r="1386">
          <cell r="B1386">
            <v>28.19</v>
          </cell>
          <cell r="C1386">
            <v>68.2</v>
          </cell>
          <cell r="D1386">
            <v>20.22</v>
          </cell>
          <cell r="E1386">
            <v>9.68</v>
          </cell>
          <cell r="H1386">
            <v>45349</v>
          </cell>
          <cell r="I1386">
            <v>0.68444444444444441</v>
          </cell>
          <cell r="J1386">
            <v>31.801111111111108</v>
          </cell>
        </row>
        <row r="1387">
          <cell r="B1387">
            <v>29.77</v>
          </cell>
          <cell r="C1387">
            <v>72.83</v>
          </cell>
          <cell r="D1387">
            <v>19.71</v>
          </cell>
          <cell r="E1387">
            <v>9.36</v>
          </cell>
          <cell r="H1387">
            <v>45349</v>
          </cell>
          <cell r="I1387">
            <v>0.68888888888888877</v>
          </cell>
          <cell r="J1387">
            <v>32.412222222222226</v>
          </cell>
        </row>
        <row r="1388">
          <cell r="B1388">
            <v>32.4</v>
          </cell>
          <cell r="C1388">
            <v>78.959999999999994</v>
          </cell>
          <cell r="D1388">
            <v>19.37</v>
          </cell>
          <cell r="E1388">
            <v>9.14</v>
          </cell>
          <cell r="H1388">
            <v>45349</v>
          </cell>
          <cell r="I1388">
            <v>0.69111111111111112</v>
          </cell>
          <cell r="J1388">
            <v>32.654444444444444</v>
          </cell>
        </row>
        <row r="1389">
          <cell r="B1389">
            <v>36.01</v>
          </cell>
          <cell r="C1389">
            <v>87.94</v>
          </cell>
          <cell r="D1389">
            <v>19.420000000000002</v>
          </cell>
          <cell r="E1389">
            <v>9.48</v>
          </cell>
          <cell r="H1389">
            <v>45349</v>
          </cell>
          <cell r="I1389">
            <v>0.69444444444444442</v>
          </cell>
          <cell r="J1389">
            <v>32.885555555555555</v>
          </cell>
        </row>
        <row r="1390">
          <cell r="B1390">
            <v>36.76</v>
          </cell>
          <cell r="C1390">
            <v>94.22</v>
          </cell>
          <cell r="D1390">
            <v>19.5</v>
          </cell>
          <cell r="E1390">
            <v>9.0500000000000007</v>
          </cell>
          <cell r="H1390">
            <v>45349</v>
          </cell>
          <cell r="I1390">
            <v>0.70666666666666667</v>
          </cell>
          <cell r="J1390">
            <v>32.724444444444444</v>
          </cell>
        </row>
        <row r="1391">
          <cell r="B1391">
            <v>37.82</v>
          </cell>
          <cell r="C1391">
            <v>90.65</v>
          </cell>
          <cell r="D1391">
            <v>19.190000000000001</v>
          </cell>
          <cell r="E1391">
            <v>9.02</v>
          </cell>
          <cell r="H1391">
            <v>45349</v>
          </cell>
          <cell r="I1391">
            <v>0.71555555555555561</v>
          </cell>
          <cell r="J1391">
            <v>32.804444444444442</v>
          </cell>
        </row>
        <row r="1392">
          <cell r="B1392">
            <v>35.42</v>
          </cell>
          <cell r="C1392">
            <v>83.6</v>
          </cell>
          <cell r="D1392">
            <v>19.399999999999999</v>
          </cell>
          <cell r="E1392">
            <v>9.09</v>
          </cell>
          <cell r="H1392">
            <v>45349</v>
          </cell>
          <cell r="I1392">
            <v>0.72111111111111115</v>
          </cell>
          <cell r="J1392">
            <v>32.880000000000003</v>
          </cell>
        </row>
        <row r="1393">
          <cell r="B1393">
            <v>36.729999999999997</v>
          </cell>
          <cell r="C1393">
            <v>80.44</v>
          </cell>
          <cell r="D1393">
            <v>19.29</v>
          </cell>
          <cell r="E1393">
            <v>8.98</v>
          </cell>
          <cell r="H1393">
            <v>45349</v>
          </cell>
          <cell r="I1393">
            <v>0.72444444444444445</v>
          </cell>
          <cell r="J1393">
            <v>32.851111111111109</v>
          </cell>
        </row>
        <row r="1394">
          <cell r="B1394">
            <v>35.89</v>
          </cell>
          <cell r="C1394">
            <v>78.540000000000006</v>
          </cell>
          <cell r="D1394">
            <v>19.420000000000002</v>
          </cell>
          <cell r="E1394">
            <v>8.3800000000000008</v>
          </cell>
          <cell r="H1394">
            <v>45350</v>
          </cell>
          <cell r="I1394">
            <v>0.71444444444444444</v>
          </cell>
          <cell r="J1394">
            <v>32.611111111111107</v>
          </cell>
        </row>
        <row r="1395">
          <cell r="B1395">
            <v>36.229999999999997</v>
          </cell>
          <cell r="C1395">
            <v>71.3</v>
          </cell>
          <cell r="D1395">
            <v>19.18</v>
          </cell>
          <cell r="E1395">
            <v>8.3699999999999992</v>
          </cell>
          <cell r="H1395">
            <v>45350</v>
          </cell>
          <cell r="I1395">
            <v>0.7022222222222223</v>
          </cell>
          <cell r="J1395">
            <v>32.197777777777773</v>
          </cell>
        </row>
        <row r="1396">
          <cell r="B1396">
            <v>31.2</v>
          </cell>
          <cell r="C1396">
            <v>67.87</v>
          </cell>
          <cell r="D1396">
            <v>19.09</v>
          </cell>
          <cell r="E1396">
            <v>8.74</v>
          </cell>
          <cell r="H1396">
            <v>45350</v>
          </cell>
          <cell r="I1396">
            <v>0.68666666666666676</v>
          </cell>
          <cell r="J1396">
            <v>31.976666666666663</v>
          </cell>
        </row>
        <row r="1397">
          <cell r="B1397">
            <v>31.91</v>
          </cell>
          <cell r="C1397">
            <v>61.98</v>
          </cell>
          <cell r="D1397">
            <v>19.399999999999999</v>
          </cell>
          <cell r="E1397">
            <v>8.67</v>
          </cell>
          <cell r="H1397">
            <v>45350</v>
          </cell>
          <cell r="I1397">
            <v>0.66888888888888887</v>
          </cell>
          <cell r="J1397">
            <v>31.719999999999995</v>
          </cell>
        </row>
        <row r="1398">
          <cell r="B1398">
            <v>32.32</v>
          </cell>
          <cell r="C1398">
            <v>61.88</v>
          </cell>
          <cell r="D1398">
            <v>19.190000000000001</v>
          </cell>
          <cell r="E1398">
            <v>8.61</v>
          </cell>
          <cell r="H1398">
            <v>45350</v>
          </cell>
          <cell r="I1398">
            <v>0.65</v>
          </cell>
          <cell r="J1398">
            <v>31.243333333333332</v>
          </cell>
        </row>
        <row r="1399">
          <cell r="B1399">
            <v>30.78</v>
          </cell>
          <cell r="C1399">
            <v>63.44</v>
          </cell>
          <cell r="D1399">
            <v>19.72</v>
          </cell>
          <cell r="E1399">
            <v>8.2200000000000006</v>
          </cell>
          <cell r="H1399">
            <v>45350</v>
          </cell>
          <cell r="I1399">
            <v>0.63777777777777778</v>
          </cell>
          <cell r="J1399">
            <v>30.668888888888887</v>
          </cell>
        </row>
        <row r="1400">
          <cell r="B1400">
            <v>33.25</v>
          </cell>
          <cell r="C1400">
            <v>62.83</v>
          </cell>
          <cell r="D1400">
            <v>19.2</v>
          </cell>
          <cell r="E1400">
            <v>8.92</v>
          </cell>
          <cell r="H1400">
            <v>45350</v>
          </cell>
          <cell r="I1400">
            <v>0.62888888888888883</v>
          </cell>
          <cell r="J1400">
            <v>29.512222222222224</v>
          </cell>
        </row>
        <row r="1401">
          <cell r="B1401">
            <v>35.26</v>
          </cell>
          <cell r="C1401">
            <v>67.989999999999995</v>
          </cell>
          <cell r="D1401">
            <v>19</v>
          </cell>
          <cell r="E1401">
            <v>9.14</v>
          </cell>
          <cell r="H1401">
            <v>45350</v>
          </cell>
          <cell r="I1401">
            <v>0.63111111111111107</v>
          </cell>
          <cell r="J1401">
            <v>28.808888888888887</v>
          </cell>
        </row>
        <row r="1402">
          <cell r="B1402">
            <v>33.19</v>
          </cell>
          <cell r="C1402">
            <v>76.87</v>
          </cell>
          <cell r="D1402">
            <v>19.03</v>
          </cell>
          <cell r="E1402">
            <v>9.8800000000000008</v>
          </cell>
          <cell r="H1402">
            <v>45350</v>
          </cell>
          <cell r="I1402">
            <v>0.64111111111111108</v>
          </cell>
          <cell r="J1402">
            <v>27.83</v>
          </cell>
        </row>
        <row r="1403">
          <cell r="B1403">
            <v>31.16</v>
          </cell>
          <cell r="C1403">
            <v>78.569999999999993</v>
          </cell>
          <cell r="D1403">
            <v>19.72</v>
          </cell>
          <cell r="E1403">
            <v>10.01</v>
          </cell>
          <cell r="H1403">
            <v>45350</v>
          </cell>
          <cell r="I1403">
            <v>0.65999999999999992</v>
          </cell>
          <cell r="J1403">
            <v>27.652222222222221</v>
          </cell>
        </row>
        <row r="1404">
          <cell r="B1404">
            <v>29</v>
          </cell>
          <cell r="C1404">
            <v>69.540000000000006</v>
          </cell>
          <cell r="D1404">
            <v>19.43</v>
          </cell>
          <cell r="E1404">
            <v>10.26</v>
          </cell>
          <cell r="H1404">
            <v>45350</v>
          </cell>
          <cell r="I1404">
            <v>0.68333333333333335</v>
          </cell>
          <cell r="J1404">
            <v>28.183333333333337</v>
          </cell>
        </row>
        <row r="1405">
          <cell r="B1405">
            <v>27.46</v>
          </cell>
          <cell r="C1405">
            <v>66.290000000000006</v>
          </cell>
          <cell r="D1405">
            <v>19.75</v>
          </cell>
          <cell r="E1405">
            <v>9.7799999999999994</v>
          </cell>
          <cell r="H1405">
            <v>45350</v>
          </cell>
          <cell r="I1405">
            <v>0.69111111111111123</v>
          </cell>
          <cell r="J1405">
            <v>28.613333333333337</v>
          </cell>
        </row>
        <row r="1406">
          <cell r="B1406">
            <v>22.89</v>
          </cell>
          <cell r="C1406">
            <v>60.36</v>
          </cell>
          <cell r="D1406">
            <v>20.3</v>
          </cell>
          <cell r="E1406">
            <v>9.9</v>
          </cell>
          <cell r="H1406">
            <v>45350</v>
          </cell>
          <cell r="I1406">
            <v>0.69555555555555559</v>
          </cell>
          <cell r="J1406">
            <v>29.36333333333333</v>
          </cell>
        </row>
        <row r="1407">
          <cell r="B1407">
            <v>23.6</v>
          </cell>
          <cell r="C1407">
            <v>59.04</v>
          </cell>
          <cell r="D1407">
            <v>19.54</v>
          </cell>
          <cell r="E1407">
            <v>8.9499999999999993</v>
          </cell>
          <cell r="H1407">
            <v>45350</v>
          </cell>
          <cell r="I1407">
            <v>0.69888888888888889</v>
          </cell>
          <cell r="J1407">
            <v>30.391111111111115</v>
          </cell>
        </row>
        <row r="1408">
          <cell r="B1408">
            <v>23.3</v>
          </cell>
          <cell r="C1408">
            <v>59.94</v>
          </cell>
          <cell r="D1408">
            <v>19.09</v>
          </cell>
          <cell r="E1408">
            <v>9.14</v>
          </cell>
          <cell r="H1408">
            <v>45350</v>
          </cell>
          <cell r="I1408">
            <v>0.7022222222222223</v>
          </cell>
          <cell r="J1408">
            <v>31.578888888888887</v>
          </cell>
        </row>
        <row r="1409">
          <cell r="B1409">
            <v>20.95</v>
          </cell>
          <cell r="C1409">
            <v>60.21</v>
          </cell>
          <cell r="D1409">
            <v>18.829999999999998</v>
          </cell>
          <cell r="E1409">
            <v>9.06</v>
          </cell>
          <cell r="H1409">
            <v>45350</v>
          </cell>
          <cell r="I1409">
            <v>0.70444444444444443</v>
          </cell>
          <cell r="J1409">
            <v>33.158888888888882</v>
          </cell>
        </row>
        <row r="1410">
          <cell r="B1410">
            <v>20.92</v>
          </cell>
          <cell r="C1410">
            <v>59.58</v>
          </cell>
          <cell r="D1410">
            <v>19.45</v>
          </cell>
          <cell r="E1410">
            <v>8.2799999999999994</v>
          </cell>
          <cell r="H1410">
            <v>45350</v>
          </cell>
          <cell r="I1410">
            <v>0.69888888888888889</v>
          </cell>
          <cell r="J1410">
            <v>33.997777777777777</v>
          </cell>
        </row>
        <row r="1411">
          <cell r="B1411">
            <v>23.91</v>
          </cell>
          <cell r="C1411">
            <v>63.68</v>
          </cell>
          <cell r="D1411">
            <v>19.87</v>
          </cell>
          <cell r="E1411">
            <v>8.35</v>
          </cell>
          <cell r="H1411">
            <v>45350</v>
          </cell>
          <cell r="I1411">
            <v>0.69000000000000006</v>
          </cell>
          <cell r="J1411">
            <v>35.167777777777772</v>
          </cell>
        </row>
        <row r="1412">
          <cell r="B1412">
            <v>27.51</v>
          </cell>
          <cell r="C1412">
            <v>72.650000000000006</v>
          </cell>
          <cell r="D1412">
            <v>19.98</v>
          </cell>
          <cell r="E1412">
            <v>8.33</v>
          </cell>
          <cell r="H1412">
            <v>45350</v>
          </cell>
          <cell r="I1412">
            <v>0.69444444444444442</v>
          </cell>
          <cell r="J1412">
            <v>35.262222222222221</v>
          </cell>
        </row>
        <row r="1413">
          <cell r="B1413">
            <v>32.33</v>
          </cell>
          <cell r="C1413">
            <v>81.150000000000006</v>
          </cell>
          <cell r="D1413">
            <v>19.53</v>
          </cell>
          <cell r="E1413">
            <v>7.94</v>
          </cell>
          <cell r="H1413">
            <v>45350</v>
          </cell>
          <cell r="I1413">
            <v>0.69777777777777783</v>
          </cell>
          <cell r="J1413">
            <v>34.935555555555553</v>
          </cell>
        </row>
        <row r="1414">
          <cell r="B1414">
            <v>38.770000000000003</v>
          </cell>
          <cell r="C1414">
            <v>99.68</v>
          </cell>
          <cell r="D1414">
            <v>20.059999999999999</v>
          </cell>
          <cell r="E1414">
            <v>8.31</v>
          </cell>
          <cell r="H1414">
            <v>45350</v>
          </cell>
          <cell r="I1414">
            <v>0.70444444444444454</v>
          </cell>
          <cell r="J1414">
            <v>34.755555555555553</v>
          </cell>
        </row>
        <row r="1415">
          <cell r="B1415">
            <v>40.11</v>
          </cell>
          <cell r="C1415">
            <v>100.23</v>
          </cell>
          <cell r="D1415">
            <v>20.22</v>
          </cell>
          <cell r="E1415">
            <v>8.0299999999999994</v>
          </cell>
          <cell r="H1415">
            <v>45350</v>
          </cell>
          <cell r="I1415">
            <v>0.70666666666666667</v>
          </cell>
          <cell r="J1415">
            <v>34.604444444444447</v>
          </cell>
        </row>
        <row r="1416">
          <cell r="B1416">
            <v>36.369999999999997</v>
          </cell>
          <cell r="C1416">
            <v>85.36</v>
          </cell>
          <cell r="D1416">
            <v>20.170000000000002</v>
          </cell>
          <cell r="E1416">
            <v>7.97</v>
          </cell>
          <cell r="H1416">
            <v>45350</v>
          </cell>
          <cell r="I1416">
            <v>0.70555555555555549</v>
          </cell>
          <cell r="J1416">
            <v>34.634444444444441</v>
          </cell>
        </row>
        <row r="1417">
          <cell r="B1417">
            <v>35.450000000000003</v>
          </cell>
          <cell r="C1417">
            <v>86.92</v>
          </cell>
          <cell r="D1417">
            <v>19.88</v>
          </cell>
          <cell r="E1417">
            <v>8.08</v>
          </cell>
          <cell r="H1417">
            <v>45350</v>
          </cell>
          <cell r="I1417">
            <v>0.69666666666666666</v>
          </cell>
          <cell r="J1417">
            <v>35.00333333333333</v>
          </cell>
        </row>
        <row r="1418">
          <cell r="B1418">
            <v>37.090000000000003</v>
          </cell>
          <cell r="C1418">
            <v>86.08</v>
          </cell>
          <cell r="D1418">
            <v>19.98</v>
          </cell>
          <cell r="E1418">
            <v>8.32</v>
          </cell>
          <cell r="H1418">
            <v>45351</v>
          </cell>
          <cell r="I1418">
            <v>0.68777777777777771</v>
          </cell>
          <cell r="J1418">
            <v>35.218888888888884</v>
          </cell>
        </row>
        <row r="1419">
          <cell r="B1419">
            <v>38.14</v>
          </cell>
          <cell r="C1419">
            <v>76.63</v>
          </cell>
          <cell r="D1419">
            <v>19.91</v>
          </cell>
          <cell r="E1419">
            <v>8.5500000000000007</v>
          </cell>
          <cell r="H1419">
            <v>45351</v>
          </cell>
          <cell r="I1419">
            <v>0.67777777777777781</v>
          </cell>
          <cell r="J1419">
            <v>35.691111111111113</v>
          </cell>
        </row>
        <row r="1420">
          <cell r="B1420">
            <v>36.49</v>
          </cell>
          <cell r="C1420">
            <v>74.819999999999993</v>
          </cell>
          <cell r="D1420">
            <v>19.64</v>
          </cell>
          <cell r="E1420">
            <v>8.7200000000000006</v>
          </cell>
          <cell r="H1420">
            <v>45351</v>
          </cell>
          <cell r="I1420">
            <v>0.6677777777777778</v>
          </cell>
          <cell r="J1420">
            <v>36.136666666666663</v>
          </cell>
        </row>
        <row r="1421">
          <cell r="B1421">
            <v>32.82</v>
          </cell>
          <cell r="C1421">
            <v>69.34</v>
          </cell>
          <cell r="D1421">
            <v>19.79</v>
          </cell>
          <cell r="E1421">
            <v>8.9700000000000006</v>
          </cell>
          <cell r="H1421">
            <v>45351</v>
          </cell>
          <cell r="I1421">
            <v>0.64444444444444438</v>
          </cell>
          <cell r="J1421">
            <v>36.854444444444454</v>
          </cell>
        </row>
        <row r="1422">
          <cell r="B1422">
            <v>36.1</v>
          </cell>
          <cell r="C1422">
            <v>69.61</v>
          </cell>
          <cell r="D1422">
            <v>19.559999999999999</v>
          </cell>
          <cell r="E1422">
            <v>9.14</v>
          </cell>
          <cell r="H1422">
            <v>45351</v>
          </cell>
          <cell r="I1422">
            <v>0.62555555555555553</v>
          </cell>
          <cell r="J1422">
            <v>37.332222222222221</v>
          </cell>
        </row>
        <row r="1423">
          <cell r="B1423">
            <v>40.39</v>
          </cell>
          <cell r="C1423">
            <v>76.2</v>
          </cell>
          <cell r="D1423">
            <v>19.940000000000001</v>
          </cell>
          <cell r="E1423">
            <v>8.9499999999999993</v>
          </cell>
          <cell r="H1423">
            <v>45351</v>
          </cell>
          <cell r="I1423">
            <v>0.6166666666666667</v>
          </cell>
          <cell r="J1423">
            <v>37.393333333333331</v>
          </cell>
        </row>
        <row r="1424">
          <cell r="B1424">
            <v>36.93</v>
          </cell>
          <cell r="C1424">
            <v>77.61</v>
          </cell>
          <cell r="D1424">
            <v>20.239999999999998</v>
          </cell>
          <cell r="E1424">
            <v>9.36</v>
          </cell>
          <cell r="H1424">
            <v>45351</v>
          </cell>
          <cell r="I1424">
            <v>0.61333333333333329</v>
          </cell>
          <cell r="J1424">
            <v>37.071111111111115</v>
          </cell>
        </row>
        <row r="1425">
          <cell r="B1425">
            <v>33.590000000000003</v>
          </cell>
          <cell r="C1425">
            <v>77.489999999999995</v>
          </cell>
          <cell r="D1425">
            <v>19.84</v>
          </cell>
          <cell r="E1425">
            <v>9.99</v>
          </cell>
          <cell r="H1425">
            <v>45351</v>
          </cell>
          <cell r="I1425">
            <v>0.62333333333333329</v>
          </cell>
          <cell r="J1425">
            <v>36.353333333333332</v>
          </cell>
        </row>
        <row r="1426">
          <cell r="B1426">
            <v>34.69</v>
          </cell>
          <cell r="C1426">
            <v>86.81</v>
          </cell>
          <cell r="D1426">
            <v>20.23</v>
          </cell>
          <cell r="E1426">
            <v>10.29</v>
          </cell>
          <cell r="H1426">
            <v>45351</v>
          </cell>
          <cell r="I1426">
            <v>0.63888888888888884</v>
          </cell>
          <cell r="J1426">
            <v>36.028888888888886</v>
          </cell>
        </row>
        <row r="1427">
          <cell r="B1427">
            <v>33.54</v>
          </cell>
          <cell r="C1427">
            <v>83.52</v>
          </cell>
          <cell r="D1427">
            <v>18.670000000000002</v>
          </cell>
          <cell r="E1427">
            <v>10.66</v>
          </cell>
          <cell r="H1427">
            <v>45351</v>
          </cell>
          <cell r="I1427">
            <v>0.65444444444444438</v>
          </cell>
          <cell r="J1427">
            <v>35.692222222222227</v>
          </cell>
        </row>
        <row r="1428">
          <cell r="B1428">
            <v>28.22</v>
          </cell>
          <cell r="C1428">
            <v>73.34</v>
          </cell>
          <cell r="D1428">
            <v>19.489999999999998</v>
          </cell>
          <cell r="E1428">
            <v>9.6999999999999993</v>
          </cell>
          <cell r="H1428">
            <v>45351</v>
          </cell>
          <cell r="I1428">
            <v>0.65999999999999992</v>
          </cell>
          <cell r="J1428">
            <v>35.163333333333327</v>
          </cell>
        </row>
        <row r="1429">
          <cell r="B1429">
            <v>24.52</v>
          </cell>
          <cell r="C1429">
            <v>63.83</v>
          </cell>
          <cell r="D1429">
            <v>19.62</v>
          </cell>
          <cell r="E1429">
            <v>8.8000000000000007</v>
          </cell>
          <cell r="H1429">
            <v>45351</v>
          </cell>
          <cell r="I1429">
            <v>0.66333333333333333</v>
          </cell>
          <cell r="J1429">
            <v>34.778888888888886</v>
          </cell>
        </row>
        <row r="1430">
          <cell r="B1430">
            <v>23.31</v>
          </cell>
          <cell r="C1430">
            <v>61.55</v>
          </cell>
          <cell r="D1430">
            <v>19.62</v>
          </cell>
          <cell r="E1430">
            <v>9.25</v>
          </cell>
          <cell r="H1430">
            <v>45351</v>
          </cell>
          <cell r="I1430">
            <v>0.66666666666666674</v>
          </cell>
          <cell r="J1430">
            <v>34.6</v>
          </cell>
        </row>
        <row r="1431">
          <cell r="B1431">
            <v>23.21</v>
          </cell>
          <cell r="C1431">
            <v>64.12</v>
          </cell>
          <cell r="D1431">
            <v>19.03</v>
          </cell>
          <cell r="E1431">
            <v>8.75</v>
          </cell>
          <cell r="H1431">
            <v>45351</v>
          </cell>
          <cell r="I1431">
            <v>0.65777777777777791</v>
          </cell>
          <cell r="J1431">
            <v>34.718888888888891</v>
          </cell>
        </row>
        <row r="1432">
          <cell r="B1432">
            <v>25.7</v>
          </cell>
          <cell r="C1432">
            <v>64.540000000000006</v>
          </cell>
          <cell r="D1432">
            <v>19.46</v>
          </cell>
          <cell r="E1432">
            <v>8.27</v>
          </cell>
          <cell r="H1432">
            <v>45351</v>
          </cell>
          <cell r="I1432">
            <v>0.6511111111111112</v>
          </cell>
          <cell r="J1432">
            <v>35.077777777777783</v>
          </cell>
        </row>
        <row r="1433">
          <cell r="B1433">
            <v>25.56</v>
          </cell>
          <cell r="C1433">
            <v>67.17</v>
          </cell>
          <cell r="D1433">
            <v>19.579999999999998</v>
          </cell>
          <cell r="E1433">
            <v>7.86</v>
          </cell>
          <cell r="H1433">
            <v>45351</v>
          </cell>
          <cell r="I1433">
            <v>0.65</v>
          </cell>
          <cell r="J1433">
            <v>35.748888888888892</v>
          </cell>
        </row>
        <row r="1434">
          <cell r="B1434">
            <v>27.28</v>
          </cell>
          <cell r="C1434">
            <v>62.48</v>
          </cell>
          <cell r="D1434">
            <v>18.8</v>
          </cell>
          <cell r="E1434">
            <v>8.3699999999999992</v>
          </cell>
          <cell r="H1434">
            <v>45351</v>
          </cell>
          <cell r="I1434">
            <v>0.64555555555555544</v>
          </cell>
          <cell r="J1434">
            <v>36.489999999999988</v>
          </cell>
        </row>
        <row r="1435">
          <cell r="B1435">
            <v>31.89</v>
          </cell>
          <cell r="C1435">
            <v>72.23</v>
          </cell>
          <cell r="D1435">
            <v>19.38</v>
          </cell>
          <cell r="E1435">
            <v>8.7200000000000006</v>
          </cell>
          <cell r="H1435">
            <v>45351</v>
          </cell>
          <cell r="I1435">
            <v>0.65111111111111108</v>
          </cell>
          <cell r="J1435">
            <v>36.521111111111104</v>
          </cell>
        </row>
        <row r="1436">
          <cell r="B1436">
            <v>36.33</v>
          </cell>
          <cell r="C1436">
            <v>82.51</v>
          </cell>
          <cell r="D1436">
            <v>19.739999999999998</v>
          </cell>
          <cell r="E1436">
            <v>9.07</v>
          </cell>
          <cell r="H1436">
            <v>45351</v>
          </cell>
          <cell r="I1436">
            <v>0.66666666666666674</v>
          </cell>
          <cell r="J1436">
            <v>36.18888888888889</v>
          </cell>
        </row>
        <row r="1437">
          <cell r="B1437">
            <v>36.68</v>
          </cell>
          <cell r="C1437">
            <v>84.9</v>
          </cell>
          <cell r="D1437">
            <v>20.399999999999999</v>
          </cell>
          <cell r="E1437">
            <v>8.7200000000000006</v>
          </cell>
          <cell r="H1437">
            <v>45351</v>
          </cell>
          <cell r="I1437">
            <v>0.69555555555555559</v>
          </cell>
          <cell r="J1437">
            <v>35.549999999999997</v>
          </cell>
        </row>
        <row r="1438">
          <cell r="B1438">
            <v>38.880000000000003</v>
          </cell>
          <cell r="C1438">
            <v>89.41</v>
          </cell>
          <cell r="D1438">
            <v>19.73</v>
          </cell>
          <cell r="E1438">
            <v>8.73</v>
          </cell>
          <cell r="H1438">
            <v>45351</v>
          </cell>
          <cell r="I1438">
            <v>0.71666666666666679</v>
          </cell>
          <cell r="J1438">
            <v>35.273333333333341</v>
          </cell>
        </row>
        <row r="1439">
          <cell r="B1439">
            <v>40</v>
          </cell>
          <cell r="C1439">
            <v>89.33</v>
          </cell>
          <cell r="D1439">
            <v>19.84</v>
          </cell>
          <cell r="E1439">
            <v>8.67</v>
          </cell>
          <cell r="H1439">
            <v>45351</v>
          </cell>
          <cell r="I1439">
            <v>0.72777777777777775</v>
          </cell>
          <cell r="J1439">
            <v>35.123333333333335</v>
          </cell>
        </row>
        <row r="1440">
          <cell r="B1440">
            <v>44.71</v>
          </cell>
          <cell r="C1440">
            <v>88.17</v>
          </cell>
          <cell r="D1440">
            <v>20.25</v>
          </cell>
          <cell r="E1440">
            <v>8.75</v>
          </cell>
          <cell r="H1440">
            <v>45351</v>
          </cell>
          <cell r="I1440">
            <v>0.74333333333333329</v>
          </cell>
          <cell r="J1440">
            <v>34.97</v>
          </cell>
        </row>
        <row r="1441">
          <cell r="B1441">
            <v>43.15</v>
          </cell>
          <cell r="C1441">
            <v>84.52</v>
          </cell>
          <cell r="D1441">
            <v>19.91</v>
          </cell>
          <cell r="E1441">
            <v>8.59</v>
          </cell>
          <cell r="H1441">
            <v>45351</v>
          </cell>
          <cell r="I1441">
            <v>0.7466666666666667</v>
          </cell>
          <cell r="J1441">
            <v>35.026666666666671</v>
          </cell>
        </row>
        <row r="1442">
          <cell r="B1442">
            <v>36.94</v>
          </cell>
          <cell r="C1442">
            <v>76.02</v>
          </cell>
          <cell r="D1442">
            <v>19.97</v>
          </cell>
          <cell r="E1442">
            <v>8.9600000000000009</v>
          </cell>
          <cell r="H1442">
            <v>45352</v>
          </cell>
          <cell r="I1442">
            <v>0.73666666666666669</v>
          </cell>
          <cell r="J1442">
            <v>34.967777777777776</v>
          </cell>
        </row>
        <row r="1443">
          <cell r="B1443">
            <v>34.32</v>
          </cell>
          <cell r="C1443">
            <v>71.989999999999995</v>
          </cell>
          <cell r="D1443">
            <v>19.68</v>
          </cell>
          <cell r="E1443">
            <v>8.61</v>
          </cell>
          <cell r="H1443">
            <v>45352</v>
          </cell>
          <cell r="I1443">
            <v>0.72666666666666668</v>
          </cell>
          <cell r="J1443">
            <v>34.986666666666665</v>
          </cell>
        </row>
        <row r="1444">
          <cell r="B1444">
            <v>31.46</v>
          </cell>
          <cell r="C1444">
            <v>66.510000000000005</v>
          </cell>
          <cell r="D1444">
            <v>20.04</v>
          </cell>
          <cell r="E1444">
            <v>8.2100000000000009</v>
          </cell>
          <cell r="H1444">
            <v>45352</v>
          </cell>
          <cell r="I1444">
            <v>0.70333333333333337</v>
          </cell>
          <cell r="J1444">
            <v>35.112222222222222</v>
          </cell>
        </row>
        <row r="1445">
          <cell r="B1445">
            <v>30.36</v>
          </cell>
          <cell r="C1445">
            <v>62.95</v>
          </cell>
          <cell r="D1445">
            <v>19.47</v>
          </cell>
          <cell r="E1445">
            <v>8.19</v>
          </cell>
          <cell r="H1445">
            <v>45352</v>
          </cell>
          <cell r="I1445">
            <v>0.6711111111111111</v>
          </cell>
          <cell r="J1445">
            <v>35.593333333333327</v>
          </cell>
        </row>
        <row r="1446">
          <cell r="B1446">
            <v>32.799999999999997</v>
          </cell>
          <cell r="C1446">
            <v>60.67</v>
          </cell>
          <cell r="D1446">
            <v>19.8</v>
          </cell>
          <cell r="E1446">
            <v>8.2200000000000006</v>
          </cell>
          <cell r="H1446">
            <v>45352</v>
          </cell>
          <cell r="I1446">
            <v>0.63444444444444448</v>
          </cell>
          <cell r="J1446">
            <v>36.046666666666667</v>
          </cell>
        </row>
        <row r="1447">
          <cell r="B1447">
            <v>30.48</v>
          </cell>
          <cell r="C1447">
            <v>64.2</v>
          </cell>
          <cell r="D1447">
            <v>19.82</v>
          </cell>
          <cell r="E1447">
            <v>8.49</v>
          </cell>
          <cell r="H1447">
            <v>45352</v>
          </cell>
          <cell r="I1447">
            <v>0.61333333333333329</v>
          </cell>
          <cell r="J1447">
            <v>36.041111111111114</v>
          </cell>
        </row>
        <row r="1448">
          <cell r="B1448">
            <v>33.67</v>
          </cell>
          <cell r="C1448">
            <v>69.349999999999994</v>
          </cell>
          <cell r="D1448">
            <v>19.95</v>
          </cell>
          <cell r="E1448">
            <v>8.89</v>
          </cell>
          <cell r="H1448">
            <v>45352</v>
          </cell>
          <cell r="I1448">
            <v>0.61111111111111116</v>
          </cell>
          <cell r="J1448">
            <v>35.422222222222224</v>
          </cell>
        </row>
        <row r="1449">
          <cell r="B1449">
            <v>39.74</v>
          </cell>
          <cell r="C1449">
            <v>80.55</v>
          </cell>
          <cell r="D1449">
            <v>19.95</v>
          </cell>
          <cell r="E1449">
            <v>9.0399999999999991</v>
          </cell>
          <cell r="H1449">
            <v>45352</v>
          </cell>
          <cell r="I1449">
            <v>0.61444444444444435</v>
          </cell>
          <cell r="J1449">
            <v>35.346666666666664</v>
          </cell>
        </row>
        <row r="1450">
          <cell r="B1450">
            <v>46.44</v>
          </cell>
          <cell r="C1450">
            <v>95.11</v>
          </cell>
          <cell r="D1450">
            <v>20.190000000000001</v>
          </cell>
          <cell r="E1450">
            <v>9.73</v>
          </cell>
          <cell r="H1450">
            <v>45352</v>
          </cell>
          <cell r="I1450">
            <v>0.62555555555555564</v>
          </cell>
          <cell r="J1450">
            <v>35.018888888888881</v>
          </cell>
        </row>
        <row r="1451">
          <cell r="B1451">
            <v>36.86</v>
          </cell>
          <cell r="C1451">
            <v>84.46</v>
          </cell>
          <cell r="D1451">
            <v>20.14</v>
          </cell>
          <cell r="E1451">
            <v>9.15</v>
          </cell>
          <cell r="H1451">
            <v>45352</v>
          </cell>
          <cell r="I1451">
            <v>0.64333333333333331</v>
          </cell>
          <cell r="J1451">
            <v>35.071111111111108</v>
          </cell>
        </row>
        <row r="1452">
          <cell r="B1452">
            <v>30.14</v>
          </cell>
          <cell r="C1452">
            <v>74.260000000000005</v>
          </cell>
          <cell r="D1452">
            <v>19.21</v>
          </cell>
          <cell r="E1452">
            <v>8.9499999999999993</v>
          </cell>
          <cell r="H1452">
            <v>45352</v>
          </cell>
          <cell r="I1452">
            <v>0.66333333333333344</v>
          </cell>
          <cell r="J1452">
            <v>35.376666666666665</v>
          </cell>
        </row>
        <row r="1453">
          <cell r="B1453">
            <v>25.91</v>
          </cell>
          <cell r="C1453">
            <v>74.3</v>
          </cell>
          <cell r="D1453">
            <v>19.11</v>
          </cell>
          <cell r="E1453">
            <v>8.4700000000000006</v>
          </cell>
          <cell r="H1453">
            <v>45352</v>
          </cell>
          <cell r="I1453">
            <v>0.66888888888888898</v>
          </cell>
          <cell r="J1453">
            <v>35.303333333333335</v>
          </cell>
        </row>
        <row r="1454">
          <cell r="B1454">
            <v>28.5</v>
          </cell>
          <cell r="C1454">
            <v>86.53</v>
          </cell>
          <cell r="D1454">
            <v>19.29</v>
          </cell>
          <cell r="E1454">
            <v>8.7100000000000009</v>
          </cell>
          <cell r="H1454">
            <v>45352</v>
          </cell>
          <cell r="I1454">
            <v>0.67888888888888888</v>
          </cell>
          <cell r="J1454">
            <v>35.441111111111105</v>
          </cell>
        </row>
        <row r="1455">
          <cell r="B1455">
            <v>27.12</v>
          </cell>
          <cell r="C1455">
            <v>74.28</v>
          </cell>
          <cell r="D1455">
            <v>18.95</v>
          </cell>
          <cell r="E1455">
            <v>8.61</v>
          </cell>
          <cell r="H1455">
            <v>45352</v>
          </cell>
          <cell r="I1455">
            <v>0.68666666666666665</v>
          </cell>
          <cell r="J1455">
            <v>36.109999999999992</v>
          </cell>
        </row>
        <row r="1456">
          <cell r="B1456">
            <v>26.32</v>
          </cell>
          <cell r="C1456">
            <v>68.349999999999994</v>
          </cell>
          <cell r="D1456">
            <v>19.170000000000002</v>
          </cell>
          <cell r="E1456">
            <v>8.67</v>
          </cell>
          <cell r="H1456">
            <v>45352</v>
          </cell>
          <cell r="I1456">
            <v>0.69222222222222218</v>
          </cell>
          <cell r="J1456">
            <v>37.165555555555557</v>
          </cell>
        </row>
        <row r="1457">
          <cell r="B1457">
            <v>24.61</v>
          </cell>
          <cell r="C1457">
            <v>65.12</v>
          </cell>
          <cell r="D1457">
            <v>19.09</v>
          </cell>
          <cell r="E1457">
            <v>8.5500000000000007</v>
          </cell>
          <cell r="H1457">
            <v>45352</v>
          </cell>
          <cell r="I1457">
            <v>0.69333333333333336</v>
          </cell>
          <cell r="J1457">
            <v>38.643333333333338</v>
          </cell>
        </row>
        <row r="1458">
          <cell r="B1458">
            <v>24.42</v>
          </cell>
          <cell r="C1458">
            <v>66.02</v>
          </cell>
          <cell r="D1458">
            <v>49.47</v>
          </cell>
          <cell r="E1458">
            <v>8.5299999999999994</v>
          </cell>
          <cell r="H1458">
            <v>45352</v>
          </cell>
          <cell r="I1458">
            <v>0.69333333333333336</v>
          </cell>
          <cell r="J1458">
            <v>39.194444444444443</v>
          </cell>
        </row>
        <row r="1459">
          <cell r="B1459">
            <v>25.7</v>
          </cell>
          <cell r="C1459">
            <v>69.22</v>
          </cell>
          <cell r="D1459">
            <v>20.47</v>
          </cell>
          <cell r="E1459">
            <v>8.2200000000000006</v>
          </cell>
          <cell r="H1459">
            <v>45352</v>
          </cell>
          <cell r="I1459">
            <v>0.69666666666666677</v>
          </cell>
          <cell r="J1459">
            <v>39.57</v>
          </cell>
        </row>
        <row r="1460">
          <cell r="B1460">
            <v>27.75</v>
          </cell>
          <cell r="C1460">
            <v>79.650000000000006</v>
          </cell>
          <cell r="D1460">
            <v>53.57</v>
          </cell>
          <cell r="E1460">
            <v>7.79</v>
          </cell>
          <cell r="H1460">
            <v>45352</v>
          </cell>
          <cell r="I1460">
            <v>0.71333333333333337</v>
          </cell>
          <cell r="J1460">
            <v>39.412222222222226</v>
          </cell>
        </row>
        <row r="1461">
          <cell r="B1461">
            <v>32.14</v>
          </cell>
          <cell r="C1461">
            <v>84.4</v>
          </cell>
          <cell r="D1461">
            <v>44.83</v>
          </cell>
          <cell r="E1461">
            <v>7.82</v>
          </cell>
          <cell r="H1461">
            <v>45352</v>
          </cell>
          <cell r="I1461">
            <v>0.71777777777777785</v>
          </cell>
          <cell r="J1461">
            <v>39.046666666666674</v>
          </cell>
        </row>
        <row r="1462">
          <cell r="B1462">
            <v>36.9</v>
          </cell>
          <cell r="C1462">
            <v>80.290000000000006</v>
          </cell>
          <cell r="D1462">
            <v>37.71</v>
          </cell>
          <cell r="E1462">
            <v>8.43</v>
          </cell>
          <cell r="H1462">
            <v>45352</v>
          </cell>
          <cell r="I1462">
            <v>0.7333333333333335</v>
          </cell>
          <cell r="J1462">
            <v>38.914444444444442</v>
          </cell>
        </row>
        <row r="1463">
          <cell r="B1463">
            <v>36.869999999999997</v>
          </cell>
          <cell r="C1463">
            <v>80.78</v>
          </cell>
          <cell r="D1463">
            <v>34.049999999999997</v>
          </cell>
          <cell r="E1463">
            <v>8.44</v>
          </cell>
          <cell r="H1463">
            <v>45352</v>
          </cell>
          <cell r="I1463">
            <v>0.73999999999999988</v>
          </cell>
          <cell r="J1463">
            <v>38.995555555555562</v>
          </cell>
        </row>
        <row r="1464">
          <cell r="B1464">
            <v>38.11</v>
          </cell>
          <cell r="C1464">
            <v>77.94</v>
          </cell>
          <cell r="D1464">
            <v>31.09</v>
          </cell>
          <cell r="E1464">
            <v>8.31</v>
          </cell>
          <cell r="H1464">
            <v>45352</v>
          </cell>
          <cell r="I1464">
            <v>0.74666666666666659</v>
          </cell>
          <cell r="J1464">
            <v>38.748888888888892</v>
          </cell>
        </row>
        <row r="1465">
          <cell r="B1465">
            <v>38.5</v>
          </cell>
          <cell r="C1465">
            <v>74.02</v>
          </cell>
          <cell r="D1465">
            <v>30.05</v>
          </cell>
          <cell r="E1465">
            <v>8.14</v>
          </cell>
          <cell r="H1465">
            <v>45352</v>
          </cell>
          <cell r="I1465">
            <v>0.74444444444444435</v>
          </cell>
          <cell r="J1465">
            <v>38.201111111111118</v>
          </cell>
        </row>
        <row r="1466">
          <cell r="B1466">
            <v>39.17</v>
          </cell>
          <cell r="C1466">
            <v>70.150000000000006</v>
          </cell>
          <cell r="D1466">
            <v>28.44</v>
          </cell>
          <cell r="E1466">
            <v>8.16</v>
          </cell>
          <cell r="H1466">
            <v>45353</v>
          </cell>
          <cell r="I1466">
            <v>0.73222222222222222</v>
          </cell>
          <cell r="J1466">
            <v>37.61888888888889</v>
          </cell>
        </row>
        <row r="1467">
          <cell r="B1467">
            <v>36.76</v>
          </cell>
          <cell r="C1467">
            <v>66.930000000000007</v>
          </cell>
          <cell r="D1467">
            <v>27.49</v>
          </cell>
          <cell r="E1467">
            <v>7.81</v>
          </cell>
          <cell r="H1467">
            <v>45353</v>
          </cell>
          <cell r="I1467">
            <v>0.71444444444444444</v>
          </cell>
          <cell r="J1467">
            <v>37.262222222222221</v>
          </cell>
        </row>
        <row r="1468">
          <cell r="B1468">
            <v>33.5</v>
          </cell>
          <cell r="C1468">
            <v>65.91</v>
          </cell>
          <cell r="D1468">
            <v>26.75</v>
          </cell>
          <cell r="E1468">
            <v>7.55</v>
          </cell>
          <cell r="H1468">
            <v>45353</v>
          </cell>
          <cell r="I1468">
            <v>0.69222222222222218</v>
          </cell>
          <cell r="J1468">
            <v>37.463333333333338</v>
          </cell>
        </row>
        <row r="1469">
          <cell r="B1469">
            <v>34.14</v>
          </cell>
          <cell r="C1469">
            <v>64.47</v>
          </cell>
          <cell r="D1469">
            <v>26.06</v>
          </cell>
          <cell r="E1469">
            <v>7.6</v>
          </cell>
          <cell r="H1469">
            <v>45353</v>
          </cell>
          <cell r="I1469">
            <v>0.66</v>
          </cell>
          <cell r="J1469">
            <v>37.542222222222222</v>
          </cell>
        </row>
        <row r="1470">
          <cell r="B1470">
            <v>34.89</v>
          </cell>
          <cell r="C1470">
            <v>64.78</v>
          </cell>
          <cell r="D1470">
            <v>25.57</v>
          </cell>
          <cell r="E1470">
            <v>7.79</v>
          </cell>
          <cell r="H1470">
            <v>45353</v>
          </cell>
          <cell r="I1470">
            <v>0.63444444444444448</v>
          </cell>
          <cell r="J1470">
            <v>37.304444444444442</v>
          </cell>
        </row>
        <row r="1471">
          <cell r="B1471">
            <v>37.520000000000003</v>
          </cell>
          <cell r="C1471">
            <v>68.56</v>
          </cell>
          <cell r="D1471">
            <v>27.28</v>
          </cell>
          <cell r="E1471">
            <v>8.7100000000000009</v>
          </cell>
          <cell r="H1471">
            <v>45353</v>
          </cell>
          <cell r="I1471">
            <v>0.62111111111111106</v>
          </cell>
          <cell r="J1471">
            <v>37.179999999999993</v>
          </cell>
        </row>
        <row r="1472">
          <cell r="B1472">
            <v>39.39</v>
          </cell>
          <cell r="C1472">
            <v>72.55</v>
          </cell>
          <cell r="D1472">
            <v>26.85</v>
          </cell>
          <cell r="E1472">
            <v>9.09</v>
          </cell>
          <cell r="H1472">
            <v>45353</v>
          </cell>
          <cell r="I1472">
            <v>0.61888888888888882</v>
          </cell>
          <cell r="J1472">
            <v>36.522222222222219</v>
          </cell>
        </row>
        <row r="1473">
          <cell r="B1473">
            <v>40.68</v>
          </cell>
          <cell r="C1473">
            <v>84.69</v>
          </cell>
          <cell r="D1473">
            <v>25.96</v>
          </cell>
          <cell r="E1473">
            <v>8.68</v>
          </cell>
          <cell r="H1473">
            <v>45353</v>
          </cell>
          <cell r="I1473">
            <v>0.62666666666666659</v>
          </cell>
          <cell r="J1473">
            <v>36.15</v>
          </cell>
        </row>
        <row r="1474">
          <cell r="B1474">
            <v>39.51</v>
          </cell>
          <cell r="C1474">
            <v>97.1</v>
          </cell>
          <cell r="D1474">
            <v>26.32</v>
          </cell>
          <cell r="E1474">
            <v>8.93</v>
          </cell>
          <cell r="H1474">
            <v>45353</v>
          </cell>
          <cell r="I1474">
            <v>0.63777777777777778</v>
          </cell>
          <cell r="J1474">
            <v>36.157777777777774</v>
          </cell>
        </row>
        <row r="1475">
          <cell r="B1475">
            <v>37.270000000000003</v>
          </cell>
          <cell r="C1475">
            <v>95.59</v>
          </cell>
          <cell r="D1475">
            <v>26.5</v>
          </cell>
          <cell r="E1475">
            <v>8.39</v>
          </cell>
          <cell r="H1475">
            <v>45353</v>
          </cell>
          <cell r="I1475">
            <v>0.64777777777777779</v>
          </cell>
          <cell r="J1475">
            <v>36.583333333333336</v>
          </cell>
        </row>
        <row r="1476">
          <cell r="B1476">
            <v>33.96</v>
          </cell>
          <cell r="C1476">
            <v>90.25</v>
          </cell>
          <cell r="D1476">
            <v>25.67</v>
          </cell>
          <cell r="E1476">
            <v>8.81</v>
          </cell>
          <cell r="H1476">
            <v>45353</v>
          </cell>
          <cell r="I1476">
            <v>0.6644444444444445</v>
          </cell>
          <cell r="J1476">
            <v>36.898888888888884</v>
          </cell>
        </row>
        <row r="1477">
          <cell r="B1477">
            <v>34.22</v>
          </cell>
          <cell r="C1477">
            <v>93.45</v>
          </cell>
          <cell r="D1477">
            <v>24.06</v>
          </cell>
          <cell r="E1477">
            <v>8.6</v>
          </cell>
          <cell r="H1477">
            <v>45353</v>
          </cell>
          <cell r="I1477">
            <v>0.6677777777777778</v>
          </cell>
          <cell r="J1477">
            <v>37.099999999999994</v>
          </cell>
        </row>
        <row r="1478">
          <cell r="B1478">
            <v>33.090000000000003</v>
          </cell>
          <cell r="C1478">
            <v>91.85</v>
          </cell>
          <cell r="D1478">
            <v>21.92</v>
          </cell>
          <cell r="E1478">
            <v>8.6</v>
          </cell>
          <cell r="H1478">
            <v>45353</v>
          </cell>
          <cell r="I1478">
            <v>0.67222222222222228</v>
          </cell>
          <cell r="J1478">
            <v>38.263333333333328</v>
          </cell>
        </row>
        <row r="1479">
          <cell r="B1479">
            <v>32.43</v>
          </cell>
          <cell r="C1479">
            <v>92.75</v>
          </cell>
          <cell r="D1479">
            <v>21.98</v>
          </cell>
          <cell r="E1479">
            <v>8.33</v>
          </cell>
          <cell r="H1479">
            <v>45353</v>
          </cell>
          <cell r="I1479">
            <v>0.67444444444444451</v>
          </cell>
          <cell r="J1479">
            <v>39.895555555555553</v>
          </cell>
        </row>
        <row r="1480">
          <cell r="B1480">
            <v>29.4</v>
          </cell>
          <cell r="C1480">
            <v>83.02</v>
          </cell>
          <cell r="D1480">
            <v>22.42</v>
          </cell>
          <cell r="E1480">
            <v>8.2899999999999991</v>
          </cell>
          <cell r="H1480">
            <v>45353</v>
          </cell>
          <cell r="I1480">
            <v>0.68888888888888899</v>
          </cell>
          <cell r="J1480">
            <v>41.345555555555556</v>
          </cell>
        </row>
        <row r="1481">
          <cell r="B1481">
            <v>48.85</v>
          </cell>
          <cell r="C1481">
            <v>82.82</v>
          </cell>
          <cell r="D1481">
            <v>21.66</v>
          </cell>
          <cell r="E1481">
            <v>7.68</v>
          </cell>
          <cell r="H1481">
            <v>45353</v>
          </cell>
          <cell r="I1481">
            <v>0.68</v>
          </cell>
          <cell r="J1481">
            <v>43.242222222222225</v>
          </cell>
        </row>
        <row r="1482">
          <cell r="B1482">
            <v>107.21</v>
          </cell>
          <cell r="C1482">
            <v>81.06</v>
          </cell>
          <cell r="D1482">
            <v>21.13</v>
          </cell>
          <cell r="E1482">
            <v>7.68</v>
          </cell>
          <cell r="H1482">
            <v>45353</v>
          </cell>
          <cell r="I1482">
            <v>0.6711111111111111</v>
          </cell>
          <cell r="J1482">
            <v>44.145555555555553</v>
          </cell>
        </row>
        <row r="1483">
          <cell r="B1483">
            <v>89.49</v>
          </cell>
          <cell r="C1483">
            <v>83.33</v>
          </cell>
          <cell r="D1483">
            <v>20.52</v>
          </cell>
          <cell r="E1483">
            <v>7.77</v>
          </cell>
          <cell r="H1483">
            <v>45353</v>
          </cell>
          <cell r="I1483">
            <v>0.6677777777777778</v>
          </cell>
          <cell r="J1483">
            <v>44.545555555555559</v>
          </cell>
        </row>
        <row r="1484">
          <cell r="B1484">
            <v>34.86</v>
          </cell>
          <cell r="C1484">
            <v>84.27</v>
          </cell>
          <cell r="D1484">
            <v>21.76</v>
          </cell>
          <cell r="E1484">
            <v>9.3699999999999992</v>
          </cell>
          <cell r="H1484">
            <v>45353</v>
          </cell>
          <cell r="I1484">
            <v>0.67444444444444451</v>
          </cell>
          <cell r="J1484">
            <v>44.213333333333338</v>
          </cell>
        </row>
        <row r="1485">
          <cell r="B1485">
            <v>37.79</v>
          </cell>
          <cell r="C1485">
            <v>90.54</v>
          </cell>
          <cell r="D1485">
            <v>22.77</v>
          </cell>
          <cell r="E1485">
            <v>9.81</v>
          </cell>
          <cell r="H1485">
            <v>45353</v>
          </cell>
          <cell r="I1485">
            <v>0.68888888888888888</v>
          </cell>
          <cell r="J1485">
            <v>43.69777777777778</v>
          </cell>
        </row>
        <row r="1486">
          <cell r="B1486">
            <v>41.63</v>
          </cell>
          <cell r="C1486">
            <v>97.84</v>
          </cell>
          <cell r="D1486">
            <v>23.24</v>
          </cell>
          <cell r="E1486">
            <v>9.1199999999999992</v>
          </cell>
          <cell r="H1486">
            <v>45353</v>
          </cell>
          <cell r="I1486">
            <v>0.72111111111111126</v>
          </cell>
          <cell r="J1486">
            <v>42.740000000000009</v>
          </cell>
        </row>
        <row r="1487">
          <cell r="B1487">
            <v>44.03</v>
          </cell>
          <cell r="C1487">
            <v>100.07</v>
          </cell>
          <cell r="D1487">
            <v>23.95</v>
          </cell>
          <cell r="E1487">
            <v>9.34</v>
          </cell>
          <cell r="H1487">
            <v>45353</v>
          </cell>
          <cell r="I1487">
            <v>0.74888888888888905</v>
          </cell>
          <cell r="J1487">
            <v>41.143333333333338</v>
          </cell>
        </row>
        <row r="1488">
          <cell r="B1488">
            <v>44.31</v>
          </cell>
          <cell r="C1488">
            <v>97.03</v>
          </cell>
          <cell r="D1488">
            <v>24.15</v>
          </cell>
          <cell r="E1488">
            <v>8.61</v>
          </cell>
          <cell r="H1488">
            <v>45353</v>
          </cell>
          <cell r="I1488">
            <v>0.76888888888888907</v>
          </cell>
          <cell r="J1488">
            <v>39.734444444444449</v>
          </cell>
        </row>
        <row r="1489">
          <cell r="B1489">
            <v>42.33</v>
          </cell>
          <cell r="C1489">
            <v>95.93</v>
          </cell>
          <cell r="D1489">
            <v>23.53</v>
          </cell>
          <cell r="E1489">
            <v>9.32</v>
          </cell>
          <cell r="H1489">
            <v>45353</v>
          </cell>
          <cell r="I1489">
            <v>0.75777777777777777</v>
          </cell>
          <cell r="J1489">
            <v>38.724444444444444</v>
          </cell>
        </row>
        <row r="1490">
          <cell r="B1490">
            <v>46.09</v>
          </cell>
          <cell r="C1490">
            <v>98.85</v>
          </cell>
          <cell r="D1490">
            <v>23.61</v>
          </cell>
          <cell r="E1490">
            <v>10.28</v>
          </cell>
          <cell r="H1490">
            <v>45354</v>
          </cell>
          <cell r="I1490">
            <v>0.76333333333333331</v>
          </cell>
          <cell r="J1490">
            <v>37.716666666666661</v>
          </cell>
        </row>
        <row r="1491">
          <cell r="B1491">
            <v>55.62</v>
          </cell>
          <cell r="C1491">
            <v>109.29</v>
          </cell>
          <cell r="D1491">
            <v>23.77</v>
          </cell>
          <cell r="E1491">
            <v>12.71</v>
          </cell>
          <cell r="H1491">
            <v>45354</v>
          </cell>
          <cell r="I1491">
            <v>0.76</v>
          </cell>
          <cell r="J1491">
            <v>37.63111111111111</v>
          </cell>
        </row>
        <row r="1492">
          <cell r="B1492">
            <v>63.89</v>
          </cell>
          <cell r="C1492">
            <v>122.18</v>
          </cell>
          <cell r="D1492">
            <v>23.75</v>
          </cell>
          <cell r="E1492">
            <v>12.89</v>
          </cell>
          <cell r="H1492">
            <v>45354</v>
          </cell>
          <cell r="I1492">
            <v>0.75111111111111095</v>
          </cell>
          <cell r="J1492">
            <v>37.854444444444454</v>
          </cell>
        </row>
        <row r="1493">
          <cell r="B1493">
            <v>68.13</v>
          </cell>
          <cell r="C1493">
            <v>134.57</v>
          </cell>
          <cell r="D1493">
            <v>23.39</v>
          </cell>
          <cell r="E1493">
            <v>12.91</v>
          </cell>
          <cell r="H1493">
            <v>45354</v>
          </cell>
          <cell r="I1493">
            <v>0.74555555555555542</v>
          </cell>
          <cell r="J1493">
            <v>38.281111111111116</v>
          </cell>
        </row>
        <row r="1494">
          <cell r="B1494">
            <v>66.09</v>
          </cell>
          <cell r="C1494">
            <v>121.64</v>
          </cell>
          <cell r="D1494">
            <v>23.88</v>
          </cell>
          <cell r="E1494">
            <v>11.56</v>
          </cell>
          <cell r="H1494">
            <v>45354</v>
          </cell>
          <cell r="I1494">
            <v>0.73222222222222222</v>
          </cell>
          <cell r="J1494">
            <v>38.976666666666667</v>
          </cell>
        </row>
        <row r="1495">
          <cell r="B1495">
            <v>69.84</v>
          </cell>
          <cell r="C1495">
            <v>124.85</v>
          </cell>
          <cell r="D1495">
            <v>23.76</v>
          </cell>
          <cell r="E1495">
            <v>10.17</v>
          </cell>
          <cell r="H1495">
            <v>45354</v>
          </cell>
          <cell r="I1495">
            <v>0.72222222222222221</v>
          </cell>
          <cell r="J1495">
            <v>39.298888888888889</v>
          </cell>
        </row>
        <row r="1496">
          <cell r="B1496">
            <v>78.930000000000007</v>
          </cell>
          <cell r="C1496">
            <v>136.29</v>
          </cell>
          <cell r="D1496">
            <v>24</v>
          </cell>
          <cell r="E1496">
            <v>9.86</v>
          </cell>
          <cell r="H1496">
            <v>45354</v>
          </cell>
          <cell r="I1496">
            <v>0.72555555555555562</v>
          </cell>
          <cell r="J1496">
            <v>40.830000000000005</v>
          </cell>
        </row>
        <row r="1497">
          <cell r="B1497">
            <v>80.95</v>
          </cell>
          <cell r="C1497">
            <v>150.35</v>
          </cell>
          <cell r="D1497">
            <v>24.07</v>
          </cell>
          <cell r="E1497">
            <v>10.5</v>
          </cell>
          <cell r="H1497">
            <v>45354</v>
          </cell>
          <cell r="I1497">
            <v>0.74666666666666659</v>
          </cell>
          <cell r="J1497">
            <v>41.146666666666668</v>
          </cell>
        </row>
        <row r="1498">
          <cell r="B1498">
            <v>82.69</v>
          </cell>
          <cell r="C1498">
            <v>165.33</v>
          </cell>
          <cell r="D1498">
            <v>24.11</v>
          </cell>
          <cell r="E1498">
            <v>12.51</v>
          </cell>
          <cell r="H1498">
            <v>45354</v>
          </cell>
          <cell r="I1498">
            <v>0.77111111111111097</v>
          </cell>
          <cell r="J1498">
            <v>41.212222222222223</v>
          </cell>
        </row>
        <row r="1499">
          <cell r="B1499">
            <v>73.2</v>
          </cell>
          <cell r="C1499">
            <v>164.43</v>
          </cell>
          <cell r="D1499">
            <v>23.69</v>
          </cell>
          <cell r="E1499">
            <v>14.36</v>
          </cell>
          <cell r="H1499">
            <v>45354</v>
          </cell>
          <cell r="I1499">
            <v>0.7877777777777778</v>
          </cell>
          <cell r="J1499">
            <v>41.913333333333334</v>
          </cell>
        </row>
        <row r="1500">
          <cell r="B1500">
            <v>60.76</v>
          </cell>
          <cell r="C1500">
            <v>144.4</v>
          </cell>
          <cell r="D1500">
            <v>23.86</v>
          </cell>
          <cell r="E1500">
            <v>13.11</v>
          </cell>
          <cell r="H1500">
            <v>45354</v>
          </cell>
          <cell r="I1500">
            <v>0.8</v>
          </cell>
          <cell r="J1500">
            <v>43.138888888888886</v>
          </cell>
        </row>
        <row r="1501">
          <cell r="B1501">
            <v>51.9</v>
          </cell>
          <cell r="C1501">
            <v>122.23</v>
          </cell>
          <cell r="D1501">
            <v>23.4</v>
          </cell>
          <cell r="E1501">
            <v>12.05</v>
          </cell>
          <cell r="H1501">
            <v>45354</v>
          </cell>
          <cell r="I1501">
            <v>0.81111111111111123</v>
          </cell>
          <cell r="J1501">
            <v>44.761111111111113</v>
          </cell>
        </row>
        <row r="1502">
          <cell r="B1502">
            <v>49.47</v>
          </cell>
          <cell r="C1502">
            <v>117.42</v>
          </cell>
          <cell r="D1502">
            <v>24.33</v>
          </cell>
          <cell r="E1502">
            <v>11.17</v>
          </cell>
          <cell r="H1502">
            <v>45354</v>
          </cell>
          <cell r="I1502">
            <v>0.81888888888888889</v>
          </cell>
          <cell r="J1502">
            <v>45.877777777777773</v>
          </cell>
        </row>
        <row r="1503">
          <cell r="B1503">
            <v>47.02</v>
          </cell>
          <cell r="C1503">
            <v>113.49</v>
          </cell>
          <cell r="D1503">
            <v>24.24</v>
          </cell>
          <cell r="E1503">
            <v>11.36</v>
          </cell>
          <cell r="H1503">
            <v>45354</v>
          </cell>
          <cell r="I1503">
            <v>0.8222222222222223</v>
          </cell>
          <cell r="J1503">
            <v>46.941111111111113</v>
          </cell>
        </row>
        <row r="1504">
          <cell r="B1504">
            <v>43.86</v>
          </cell>
          <cell r="C1504">
            <v>110.54</v>
          </cell>
          <cell r="D1504">
            <v>24.3</v>
          </cell>
          <cell r="E1504">
            <v>11.44</v>
          </cell>
          <cell r="H1504">
            <v>45354</v>
          </cell>
          <cell r="I1504">
            <v>0.81555555555555559</v>
          </cell>
          <cell r="J1504">
            <v>48.632222222222218</v>
          </cell>
        </row>
        <row r="1505">
          <cell r="B1505">
            <v>39.69</v>
          </cell>
          <cell r="C1505">
            <v>103.66</v>
          </cell>
          <cell r="D1505">
            <v>24.08</v>
          </cell>
          <cell r="E1505">
            <v>11.86</v>
          </cell>
          <cell r="H1505">
            <v>45354</v>
          </cell>
          <cell r="I1505">
            <v>0.79555555555555546</v>
          </cell>
          <cell r="J1505">
            <v>48.86888888888889</v>
          </cell>
        </row>
        <row r="1506">
          <cell r="B1506">
            <v>36.630000000000003</v>
          </cell>
          <cell r="C1506">
            <v>93.67</v>
          </cell>
          <cell r="D1506">
            <v>22.47</v>
          </cell>
          <cell r="E1506">
            <v>11.73</v>
          </cell>
          <cell r="H1506">
            <v>45354</v>
          </cell>
          <cell r="I1506">
            <v>0.76333333333333331</v>
          </cell>
          <cell r="J1506">
            <v>50.17777777777777</v>
          </cell>
        </row>
        <row r="1507">
          <cell r="B1507">
            <v>40.479999999999997</v>
          </cell>
          <cell r="C1507">
            <v>90.59</v>
          </cell>
          <cell r="D1507">
            <v>24.35</v>
          </cell>
          <cell r="E1507">
            <v>10.94</v>
          </cell>
          <cell r="H1507">
            <v>45354</v>
          </cell>
          <cell r="I1507">
            <v>0.73999999999999988</v>
          </cell>
          <cell r="J1507">
            <v>51.335555555555544</v>
          </cell>
        </row>
        <row r="1508">
          <cell r="B1508">
            <v>43.22</v>
          </cell>
          <cell r="C1508">
            <v>101.17</v>
          </cell>
          <cell r="D1508">
            <v>23.46</v>
          </cell>
          <cell r="E1508">
            <v>10.37</v>
          </cell>
          <cell r="H1508">
            <v>45354</v>
          </cell>
          <cell r="I1508">
            <v>0.74111111111111105</v>
          </cell>
          <cell r="J1508">
            <v>50.705555555555542</v>
          </cell>
        </row>
        <row r="1509">
          <cell r="B1509">
            <v>48.95</v>
          </cell>
          <cell r="C1509">
            <v>113.42</v>
          </cell>
          <cell r="D1509">
            <v>24.36</v>
          </cell>
          <cell r="E1509">
            <v>9.7200000000000006</v>
          </cell>
          <cell r="H1509">
            <v>45354</v>
          </cell>
          <cell r="I1509">
            <v>0.7566666666666666</v>
          </cell>
          <cell r="J1509">
            <v>49.128888888888888</v>
          </cell>
        </row>
        <row r="1510">
          <cell r="B1510">
            <v>58.92</v>
          </cell>
          <cell r="C1510">
            <v>121.84</v>
          </cell>
          <cell r="D1510">
            <v>24.71</v>
          </cell>
          <cell r="E1510">
            <v>9.4</v>
          </cell>
          <cell r="H1510">
            <v>45354</v>
          </cell>
          <cell r="I1510">
            <v>0.76777777777777778</v>
          </cell>
          <cell r="J1510">
            <v>46.776666666666671</v>
          </cell>
        </row>
        <row r="1511">
          <cell r="B1511">
            <v>53.86</v>
          </cell>
          <cell r="C1511">
            <v>117.78</v>
          </cell>
          <cell r="D1511">
            <v>24.56</v>
          </cell>
          <cell r="E1511">
            <v>8.59</v>
          </cell>
          <cell r="H1511">
            <v>45354</v>
          </cell>
          <cell r="I1511">
            <v>0.76222222222222213</v>
          </cell>
          <cell r="J1511">
            <v>45.187777777777775</v>
          </cell>
        </row>
        <row r="1512">
          <cell r="B1512">
            <v>49.73</v>
          </cell>
          <cell r="C1512">
            <v>108.39</v>
          </cell>
          <cell r="D1512">
            <v>24.37</v>
          </cell>
          <cell r="E1512">
            <v>8.2899999999999991</v>
          </cell>
          <cell r="H1512">
            <v>45354</v>
          </cell>
          <cell r="I1512">
            <v>0.75</v>
          </cell>
          <cell r="J1512">
            <v>43.62</v>
          </cell>
        </row>
        <row r="1513">
          <cell r="B1513">
            <v>45.91</v>
          </cell>
          <cell r="C1513">
            <v>95.09</v>
          </cell>
          <cell r="D1513">
            <v>23.47</v>
          </cell>
          <cell r="E1513">
            <v>8.0399999999999991</v>
          </cell>
          <cell r="H1513">
            <v>45354</v>
          </cell>
          <cell r="I1513">
            <v>0.73555555555555563</v>
          </cell>
          <cell r="J1513">
            <v>42.075555555555553</v>
          </cell>
        </row>
        <row r="1514">
          <cell r="B1514">
            <v>48.22</v>
          </cell>
          <cell r="C1514">
            <v>89.32</v>
          </cell>
          <cell r="D1514">
            <v>23.78</v>
          </cell>
          <cell r="E1514">
            <v>7.92</v>
          </cell>
          <cell r="H1514">
            <v>45355</v>
          </cell>
          <cell r="I1514">
            <v>0.72777777777777775</v>
          </cell>
          <cell r="J1514">
            <v>40.845555555555549</v>
          </cell>
        </row>
        <row r="1515">
          <cell r="B1515">
            <v>47.36</v>
          </cell>
          <cell r="C1515">
            <v>83.39</v>
          </cell>
          <cell r="D1515">
            <v>23.31</v>
          </cell>
          <cell r="E1515">
            <v>7.86</v>
          </cell>
          <cell r="H1515">
            <v>45355</v>
          </cell>
          <cell r="I1515">
            <v>0.72555555555555551</v>
          </cell>
          <cell r="J1515">
            <v>39.18555555555556</v>
          </cell>
        </row>
        <row r="1516">
          <cell r="B1516">
            <v>44.71</v>
          </cell>
          <cell r="C1516">
            <v>83.02</v>
          </cell>
          <cell r="D1516">
            <v>23.47</v>
          </cell>
          <cell r="E1516">
            <v>7.84</v>
          </cell>
          <cell r="H1516">
            <v>45355</v>
          </cell>
          <cell r="I1516">
            <v>0.72222222222222221</v>
          </cell>
          <cell r="J1516">
            <v>37.282222222222217</v>
          </cell>
        </row>
        <row r="1517">
          <cell r="B1517">
            <v>45.18</v>
          </cell>
          <cell r="C1517">
            <v>81.99</v>
          </cell>
          <cell r="D1517">
            <v>23.53</v>
          </cell>
          <cell r="E1517">
            <v>7.76</v>
          </cell>
          <cell r="H1517">
            <v>45355</v>
          </cell>
          <cell r="I1517">
            <v>0.7055555555555556</v>
          </cell>
          <cell r="J1517">
            <v>36.113333333333337</v>
          </cell>
        </row>
        <row r="1518">
          <cell r="B1518">
            <v>45.19</v>
          </cell>
          <cell r="C1518">
            <v>85.88</v>
          </cell>
          <cell r="D1518">
            <v>23.58</v>
          </cell>
          <cell r="E1518">
            <v>8.0299999999999994</v>
          </cell>
          <cell r="H1518">
            <v>45355</v>
          </cell>
          <cell r="I1518">
            <v>0.68888888888888888</v>
          </cell>
          <cell r="J1518">
            <v>35.097777777777779</v>
          </cell>
        </row>
        <row r="1519">
          <cell r="B1519">
            <v>48.24</v>
          </cell>
          <cell r="C1519">
            <v>90.8</v>
          </cell>
          <cell r="D1519">
            <v>23.71</v>
          </cell>
          <cell r="E1519">
            <v>8.56</v>
          </cell>
          <cell r="H1519">
            <v>45355</v>
          </cell>
          <cell r="I1519">
            <v>0.67666666666666664</v>
          </cell>
          <cell r="J1519">
            <v>34.343333333333334</v>
          </cell>
        </row>
        <row r="1520">
          <cell r="B1520">
            <v>55.41</v>
          </cell>
          <cell r="C1520">
            <v>106.5</v>
          </cell>
          <cell r="D1520">
            <v>23.53</v>
          </cell>
          <cell r="E1520">
            <v>8.82</v>
          </cell>
          <cell r="H1520">
            <v>45355</v>
          </cell>
          <cell r="I1520">
            <v>0.68666666666666676</v>
          </cell>
          <cell r="J1520">
            <v>33.221111111111114</v>
          </cell>
        </row>
        <row r="1521">
          <cell r="B1521">
            <v>63.28</v>
          </cell>
          <cell r="C1521">
            <v>130.74</v>
          </cell>
          <cell r="D1521">
            <v>24.14</v>
          </cell>
          <cell r="E1521">
            <v>9.17</v>
          </cell>
          <cell r="H1521">
            <v>45355</v>
          </cell>
          <cell r="I1521">
            <v>0.70000000000000007</v>
          </cell>
          <cell r="J1521">
            <v>32.24666666666667</v>
          </cell>
        </row>
        <row r="1522">
          <cell r="B1522">
            <v>57.04</v>
          </cell>
          <cell r="C1522">
            <v>124.77</v>
          </cell>
          <cell r="D1522">
            <v>23.74</v>
          </cell>
          <cell r="E1522">
            <v>8.84</v>
          </cell>
          <cell r="H1522">
            <v>45355</v>
          </cell>
          <cell r="I1522">
            <v>0.71333333333333337</v>
          </cell>
          <cell r="J1522">
            <v>31.798888888888889</v>
          </cell>
        </row>
        <row r="1523">
          <cell r="B1523">
            <v>50.96</v>
          </cell>
          <cell r="C1523">
            <v>116.69</v>
          </cell>
          <cell r="D1523">
            <v>23.59</v>
          </cell>
          <cell r="E1523">
            <v>8.64</v>
          </cell>
          <cell r="H1523">
            <v>45355</v>
          </cell>
          <cell r="I1523">
            <v>0.72555555555555573</v>
          </cell>
          <cell r="J1523">
            <v>31.86333333333333</v>
          </cell>
        </row>
        <row r="1524">
          <cell r="B1524">
            <v>45.31</v>
          </cell>
          <cell r="C1524">
            <v>106.35</v>
          </cell>
          <cell r="D1524">
            <v>22.75</v>
          </cell>
          <cell r="E1524">
            <v>8.9700000000000006</v>
          </cell>
          <cell r="H1524">
            <v>45355</v>
          </cell>
          <cell r="I1524">
            <v>0.74111111111111116</v>
          </cell>
          <cell r="J1524">
            <v>32.354444444444447</v>
          </cell>
        </row>
        <row r="1525">
          <cell r="B1525">
            <v>38.68</v>
          </cell>
          <cell r="C1525">
            <v>98.13</v>
          </cell>
          <cell r="D1525">
            <v>20.71</v>
          </cell>
          <cell r="E1525">
            <v>9.23</v>
          </cell>
          <cell r="H1525">
            <v>45355</v>
          </cell>
          <cell r="I1525">
            <v>0.7466666666666667</v>
          </cell>
          <cell r="J1525">
            <v>33.708888888888886</v>
          </cell>
        </row>
        <row r="1526">
          <cell r="B1526">
            <v>38.26</v>
          </cell>
          <cell r="C1526">
            <v>95.3</v>
          </cell>
          <cell r="D1526">
            <v>23.32</v>
          </cell>
          <cell r="E1526">
            <v>9.61</v>
          </cell>
          <cell r="H1526">
            <v>45355</v>
          </cell>
          <cell r="I1526">
            <v>0.75111111111111106</v>
          </cell>
          <cell r="J1526">
            <v>36.80222222222222</v>
          </cell>
        </row>
        <row r="1527">
          <cell r="B1527">
            <v>39.229999999999997</v>
          </cell>
          <cell r="C1527">
            <v>98.28</v>
          </cell>
          <cell r="D1527">
            <v>23.23</v>
          </cell>
          <cell r="E1527">
            <v>9.2899999999999991</v>
          </cell>
          <cell r="H1527">
            <v>45355</v>
          </cell>
          <cell r="I1527">
            <v>0.74777777777777776</v>
          </cell>
          <cell r="J1527">
            <v>40.452222222222218</v>
          </cell>
        </row>
        <row r="1528">
          <cell r="B1528">
            <v>39</v>
          </cell>
          <cell r="C1528">
            <v>103.13</v>
          </cell>
          <cell r="D1528">
            <v>23.39</v>
          </cell>
          <cell r="E1528">
            <v>8.9700000000000006</v>
          </cell>
          <cell r="H1528">
            <v>45355</v>
          </cell>
          <cell r="I1528">
            <v>0.74888888888888894</v>
          </cell>
          <cell r="J1528">
            <v>44.179999999999993</v>
          </cell>
        </row>
        <row r="1529">
          <cell r="B1529">
            <v>35.75</v>
          </cell>
          <cell r="C1529">
            <v>100.64</v>
          </cell>
          <cell r="D1529">
            <v>22.59</v>
          </cell>
          <cell r="E1529">
            <v>9.14</v>
          </cell>
          <cell r="H1529">
            <v>45355</v>
          </cell>
          <cell r="I1529">
            <v>0.73777777777777787</v>
          </cell>
          <cell r="J1529">
            <v>47.532222222222224</v>
          </cell>
        </row>
        <row r="1530">
          <cell r="B1530">
            <v>35.01</v>
          </cell>
          <cell r="C1530">
            <v>97.55</v>
          </cell>
          <cell r="D1530">
            <v>23.03</v>
          </cell>
          <cell r="E1530">
            <v>9.3000000000000007</v>
          </cell>
          <cell r="H1530">
            <v>45355</v>
          </cell>
          <cell r="I1530">
            <v>0.73111111111111116</v>
          </cell>
          <cell r="J1530">
            <v>50.544444444444444</v>
          </cell>
        </row>
        <row r="1531">
          <cell r="B1531">
            <v>55.04</v>
          </cell>
          <cell r="C1531">
            <v>103.77</v>
          </cell>
          <cell r="D1531">
            <v>22.44</v>
          </cell>
          <cell r="E1531">
            <v>8.9700000000000006</v>
          </cell>
          <cell r="H1531">
            <v>45355</v>
          </cell>
          <cell r="I1531">
            <v>0.73777777777777775</v>
          </cell>
          <cell r="J1531">
            <v>52.168888888888894</v>
          </cell>
        </row>
        <row r="1532">
          <cell r="B1532">
            <v>99.84</v>
          </cell>
          <cell r="C1532">
            <v>133.75</v>
          </cell>
          <cell r="D1532">
            <v>22.98</v>
          </cell>
          <cell r="E1532">
            <v>9.59</v>
          </cell>
          <cell r="H1532">
            <v>45355</v>
          </cell>
          <cell r="I1532">
            <v>0.76888888888888884</v>
          </cell>
          <cell r="J1532">
            <v>51.824444444444453</v>
          </cell>
        </row>
        <row r="1533">
          <cell r="B1533">
            <v>59.95</v>
          </cell>
          <cell r="C1533">
            <v>194.28</v>
          </cell>
          <cell r="D1533">
            <v>26.5</v>
          </cell>
          <cell r="E1533">
            <v>11.02</v>
          </cell>
          <cell r="H1533">
            <v>45355</v>
          </cell>
          <cell r="I1533">
            <v>0.82444444444444442</v>
          </cell>
          <cell r="J1533">
            <v>50.933333333333337</v>
          </cell>
        </row>
        <row r="1534">
          <cell r="B1534">
            <v>63.92</v>
          </cell>
          <cell r="C1534">
            <v>190.22</v>
          </cell>
          <cell r="D1534">
            <v>25.18</v>
          </cell>
          <cell r="E1534">
            <v>9.68</v>
          </cell>
          <cell r="H1534">
            <v>45355</v>
          </cell>
          <cell r="I1534">
            <v>0.84333333333333327</v>
          </cell>
          <cell r="J1534">
            <v>49.923333333333339</v>
          </cell>
        </row>
        <row r="1535">
          <cell r="B1535">
            <v>56.25</v>
          </cell>
          <cell r="C1535">
            <v>131.02000000000001</v>
          </cell>
          <cell r="D1535">
            <v>24.56</v>
          </cell>
          <cell r="E1535">
            <v>9.1300000000000008</v>
          </cell>
          <cell r="H1535">
            <v>45355</v>
          </cell>
          <cell r="I1535">
            <v>0.85444444444444445</v>
          </cell>
          <cell r="J1535">
            <v>47.504444444444445</v>
          </cell>
        </row>
        <row r="1536">
          <cell r="B1536">
            <v>59.87</v>
          </cell>
          <cell r="C1536">
            <v>104.9</v>
          </cell>
          <cell r="D1536">
            <v>24</v>
          </cell>
          <cell r="E1536">
            <v>9.0299999999999994</v>
          </cell>
          <cell r="H1536">
            <v>45355</v>
          </cell>
          <cell r="I1536">
            <v>0.86111111111111116</v>
          </cell>
          <cell r="J1536">
            <v>44.558888888888887</v>
          </cell>
        </row>
        <row r="1537">
          <cell r="B1537">
            <v>51.85</v>
          </cell>
          <cell r="C1537">
            <v>95.5</v>
          </cell>
          <cell r="D1537">
            <v>23.26</v>
          </cell>
          <cell r="E1537">
            <v>8.61</v>
          </cell>
          <cell r="H1537">
            <v>45355</v>
          </cell>
          <cell r="I1537">
            <v>0.85333333333333328</v>
          </cell>
          <cell r="J1537">
            <v>41.322222222222223</v>
          </cell>
        </row>
        <row r="1538">
          <cell r="B1538">
            <v>46.93</v>
          </cell>
          <cell r="C1538">
            <v>91.09</v>
          </cell>
          <cell r="D1538">
            <v>21.93</v>
          </cell>
          <cell r="E1538">
            <v>7.97</v>
          </cell>
          <cell r="H1538">
            <v>45356</v>
          </cell>
          <cell r="I1538">
            <v>0.84000000000000008</v>
          </cell>
          <cell r="J1538">
            <v>38.887777777777778</v>
          </cell>
        </row>
        <row r="1539">
          <cell r="B1539">
            <v>46.12</v>
          </cell>
          <cell r="C1539">
            <v>88.49</v>
          </cell>
          <cell r="D1539">
            <v>22.3</v>
          </cell>
          <cell r="E1539">
            <v>7.82</v>
          </cell>
          <cell r="H1539">
            <v>45356</v>
          </cell>
          <cell r="I1539">
            <v>0.82444444444444442</v>
          </cell>
          <cell r="J1539">
            <v>36.913333333333334</v>
          </cell>
        </row>
        <row r="1540">
          <cell r="B1540">
            <v>46.01</v>
          </cell>
          <cell r="C1540">
            <v>86.37</v>
          </cell>
          <cell r="D1540">
            <v>22.42</v>
          </cell>
          <cell r="E1540">
            <v>7.92</v>
          </cell>
          <cell r="H1540">
            <v>45356</v>
          </cell>
          <cell r="I1540">
            <v>0.80111111111111122</v>
          </cell>
          <cell r="J1540">
            <v>35.658888888888889</v>
          </cell>
        </row>
        <row r="1541">
          <cell r="B1541">
            <v>41.74</v>
          </cell>
          <cell r="C1541">
            <v>83.47</v>
          </cell>
          <cell r="D1541">
            <v>22.15</v>
          </cell>
          <cell r="E1541">
            <v>7.85</v>
          </cell>
          <cell r="H1541">
            <v>45356</v>
          </cell>
          <cell r="I1541">
            <v>0.75444444444444447</v>
          </cell>
          <cell r="J1541">
            <v>35.714444444444446</v>
          </cell>
        </row>
        <row r="1542">
          <cell r="B1542">
            <v>50.18</v>
          </cell>
          <cell r="C1542">
            <v>82.86</v>
          </cell>
          <cell r="D1542">
            <v>22.55</v>
          </cell>
          <cell r="E1542">
            <v>8.07</v>
          </cell>
          <cell r="H1542">
            <v>45356</v>
          </cell>
          <cell r="I1542">
            <v>0.68777777777777782</v>
          </cell>
          <cell r="J1542">
            <v>35.793333333333329</v>
          </cell>
        </row>
        <row r="1543">
          <cell r="B1543">
            <v>47.88</v>
          </cell>
          <cell r="C1543">
            <v>86.14</v>
          </cell>
          <cell r="D1543">
            <v>22.32</v>
          </cell>
          <cell r="E1543">
            <v>8.0500000000000007</v>
          </cell>
          <cell r="H1543">
            <v>45356</v>
          </cell>
          <cell r="I1543">
            <v>0.66666666666666663</v>
          </cell>
          <cell r="J1543">
            <v>35.306666666666665</v>
          </cell>
        </row>
        <row r="1544">
          <cell r="B1544">
            <v>48.11</v>
          </cell>
          <cell r="C1544">
            <v>92.94</v>
          </cell>
          <cell r="D1544">
            <v>22.23</v>
          </cell>
          <cell r="E1544">
            <v>8.2899999999999991</v>
          </cell>
          <cell r="H1544">
            <v>45356</v>
          </cell>
          <cell r="I1544">
            <v>0.65444444444444438</v>
          </cell>
          <cell r="J1544">
            <v>34.278888888888886</v>
          </cell>
        </row>
        <row r="1545">
          <cell r="B1545">
            <v>55.06</v>
          </cell>
          <cell r="C1545">
            <v>116.19</v>
          </cell>
          <cell r="D1545">
            <v>22.44</v>
          </cell>
          <cell r="E1545">
            <v>8.61</v>
          </cell>
          <cell r="H1545">
            <v>45356</v>
          </cell>
          <cell r="I1545">
            <v>0.65333333333333321</v>
          </cell>
          <cell r="J1545">
            <v>33.900000000000006</v>
          </cell>
        </row>
        <row r="1546">
          <cell r="B1546">
            <v>66.290000000000006</v>
          </cell>
          <cell r="C1546">
            <v>139.47</v>
          </cell>
          <cell r="D1546">
            <v>22.91</v>
          </cell>
          <cell r="E1546">
            <v>11.14</v>
          </cell>
          <cell r="H1546">
            <v>45356</v>
          </cell>
          <cell r="I1546">
            <v>0.65999999999999992</v>
          </cell>
          <cell r="J1546">
            <v>34.315555555555562</v>
          </cell>
        </row>
        <row r="1547">
          <cell r="B1547">
            <v>67.8</v>
          </cell>
          <cell r="C1547">
            <v>136.1</v>
          </cell>
          <cell r="D1547">
            <v>23.07</v>
          </cell>
          <cell r="E1547">
            <v>13.43</v>
          </cell>
          <cell r="H1547">
            <v>45356</v>
          </cell>
          <cell r="I1547">
            <v>0.66888888888888887</v>
          </cell>
          <cell r="J1547">
            <v>35.25333333333333</v>
          </cell>
        </row>
        <row r="1548">
          <cell r="B1548">
            <v>62.75</v>
          </cell>
          <cell r="C1548">
            <v>123.69</v>
          </cell>
          <cell r="D1548">
            <v>23.8</v>
          </cell>
          <cell r="E1548">
            <v>13.32</v>
          </cell>
          <cell r="H1548">
            <v>45356</v>
          </cell>
          <cell r="I1548">
            <v>0.67999999999999994</v>
          </cell>
          <cell r="J1548">
            <v>36.726666666666659</v>
          </cell>
        </row>
        <row r="1549">
          <cell r="B1549">
            <v>56.54</v>
          </cell>
          <cell r="C1549">
            <v>111.89</v>
          </cell>
          <cell r="D1549">
            <v>22.57</v>
          </cell>
          <cell r="E1549">
            <v>11.39</v>
          </cell>
          <cell r="H1549">
            <v>45356</v>
          </cell>
          <cell r="I1549">
            <v>0.69</v>
          </cell>
          <cell r="J1549">
            <v>39.032222222222217</v>
          </cell>
        </row>
        <row r="1550">
          <cell r="B1550">
            <v>39.74</v>
          </cell>
          <cell r="C1550">
            <v>106.54</v>
          </cell>
          <cell r="D1550">
            <v>21.35</v>
          </cell>
          <cell r="E1550">
            <v>9.44</v>
          </cell>
          <cell r="H1550">
            <v>45356</v>
          </cell>
          <cell r="I1550">
            <v>0.69222222222222207</v>
          </cell>
          <cell r="J1550">
            <v>40.785555555555547</v>
          </cell>
        </row>
        <row r="1551">
          <cell r="B1551">
            <v>33.99</v>
          </cell>
          <cell r="C1551">
            <v>93.06</v>
          </cell>
          <cell r="D1551">
            <v>22.48</v>
          </cell>
          <cell r="E1551">
            <v>8.69</v>
          </cell>
          <cell r="H1551">
            <v>45356</v>
          </cell>
          <cell r="I1551">
            <v>0.69</v>
          </cell>
          <cell r="J1551">
            <v>42.787777777777769</v>
          </cell>
        </row>
        <row r="1552">
          <cell r="B1552">
            <v>45.66</v>
          </cell>
          <cell r="C1552">
            <v>92.99</v>
          </cell>
          <cell r="D1552">
            <v>22.55</v>
          </cell>
          <cell r="E1552">
            <v>8.14</v>
          </cell>
          <cell r="H1552">
            <v>45356</v>
          </cell>
          <cell r="I1552">
            <v>0.68333333333333335</v>
          </cell>
          <cell r="J1552">
            <v>44.206666666666671</v>
          </cell>
        </row>
        <row r="1553">
          <cell r="B1553">
            <v>35.020000000000003</v>
          </cell>
          <cell r="C1553">
            <v>90.39</v>
          </cell>
          <cell r="D1553">
            <v>24.53</v>
          </cell>
          <cell r="E1553">
            <v>8.09</v>
          </cell>
          <cell r="H1553">
            <v>45356</v>
          </cell>
          <cell r="I1553">
            <v>0.67666666666666675</v>
          </cell>
          <cell r="J1553">
            <v>45.62777777777778</v>
          </cell>
        </row>
        <row r="1554">
          <cell r="B1554">
            <v>26.96</v>
          </cell>
          <cell r="C1554">
            <v>86.89</v>
          </cell>
          <cell r="D1554">
            <v>23.48</v>
          </cell>
          <cell r="E1554">
            <v>7.75</v>
          </cell>
          <cell r="H1554">
            <v>45356</v>
          </cell>
          <cell r="I1554">
            <v>0.66555555555555568</v>
          </cell>
          <cell r="J1554">
            <v>46.417777777777779</v>
          </cell>
        </row>
        <row r="1555">
          <cell r="B1555">
            <v>35.9</v>
          </cell>
          <cell r="C1555">
            <v>88.1</v>
          </cell>
          <cell r="D1555">
            <v>23.91</v>
          </cell>
          <cell r="E1555">
            <v>7.63</v>
          </cell>
          <cell r="H1555">
            <v>45356</v>
          </cell>
          <cell r="I1555">
            <v>0.66333333333333344</v>
          </cell>
          <cell r="J1555">
            <v>46.337777777777774</v>
          </cell>
        </row>
        <row r="1556">
          <cell r="B1556">
            <v>39.44</v>
          </cell>
          <cell r="C1556">
            <v>95.41</v>
          </cell>
          <cell r="D1556">
            <v>24.32</v>
          </cell>
          <cell r="E1556">
            <v>7.67</v>
          </cell>
          <cell r="H1556">
            <v>45356</v>
          </cell>
          <cell r="I1556">
            <v>0.67333333333333334</v>
          </cell>
          <cell r="J1556">
            <v>45.126666666666665</v>
          </cell>
        </row>
        <row r="1557">
          <cell r="B1557">
            <v>40.450000000000003</v>
          </cell>
          <cell r="C1557">
            <v>112.88</v>
          </cell>
          <cell r="D1557">
            <v>24.47</v>
          </cell>
          <cell r="E1557">
            <v>7.98</v>
          </cell>
          <cell r="H1557">
            <v>45356</v>
          </cell>
          <cell r="I1557">
            <v>0.67222222222222228</v>
          </cell>
          <cell r="J1557">
            <v>43.464444444444439</v>
          </cell>
        </row>
        <row r="1558">
          <cell r="B1558">
            <v>40.21</v>
          </cell>
          <cell r="C1558">
            <v>116.82</v>
          </cell>
          <cell r="D1558">
            <v>24.46</v>
          </cell>
          <cell r="E1558">
            <v>7.99</v>
          </cell>
          <cell r="H1558">
            <v>45356</v>
          </cell>
          <cell r="I1558">
            <v>0.67888888888888888</v>
          </cell>
          <cell r="J1558">
            <v>41.226666666666667</v>
          </cell>
        </row>
        <row r="1559">
          <cell r="B1559">
            <v>51.82</v>
          </cell>
          <cell r="C1559">
            <v>107.53</v>
          </cell>
          <cell r="D1559">
            <v>24.61</v>
          </cell>
          <cell r="E1559">
            <v>7.86</v>
          </cell>
          <cell r="H1559">
            <v>45356</v>
          </cell>
          <cell r="I1559">
            <v>0.68888888888888888</v>
          </cell>
          <cell r="J1559">
            <v>39.531111111111109</v>
          </cell>
        </row>
        <row r="1560">
          <cell r="B1560">
            <v>50</v>
          </cell>
          <cell r="C1560">
            <v>98.03</v>
          </cell>
          <cell r="D1560">
            <v>24.49</v>
          </cell>
          <cell r="E1560">
            <v>7.88</v>
          </cell>
          <cell r="H1560">
            <v>45356</v>
          </cell>
          <cell r="I1560">
            <v>0.68444444444444441</v>
          </cell>
          <cell r="J1560">
            <v>37.802222222222227</v>
          </cell>
        </row>
        <row r="1561">
          <cell r="B1561">
            <v>47.66</v>
          </cell>
          <cell r="C1561">
            <v>86.27</v>
          </cell>
          <cell r="D1561">
            <v>23.51</v>
          </cell>
          <cell r="E1561">
            <v>7.61</v>
          </cell>
          <cell r="H1561">
            <v>45356</v>
          </cell>
          <cell r="I1561">
            <v>0.71111111111111103</v>
          </cell>
          <cell r="J1561">
            <v>36.663333333333334</v>
          </cell>
        </row>
        <row r="1562">
          <cell r="B1562">
            <v>46.67</v>
          </cell>
          <cell r="C1562">
            <v>82.74</v>
          </cell>
          <cell r="D1562">
            <v>23.63</v>
          </cell>
          <cell r="E1562">
            <v>7.37</v>
          </cell>
          <cell r="H1562">
            <v>45357</v>
          </cell>
          <cell r="I1562">
            <v>0.70666666666666667</v>
          </cell>
          <cell r="J1562">
            <v>36.254444444444445</v>
          </cell>
        </row>
        <row r="1563">
          <cell r="B1563">
            <v>43.57</v>
          </cell>
          <cell r="C1563">
            <v>82.06</v>
          </cell>
          <cell r="D1563">
            <v>23.33</v>
          </cell>
          <cell r="E1563">
            <v>7.58</v>
          </cell>
          <cell r="H1563">
            <v>45357</v>
          </cell>
          <cell r="I1563">
            <v>0.71000000000000008</v>
          </cell>
          <cell r="J1563">
            <v>35.930000000000007</v>
          </cell>
        </row>
        <row r="1564">
          <cell r="B1564">
            <v>44.17</v>
          </cell>
          <cell r="C1564">
            <v>80.89</v>
          </cell>
          <cell r="D1564">
            <v>23.28</v>
          </cell>
          <cell r="E1564">
            <v>7.75</v>
          </cell>
          <cell r="H1564">
            <v>45357</v>
          </cell>
          <cell r="I1564">
            <v>0.71111111111111103</v>
          </cell>
          <cell r="J1564">
            <v>35.757777777777783</v>
          </cell>
        </row>
        <row r="1565">
          <cell r="B1565">
            <v>39.56</v>
          </cell>
          <cell r="C1565">
            <v>72.7</v>
          </cell>
          <cell r="D1565">
            <v>23.52</v>
          </cell>
          <cell r="E1565">
            <v>7.97</v>
          </cell>
          <cell r="H1565">
            <v>45357</v>
          </cell>
          <cell r="I1565">
            <v>0.69777777777777772</v>
          </cell>
          <cell r="J1565">
            <v>36.042222222222229</v>
          </cell>
        </row>
        <row r="1566">
          <cell r="B1566">
            <v>38.67</v>
          </cell>
          <cell r="C1566">
            <v>82.08</v>
          </cell>
          <cell r="D1566">
            <v>23.59</v>
          </cell>
          <cell r="E1566">
            <v>9.16</v>
          </cell>
          <cell r="H1566">
            <v>45357</v>
          </cell>
          <cell r="I1566">
            <v>0.70333333333333325</v>
          </cell>
          <cell r="J1566">
            <v>35.75555555555556</v>
          </cell>
        </row>
        <row r="1567">
          <cell r="B1567">
            <v>54.48</v>
          </cell>
          <cell r="C1567">
            <v>100.62</v>
          </cell>
          <cell r="D1567">
            <v>23.95</v>
          </cell>
          <cell r="E1567">
            <v>12.32</v>
          </cell>
          <cell r="H1567">
            <v>45357</v>
          </cell>
          <cell r="I1567">
            <v>0.68888888888888877</v>
          </cell>
          <cell r="J1567">
            <v>34.947777777777773</v>
          </cell>
        </row>
        <row r="1568">
          <cell r="B1568">
            <v>62.14</v>
          </cell>
          <cell r="C1568">
            <v>115.59</v>
          </cell>
          <cell r="D1568">
            <v>24.3</v>
          </cell>
          <cell r="E1568">
            <v>12.77</v>
          </cell>
          <cell r="H1568">
            <v>45357</v>
          </cell>
          <cell r="I1568">
            <v>0.69555555555555548</v>
          </cell>
          <cell r="J1568">
            <v>34.214444444444446</v>
          </cell>
        </row>
        <row r="1569">
          <cell r="B1569">
            <v>53.14</v>
          </cell>
          <cell r="C1569">
            <v>116.07</v>
          </cell>
          <cell r="D1569">
            <v>24.5</v>
          </cell>
          <cell r="E1569">
            <v>9.8000000000000007</v>
          </cell>
          <cell r="H1569">
            <v>45357</v>
          </cell>
          <cell r="I1569">
            <v>0.69888888888888889</v>
          </cell>
          <cell r="J1569">
            <v>33.767777777777773</v>
          </cell>
        </row>
        <row r="1570">
          <cell r="B1570">
            <v>48.01</v>
          </cell>
          <cell r="C1570">
            <v>113.24</v>
          </cell>
          <cell r="D1570">
            <v>24.58</v>
          </cell>
          <cell r="E1570">
            <v>9.26</v>
          </cell>
          <cell r="H1570">
            <v>45357</v>
          </cell>
          <cell r="I1570">
            <v>0.68888888888888877</v>
          </cell>
          <cell r="J1570">
            <v>33.825555555555553</v>
          </cell>
        </row>
        <row r="1571">
          <cell r="B1571">
            <v>49.82</v>
          </cell>
          <cell r="C1571">
            <v>115.25</v>
          </cell>
          <cell r="D1571">
            <v>24.67</v>
          </cell>
          <cell r="E1571">
            <v>9.1</v>
          </cell>
          <cell r="H1571">
            <v>45357</v>
          </cell>
          <cell r="I1571">
            <v>0.7022222222222223</v>
          </cell>
          <cell r="J1571">
            <v>33.232222222222219</v>
          </cell>
        </row>
        <row r="1572">
          <cell r="B1572">
            <v>54.42</v>
          </cell>
          <cell r="C1572">
            <v>119.06</v>
          </cell>
          <cell r="D1572">
            <v>24.26</v>
          </cell>
          <cell r="E1572">
            <v>10.99</v>
          </cell>
          <cell r="H1572">
            <v>45357</v>
          </cell>
          <cell r="I1572">
            <v>0.71777777777777785</v>
          </cell>
          <cell r="J1572">
            <v>33.701111111111103</v>
          </cell>
        </row>
        <row r="1573">
          <cell r="B1573">
            <v>52.64</v>
          </cell>
          <cell r="C1573">
            <v>110.84</v>
          </cell>
          <cell r="D1573">
            <v>23.33</v>
          </cell>
          <cell r="E1573">
            <v>10.81</v>
          </cell>
          <cell r="H1573">
            <v>45357</v>
          </cell>
          <cell r="I1573">
            <v>0.71888888888888891</v>
          </cell>
          <cell r="J1573">
            <v>34.956666666666663</v>
          </cell>
        </row>
        <row r="1574">
          <cell r="B1574">
            <v>38.28</v>
          </cell>
          <cell r="C1574">
            <v>91.8</v>
          </cell>
          <cell r="D1574">
            <v>22.86</v>
          </cell>
          <cell r="E1574">
            <v>11.54</v>
          </cell>
          <cell r="H1574">
            <v>45357</v>
          </cell>
          <cell r="I1574">
            <v>0.72888888888888881</v>
          </cell>
          <cell r="J1574">
            <v>36.982222222222227</v>
          </cell>
        </row>
        <row r="1575">
          <cell r="B1575">
            <v>42.52</v>
          </cell>
          <cell r="C1575">
            <v>98.35</v>
          </cell>
          <cell r="D1575">
            <v>23.54</v>
          </cell>
          <cell r="E1575">
            <v>10.72</v>
          </cell>
          <cell r="H1575">
            <v>45357</v>
          </cell>
          <cell r="I1575">
            <v>0.75222222222222213</v>
          </cell>
          <cell r="J1575">
            <v>39.725555555555559</v>
          </cell>
        </row>
        <row r="1576">
          <cell r="B1576">
            <v>42.36</v>
          </cell>
          <cell r="C1576">
            <v>98.49</v>
          </cell>
          <cell r="D1576">
            <v>22.58</v>
          </cell>
          <cell r="E1576">
            <v>9.7100000000000009</v>
          </cell>
          <cell r="H1576">
            <v>45357</v>
          </cell>
          <cell r="I1576">
            <v>0.76888888888888873</v>
          </cell>
          <cell r="J1576">
            <v>42.52</v>
          </cell>
        </row>
        <row r="1577">
          <cell r="B1577">
            <v>45.8</v>
          </cell>
          <cell r="C1577">
            <v>99.46</v>
          </cell>
          <cell r="D1577">
            <v>20.22</v>
          </cell>
          <cell r="E1577">
            <v>9.7200000000000006</v>
          </cell>
          <cell r="H1577">
            <v>45357</v>
          </cell>
          <cell r="I1577">
            <v>0.76888888888888884</v>
          </cell>
          <cell r="J1577">
            <v>46.002222222222223</v>
          </cell>
        </row>
        <row r="1578">
          <cell r="B1578">
            <v>41.45</v>
          </cell>
          <cell r="C1578">
            <v>92.82</v>
          </cell>
          <cell r="D1578">
            <v>17.510000000000002</v>
          </cell>
          <cell r="E1578">
            <v>8.83</v>
          </cell>
          <cell r="H1578">
            <v>45357</v>
          </cell>
          <cell r="I1578">
            <v>0.76555555555555554</v>
          </cell>
          <cell r="J1578">
            <v>48.643333333333331</v>
          </cell>
        </row>
        <row r="1579">
          <cell r="B1579">
            <v>36.72</v>
          </cell>
          <cell r="C1579">
            <v>88.52</v>
          </cell>
          <cell r="D1579">
            <v>18.48</v>
          </cell>
          <cell r="E1579">
            <v>8.9499999999999993</v>
          </cell>
          <cell r="H1579">
            <v>45357</v>
          </cell>
          <cell r="I1579">
            <v>0.76</v>
          </cell>
          <cell r="J1579">
            <v>50.123333333333335</v>
          </cell>
        </row>
        <row r="1580">
          <cell r="B1580">
            <v>43.98</v>
          </cell>
          <cell r="C1580">
            <v>114.85</v>
          </cell>
          <cell r="D1580">
            <v>23.26</v>
          </cell>
          <cell r="E1580">
            <v>8.8800000000000008</v>
          </cell>
          <cell r="H1580">
            <v>45357</v>
          </cell>
          <cell r="I1580">
            <v>0.78222222222222226</v>
          </cell>
          <cell r="J1580">
            <v>50.353333333333339</v>
          </cell>
        </row>
        <row r="1581">
          <cell r="B1581">
            <v>61.48</v>
          </cell>
          <cell r="C1581">
            <v>156.08000000000001</v>
          </cell>
          <cell r="D1581">
            <v>20.29</v>
          </cell>
          <cell r="E1581">
            <v>9.27</v>
          </cell>
          <cell r="H1581">
            <v>45357</v>
          </cell>
          <cell r="I1581">
            <v>0.80222222222222206</v>
          </cell>
          <cell r="J1581">
            <v>49.593333333333341</v>
          </cell>
        </row>
        <row r="1582">
          <cell r="B1582">
            <v>63.75</v>
          </cell>
          <cell r="C1582">
            <v>149.99</v>
          </cell>
          <cell r="D1582">
            <v>19.649999999999999</v>
          </cell>
          <cell r="E1582">
            <v>9.81</v>
          </cell>
          <cell r="H1582">
            <v>45357</v>
          </cell>
          <cell r="I1582">
            <v>0.82444444444444442</v>
          </cell>
          <cell r="J1582">
            <v>48.312222222222232</v>
          </cell>
        </row>
        <row r="1583">
          <cell r="B1583">
            <v>53.54</v>
          </cell>
          <cell r="C1583">
            <v>108.25</v>
          </cell>
          <cell r="D1583">
            <v>19.04</v>
          </cell>
          <cell r="E1583">
            <v>10.42</v>
          </cell>
          <cell r="H1583">
            <v>45357</v>
          </cell>
          <cell r="I1583">
            <v>0.82444444444444431</v>
          </cell>
          <cell r="J1583">
            <v>46.441111111111113</v>
          </cell>
        </row>
        <row r="1584">
          <cell r="B1584">
            <v>52.7</v>
          </cell>
          <cell r="C1584">
            <v>104.89</v>
          </cell>
          <cell r="D1584">
            <v>18.190000000000001</v>
          </cell>
          <cell r="E1584">
            <v>12.26</v>
          </cell>
          <cell r="H1584">
            <v>45357</v>
          </cell>
          <cell r="I1584">
            <v>0.81666666666666676</v>
          </cell>
          <cell r="J1584">
            <v>44.349999999999994</v>
          </cell>
        </row>
        <row r="1585">
          <cell r="B1585">
            <v>55.51</v>
          </cell>
          <cell r="C1585">
            <v>104.1</v>
          </cell>
          <cell r="D1585">
            <v>19.170000000000002</v>
          </cell>
          <cell r="E1585">
            <v>12.19</v>
          </cell>
          <cell r="H1585">
            <v>45357</v>
          </cell>
          <cell r="I1585">
            <v>0.8</v>
          </cell>
          <cell r="J1585">
            <v>42.792222222222222</v>
          </cell>
        </row>
        <row r="1586">
          <cell r="B1586">
            <v>61.04</v>
          </cell>
          <cell r="C1586">
            <v>102.57</v>
          </cell>
          <cell r="D1586">
            <v>18.53</v>
          </cell>
          <cell r="E1586">
            <v>11.36</v>
          </cell>
          <cell r="H1586">
            <v>45358</v>
          </cell>
          <cell r="I1586">
            <v>0.77444444444444438</v>
          </cell>
          <cell r="J1586">
            <v>40.548888888888889</v>
          </cell>
        </row>
        <row r="1587">
          <cell r="B1587">
            <v>64</v>
          </cell>
          <cell r="C1587">
            <v>109.27</v>
          </cell>
          <cell r="D1587">
            <v>18.48</v>
          </cell>
          <cell r="E1587">
            <v>10.92</v>
          </cell>
          <cell r="H1587">
            <v>45358</v>
          </cell>
          <cell r="I1587">
            <v>0.76111111111111129</v>
          </cell>
          <cell r="J1587">
            <v>38.904444444444444</v>
          </cell>
        </row>
        <row r="1588">
          <cell r="B1588">
            <v>68.22</v>
          </cell>
          <cell r="C1588">
            <v>109.67</v>
          </cell>
          <cell r="D1588">
            <v>17.97</v>
          </cell>
          <cell r="E1588">
            <v>10.62</v>
          </cell>
          <cell r="H1588">
            <v>45358</v>
          </cell>
          <cell r="I1588">
            <v>0.73888888888888893</v>
          </cell>
          <cell r="J1588">
            <v>37.912222222222226</v>
          </cell>
        </row>
        <row r="1589">
          <cell r="B1589">
            <v>67.8</v>
          </cell>
          <cell r="C1589">
            <v>115.17</v>
          </cell>
          <cell r="D1589">
            <v>18.57</v>
          </cell>
          <cell r="E1589">
            <v>10.45</v>
          </cell>
          <cell r="H1589">
            <v>45358</v>
          </cell>
          <cell r="I1589">
            <v>0.69888888888888878</v>
          </cell>
          <cell r="J1589">
            <v>37.982222222222227</v>
          </cell>
        </row>
        <row r="1590">
          <cell r="B1590">
            <v>68.900000000000006</v>
          </cell>
          <cell r="C1590">
            <v>118.65</v>
          </cell>
          <cell r="D1590">
            <v>18.47</v>
          </cell>
          <cell r="E1590">
            <v>10.6</v>
          </cell>
          <cell r="H1590">
            <v>45358</v>
          </cell>
          <cell r="I1590">
            <v>0.66222222222222216</v>
          </cell>
          <cell r="J1590">
            <v>37.813333333333325</v>
          </cell>
        </row>
        <row r="1591">
          <cell r="B1591">
            <v>63.54</v>
          </cell>
          <cell r="C1591">
            <v>113.56</v>
          </cell>
          <cell r="D1591">
            <v>18.43</v>
          </cell>
          <cell r="E1591">
            <v>10.38</v>
          </cell>
          <cell r="H1591">
            <v>45358</v>
          </cell>
          <cell r="I1591">
            <v>0.62888888888888894</v>
          </cell>
          <cell r="J1591">
            <v>37.102222222222224</v>
          </cell>
        </row>
        <row r="1592">
          <cell r="B1592">
            <v>58.83</v>
          </cell>
          <cell r="C1592">
            <v>116.55</v>
          </cell>
          <cell r="D1592">
            <v>18.89</v>
          </cell>
          <cell r="E1592">
            <v>10.43</v>
          </cell>
          <cell r="H1592">
            <v>45358</v>
          </cell>
          <cell r="I1592">
            <v>0.6333333333333333</v>
          </cell>
          <cell r="J1592">
            <v>35.839999999999996</v>
          </cell>
        </row>
        <row r="1593">
          <cell r="B1593">
            <v>64.47</v>
          </cell>
          <cell r="C1593">
            <v>126.96</v>
          </cell>
          <cell r="D1593">
            <v>19.559999999999999</v>
          </cell>
          <cell r="E1593">
            <v>9.5299999999999994</v>
          </cell>
          <cell r="H1593">
            <v>45358</v>
          </cell>
          <cell r="I1593">
            <v>0.61555555555555552</v>
          </cell>
          <cell r="J1593">
            <v>34.693333333333335</v>
          </cell>
        </row>
        <row r="1594">
          <cell r="B1594">
            <v>59.44</v>
          </cell>
          <cell r="C1594">
            <v>123.33</v>
          </cell>
          <cell r="D1594">
            <v>19.22</v>
          </cell>
          <cell r="E1594">
            <v>9.4700000000000006</v>
          </cell>
          <cell r="H1594">
            <v>45358</v>
          </cell>
          <cell r="I1594">
            <v>0.61888888888888893</v>
          </cell>
          <cell r="J1594">
            <v>34.434444444444438</v>
          </cell>
        </row>
        <row r="1595">
          <cell r="B1595">
            <v>55.46</v>
          </cell>
          <cell r="C1595">
            <v>107.57</v>
          </cell>
          <cell r="D1595">
            <v>19.59</v>
          </cell>
          <cell r="E1595">
            <v>9.6999999999999993</v>
          </cell>
          <cell r="H1595">
            <v>45358</v>
          </cell>
          <cell r="I1595">
            <v>0.62333333333333329</v>
          </cell>
          <cell r="J1595">
            <v>34.963333333333338</v>
          </cell>
        </row>
        <row r="1596">
          <cell r="B1596">
            <v>46.43</v>
          </cell>
          <cell r="C1596">
            <v>93.78</v>
          </cell>
          <cell r="D1596">
            <v>19.579999999999998</v>
          </cell>
          <cell r="E1596">
            <v>9.32</v>
          </cell>
          <cell r="H1596">
            <v>45358</v>
          </cell>
          <cell r="I1596">
            <v>0.63444444444444448</v>
          </cell>
          <cell r="J1596">
            <v>35.511111111111113</v>
          </cell>
        </row>
        <row r="1597">
          <cell r="B1597">
            <v>33.97</v>
          </cell>
          <cell r="C1597">
            <v>73.599999999999994</v>
          </cell>
          <cell r="D1597">
            <v>22.77</v>
          </cell>
          <cell r="E1597">
            <v>8.82</v>
          </cell>
          <cell r="H1597">
            <v>45358</v>
          </cell>
          <cell r="I1597">
            <v>0.65222222222222226</v>
          </cell>
          <cell r="J1597">
            <v>36.663333333333334</v>
          </cell>
        </row>
        <row r="1598">
          <cell r="B1598">
            <v>32.200000000000003</v>
          </cell>
          <cell r="C1598">
            <v>80.81</v>
          </cell>
          <cell r="D1598">
            <v>21.82</v>
          </cell>
          <cell r="E1598">
            <v>8.43</v>
          </cell>
          <cell r="H1598">
            <v>45358</v>
          </cell>
          <cell r="I1598">
            <v>0.66555555555555557</v>
          </cell>
          <cell r="J1598">
            <v>38.696666666666665</v>
          </cell>
        </row>
        <row r="1599">
          <cell r="B1599">
            <v>35.03</v>
          </cell>
          <cell r="C1599">
            <v>84.5</v>
          </cell>
          <cell r="D1599">
            <v>21.41</v>
          </cell>
          <cell r="E1599">
            <v>8.82</v>
          </cell>
          <cell r="H1599">
            <v>45358</v>
          </cell>
          <cell r="I1599">
            <v>0.6677777777777778</v>
          </cell>
          <cell r="J1599">
            <v>41.067777777777771</v>
          </cell>
        </row>
        <row r="1600">
          <cell r="B1600">
            <v>35.83</v>
          </cell>
          <cell r="C1600">
            <v>83.85</v>
          </cell>
          <cell r="D1600">
            <v>21.86</v>
          </cell>
          <cell r="E1600">
            <v>8.75</v>
          </cell>
          <cell r="H1600">
            <v>45358</v>
          </cell>
          <cell r="I1600">
            <v>0.6777777777777777</v>
          </cell>
          <cell r="J1600">
            <v>44.671111111111109</v>
          </cell>
        </row>
        <row r="1601">
          <cell r="B1601">
            <v>41.49</v>
          </cell>
          <cell r="C1601">
            <v>83.41</v>
          </cell>
          <cell r="D1601">
            <v>23.37</v>
          </cell>
          <cell r="E1601">
            <v>8.17</v>
          </cell>
          <cell r="H1601">
            <v>45358</v>
          </cell>
          <cell r="I1601">
            <v>0.6677777777777778</v>
          </cell>
          <cell r="J1601">
            <v>47.932222222222222</v>
          </cell>
        </row>
        <row r="1602">
          <cell r="B1602">
            <v>43.18</v>
          </cell>
          <cell r="C1602">
            <v>98.45</v>
          </cell>
          <cell r="D1602">
            <v>23.05</v>
          </cell>
          <cell r="E1602">
            <v>8.18</v>
          </cell>
          <cell r="H1602">
            <v>45358</v>
          </cell>
          <cell r="I1602">
            <v>0.66666666666666663</v>
          </cell>
          <cell r="J1602">
            <v>51.065555555555555</v>
          </cell>
        </row>
        <row r="1603">
          <cell r="B1603">
            <v>61.29</v>
          </cell>
          <cell r="C1603">
            <v>101.85</v>
          </cell>
          <cell r="D1603">
            <v>23.14</v>
          </cell>
          <cell r="E1603">
            <v>9.27</v>
          </cell>
          <cell r="H1603">
            <v>45358</v>
          </cell>
          <cell r="I1603">
            <v>0.67888888888888888</v>
          </cell>
          <cell r="J1603">
            <v>52.142222222222223</v>
          </cell>
        </row>
        <row r="1604">
          <cell r="B1604">
            <v>64.2</v>
          </cell>
          <cell r="C1604">
            <v>125.58</v>
          </cell>
          <cell r="D1604">
            <v>22.86</v>
          </cell>
          <cell r="E1604">
            <v>9.5500000000000007</v>
          </cell>
          <cell r="H1604">
            <v>45358</v>
          </cell>
          <cell r="I1604">
            <v>0.73444444444444434</v>
          </cell>
          <cell r="J1604">
            <v>50.974444444444444</v>
          </cell>
        </row>
        <row r="1605">
          <cell r="B1605">
            <v>68.8</v>
          </cell>
          <cell r="C1605">
            <v>158.84</v>
          </cell>
          <cell r="D1605">
            <v>23.42</v>
          </cell>
          <cell r="E1605">
            <v>10.039999999999999</v>
          </cell>
          <cell r="H1605">
            <v>45358</v>
          </cell>
          <cell r="I1605">
            <v>0.79888888888888898</v>
          </cell>
          <cell r="J1605">
            <v>49.319999999999993</v>
          </cell>
        </row>
        <row r="1606">
          <cell r="B1606">
            <v>78.17</v>
          </cell>
          <cell r="C1606">
            <v>154.93</v>
          </cell>
          <cell r="D1606">
            <v>23.65</v>
          </cell>
          <cell r="E1606">
            <v>10.49</v>
          </cell>
          <cell r="H1606">
            <v>45358</v>
          </cell>
          <cell r="I1606">
            <v>0.87555555555555553</v>
          </cell>
          <cell r="J1606">
            <v>47.736666666666657</v>
          </cell>
        </row>
        <row r="1607">
          <cell r="B1607">
            <v>81.709999999999994</v>
          </cell>
          <cell r="C1607">
            <v>151.68</v>
          </cell>
          <cell r="D1607">
            <v>23.24</v>
          </cell>
          <cell r="E1607">
            <v>12.98</v>
          </cell>
          <cell r="H1607">
            <v>45358</v>
          </cell>
          <cell r="I1607">
            <v>0.88888888888888884</v>
          </cell>
          <cell r="J1607">
            <v>46.257777777777768</v>
          </cell>
        </row>
        <row r="1608">
          <cell r="B1608">
            <v>84.29</v>
          </cell>
          <cell r="C1608">
            <v>143.29</v>
          </cell>
          <cell r="D1608">
            <v>22.92</v>
          </cell>
          <cell r="E1608">
            <v>16.72</v>
          </cell>
          <cell r="H1608">
            <v>45358</v>
          </cell>
          <cell r="I1608">
            <v>0.88888888888888884</v>
          </cell>
          <cell r="J1608">
            <v>44.601111111111109</v>
          </cell>
        </row>
        <row r="1609">
          <cell r="B1609">
            <v>97.09</v>
          </cell>
          <cell r="C1609">
            <v>149.27000000000001</v>
          </cell>
          <cell r="D1609">
            <v>22.93</v>
          </cell>
          <cell r="E1609">
            <v>19.940000000000001</v>
          </cell>
          <cell r="H1609">
            <v>45358</v>
          </cell>
          <cell r="I1609">
            <v>0.90555555555555556</v>
          </cell>
          <cell r="J1609">
            <v>42.392222222222216</v>
          </cell>
        </row>
        <row r="1610">
          <cell r="B1610">
            <v>94.51</v>
          </cell>
          <cell r="C1610">
            <v>149.52000000000001</v>
          </cell>
          <cell r="D1610">
            <v>22.46</v>
          </cell>
          <cell r="E1610">
            <v>19.989999999999998</v>
          </cell>
          <cell r="H1610">
            <v>45359</v>
          </cell>
          <cell r="I1610">
            <v>0.9011111111111112</v>
          </cell>
          <cell r="J1610">
            <v>40.782222222222217</v>
          </cell>
        </row>
        <row r="1611">
          <cell r="B1611">
            <v>93.92</v>
          </cell>
          <cell r="C1611">
            <v>143.94999999999999</v>
          </cell>
          <cell r="D1611">
            <v>22.5</v>
          </cell>
          <cell r="E1611">
            <v>19.68</v>
          </cell>
          <cell r="H1611">
            <v>45359</v>
          </cell>
          <cell r="I1611">
            <v>0.91777777777777791</v>
          </cell>
          <cell r="J1611">
            <v>39.166666666666657</v>
          </cell>
        </row>
        <row r="1612">
          <cell r="B1612">
            <v>89.02</v>
          </cell>
          <cell r="C1612">
            <v>143.71</v>
          </cell>
          <cell r="D1612">
            <v>22.33</v>
          </cell>
          <cell r="E1612">
            <v>16.899999999999999</v>
          </cell>
          <cell r="H1612">
            <v>45359</v>
          </cell>
          <cell r="I1612">
            <v>0.90222222222222237</v>
          </cell>
          <cell r="J1612">
            <v>38.325555555555553</v>
          </cell>
        </row>
        <row r="1613">
          <cell r="B1613">
            <v>84.83</v>
          </cell>
          <cell r="C1613">
            <v>136.16999999999999</v>
          </cell>
          <cell r="D1613">
            <v>21.37</v>
          </cell>
          <cell r="E1613">
            <v>16.420000000000002</v>
          </cell>
          <cell r="H1613">
            <v>45359</v>
          </cell>
          <cell r="I1613">
            <v>0.85111111111111115</v>
          </cell>
          <cell r="J1613">
            <v>38.801111111111105</v>
          </cell>
        </row>
        <row r="1614">
          <cell r="B1614">
            <v>74.959999999999994</v>
          </cell>
          <cell r="C1614">
            <v>132.75</v>
          </cell>
          <cell r="D1614">
            <v>19.48</v>
          </cell>
          <cell r="E1614">
            <v>15</v>
          </cell>
          <cell r="H1614">
            <v>45359</v>
          </cell>
          <cell r="I1614">
            <v>0.79333333333333333</v>
          </cell>
          <cell r="J1614">
            <v>39.351111111111109</v>
          </cell>
        </row>
        <row r="1615">
          <cell r="B1615">
            <v>78.91</v>
          </cell>
          <cell r="C1615">
            <v>127.26</v>
          </cell>
          <cell r="D1615">
            <v>19.55</v>
          </cell>
          <cell r="E1615">
            <v>13.6</v>
          </cell>
          <cell r="H1615">
            <v>45359</v>
          </cell>
          <cell r="I1615">
            <v>0.73666666666666669</v>
          </cell>
          <cell r="J1615">
            <v>39.227777777777781</v>
          </cell>
        </row>
        <row r="1616">
          <cell r="B1616">
            <v>79.7</v>
          </cell>
          <cell r="C1616">
            <v>135.76</v>
          </cell>
          <cell r="D1616">
            <v>20.100000000000001</v>
          </cell>
          <cell r="E1616">
            <v>13.33</v>
          </cell>
          <cell r="H1616">
            <v>45359</v>
          </cell>
          <cell r="I1616">
            <v>0.72666666666666657</v>
          </cell>
          <cell r="J1616">
            <v>37.947777777777773</v>
          </cell>
        </row>
        <row r="1617">
          <cell r="B1617">
            <v>74.56</v>
          </cell>
          <cell r="C1617">
            <v>137.62</v>
          </cell>
          <cell r="D1617">
            <v>19.829999999999998</v>
          </cell>
          <cell r="E1617">
            <v>13.32</v>
          </cell>
          <cell r="H1617">
            <v>45359</v>
          </cell>
          <cell r="I1617">
            <v>0.73333333333333328</v>
          </cell>
          <cell r="J1617">
            <v>36.865555555555552</v>
          </cell>
        </row>
        <row r="1618">
          <cell r="B1618">
            <v>67.12</v>
          </cell>
          <cell r="C1618">
            <v>124.56</v>
          </cell>
          <cell r="D1618">
            <v>19.5</v>
          </cell>
          <cell r="E1618">
            <v>12.11</v>
          </cell>
          <cell r="H1618">
            <v>45359</v>
          </cell>
          <cell r="I1618">
            <v>0.72</v>
          </cell>
          <cell r="J1618">
            <v>36.184444444444438</v>
          </cell>
        </row>
        <row r="1619">
          <cell r="B1619">
            <v>58.52</v>
          </cell>
          <cell r="C1619">
            <v>114.15</v>
          </cell>
          <cell r="D1619">
            <v>19.55</v>
          </cell>
          <cell r="E1619">
            <v>11.25</v>
          </cell>
          <cell r="H1619">
            <v>45359</v>
          </cell>
          <cell r="I1619">
            <v>0.72222222222222221</v>
          </cell>
          <cell r="J1619">
            <v>36.361111111111114</v>
          </cell>
        </row>
        <row r="1620">
          <cell r="B1620">
            <v>54.03</v>
          </cell>
          <cell r="C1620">
            <v>100</v>
          </cell>
          <cell r="D1620">
            <v>19.48</v>
          </cell>
          <cell r="E1620">
            <v>11.05</v>
          </cell>
          <cell r="H1620">
            <v>45359</v>
          </cell>
          <cell r="I1620">
            <v>0.71777777777777774</v>
          </cell>
          <cell r="J1620">
            <v>36.948888888888888</v>
          </cell>
        </row>
        <row r="1621">
          <cell r="B1621">
            <v>47.97</v>
          </cell>
          <cell r="C1621">
            <v>90.04</v>
          </cell>
          <cell r="D1621">
            <v>19.62</v>
          </cell>
          <cell r="E1621">
            <v>9.73</v>
          </cell>
          <cell r="H1621">
            <v>45359</v>
          </cell>
          <cell r="I1621">
            <v>0.72444444444444445</v>
          </cell>
          <cell r="J1621">
            <v>38.141111111111108</v>
          </cell>
        </row>
        <row r="1622">
          <cell r="B1622">
            <v>38.659999999999997</v>
          </cell>
          <cell r="C1622">
            <v>77.66</v>
          </cell>
          <cell r="D1622">
            <v>19.739999999999998</v>
          </cell>
          <cell r="E1622">
            <v>9.7100000000000009</v>
          </cell>
          <cell r="H1622">
            <v>45359</v>
          </cell>
          <cell r="I1622">
            <v>0.72555555555555551</v>
          </cell>
          <cell r="J1622">
            <v>40.1</v>
          </cell>
        </row>
        <row r="1623">
          <cell r="B1623">
            <v>38.18</v>
          </cell>
          <cell r="C1623">
            <v>75.930000000000007</v>
          </cell>
          <cell r="D1623">
            <v>19.71</v>
          </cell>
          <cell r="E1623">
            <v>9.98</v>
          </cell>
          <cell r="H1623">
            <v>45359</v>
          </cell>
          <cell r="I1623">
            <v>0.72</v>
          </cell>
          <cell r="J1623">
            <v>42.192222222222227</v>
          </cell>
        </row>
        <row r="1624">
          <cell r="B1624">
            <v>46.6</v>
          </cell>
          <cell r="C1624">
            <v>84.18</v>
          </cell>
          <cell r="D1624">
            <v>19.100000000000001</v>
          </cell>
          <cell r="E1624">
            <v>10.130000000000001</v>
          </cell>
          <cell r="H1624">
            <v>45359</v>
          </cell>
          <cell r="I1624">
            <v>0.70333333333333325</v>
          </cell>
          <cell r="J1624">
            <v>44.43555555555556</v>
          </cell>
        </row>
        <row r="1625">
          <cell r="B1625">
            <v>46.33</v>
          </cell>
          <cell r="C1625">
            <v>92.71</v>
          </cell>
          <cell r="D1625">
            <v>18.940000000000001</v>
          </cell>
          <cell r="E1625">
            <v>9.8800000000000008</v>
          </cell>
          <cell r="H1625">
            <v>45359</v>
          </cell>
          <cell r="I1625">
            <v>0.70222222222222219</v>
          </cell>
          <cell r="J1625">
            <v>48.086666666666673</v>
          </cell>
        </row>
        <row r="1626">
          <cell r="B1626">
            <v>49.28</v>
          </cell>
          <cell r="C1626">
            <v>95.7</v>
          </cell>
          <cell r="D1626">
            <v>19.2</v>
          </cell>
          <cell r="E1626">
            <v>8.73</v>
          </cell>
          <cell r="H1626">
            <v>45359</v>
          </cell>
          <cell r="I1626">
            <v>0.70444444444444454</v>
          </cell>
          <cell r="J1626">
            <v>51.946666666666665</v>
          </cell>
        </row>
        <row r="1627">
          <cell r="B1627">
            <v>44.27</v>
          </cell>
          <cell r="C1627">
            <v>96.08</v>
          </cell>
          <cell r="D1627">
            <v>19.21</v>
          </cell>
          <cell r="E1627">
            <v>8.81</v>
          </cell>
          <cell r="H1627">
            <v>45359</v>
          </cell>
          <cell r="I1627">
            <v>0.71333333333333337</v>
          </cell>
          <cell r="J1627">
            <v>54.506666666666668</v>
          </cell>
        </row>
        <row r="1628">
          <cell r="B1628">
            <v>58.07</v>
          </cell>
          <cell r="C1628">
            <v>115.03</v>
          </cell>
          <cell r="D1628">
            <v>19.41</v>
          </cell>
          <cell r="E1628">
            <v>9.41</v>
          </cell>
          <cell r="H1628">
            <v>45359</v>
          </cell>
          <cell r="I1628">
            <v>0.75333333333333341</v>
          </cell>
          <cell r="J1628">
            <v>54.824444444444453</v>
          </cell>
        </row>
        <row r="1629">
          <cell r="B1629">
            <v>67.069999999999993</v>
          </cell>
          <cell r="C1629">
            <v>154.63</v>
          </cell>
          <cell r="D1629">
            <v>20.18</v>
          </cell>
          <cell r="E1629">
            <v>10.02</v>
          </cell>
          <cell r="H1629">
            <v>45359</v>
          </cell>
          <cell r="I1629">
            <v>0.80666666666666664</v>
          </cell>
          <cell r="J1629">
            <v>53.638888888888886</v>
          </cell>
        </row>
        <row r="1630">
          <cell r="B1630">
            <v>79.08</v>
          </cell>
          <cell r="C1630">
            <v>190.94</v>
          </cell>
          <cell r="D1630">
            <v>20.22</v>
          </cell>
          <cell r="E1630">
            <v>10.69</v>
          </cell>
          <cell r="H1630">
            <v>45359</v>
          </cell>
          <cell r="I1630">
            <v>0.85777777777777775</v>
          </cell>
          <cell r="J1630">
            <v>51.844444444444434</v>
          </cell>
        </row>
        <row r="1631">
          <cell r="B1631">
            <v>84.89</v>
          </cell>
          <cell r="C1631">
            <v>170.58</v>
          </cell>
          <cell r="D1631">
            <v>19.86</v>
          </cell>
          <cell r="E1631">
            <v>10.02</v>
          </cell>
          <cell r="H1631">
            <v>45359</v>
          </cell>
          <cell r="I1631">
            <v>0.88111111111111107</v>
          </cell>
          <cell r="J1631">
            <v>50.254444444444445</v>
          </cell>
        </row>
        <row r="1632">
          <cell r="B1632">
            <v>68.8</v>
          </cell>
          <cell r="C1632">
            <v>126.22</v>
          </cell>
          <cell r="D1632">
            <v>20.079999999999998</v>
          </cell>
          <cell r="E1632">
            <v>9</v>
          </cell>
          <cell r="H1632">
            <v>45359</v>
          </cell>
          <cell r="I1632">
            <v>0.89666666666666672</v>
          </cell>
          <cell r="J1632">
            <v>48.451111111111111</v>
          </cell>
        </row>
        <row r="1633">
          <cell r="B1633">
            <v>56.97</v>
          </cell>
          <cell r="C1633">
            <v>104.3</v>
          </cell>
          <cell r="D1633">
            <v>19.97</v>
          </cell>
          <cell r="E1633">
            <v>8.66</v>
          </cell>
          <cell r="H1633">
            <v>45359</v>
          </cell>
          <cell r="I1633">
            <v>0.89888888888888885</v>
          </cell>
          <cell r="J1633">
            <v>46.391111111111108</v>
          </cell>
        </row>
        <row r="1634">
          <cell r="B1634">
            <v>50.31</v>
          </cell>
          <cell r="C1634">
            <v>96.72</v>
          </cell>
          <cell r="D1634">
            <v>19.739999999999998</v>
          </cell>
          <cell r="E1634">
            <v>8.42</v>
          </cell>
          <cell r="H1634">
            <v>45360</v>
          </cell>
          <cell r="I1634">
            <v>0.89333333333333342</v>
          </cell>
          <cell r="J1634">
            <v>43.847777777777779</v>
          </cell>
        </row>
        <row r="1635">
          <cell r="B1635">
            <v>48.16</v>
          </cell>
          <cell r="C1635">
            <v>84.58</v>
          </cell>
          <cell r="D1635">
            <v>18.97</v>
          </cell>
          <cell r="E1635">
            <v>8.34</v>
          </cell>
          <cell r="H1635">
            <v>45360</v>
          </cell>
          <cell r="I1635">
            <v>0.88</v>
          </cell>
          <cell r="J1635">
            <v>41.05555555555555</v>
          </cell>
        </row>
        <row r="1636">
          <cell r="B1636">
            <v>44.05</v>
          </cell>
          <cell r="C1636">
            <v>111.65</v>
          </cell>
          <cell r="D1636">
            <v>19.010000000000002</v>
          </cell>
          <cell r="E1636">
            <v>8.56</v>
          </cell>
          <cell r="H1636">
            <v>45360</v>
          </cell>
          <cell r="I1636">
            <v>0.86</v>
          </cell>
          <cell r="J1636">
            <v>38.828888888888883</v>
          </cell>
        </row>
        <row r="1637">
          <cell r="B1637">
            <v>45.47</v>
          </cell>
          <cell r="C1637">
            <v>97.02</v>
          </cell>
          <cell r="D1637">
            <v>18.97</v>
          </cell>
          <cell r="E1637">
            <v>9.0500000000000007</v>
          </cell>
          <cell r="H1637">
            <v>45360</v>
          </cell>
          <cell r="I1637">
            <v>0.82333333333333336</v>
          </cell>
          <cell r="J1637">
            <v>37.895555555555553</v>
          </cell>
        </row>
        <row r="1638">
          <cell r="B1638">
            <v>51.65</v>
          </cell>
          <cell r="C1638">
            <v>97.72</v>
          </cell>
          <cell r="D1638">
            <v>19.190000000000001</v>
          </cell>
          <cell r="E1638">
            <v>9.3800000000000008</v>
          </cell>
          <cell r="H1638">
            <v>45360</v>
          </cell>
          <cell r="I1638">
            <v>0.75888888888888895</v>
          </cell>
          <cell r="J1638">
            <v>37.704444444444441</v>
          </cell>
        </row>
        <row r="1639">
          <cell r="B1639">
            <v>56.5</v>
          </cell>
          <cell r="C1639">
            <v>106.43</v>
          </cell>
          <cell r="D1639">
            <v>18.61</v>
          </cell>
          <cell r="E1639">
            <v>9.48</v>
          </cell>
          <cell r="H1639">
            <v>45360</v>
          </cell>
          <cell r="I1639">
            <v>0.71111111111111114</v>
          </cell>
          <cell r="J1639">
            <v>37.657777777777781</v>
          </cell>
        </row>
        <row r="1640">
          <cell r="B1640">
            <v>53.68</v>
          </cell>
          <cell r="C1640">
            <v>109.42</v>
          </cell>
          <cell r="D1640">
            <v>18.75</v>
          </cell>
          <cell r="E1640">
            <v>9.26</v>
          </cell>
          <cell r="H1640">
            <v>45360</v>
          </cell>
          <cell r="I1640">
            <v>0.69777777777777794</v>
          </cell>
          <cell r="J1640">
            <v>36.532222222222224</v>
          </cell>
        </row>
        <row r="1641">
          <cell r="B1641">
            <v>57.48</v>
          </cell>
          <cell r="C1641">
            <v>113.37</v>
          </cell>
          <cell r="D1641">
            <v>19.239999999999998</v>
          </cell>
          <cell r="E1641">
            <v>9.56</v>
          </cell>
          <cell r="H1641">
            <v>45360</v>
          </cell>
          <cell r="I1641">
            <v>0.69333333333333336</v>
          </cell>
          <cell r="J1641">
            <v>36.042222222222229</v>
          </cell>
        </row>
        <row r="1642">
          <cell r="B1642">
            <v>53.63</v>
          </cell>
          <cell r="C1642">
            <v>119.37</v>
          </cell>
          <cell r="D1642">
            <v>19.04</v>
          </cell>
          <cell r="E1642">
            <v>9.5299999999999994</v>
          </cell>
          <cell r="H1642">
            <v>45360</v>
          </cell>
          <cell r="I1642">
            <v>0.69000000000000017</v>
          </cell>
          <cell r="J1642">
            <v>36.05777777777778</v>
          </cell>
        </row>
        <row r="1643">
          <cell r="B1643">
            <v>50.15</v>
          </cell>
          <cell r="C1643">
            <v>111.51</v>
          </cell>
          <cell r="D1643">
            <v>19.39</v>
          </cell>
          <cell r="E1643">
            <v>9.26</v>
          </cell>
          <cell r="H1643">
            <v>45360</v>
          </cell>
          <cell r="I1643">
            <v>0.69222222222222241</v>
          </cell>
          <cell r="J1643">
            <v>36.205555555555549</v>
          </cell>
        </row>
        <row r="1644">
          <cell r="B1644">
            <v>43.28</v>
          </cell>
          <cell r="C1644">
            <v>94.7</v>
          </cell>
          <cell r="D1644">
            <v>19.04</v>
          </cell>
          <cell r="E1644">
            <v>9.18</v>
          </cell>
          <cell r="H1644">
            <v>45360</v>
          </cell>
          <cell r="I1644">
            <v>0.69222222222222229</v>
          </cell>
          <cell r="J1644">
            <v>36.275555555555549</v>
          </cell>
        </row>
        <row r="1645">
          <cell r="B1645">
            <v>34.39</v>
          </cell>
          <cell r="C1645">
            <v>80.319999999999993</v>
          </cell>
          <cell r="D1645">
            <v>19.23</v>
          </cell>
          <cell r="E1645">
            <v>8.99</v>
          </cell>
          <cell r="H1645">
            <v>45360</v>
          </cell>
          <cell r="I1645">
            <v>0.68888888888888888</v>
          </cell>
          <cell r="J1645">
            <v>37.295555555555552</v>
          </cell>
        </row>
        <row r="1646">
          <cell r="B1646">
            <v>37.090000000000003</v>
          </cell>
          <cell r="C1646">
            <v>79.25</v>
          </cell>
          <cell r="D1646">
            <v>19.25</v>
          </cell>
          <cell r="E1646">
            <v>9.1999999999999993</v>
          </cell>
          <cell r="H1646">
            <v>45360</v>
          </cell>
          <cell r="I1646">
            <v>0.68222222222222217</v>
          </cell>
          <cell r="J1646">
            <v>38.595555555555549</v>
          </cell>
        </row>
        <row r="1647">
          <cell r="B1647">
            <v>43.17</v>
          </cell>
          <cell r="C1647">
            <v>81.8</v>
          </cell>
          <cell r="D1647">
            <v>19.38</v>
          </cell>
          <cell r="E1647">
            <v>9.6199999999999992</v>
          </cell>
          <cell r="H1647">
            <v>45360</v>
          </cell>
          <cell r="I1647">
            <v>0.67666666666666675</v>
          </cell>
          <cell r="J1647">
            <v>40.326666666666668</v>
          </cell>
        </row>
        <row r="1648">
          <cell r="B1648">
            <v>45.16</v>
          </cell>
          <cell r="C1648">
            <v>81.99</v>
          </cell>
          <cell r="D1648">
            <v>19.39</v>
          </cell>
          <cell r="E1648">
            <v>9.69</v>
          </cell>
          <cell r="H1648">
            <v>45360</v>
          </cell>
          <cell r="I1648">
            <v>0.67555555555555558</v>
          </cell>
          <cell r="J1648">
            <v>42.341111111111118</v>
          </cell>
        </row>
        <row r="1649">
          <cell r="B1649">
            <v>47.07</v>
          </cell>
          <cell r="C1649">
            <v>86.63</v>
          </cell>
          <cell r="D1649">
            <v>19.09</v>
          </cell>
          <cell r="E1649">
            <v>9.33</v>
          </cell>
          <cell r="H1649">
            <v>45360</v>
          </cell>
          <cell r="I1649">
            <v>0.67222222222222217</v>
          </cell>
          <cell r="J1649">
            <v>44.376666666666672</v>
          </cell>
        </row>
        <row r="1650">
          <cell r="B1650">
            <v>49.36</v>
          </cell>
          <cell r="C1650">
            <v>89.56</v>
          </cell>
          <cell r="D1650">
            <v>18.78</v>
          </cell>
          <cell r="E1650">
            <v>9.5399999999999991</v>
          </cell>
          <cell r="H1650">
            <v>45360</v>
          </cell>
          <cell r="I1650">
            <v>0.67</v>
          </cell>
          <cell r="J1650">
            <v>45.794444444444451</v>
          </cell>
        </row>
        <row r="1651">
          <cell r="B1651">
            <v>51</v>
          </cell>
          <cell r="C1651">
            <v>97.2</v>
          </cell>
          <cell r="D1651">
            <v>18.7</v>
          </cell>
          <cell r="E1651">
            <v>9.24</v>
          </cell>
          <cell r="H1651">
            <v>45360</v>
          </cell>
          <cell r="I1651">
            <v>0.68</v>
          </cell>
          <cell r="J1651">
            <v>46.102222222222224</v>
          </cell>
        </row>
        <row r="1652">
          <cell r="B1652">
            <v>52.73</v>
          </cell>
          <cell r="C1652">
            <v>110.96</v>
          </cell>
          <cell r="D1652">
            <v>19.100000000000001</v>
          </cell>
          <cell r="E1652">
            <v>9.33</v>
          </cell>
          <cell r="H1652">
            <v>45360</v>
          </cell>
          <cell r="I1652">
            <v>0.7</v>
          </cell>
          <cell r="J1652">
            <v>46.366666666666674</v>
          </cell>
        </row>
        <row r="1653">
          <cell r="B1653">
            <v>61.7</v>
          </cell>
          <cell r="C1653">
            <v>126.23</v>
          </cell>
          <cell r="D1653">
            <v>18.760000000000002</v>
          </cell>
          <cell r="E1653">
            <v>13.02</v>
          </cell>
          <cell r="H1653">
            <v>45360</v>
          </cell>
          <cell r="I1653">
            <v>0.7366666666666668</v>
          </cell>
          <cell r="J1653">
            <v>45.765555555555551</v>
          </cell>
        </row>
        <row r="1654">
          <cell r="B1654">
            <v>71.239999999999995</v>
          </cell>
          <cell r="C1654">
            <v>148.35</v>
          </cell>
          <cell r="D1654">
            <v>18.260000000000002</v>
          </cell>
          <cell r="E1654">
            <v>9.58</v>
          </cell>
          <cell r="H1654">
            <v>45360</v>
          </cell>
          <cell r="I1654">
            <v>0.76222222222222225</v>
          </cell>
          <cell r="J1654">
            <v>44.772222222222219</v>
          </cell>
        </row>
        <row r="1655">
          <cell r="B1655">
            <v>68.34</v>
          </cell>
          <cell r="C1655">
            <v>157.66999999999999</v>
          </cell>
          <cell r="D1655">
            <v>16.899999999999999</v>
          </cell>
          <cell r="E1655">
            <v>8.49</v>
          </cell>
          <cell r="H1655">
            <v>45360</v>
          </cell>
          <cell r="I1655">
            <v>0.76777777777777778</v>
          </cell>
          <cell r="J1655">
            <v>43.23</v>
          </cell>
        </row>
        <row r="1656">
          <cell r="B1656">
            <v>60.85</v>
          </cell>
          <cell r="C1656">
            <v>118.31</v>
          </cell>
          <cell r="D1656">
            <v>16.93</v>
          </cell>
          <cell r="E1656">
            <v>8.56</v>
          </cell>
          <cell r="H1656">
            <v>45360</v>
          </cell>
          <cell r="I1656">
            <v>0.76555555555555543</v>
          </cell>
          <cell r="J1656">
            <v>41.598888888888887</v>
          </cell>
        </row>
        <row r="1657">
          <cell r="B1657">
            <v>63.31</v>
          </cell>
          <cell r="C1657">
            <v>104.57</v>
          </cell>
          <cell r="D1657">
            <v>16.850000000000001</v>
          </cell>
          <cell r="E1657">
            <v>8.69</v>
          </cell>
          <cell r="H1657">
            <v>45360</v>
          </cell>
          <cell r="I1657">
            <v>0.75444444444444436</v>
          </cell>
          <cell r="J1657">
            <v>39.799999999999997</v>
          </cell>
        </row>
        <row r="1658">
          <cell r="B1658">
            <v>60.38</v>
          </cell>
          <cell r="C1658">
            <v>102.93</v>
          </cell>
          <cell r="D1658">
            <v>17</v>
          </cell>
          <cell r="E1658">
            <v>9.1</v>
          </cell>
          <cell r="H1658">
            <v>45361</v>
          </cell>
          <cell r="I1658">
            <v>0.74333333333333318</v>
          </cell>
          <cell r="J1658">
            <v>38.039999999999992</v>
          </cell>
        </row>
        <row r="1659">
          <cell r="B1659">
            <v>72.48</v>
          </cell>
          <cell r="C1659">
            <v>117.18</v>
          </cell>
          <cell r="D1659">
            <v>16.79</v>
          </cell>
          <cell r="E1659">
            <v>10.48</v>
          </cell>
          <cell r="H1659">
            <v>45361</v>
          </cell>
          <cell r="I1659">
            <v>0.73111111111111104</v>
          </cell>
          <cell r="J1659">
            <v>36.757777777777775</v>
          </cell>
        </row>
        <row r="1660">
          <cell r="B1660">
            <v>80.599999999999994</v>
          </cell>
          <cell r="C1660">
            <v>137.68</v>
          </cell>
          <cell r="D1660">
            <v>16.64</v>
          </cell>
          <cell r="E1660">
            <v>11.44</v>
          </cell>
          <cell r="H1660">
            <v>45361</v>
          </cell>
          <cell r="I1660">
            <v>0.71111111111111103</v>
          </cell>
          <cell r="J1660">
            <v>36.192222222222227</v>
          </cell>
        </row>
        <row r="1661">
          <cell r="B1661">
            <v>78.47</v>
          </cell>
          <cell r="C1661">
            <v>133.99</v>
          </cell>
          <cell r="D1661">
            <v>17</v>
          </cell>
          <cell r="E1661">
            <v>11.61</v>
          </cell>
          <cell r="H1661">
            <v>45361</v>
          </cell>
          <cell r="I1661">
            <v>0.681111111111111</v>
          </cell>
          <cell r="J1661">
            <v>35.137777777777778</v>
          </cell>
        </row>
        <row r="1662">
          <cell r="B1662">
            <v>65.98</v>
          </cell>
          <cell r="C1662">
            <v>122.44</v>
          </cell>
          <cell r="D1662">
            <v>16.93</v>
          </cell>
          <cell r="E1662">
            <v>11.06</v>
          </cell>
          <cell r="H1662">
            <v>45361</v>
          </cell>
          <cell r="I1662">
            <v>0.64222222222222214</v>
          </cell>
          <cell r="J1662">
            <v>34.647777777777776</v>
          </cell>
        </row>
        <row r="1663">
          <cell r="B1663">
            <v>68.56</v>
          </cell>
          <cell r="C1663">
            <v>117.35</v>
          </cell>
          <cell r="D1663">
            <v>16.899999999999999</v>
          </cell>
          <cell r="E1663">
            <v>9.86</v>
          </cell>
          <cell r="H1663">
            <v>45361</v>
          </cell>
          <cell r="I1663">
            <v>0.62111111111111106</v>
          </cell>
          <cell r="J1663">
            <v>33.671111111111109</v>
          </cell>
        </row>
        <row r="1664">
          <cell r="B1664">
            <v>73.59</v>
          </cell>
          <cell r="C1664">
            <v>129.07</v>
          </cell>
          <cell r="D1664">
            <v>16.87</v>
          </cell>
          <cell r="E1664">
            <v>9.35</v>
          </cell>
          <cell r="H1664">
            <v>45361</v>
          </cell>
          <cell r="I1664">
            <v>0.61888888888888893</v>
          </cell>
          <cell r="J1664">
            <v>33.114444444444445</v>
          </cell>
        </row>
        <row r="1665">
          <cell r="B1665">
            <v>72.53</v>
          </cell>
          <cell r="C1665">
            <v>139.56</v>
          </cell>
          <cell r="D1665">
            <v>16.75</v>
          </cell>
          <cell r="E1665">
            <v>8.9700000000000006</v>
          </cell>
          <cell r="H1665">
            <v>45361</v>
          </cell>
          <cell r="I1665">
            <v>0.62222222222222223</v>
          </cell>
          <cell r="J1665">
            <v>32.488888888888887</v>
          </cell>
        </row>
        <row r="1666">
          <cell r="B1666">
            <v>63.41</v>
          </cell>
          <cell r="C1666">
            <v>124.38</v>
          </cell>
          <cell r="D1666">
            <v>17.010000000000002</v>
          </cell>
          <cell r="E1666">
            <v>9.43</v>
          </cell>
          <cell r="H1666">
            <v>45361</v>
          </cell>
          <cell r="I1666">
            <v>0.62666666666666671</v>
          </cell>
          <cell r="J1666">
            <v>31.80222222222222</v>
          </cell>
        </row>
        <row r="1667">
          <cell r="B1667">
            <v>54.18</v>
          </cell>
          <cell r="C1667">
            <v>114.82</v>
          </cell>
          <cell r="D1667">
            <v>16.75</v>
          </cell>
          <cell r="E1667">
            <v>9.77</v>
          </cell>
          <cell r="H1667">
            <v>45361</v>
          </cell>
          <cell r="I1667">
            <v>0.63</v>
          </cell>
          <cell r="J1667">
            <v>31.632222222222222</v>
          </cell>
        </row>
        <row r="1668">
          <cell r="B1668">
            <v>44.87</v>
          </cell>
          <cell r="C1668">
            <v>103.7</v>
          </cell>
          <cell r="D1668">
            <v>17.72</v>
          </cell>
          <cell r="E1668">
            <v>9.8800000000000008</v>
          </cell>
          <cell r="H1668">
            <v>45361</v>
          </cell>
          <cell r="I1668">
            <v>0.63222222222222224</v>
          </cell>
          <cell r="J1668">
            <v>31.983333333333334</v>
          </cell>
        </row>
        <row r="1669">
          <cell r="B1669">
            <v>38.39</v>
          </cell>
          <cell r="C1669">
            <v>85.18</v>
          </cell>
          <cell r="D1669">
            <v>18.07</v>
          </cell>
          <cell r="E1669">
            <v>9.7200000000000006</v>
          </cell>
          <cell r="H1669">
            <v>45361</v>
          </cell>
          <cell r="I1669">
            <v>0.63111111111111107</v>
          </cell>
          <cell r="J1669">
            <v>32.572222222222223</v>
          </cell>
        </row>
        <row r="1670">
          <cell r="B1670">
            <v>38.85</v>
          </cell>
          <cell r="C1670">
            <v>87.97</v>
          </cell>
          <cell r="D1670">
            <v>17.989999999999998</v>
          </cell>
          <cell r="E1670">
            <v>9.2100000000000009</v>
          </cell>
          <cell r="H1670">
            <v>45361</v>
          </cell>
          <cell r="I1670">
            <v>0.63777777777777778</v>
          </cell>
          <cell r="J1670">
            <v>33.394444444444439</v>
          </cell>
        </row>
        <row r="1671">
          <cell r="B1671">
            <v>38.369999999999997</v>
          </cell>
          <cell r="C1671">
            <v>88.75</v>
          </cell>
          <cell r="D1671">
            <v>18.18</v>
          </cell>
          <cell r="E1671">
            <v>9.3800000000000008</v>
          </cell>
          <cell r="H1671">
            <v>45361</v>
          </cell>
          <cell r="I1671">
            <v>0.64000000000000012</v>
          </cell>
          <cell r="J1671">
            <v>34.711111111111109</v>
          </cell>
        </row>
        <row r="1672">
          <cell r="B1672">
            <v>43.34</v>
          </cell>
          <cell r="C1672">
            <v>84.07</v>
          </cell>
          <cell r="D1672">
            <v>16.87</v>
          </cell>
          <cell r="E1672">
            <v>9.43</v>
          </cell>
          <cell r="H1672">
            <v>45361</v>
          </cell>
          <cell r="I1672">
            <v>0.64222222222222225</v>
          </cell>
          <cell r="J1672">
            <v>36.024444444444441</v>
          </cell>
        </row>
        <row r="1673">
          <cell r="B1673">
            <v>45.17</v>
          </cell>
          <cell r="C1673">
            <v>82.87</v>
          </cell>
          <cell r="D1673">
            <v>16.95</v>
          </cell>
          <cell r="E1673">
            <v>9.4600000000000009</v>
          </cell>
          <cell r="H1673">
            <v>45361</v>
          </cell>
          <cell r="I1673">
            <v>0.64</v>
          </cell>
          <cell r="J1673">
            <v>37.270000000000003</v>
          </cell>
        </row>
        <row r="1674">
          <cell r="B1674">
            <v>43.73</v>
          </cell>
          <cell r="C1674">
            <v>83.08</v>
          </cell>
          <cell r="D1674">
            <v>17.149999999999999</v>
          </cell>
          <cell r="E1674">
            <v>8.83</v>
          </cell>
          <cell r="H1674">
            <v>45361</v>
          </cell>
          <cell r="I1674">
            <v>0.63777777777777767</v>
          </cell>
          <cell r="J1674">
            <v>38.852222222222217</v>
          </cell>
        </row>
        <row r="1675">
          <cell r="B1675">
            <v>46.96</v>
          </cell>
          <cell r="C1675">
            <v>85.3</v>
          </cell>
          <cell r="D1675">
            <v>16.829999999999998</v>
          </cell>
          <cell r="E1675">
            <v>8.73</v>
          </cell>
          <cell r="H1675">
            <v>45361</v>
          </cell>
          <cell r="I1675">
            <v>0.64333333333333331</v>
          </cell>
          <cell r="J1675">
            <v>40.402222222222221</v>
          </cell>
        </row>
        <row r="1676">
          <cell r="B1676">
            <v>48.72</v>
          </cell>
          <cell r="C1676">
            <v>99.18</v>
          </cell>
          <cell r="D1676">
            <v>17.010000000000002</v>
          </cell>
          <cell r="E1676">
            <v>9.1</v>
          </cell>
          <cell r="H1676">
            <v>45361</v>
          </cell>
          <cell r="I1676">
            <v>0.65555555555555556</v>
          </cell>
          <cell r="J1676">
            <v>41.152222222222228</v>
          </cell>
        </row>
        <row r="1677">
          <cell r="B1677">
            <v>56.12</v>
          </cell>
          <cell r="C1677">
            <v>110.57</v>
          </cell>
          <cell r="D1677">
            <v>16.89</v>
          </cell>
          <cell r="E1677">
            <v>8.8800000000000008</v>
          </cell>
          <cell r="H1677">
            <v>45361</v>
          </cell>
          <cell r="I1677">
            <v>0.6711111111111111</v>
          </cell>
          <cell r="J1677">
            <v>41.123333333333335</v>
          </cell>
        </row>
        <row r="1678">
          <cell r="B1678">
            <v>58.23</v>
          </cell>
          <cell r="C1678">
            <v>114.73</v>
          </cell>
          <cell r="D1678">
            <v>17.54</v>
          </cell>
          <cell r="E1678">
            <v>9.74</v>
          </cell>
          <cell r="H1678">
            <v>45361</v>
          </cell>
          <cell r="I1678">
            <v>0.68555555555555558</v>
          </cell>
          <cell r="J1678">
            <v>40.737777777777779</v>
          </cell>
        </row>
        <row r="1679">
          <cell r="B1679">
            <v>58.18</v>
          </cell>
          <cell r="C1679">
            <v>117.17</v>
          </cell>
          <cell r="D1679">
            <v>17.510000000000002</v>
          </cell>
          <cell r="E1679">
            <v>10.89</v>
          </cell>
          <cell r="H1679">
            <v>45361</v>
          </cell>
          <cell r="I1679">
            <v>0.68222222222222217</v>
          </cell>
          <cell r="J1679">
            <v>40.580000000000005</v>
          </cell>
        </row>
        <row r="1680">
          <cell r="B1680">
            <v>64.650000000000006</v>
          </cell>
          <cell r="C1680">
            <v>131.5</v>
          </cell>
          <cell r="D1680">
            <v>17.829999999999998</v>
          </cell>
          <cell r="E1680">
            <v>15.99</v>
          </cell>
          <cell r="H1680">
            <v>45361</v>
          </cell>
          <cell r="I1680">
            <v>0.6744444444444444</v>
          </cell>
          <cell r="J1680">
            <v>40.285555555555561</v>
          </cell>
        </row>
        <row r="1681">
          <cell r="B1681">
            <v>78.42</v>
          </cell>
          <cell r="C1681">
            <v>142.03</v>
          </cell>
          <cell r="D1681">
            <v>17.440000000000001</v>
          </cell>
          <cell r="E1681">
            <v>15.74</v>
          </cell>
          <cell r="H1681">
            <v>45361</v>
          </cell>
          <cell r="I1681">
            <v>0.66222222222222227</v>
          </cell>
          <cell r="J1681">
            <v>39.637777777777771</v>
          </cell>
        </row>
        <row r="1682">
          <cell r="B1682">
            <v>76.55</v>
          </cell>
          <cell r="C1682">
            <v>127.36</v>
          </cell>
          <cell r="D1682">
            <v>17.34</v>
          </cell>
          <cell r="E1682">
            <v>13.63</v>
          </cell>
          <cell r="H1682">
            <v>45362</v>
          </cell>
          <cell r="I1682">
            <v>0.6511111111111112</v>
          </cell>
          <cell r="J1682">
            <v>38.979999999999997</v>
          </cell>
        </row>
        <row r="1683">
          <cell r="B1683">
            <v>66.7</v>
          </cell>
          <cell r="C1683">
            <v>109.86</v>
          </cell>
          <cell r="D1683">
            <v>17.48</v>
          </cell>
          <cell r="E1683">
            <v>13.12</v>
          </cell>
          <cell r="H1683">
            <v>45362</v>
          </cell>
          <cell r="I1683">
            <v>0.64666666666666672</v>
          </cell>
          <cell r="J1683">
            <v>37.77000000000001</v>
          </cell>
        </row>
        <row r="1684">
          <cell r="B1684">
            <v>66.22</v>
          </cell>
          <cell r="C1684">
            <v>105.17</v>
          </cell>
          <cell r="D1684">
            <v>17.28</v>
          </cell>
          <cell r="E1684">
            <v>11.45</v>
          </cell>
          <cell r="H1684">
            <v>45362</v>
          </cell>
          <cell r="I1684">
            <v>0.63777777777777767</v>
          </cell>
          <cell r="J1684">
            <v>36.243333333333332</v>
          </cell>
        </row>
        <row r="1685">
          <cell r="B1685">
            <v>57.4</v>
          </cell>
          <cell r="C1685">
            <v>99.03</v>
          </cell>
          <cell r="D1685">
            <v>17.2</v>
          </cell>
          <cell r="E1685">
            <v>11.54</v>
          </cell>
          <cell r="H1685">
            <v>45362</v>
          </cell>
          <cell r="I1685">
            <v>0.61666666666666659</v>
          </cell>
          <cell r="J1685">
            <v>35.14</v>
          </cell>
        </row>
        <row r="1686">
          <cell r="B1686">
            <v>52.57</v>
          </cell>
          <cell r="C1686">
            <v>97.05</v>
          </cell>
          <cell r="D1686">
            <v>17.36</v>
          </cell>
          <cell r="E1686">
            <v>10.89</v>
          </cell>
          <cell r="H1686">
            <v>45362</v>
          </cell>
          <cell r="I1686">
            <v>0.59666666666666668</v>
          </cell>
          <cell r="J1686">
            <v>34.115555555555552</v>
          </cell>
        </row>
        <row r="1687">
          <cell r="B1687">
            <v>51.89</v>
          </cell>
          <cell r="C1687">
            <v>86.98</v>
          </cell>
          <cell r="D1687">
            <v>16.850000000000001</v>
          </cell>
          <cell r="E1687">
            <v>10.76</v>
          </cell>
          <cell r="H1687">
            <v>45362</v>
          </cell>
          <cell r="I1687">
            <v>0.5822222222222222</v>
          </cell>
          <cell r="J1687">
            <v>33.087777777777781</v>
          </cell>
        </row>
        <row r="1688">
          <cell r="B1688">
            <v>49.3</v>
          </cell>
          <cell r="C1688">
            <v>87.07</v>
          </cell>
          <cell r="D1688">
            <v>17.899999999999999</v>
          </cell>
          <cell r="E1688">
            <v>11.63</v>
          </cell>
          <cell r="H1688">
            <v>45362</v>
          </cell>
          <cell r="I1688">
            <v>0.58111111111111113</v>
          </cell>
          <cell r="J1688">
            <v>31.818888888888889</v>
          </cell>
        </row>
        <row r="1689">
          <cell r="B1689">
            <v>45.67</v>
          </cell>
          <cell r="C1689">
            <v>88.02</v>
          </cell>
          <cell r="D1689">
            <v>17.98</v>
          </cell>
          <cell r="E1689">
            <v>11</v>
          </cell>
          <cell r="H1689">
            <v>45362</v>
          </cell>
          <cell r="I1689">
            <v>0.59000000000000008</v>
          </cell>
          <cell r="J1689">
            <v>30.408888888888889</v>
          </cell>
        </row>
        <row r="1690">
          <cell r="B1690">
            <v>48.69</v>
          </cell>
          <cell r="C1690">
            <v>99.09</v>
          </cell>
          <cell r="D1690">
            <v>20.04</v>
          </cell>
          <cell r="E1690">
            <v>11.76</v>
          </cell>
          <cell r="H1690">
            <v>45362</v>
          </cell>
          <cell r="I1690">
            <v>0.60333333333333328</v>
          </cell>
          <cell r="J1690">
            <v>29.717777777777783</v>
          </cell>
        </row>
        <row r="1691">
          <cell r="B1691">
            <v>45.93</v>
          </cell>
          <cell r="C1691">
            <v>103.4</v>
          </cell>
          <cell r="D1691">
            <v>24</v>
          </cell>
          <cell r="E1691">
            <v>11.82</v>
          </cell>
          <cell r="H1691">
            <v>45362</v>
          </cell>
          <cell r="I1691">
            <v>0.62111111111111106</v>
          </cell>
          <cell r="J1691">
            <v>30.071111111111108</v>
          </cell>
        </row>
        <row r="1692">
          <cell r="B1692">
            <v>48.34</v>
          </cell>
          <cell r="C1692">
            <v>105.94</v>
          </cell>
          <cell r="D1692">
            <v>24.08</v>
          </cell>
          <cell r="E1692">
            <v>11.55</v>
          </cell>
          <cell r="H1692">
            <v>45362</v>
          </cell>
          <cell r="I1692">
            <v>0.62666666666666671</v>
          </cell>
          <cell r="J1692">
            <v>31.810000000000002</v>
          </cell>
        </row>
        <row r="1693">
          <cell r="B1693">
            <v>49.63</v>
          </cell>
          <cell r="C1693">
            <v>98.81</v>
          </cell>
          <cell r="D1693">
            <v>22.8</v>
          </cell>
          <cell r="E1693">
            <v>10.97</v>
          </cell>
          <cell r="H1693">
            <v>45362</v>
          </cell>
          <cell r="I1693">
            <v>0.62555555555555553</v>
          </cell>
          <cell r="J1693">
            <v>33.987777777777779</v>
          </cell>
        </row>
        <row r="1694">
          <cell r="B1694">
            <v>50.92</v>
          </cell>
          <cell r="C1694">
            <v>100.95</v>
          </cell>
          <cell r="D1694">
            <v>23.01</v>
          </cell>
          <cell r="E1694">
            <v>9.7799999999999994</v>
          </cell>
          <cell r="H1694">
            <v>45362</v>
          </cell>
          <cell r="I1694">
            <v>0.63444444444444448</v>
          </cell>
          <cell r="J1694">
            <v>36.332222222222221</v>
          </cell>
        </row>
        <row r="1695">
          <cell r="B1695">
            <v>49.17</v>
          </cell>
          <cell r="C1695">
            <v>94.62</v>
          </cell>
          <cell r="D1695">
            <v>22.7</v>
          </cell>
          <cell r="E1695">
            <v>10.34</v>
          </cell>
          <cell r="H1695">
            <v>45362</v>
          </cell>
          <cell r="I1695">
            <v>0.64111111111111108</v>
          </cell>
          <cell r="J1695">
            <v>38.901111111111113</v>
          </cell>
        </row>
        <row r="1696">
          <cell r="B1696">
            <v>46.72</v>
          </cell>
          <cell r="C1696">
            <v>93.06</v>
          </cell>
          <cell r="D1696">
            <v>23.47</v>
          </cell>
          <cell r="E1696">
            <v>10.62</v>
          </cell>
          <cell r="H1696">
            <v>45362</v>
          </cell>
          <cell r="I1696">
            <v>0.64444444444444438</v>
          </cell>
          <cell r="J1696">
            <v>41.666666666666664</v>
          </cell>
        </row>
        <row r="1697">
          <cell r="B1697">
            <v>49.33</v>
          </cell>
          <cell r="C1697">
            <v>89.28</v>
          </cell>
          <cell r="D1697">
            <v>24.33</v>
          </cell>
          <cell r="E1697">
            <v>10.01</v>
          </cell>
          <cell r="H1697">
            <v>45362</v>
          </cell>
          <cell r="I1697">
            <v>0.64999999999999991</v>
          </cell>
          <cell r="J1697">
            <v>44.016666666666666</v>
          </cell>
        </row>
        <row r="1698">
          <cell r="B1698">
            <v>51.44</v>
          </cell>
          <cell r="C1698">
            <v>92.83</v>
          </cell>
          <cell r="D1698">
            <v>23.65</v>
          </cell>
          <cell r="E1698">
            <v>9.2799999999999994</v>
          </cell>
          <cell r="H1698">
            <v>45362</v>
          </cell>
          <cell r="I1698">
            <v>0.64999999999999991</v>
          </cell>
          <cell r="J1698">
            <v>46.18555555555556</v>
          </cell>
        </row>
        <row r="1699">
          <cell r="B1699">
            <v>55.23</v>
          </cell>
          <cell r="C1699">
            <v>96.1</v>
          </cell>
          <cell r="D1699">
            <v>23.46</v>
          </cell>
          <cell r="E1699">
            <v>9.35</v>
          </cell>
          <cell r="H1699">
            <v>45362</v>
          </cell>
          <cell r="I1699">
            <v>0.65444444444444427</v>
          </cell>
          <cell r="J1699">
            <v>47.322222222222223</v>
          </cell>
        </row>
        <row r="1700">
          <cell r="B1700">
            <v>56.71</v>
          </cell>
          <cell r="C1700">
            <v>101.48</v>
          </cell>
          <cell r="D1700">
            <v>23.75</v>
          </cell>
          <cell r="E1700">
            <v>9.6</v>
          </cell>
          <cell r="H1700">
            <v>45362</v>
          </cell>
          <cell r="I1700">
            <v>0.67000000000000015</v>
          </cell>
          <cell r="J1700">
            <v>47.054444444444442</v>
          </cell>
        </row>
        <row r="1701">
          <cell r="B1701">
            <v>59.33</v>
          </cell>
          <cell r="C1701">
            <v>110.07</v>
          </cell>
          <cell r="D1701">
            <v>23.29</v>
          </cell>
          <cell r="E1701">
            <v>9.1199999999999992</v>
          </cell>
          <cell r="H1701">
            <v>45362</v>
          </cell>
          <cell r="I1701">
            <v>0.69111111111111112</v>
          </cell>
          <cell r="J1701">
            <v>45.89</v>
          </cell>
        </row>
        <row r="1702">
          <cell r="B1702">
            <v>60.14</v>
          </cell>
          <cell r="C1702">
            <v>115.82</v>
          </cell>
          <cell r="D1702">
            <v>23.33</v>
          </cell>
          <cell r="E1702">
            <v>9.1199999999999992</v>
          </cell>
          <cell r="H1702">
            <v>45362</v>
          </cell>
          <cell r="I1702">
            <v>0.70666666666666655</v>
          </cell>
          <cell r="J1702">
            <v>44.588888888888896</v>
          </cell>
        </row>
        <row r="1703">
          <cell r="B1703">
            <v>58.36</v>
          </cell>
          <cell r="C1703">
            <v>108.17</v>
          </cell>
          <cell r="D1703">
            <v>22.62</v>
          </cell>
          <cell r="E1703">
            <v>9.2799999999999994</v>
          </cell>
          <cell r="H1703">
            <v>45362</v>
          </cell>
          <cell r="I1703">
            <v>0.70777777777777784</v>
          </cell>
          <cell r="J1703">
            <v>43.035555555555554</v>
          </cell>
        </row>
        <row r="1704">
          <cell r="B1704">
            <v>57.12</v>
          </cell>
          <cell r="C1704">
            <v>102.93</v>
          </cell>
          <cell r="D1704">
            <v>22.24</v>
          </cell>
          <cell r="E1704">
            <v>9.19</v>
          </cell>
          <cell r="H1704">
            <v>45362</v>
          </cell>
          <cell r="I1704">
            <v>0.70555555555555549</v>
          </cell>
          <cell r="J1704">
            <v>41.458888888888886</v>
          </cell>
        </row>
        <row r="1705">
          <cell r="B1705">
            <v>55.69</v>
          </cell>
          <cell r="C1705">
            <v>95.58</v>
          </cell>
          <cell r="D1705">
            <v>21.99</v>
          </cell>
          <cell r="E1705">
            <v>9.23</v>
          </cell>
          <cell r="H1705">
            <v>45362</v>
          </cell>
          <cell r="I1705">
            <v>0.69888888888888889</v>
          </cell>
          <cell r="J1705">
            <v>39.989999999999995</v>
          </cell>
        </row>
        <row r="1706">
          <cell r="B1706">
            <v>56.31</v>
          </cell>
          <cell r="C1706">
            <v>92.02</v>
          </cell>
          <cell r="D1706">
            <v>22.19</v>
          </cell>
          <cell r="E1706">
            <v>9.61</v>
          </cell>
          <cell r="H1706">
            <v>45363</v>
          </cell>
          <cell r="I1706">
            <v>0.68555555555555558</v>
          </cell>
          <cell r="J1706">
            <v>38.984444444444449</v>
          </cell>
        </row>
        <row r="1707">
          <cell r="B1707">
            <v>54.52</v>
          </cell>
          <cell r="C1707">
            <v>94.31</v>
          </cell>
          <cell r="D1707">
            <v>22.34</v>
          </cell>
          <cell r="E1707">
            <v>9.06</v>
          </cell>
          <cell r="H1707">
            <v>45363</v>
          </cell>
          <cell r="I1707">
            <v>0.66888888888888887</v>
          </cell>
          <cell r="J1707">
            <v>37.807777777777773</v>
          </cell>
        </row>
        <row r="1708">
          <cell r="B1708">
            <v>57.36</v>
          </cell>
          <cell r="C1708">
            <v>92.75</v>
          </cell>
          <cell r="D1708">
            <v>22.41</v>
          </cell>
          <cell r="E1708">
            <v>9.4499999999999993</v>
          </cell>
          <cell r="H1708">
            <v>45363</v>
          </cell>
          <cell r="I1708">
            <v>0.64333333333333342</v>
          </cell>
          <cell r="J1708">
            <v>37.147777777777776</v>
          </cell>
        </row>
        <row r="1709">
          <cell r="B1709">
            <v>58.72</v>
          </cell>
          <cell r="C1709">
            <v>96.62</v>
          </cell>
          <cell r="D1709">
            <v>22.5</v>
          </cell>
          <cell r="E1709">
            <v>12.69</v>
          </cell>
          <cell r="H1709">
            <v>45363</v>
          </cell>
          <cell r="I1709">
            <v>0.60888888888888892</v>
          </cell>
          <cell r="J1709">
            <v>37.073333333333331</v>
          </cell>
        </row>
        <row r="1710">
          <cell r="B1710">
            <v>61.78</v>
          </cell>
          <cell r="C1710">
            <v>100.03</v>
          </cell>
          <cell r="D1710">
            <v>22.53</v>
          </cell>
          <cell r="E1710">
            <v>15.38</v>
          </cell>
          <cell r="H1710">
            <v>45363</v>
          </cell>
          <cell r="I1710">
            <v>0.57888888888888901</v>
          </cell>
          <cell r="J1710">
            <v>36.537777777777769</v>
          </cell>
        </row>
        <row r="1711">
          <cell r="B1711">
            <v>68.7</v>
          </cell>
          <cell r="C1711">
            <v>106.87</v>
          </cell>
          <cell r="D1711">
            <v>22.71</v>
          </cell>
          <cell r="E1711">
            <v>14.06</v>
          </cell>
          <cell r="H1711">
            <v>45363</v>
          </cell>
          <cell r="I1711">
            <v>0.56333333333333335</v>
          </cell>
          <cell r="J1711">
            <v>36.056666666666658</v>
          </cell>
        </row>
        <row r="1712">
          <cell r="B1712">
            <v>66.33</v>
          </cell>
          <cell r="C1712">
            <v>113.61</v>
          </cell>
          <cell r="D1712">
            <v>22.87</v>
          </cell>
          <cell r="E1712">
            <v>11.59</v>
          </cell>
          <cell r="H1712">
            <v>45363</v>
          </cell>
          <cell r="I1712">
            <v>0.56000000000000005</v>
          </cell>
          <cell r="J1712">
            <v>35.447777777777773</v>
          </cell>
        </row>
        <row r="1713">
          <cell r="B1713">
            <v>60.98</v>
          </cell>
          <cell r="C1713">
            <v>114.08</v>
          </cell>
          <cell r="D1713">
            <v>23.16</v>
          </cell>
          <cell r="E1713">
            <v>11.05</v>
          </cell>
          <cell r="H1713">
            <v>45363</v>
          </cell>
          <cell r="I1713">
            <v>0.56000000000000005</v>
          </cell>
          <cell r="J1713">
            <v>34.668888888888894</v>
          </cell>
        </row>
        <row r="1714">
          <cell r="B1714">
            <v>59.11</v>
          </cell>
          <cell r="C1714">
            <v>115.98</v>
          </cell>
          <cell r="D1714">
            <v>23.04</v>
          </cell>
          <cell r="E1714">
            <v>11.61</v>
          </cell>
          <cell r="H1714">
            <v>45363</v>
          </cell>
          <cell r="I1714">
            <v>0.56777777777777771</v>
          </cell>
          <cell r="J1714">
            <v>34.458888888888886</v>
          </cell>
        </row>
        <row r="1715">
          <cell r="B1715">
            <v>50.43</v>
          </cell>
          <cell r="C1715">
            <v>102.8</v>
          </cell>
          <cell r="D1715">
            <v>23.31</v>
          </cell>
          <cell r="E1715">
            <v>10.82</v>
          </cell>
          <cell r="H1715">
            <v>45363</v>
          </cell>
          <cell r="I1715">
            <v>0.57666666666666666</v>
          </cell>
          <cell r="J1715">
            <v>34.408888888888882</v>
          </cell>
        </row>
        <row r="1716">
          <cell r="B1716">
            <v>50.72</v>
          </cell>
          <cell r="C1716">
            <v>84.04</v>
          </cell>
          <cell r="D1716">
            <v>22.4</v>
          </cell>
          <cell r="E1716">
            <v>9.4600000000000009</v>
          </cell>
          <cell r="H1716">
            <v>45363</v>
          </cell>
          <cell r="I1716">
            <v>0.5822222222222222</v>
          </cell>
          <cell r="J1716">
            <v>35.387777777777778</v>
          </cell>
        </row>
        <row r="1717">
          <cell r="B1717">
            <v>52.26</v>
          </cell>
          <cell r="C1717">
            <v>77.599999999999994</v>
          </cell>
          <cell r="D1717">
            <v>22.05</v>
          </cell>
          <cell r="E1717">
            <v>9</v>
          </cell>
          <cell r="H1717">
            <v>45363</v>
          </cell>
          <cell r="I1717">
            <v>0.58888888888888902</v>
          </cell>
          <cell r="J1717">
            <v>37.147777777777776</v>
          </cell>
        </row>
        <row r="1718">
          <cell r="B1718">
            <v>52.07</v>
          </cell>
          <cell r="C1718">
            <v>84.69</v>
          </cell>
          <cell r="D1718">
            <v>23.15</v>
          </cell>
          <cell r="E1718">
            <v>8.5299999999999994</v>
          </cell>
          <cell r="H1718">
            <v>45363</v>
          </cell>
          <cell r="I1718">
            <v>0.59888888888888903</v>
          </cell>
          <cell r="J1718">
            <v>39.377777777777773</v>
          </cell>
        </row>
        <row r="1719">
          <cell r="B1719">
            <v>40.92</v>
          </cell>
          <cell r="C1719">
            <v>86.03</v>
          </cell>
          <cell r="D1719">
            <v>22.93</v>
          </cell>
          <cell r="E1719">
            <v>8.59</v>
          </cell>
          <cell r="H1719">
            <v>45363</v>
          </cell>
          <cell r="I1719">
            <v>0.60222222222222221</v>
          </cell>
          <cell r="J1719">
            <v>40.786666666666662</v>
          </cell>
        </row>
        <row r="1720">
          <cell r="B1720">
            <v>44.03</v>
          </cell>
          <cell r="C1720">
            <v>86.49</v>
          </cell>
          <cell r="D1720">
            <v>23.74</v>
          </cell>
          <cell r="E1720">
            <v>8.66</v>
          </cell>
          <cell r="H1720">
            <v>45363</v>
          </cell>
          <cell r="I1720">
            <v>0.60444444444444445</v>
          </cell>
          <cell r="J1720">
            <v>41.827777777777776</v>
          </cell>
        </row>
        <row r="1721">
          <cell r="B1721">
            <v>47.2</v>
          </cell>
          <cell r="C1721">
            <v>92.58</v>
          </cell>
          <cell r="D1721">
            <v>23.2</v>
          </cell>
          <cell r="E1721">
            <v>8.6999999999999993</v>
          </cell>
          <cell r="H1721">
            <v>45363</v>
          </cell>
          <cell r="I1721">
            <v>0.60888888888888892</v>
          </cell>
          <cell r="J1721">
            <v>43.352222222222224</v>
          </cell>
        </row>
        <row r="1722">
          <cell r="B1722">
            <v>51.13</v>
          </cell>
          <cell r="C1722">
            <v>97.32</v>
          </cell>
          <cell r="D1722">
            <v>23.16</v>
          </cell>
          <cell r="E1722">
            <v>9.2799999999999994</v>
          </cell>
          <cell r="H1722">
            <v>45363</v>
          </cell>
          <cell r="I1722">
            <v>0.61555555555555552</v>
          </cell>
          <cell r="J1722">
            <v>45.135555555555555</v>
          </cell>
        </row>
        <row r="1723">
          <cell r="B1723">
            <v>51.64</v>
          </cell>
          <cell r="C1723">
            <v>102.13</v>
          </cell>
          <cell r="D1723">
            <v>23.34</v>
          </cell>
          <cell r="E1723">
            <v>9.85</v>
          </cell>
          <cell r="H1723">
            <v>45363</v>
          </cell>
          <cell r="I1723">
            <v>0.62777777777777777</v>
          </cell>
          <cell r="J1723">
            <v>46.033333333333339</v>
          </cell>
        </row>
        <row r="1724">
          <cell r="B1724">
            <v>51.46</v>
          </cell>
          <cell r="C1724">
            <v>106.9</v>
          </cell>
          <cell r="D1724">
            <v>23.5</v>
          </cell>
          <cell r="E1724">
            <v>9.85</v>
          </cell>
          <cell r="H1724">
            <v>45363</v>
          </cell>
          <cell r="I1724">
            <v>0.65777777777777768</v>
          </cell>
          <cell r="J1724">
            <v>46.160000000000004</v>
          </cell>
        </row>
        <row r="1725">
          <cell r="B1725">
            <v>58.37</v>
          </cell>
          <cell r="C1725">
            <v>112.83</v>
          </cell>
          <cell r="D1725">
            <v>24.3</v>
          </cell>
          <cell r="E1725">
            <v>9.17</v>
          </cell>
          <cell r="H1725">
            <v>45363</v>
          </cell>
          <cell r="I1725">
            <v>0.71</v>
          </cell>
          <cell r="J1725">
            <v>44.587777777777781</v>
          </cell>
        </row>
        <row r="1726">
          <cell r="B1726">
            <v>62.26</v>
          </cell>
          <cell r="C1726">
            <v>127.72</v>
          </cell>
          <cell r="D1726">
            <v>23.88</v>
          </cell>
          <cell r="E1726">
            <v>9.18</v>
          </cell>
          <cell r="H1726">
            <v>45363</v>
          </cell>
          <cell r="I1726">
            <v>0.75</v>
          </cell>
          <cell r="J1726">
            <v>42.851111111111116</v>
          </cell>
        </row>
        <row r="1727">
          <cell r="B1727">
            <v>58.8</v>
          </cell>
          <cell r="C1727">
            <v>128.53</v>
          </cell>
          <cell r="D1727">
            <v>23.44</v>
          </cell>
          <cell r="E1727">
            <v>8.6</v>
          </cell>
          <cell r="H1727">
            <v>45363</v>
          </cell>
          <cell r="I1727">
            <v>0.7566666666666666</v>
          </cell>
          <cell r="J1727">
            <v>40.961111111111116</v>
          </cell>
        </row>
        <row r="1728">
          <cell r="B1728">
            <v>57.54</v>
          </cell>
          <cell r="C1728">
            <v>111.07</v>
          </cell>
          <cell r="D1728">
            <v>23.46</v>
          </cell>
          <cell r="E1728">
            <v>8.58</v>
          </cell>
          <cell r="H1728">
            <v>45363</v>
          </cell>
          <cell r="I1728">
            <v>0.75777777777777777</v>
          </cell>
          <cell r="J1728">
            <v>39.86333333333333</v>
          </cell>
        </row>
        <row r="1729">
          <cell r="B1729">
            <v>52.47</v>
          </cell>
          <cell r="C1729">
            <v>103.37</v>
          </cell>
          <cell r="D1729">
            <v>22.7</v>
          </cell>
          <cell r="E1729">
            <v>9.19</v>
          </cell>
          <cell r="H1729">
            <v>45363</v>
          </cell>
          <cell r="I1729">
            <v>0.74666666666666659</v>
          </cell>
          <cell r="J1729">
            <v>39.29666666666666</v>
          </cell>
        </row>
        <row r="1730">
          <cell r="B1730">
            <v>58.9</v>
          </cell>
          <cell r="C1730">
            <v>103.9</v>
          </cell>
          <cell r="D1730">
            <v>22.84</v>
          </cell>
          <cell r="E1730">
            <v>10</v>
          </cell>
          <cell r="H1730">
            <v>45364</v>
          </cell>
          <cell r="I1730">
            <v>0.72777777777777786</v>
          </cell>
          <cell r="J1730">
            <v>38.557777777777773</v>
          </cell>
        </row>
        <row r="1731">
          <cell r="B1731">
            <v>57.07</v>
          </cell>
          <cell r="C1731">
            <v>108.91</v>
          </cell>
          <cell r="D1731">
            <v>22.75</v>
          </cell>
          <cell r="E1731">
            <v>11.31</v>
          </cell>
          <cell r="H1731">
            <v>45364</v>
          </cell>
          <cell r="I1731">
            <v>0.70888888888888901</v>
          </cell>
          <cell r="J1731">
            <v>37.669999999999995</v>
          </cell>
        </row>
        <row r="1732">
          <cell r="B1732">
            <v>62.51</v>
          </cell>
          <cell r="C1732">
            <v>113.03</v>
          </cell>
          <cell r="D1732">
            <v>22.94</v>
          </cell>
          <cell r="E1732">
            <v>11.76</v>
          </cell>
          <cell r="H1732">
            <v>45364</v>
          </cell>
          <cell r="I1732">
            <v>0.681111111111111</v>
          </cell>
          <cell r="J1732">
            <v>36.805555555555557</v>
          </cell>
        </row>
        <row r="1733">
          <cell r="B1733">
            <v>61.13</v>
          </cell>
          <cell r="C1733">
            <v>111.89</v>
          </cell>
          <cell r="D1733">
            <v>23.09</v>
          </cell>
          <cell r="E1733">
            <v>11.04</v>
          </cell>
          <cell r="H1733">
            <v>45364</v>
          </cell>
          <cell r="I1733">
            <v>0.63888888888888884</v>
          </cell>
          <cell r="J1733">
            <v>36.262222222222221</v>
          </cell>
        </row>
        <row r="1734">
          <cell r="B1734">
            <v>53.74</v>
          </cell>
          <cell r="C1734">
            <v>106.54</v>
          </cell>
          <cell r="D1734">
            <v>23.24</v>
          </cell>
          <cell r="E1734">
            <v>10.73</v>
          </cell>
          <cell r="H1734">
            <v>45364</v>
          </cell>
          <cell r="I1734">
            <v>0.5822222222222222</v>
          </cell>
          <cell r="J1734">
            <v>36.606666666666669</v>
          </cell>
        </row>
        <row r="1735">
          <cell r="B1735">
            <v>53</v>
          </cell>
          <cell r="C1735">
            <v>103.28</v>
          </cell>
          <cell r="D1735">
            <v>23.41</v>
          </cell>
          <cell r="E1735">
            <v>10.94</v>
          </cell>
          <cell r="H1735">
            <v>45364</v>
          </cell>
          <cell r="I1735">
            <v>0.5411111111111111</v>
          </cell>
          <cell r="J1735">
            <v>36.355555555555561</v>
          </cell>
        </row>
        <row r="1736">
          <cell r="B1736">
            <v>60.61</v>
          </cell>
          <cell r="C1736">
            <v>107.81</v>
          </cell>
          <cell r="D1736">
            <v>23.48</v>
          </cell>
          <cell r="E1736">
            <v>10.210000000000001</v>
          </cell>
          <cell r="H1736">
            <v>45364</v>
          </cell>
          <cell r="I1736">
            <v>0.53555555555555556</v>
          </cell>
          <cell r="J1736">
            <v>35.482222222222227</v>
          </cell>
        </row>
        <row r="1737">
          <cell r="B1737">
            <v>61.45</v>
          </cell>
          <cell r="C1737">
            <v>118.45</v>
          </cell>
          <cell r="D1737">
            <v>24.17</v>
          </cell>
          <cell r="E1737">
            <v>8.9600000000000009</v>
          </cell>
          <cell r="H1737">
            <v>45364</v>
          </cell>
          <cell r="I1737">
            <v>0.53222222222222226</v>
          </cell>
          <cell r="J1737">
            <v>35.134444444444441</v>
          </cell>
        </row>
        <row r="1738">
          <cell r="B1738">
            <v>59.69</v>
          </cell>
          <cell r="C1738">
            <v>114.93</v>
          </cell>
          <cell r="D1738">
            <v>23.34</v>
          </cell>
          <cell r="E1738">
            <v>8.6</v>
          </cell>
          <cell r="H1738">
            <v>45364</v>
          </cell>
          <cell r="I1738">
            <v>0.53888888888888897</v>
          </cell>
          <cell r="J1738">
            <v>34.856666666666669</v>
          </cell>
        </row>
        <row r="1739">
          <cell r="B1739">
            <v>49.32</v>
          </cell>
          <cell r="C1739">
            <v>95.77</v>
          </cell>
          <cell r="D1739">
            <v>23.46</v>
          </cell>
          <cell r="E1739">
            <v>8.23</v>
          </cell>
          <cell r="H1739">
            <v>45364</v>
          </cell>
          <cell r="I1739">
            <v>0.54888888888888898</v>
          </cell>
          <cell r="J1739">
            <v>35.018888888888895</v>
          </cell>
        </row>
        <row r="1740">
          <cell r="B1740">
            <v>53.23</v>
          </cell>
          <cell r="C1740">
            <v>96.14</v>
          </cell>
          <cell r="D1740">
            <v>17.78</v>
          </cell>
          <cell r="E1740">
            <v>8.3800000000000008</v>
          </cell>
          <cell r="H1740">
            <v>45364</v>
          </cell>
          <cell r="I1740">
            <v>0.55111111111111111</v>
          </cell>
          <cell r="J1740">
            <v>36.184444444444438</v>
          </cell>
        </row>
        <row r="1741">
          <cell r="B1741">
            <v>46.27</v>
          </cell>
          <cell r="C1741">
            <v>81.180000000000007</v>
          </cell>
          <cell r="D1741">
            <v>20.98</v>
          </cell>
          <cell r="E1741">
            <v>8.1199999999999992</v>
          </cell>
          <cell r="H1741">
            <v>45364</v>
          </cell>
          <cell r="I1741">
            <v>0.55888888888888888</v>
          </cell>
          <cell r="J1741">
            <v>37.506666666666675</v>
          </cell>
        </row>
        <row r="1742">
          <cell r="B1742">
            <v>42.25</v>
          </cell>
          <cell r="C1742">
            <v>82.02</v>
          </cell>
          <cell r="D1742">
            <v>22.57</v>
          </cell>
          <cell r="E1742">
            <v>8.36</v>
          </cell>
          <cell r="H1742">
            <v>45364</v>
          </cell>
          <cell r="I1742">
            <v>0.56222222222222229</v>
          </cell>
          <cell r="J1742">
            <v>39.747777777777777</v>
          </cell>
        </row>
        <row r="1743">
          <cell r="B1743">
            <v>40.159999999999997</v>
          </cell>
          <cell r="C1743">
            <v>95.96</v>
          </cell>
          <cell r="D1743">
            <v>23.21</v>
          </cell>
          <cell r="E1743">
            <v>10.06</v>
          </cell>
          <cell r="H1743">
            <v>45364</v>
          </cell>
          <cell r="I1743">
            <v>0.56222222222222218</v>
          </cell>
          <cell r="J1743">
            <v>42.30222222222222</v>
          </cell>
        </row>
        <row r="1744">
          <cell r="B1744">
            <v>45.48</v>
          </cell>
          <cell r="C1744">
            <v>98.21</v>
          </cell>
          <cell r="D1744">
            <v>21.92</v>
          </cell>
          <cell r="E1744">
            <v>8.58</v>
          </cell>
          <cell r="H1744">
            <v>45364</v>
          </cell>
          <cell r="I1744">
            <v>0.56444444444444442</v>
          </cell>
          <cell r="J1744">
            <v>44.835555555555551</v>
          </cell>
        </row>
        <row r="1745">
          <cell r="B1745">
            <v>58.79</v>
          </cell>
          <cell r="C1745">
            <v>100.09</v>
          </cell>
          <cell r="D1745">
            <v>21.59</v>
          </cell>
          <cell r="E1745">
            <v>8.44</v>
          </cell>
          <cell r="H1745">
            <v>45364</v>
          </cell>
          <cell r="I1745">
            <v>0.56111111111111112</v>
          </cell>
          <cell r="J1745">
            <v>46.822222222222223</v>
          </cell>
        </row>
        <row r="1746">
          <cell r="B1746">
            <v>47.87</v>
          </cell>
          <cell r="C1746">
            <v>106.43</v>
          </cell>
          <cell r="D1746">
            <v>22.01</v>
          </cell>
          <cell r="E1746">
            <v>8.16</v>
          </cell>
          <cell r="H1746">
            <v>45364</v>
          </cell>
          <cell r="I1746">
            <v>0.56000000000000005</v>
          </cell>
          <cell r="J1746">
            <v>49.009999999999991</v>
          </cell>
        </row>
        <row r="1747">
          <cell r="B1747">
            <v>61.07</v>
          </cell>
          <cell r="C1747">
            <v>113.18</v>
          </cell>
          <cell r="D1747">
            <v>22.4</v>
          </cell>
          <cell r="E1747">
            <v>7.48</v>
          </cell>
          <cell r="H1747">
            <v>45364</v>
          </cell>
          <cell r="I1747">
            <v>0.56999999999999995</v>
          </cell>
          <cell r="J1747">
            <v>50.403333333333329</v>
          </cell>
        </row>
        <row r="1748">
          <cell r="B1748">
            <v>73.180000000000007</v>
          </cell>
          <cell r="C1748">
            <v>175.2</v>
          </cell>
          <cell r="D1748">
            <v>23.47</v>
          </cell>
          <cell r="E1748">
            <v>7.09</v>
          </cell>
          <cell r="H1748">
            <v>45364</v>
          </cell>
          <cell r="I1748">
            <v>0.60222222222222221</v>
          </cell>
          <cell r="J1748">
            <v>49.673333333333325</v>
          </cell>
        </row>
        <row r="1749">
          <cell r="B1749">
            <v>101.7</v>
          </cell>
          <cell r="C1749">
            <v>221.59</v>
          </cell>
          <cell r="D1749">
            <v>27.16</v>
          </cell>
          <cell r="E1749">
            <v>9.09</v>
          </cell>
          <cell r="H1749">
            <v>45364</v>
          </cell>
          <cell r="I1749">
            <v>0.71444444444444444</v>
          </cell>
          <cell r="J1749">
            <v>47.481111111111119</v>
          </cell>
        </row>
        <row r="1750">
          <cell r="B1750">
            <v>106.57</v>
          </cell>
          <cell r="C1750">
            <v>223.42</v>
          </cell>
          <cell r="D1750">
            <v>30.75</v>
          </cell>
          <cell r="E1750">
            <v>9.9</v>
          </cell>
          <cell r="H1750">
            <v>45364</v>
          </cell>
          <cell r="I1750">
            <v>0.81222222222222229</v>
          </cell>
          <cell r="J1750">
            <v>45.955555555555556</v>
          </cell>
        </row>
        <row r="1751">
          <cell r="B1751">
            <v>90.7</v>
          </cell>
          <cell r="C1751">
            <v>213.58</v>
          </cell>
          <cell r="D1751">
            <v>26.37</v>
          </cell>
          <cell r="E1751">
            <v>9.1300000000000008</v>
          </cell>
          <cell r="H1751">
            <v>45364</v>
          </cell>
          <cell r="I1751">
            <v>0.8222222222222223</v>
          </cell>
          <cell r="J1751">
            <v>44.085555555555558</v>
          </cell>
        </row>
        <row r="1752">
          <cell r="B1752">
            <v>77.83</v>
          </cell>
          <cell r="C1752">
            <v>172.19</v>
          </cell>
          <cell r="D1752">
            <v>24.17</v>
          </cell>
          <cell r="E1752">
            <v>8.07</v>
          </cell>
          <cell r="H1752">
            <v>45364</v>
          </cell>
          <cell r="I1752">
            <v>0.82777777777777783</v>
          </cell>
          <cell r="J1752">
            <v>41.737777777777779</v>
          </cell>
        </row>
        <row r="1753">
          <cell r="B1753">
            <v>58.69</v>
          </cell>
          <cell r="C1753">
            <v>120.08</v>
          </cell>
          <cell r="D1753">
            <v>19.739999999999998</v>
          </cell>
          <cell r="E1753">
            <v>8.1300000000000008</v>
          </cell>
          <cell r="H1753">
            <v>45364</v>
          </cell>
          <cell r="I1753">
            <v>0.81666666666666665</v>
          </cell>
          <cell r="J1753">
            <v>39.722222222222221</v>
          </cell>
        </row>
        <row r="1754">
          <cell r="B1754">
            <v>56.27</v>
          </cell>
          <cell r="C1754">
            <v>107.29</v>
          </cell>
          <cell r="D1754">
            <v>18.52</v>
          </cell>
          <cell r="E1754">
            <v>8.64</v>
          </cell>
          <cell r="H1754">
            <v>45365</v>
          </cell>
          <cell r="I1754">
            <v>0.80333333333333323</v>
          </cell>
          <cell r="J1754">
            <v>38.384444444444448</v>
          </cell>
        </row>
        <row r="1755">
          <cell r="B1755">
            <v>63.11</v>
          </cell>
          <cell r="C1755">
            <v>105.84</v>
          </cell>
          <cell r="D1755">
            <v>18.3</v>
          </cell>
          <cell r="E1755">
            <v>8.49</v>
          </cell>
          <cell r="H1755">
            <v>45365</v>
          </cell>
          <cell r="I1755">
            <v>0.79111111111111099</v>
          </cell>
          <cell r="J1755">
            <v>36.479999999999997</v>
          </cell>
        </row>
        <row r="1756">
          <cell r="B1756">
            <v>63.21</v>
          </cell>
          <cell r="C1756">
            <v>108.23</v>
          </cell>
          <cell r="D1756">
            <v>17.95</v>
          </cell>
          <cell r="E1756">
            <v>8.19</v>
          </cell>
          <cell r="H1756">
            <v>45365</v>
          </cell>
          <cell r="I1756">
            <v>0.76666666666666661</v>
          </cell>
          <cell r="J1756">
            <v>35.119999999999997</v>
          </cell>
        </row>
        <row r="1757">
          <cell r="B1757">
            <v>48.53</v>
          </cell>
          <cell r="C1757">
            <v>93.51</v>
          </cell>
          <cell r="D1757">
            <v>18.04</v>
          </cell>
          <cell r="E1757">
            <v>8.26</v>
          </cell>
          <cell r="H1757">
            <v>45365</v>
          </cell>
          <cell r="I1757">
            <v>0.71555555555555561</v>
          </cell>
          <cell r="J1757">
            <v>35.014444444444443</v>
          </cell>
        </row>
        <row r="1758">
          <cell r="B1758">
            <v>56.99</v>
          </cell>
          <cell r="C1758">
            <v>103.55</v>
          </cell>
          <cell r="D1758">
            <v>17.37</v>
          </cell>
          <cell r="E1758">
            <v>8.16</v>
          </cell>
          <cell r="H1758">
            <v>45365</v>
          </cell>
          <cell r="I1758">
            <v>0.59888888888888892</v>
          </cell>
          <cell r="J1758">
            <v>34.767777777777773</v>
          </cell>
        </row>
        <row r="1759">
          <cell r="B1759">
            <v>65.86</v>
          </cell>
          <cell r="C1759">
            <v>114.95</v>
          </cell>
          <cell r="D1759">
            <v>17.48</v>
          </cell>
          <cell r="E1759">
            <v>8.06</v>
          </cell>
          <cell r="H1759">
            <v>45365</v>
          </cell>
          <cell r="I1759">
            <v>0.49444444444444435</v>
          </cell>
          <cell r="J1759">
            <v>33.817777777777771</v>
          </cell>
        </row>
        <row r="1760">
          <cell r="B1760">
            <v>59.78</v>
          </cell>
          <cell r="C1760">
            <v>97.47</v>
          </cell>
          <cell r="D1760">
            <v>17.59</v>
          </cell>
          <cell r="E1760">
            <v>7.9</v>
          </cell>
          <cell r="H1760">
            <v>45365</v>
          </cell>
          <cell r="I1760">
            <v>0.48222222222222222</v>
          </cell>
          <cell r="J1760">
            <v>32.287777777777784</v>
          </cell>
        </row>
        <row r="1761">
          <cell r="B1761">
            <v>55.51</v>
          </cell>
          <cell r="C1761">
            <v>103.48</v>
          </cell>
          <cell r="D1761">
            <v>17.93</v>
          </cell>
          <cell r="E1761">
            <v>7.82</v>
          </cell>
          <cell r="H1761">
            <v>45365</v>
          </cell>
          <cell r="I1761">
            <v>0.47999999999999993</v>
          </cell>
          <cell r="J1761">
            <v>31.116666666666667</v>
          </cell>
        </row>
        <row r="1762">
          <cell r="B1762">
            <v>47.3</v>
          </cell>
          <cell r="C1762">
            <v>96.72</v>
          </cell>
          <cell r="D1762">
            <v>17.940000000000001</v>
          </cell>
          <cell r="E1762">
            <v>7.91</v>
          </cell>
          <cell r="H1762">
            <v>45365</v>
          </cell>
          <cell r="I1762">
            <v>0.49</v>
          </cell>
          <cell r="J1762">
            <v>29.89</v>
          </cell>
        </row>
        <row r="1763">
          <cell r="B1763">
            <v>42.98</v>
          </cell>
          <cell r="C1763">
            <v>85.94</v>
          </cell>
          <cell r="D1763">
            <v>18</v>
          </cell>
          <cell r="E1763">
            <v>7.86</v>
          </cell>
          <cell r="H1763">
            <v>45365</v>
          </cell>
          <cell r="I1763">
            <v>0.49777777777777782</v>
          </cell>
          <cell r="J1763">
            <v>29.200000000000003</v>
          </cell>
        </row>
        <row r="1764">
          <cell r="B1764">
            <v>41.44</v>
          </cell>
          <cell r="C1764">
            <v>82.75</v>
          </cell>
          <cell r="D1764">
            <v>17.46</v>
          </cell>
          <cell r="E1764">
            <v>8.4600000000000009</v>
          </cell>
          <cell r="H1764">
            <v>45365</v>
          </cell>
          <cell r="I1764">
            <v>0.50444444444444458</v>
          </cell>
          <cell r="J1764">
            <v>29.153333333333332</v>
          </cell>
        </row>
        <row r="1765">
          <cell r="B1765">
            <v>42.85</v>
          </cell>
          <cell r="C1765">
            <v>82.39</v>
          </cell>
          <cell r="D1765">
            <v>17.850000000000001</v>
          </cell>
          <cell r="E1765">
            <v>8.35</v>
          </cell>
          <cell r="H1765">
            <v>45365</v>
          </cell>
          <cell r="I1765">
            <v>0.51555555555555554</v>
          </cell>
          <cell r="J1765">
            <v>29.534444444444446</v>
          </cell>
        </row>
        <row r="1766">
          <cell r="B1766">
            <v>41.97</v>
          </cell>
          <cell r="C1766">
            <v>82.93</v>
          </cell>
          <cell r="D1766">
            <v>19.510000000000002</v>
          </cell>
          <cell r="E1766">
            <v>8.31</v>
          </cell>
          <cell r="H1766">
            <v>45365</v>
          </cell>
          <cell r="I1766">
            <v>0.52555555555555555</v>
          </cell>
          <cell r="J1766">
            <v>30.548888888888889</v>
          </cell>
        </row>
        <row r="1767">
          <cell r="B1767">
            <v>50.32</v>
          </cell>
          <cell r="C1767">
            <v>96.68</v>
          </cell>
          <cell r="D1767">
            <v>18.93</v>
          </cell>
          <cell r="E1767">
            <v>8.32</v>
          </cell>
          <cell r="H1767">
            <v>45365</v>
          </cell>
          <cell r="I1767">
            <v>0.53222222222222226</v>
          </cell>
          <cell r="J1767">
            <v>32.729999999999997</v>
          </cell>
        </row>
        <row r="1768">
          <cell r="B1768">
            <v>54.13</v>
          </cell>
          <cell r="C1768">
            <v>101.06</v>
          </cell>
          <cell r="D1768">
            <v>19.440000000000001</v>
          </cell>
          <cell r="E1768">
            <v>8.65</v>
          </cell>
          <cell r="H1768">
            <v>45365</v>
          </cell>
          <cell r="I1768">
            <v>0.53555555555555556</v>
          </cell>
          <cell r="J1768">
            <v>35.39</v>
          </cell>
        </row>
        <row r="1769">
          <cell r="B1769">
            <v>46.88</v>
          </cell>
          <cell r="C1769">
            <v>92.03</v>
          </cell>
          <cell r="D1769">
            <v>18.54</v>
          </cell>
          <cell r="E1769">
            <v>7.98</v>
          </cell>
          <cell r="H1769">
            <v>45365</v>
          </cell>
          <cell r="I1769">
            <v>0.54333333333333333</v>
          </cell>
          <cell r="J1769">
            <v>37.725555555555559</v>
          </cell>
        </row>
        <row r="1770">
          <cell r="B1770">
            <v>41.18</v>
          </cell>
          <cell r="C1770">
            <v>104.53</v>
          </cell>
          <cell r="D1770">
            <v>18.760000000000002</v>
          </cell>
          <cell r="E1770">
            <v>8.24</v>
          </cell>
          <cell r="H1770">
            <v>45365</v>
          </cell>
          <cell r="I1770">
            <v>0.54888888888888898</v>
          </cell>
          <cell r="J1770">
            <v>40.830000000000005</v>
          </cell>
        </row>
        <row r="1771">
          <cell r="B1771">
            <v>57.97</v>
          </cell>
          <cell r="C1771">
            <v>104.05</v>
          </cell>
          <cell r="D1771">
            <v>19.2</v>
          </cell>
          <cell r="E1771">
            <v>8.49</v>
          </cell>
          <cell r="H1771">
            <v>45365</v>
          </cell>
          <cell r="I1771">
            <v>0.55444444444444452</v>
          </cell>
          <cell r="J1771">
            <v>43.632222222222225</v>
          </cell>
        </row>
        <row r="1772">
          <cell r="B1772">
            <v>61.32</v>
          </cell>
          <cell r="C1772">
            <v>135.79</v>
          </cell>
          <cell r="D1772">
            <v>19.75</v>
          </cell>
          <cell r="E1772">
            <v>8.9</v>
          </cell>
          <cell r="H1772">
            <v>45365</v>
          </cell>
          <cell r="I1772">
            <v>0.57666666666666666</v>
          </cell>
          <cell r="J1772">
            <v>45.00555555555556</v>
          </cell>
        </row>
        <row r="1773">
          <cell r="B1773">
            <v>72.97</v>
          </cell>
          <cell r="C1773">
            <v>174.66</v>
          </cell>
          <cell r="D1773">
            <v>22.13</v>
          </cell>
          <cell r="E1773">
            <v>9.3800000000000008</v>
          </cell>
          <cell r="H1773">
            <v>45365</v>
          </cell>
          <cell r="I1773">
            <v>0.62666666666666659</v>
          </cell>
          <cell r="J1773">
            <v>44.301111111111112</v>
          </cell>
        </row>
        <row r="1774">
          <cell r="B1774">
            <v>98.37</v>
          </cell>
          <cell r="C1774">
            <v>208.4</v>
          </cell>
          <cell r="D1774">
            <v>22.47</v>
          </cell>
          <cell r="E1774">
            <v>9.76</v>
          </cell>
          <cell r="H1774">
            <v>45365</v>
          </cell>
          <cell r="I1774">
            <v>0.69222222222222218</v>
          </cell>
          <cell r="J1774">
            <v>42.548888888888889</v>
          </cell>
        </row>
        <row r="1775">
          <cell r="B1775">
            <v>95.9</v>
          </cell>
          <cell r="C1775">
            <v>226.2</v>
          </cell>
          <cell r="D1775">
            <v>22.13</v>
          </cell>
          <cell r="E1775">
            <v>9.08</v>
          </cell>
          <cell r="H1775">
            <v>45365</v>
          </cell>
          <cell r="I1775">
            <v>0.74111111111111105</v>
          </cell>
          <cell r="J1775">
            <v>41.472222222222221</v>
          </cell>
        </row>
        <row r="1776">
          <cell r="B1776">
            <v>81.2</v>
          </cell>
          <cell r="C1776">
            <v>183.55</v>
          </cell>
          <cell r="D1776">
            <v>20.149999999999999</v>
          </cell>
          <cell r="E1776">
            <v>8.74</v>
          </cell>
          <cell r="H1776">
            <v>45365</v>
          </cell>
          <cell r="I1776">
            <v>0.73999999999999988</v>
          </cell>
          <cell r="J1776">
            <v>40.396666666666675</v>
          </cell>
        </row>
        <row r="1777">
          <cell r="B1777">
            <v>68.25</v>
          </cell>
          <cell r="C1777">
            <v>131.4</v>
          </cell>
          <cell r="D1777">
            <v>19.149999999999999</v>
          </cell>
          <cell r="E1777">
            <v>8.8699999999999992</v>
          </cell>
          <cell r="H1777">
            <v>45365</v>
          </cell>
          <cell r="I1777">
            <v>0.73444444444444434</v>
          </cell>
          <cell r="J1777">
            <v>38.495555555555562</v>
          </cell>
        </row>
        <row r="1778">
          <cell r="B1778">
            <v>46.05</v>
          </cell>
          <cell r="C1778">
            <v>91.32</v>
          </cell>
          <cell r="D1778">
            <v>18.920000000000002</v>
          </cell>
          <cell r="E1778">
            <v>8.5500000000000007</v>
          </cell>
          <cell r="H1778">
            <v>45366</v>
          </cell>
          <cell r="I1778">
            <v>0.71888888888888891</v>
          </cell>
          <cell r="J1778">
            <v>37.493333333333325</v>
          </cell>
        </row>
        <row r="1779">
          <cell r="B1779">
            <v>42.45</v>
          </cell>
          <cell r="C1779">
            <v>94.03</v>
          </cell>
          <cell r="D1779">
            <v>18.190000000000001</v>
          </cell>
          <cell r="E1779">
            <v>8.35</v>
          </cell>
          <cell r="H1779">
            <v>45366</v>
          </cell>
          <cell r="I1779">
            <v>0.71333333333333337</v>
          </cell>
          <cell r="J1779">
            <v>35.460000000000008</v>
          </cell>
        </row>
        <row r="1780">
          <cell r="B1780">
            <v>56.67</v>
          </cell>
          <cell r="C1780">
            <v>95.71</v>
          </cell>
          <cell r="D1780">
            <v>17.88</v>
          </cell>
          <cell r="E1780">
            <v>8.69</v>
          </cell>
          <cell r="H1780">
            <v>45366</v>
          </cell>
          <cell r="I1780">
            <v>0.70000000000000007</v>
          </cell>
          <cell r="J1780">
            <v>32.93333333333333</v>
          </cell>
        </row>
        <row r="1781">
          <cell r="B1781">
            <v>63.83</v>
          </cell>
          <cell r="C1781">
            <v>104.36</v>
          </cell>
          <cell r="D1781">
            <v>17.7</v>
          </cell>
          <cell r="E1781">
            <v>8.4499999999999993</v>
          </cell>
          <cell r="H1781">
            <v>45366</v>
          </cell>
          <cell r="I1781">
            <v>0.67333333333333334</v>
          </cell>
          <cell r="J1781">
            <v>31.077777777777776</v>
          </cell>
        </row>
        <row r="1782">
          <cell r="B1782">
            <v>60.89</v>
          </cell>
          <cell r="C1782">
            <v>103.87</v>
          </cell>
          <cell r="D1782">
            <v>17.89</v>
          </cell>
          <cell r="E1782">
            <v>8.2200000000000006</v>
          </cell>
          <cell r="H1782">
            <v>45366</v>
          </cell>
          <cell r="I1782">
            <v>0.62222222222222223</v>
          </cell>
          <cell r="J1782">
            <v>30.641111111111108</v>
          </cell>
        </row>
        <row r="1783">
          <cell r="B1783">
            <v>61.78</v>
          </cell>
          <cell r="C1783">
            <v>110.31</v>
          </cell>
          <cell r="D1783">
            <v>17.75</v>
          </cell>
          <cell r="E1783">
            <v>7.87</v>
          </cell>
          <cell r="H1783">
            <v>45366</v>
          </cell>
          <cell r="I1783">
            <v>0.55777777777777771</v>
          </cell>
          <cell r="J1783">
            <v>30.741111111111106</v>
          </cell>
        </row>
        <row r="1784">
          <cell r="B1784">
            <v>60.84</v>
          </cell>
          <cell r="C1784">
            <v>116.77</v>
          </cell>
          <cell r="D1784">
            <v>18.059999999999999</v>
          </cell>
          <cell r="E1784">
            <v>7.61</v>
          </cell>
          <cell r="H1784">
            <v>45366</v>
          </cell>
          <cell r="I1784">
            <v>0.51777777777777778</v>
          </cell>
          <cell r="J1784">
            <v>30.018888888888885</v>
          </cell>
        </row>
        <row r="1785">
          <cell r="B1785">
            <v>59.24</v>
          </cell>
          <cell r="C1785">
            <v>118.17</v>
          </cell>
          <cell r="D1785">
            <v>18.329999999999998</v>
          </cell>
          <cell r="E1785">
            <v>7.49</v>
          </cell>
          <cell r="H1785">
            <v>45366</v>
          </cell>
          <cell r="I1785">
            <v>0.52222222222222225</v>
          </cell>
          <cell r="J1785">
            <v>28.735555555555557</v>
          </cell>
        </row>
        <row r="1786">
          <cell r="B1786">
            <v>52.87</v>
          </cell>
          <cell r="C1786">
            <v>118.81</v>
          </cell>
          <cell r="D1786">
            <v>19.010000000000002</v>
          </cell>
          <cell r="E1786">
            <v>8.4499999999999993</v>
          </cell>
          <cell r="H1786">
            <v>45366</v>
          </cell>
          <cell r="I1786">
            <v>0.53111111111111109</v>
          </cell>
          <cell r="J1786">
            <v>28.193333333333335</v>
          </cell>
        </row>
        <row r="1787">
          <cell r="B1787">
            <v>49.92</v>
          </cell>
          <cell r="C1787">
            <v>108.49</v>
          </cell>
          <cell r="D1787">
            <v>19</v>
          </cell>
          <cell r="E1787">
            <v>8.83</v>
          </cell>
          <cell r="H1787">
            <v>45366</v>
          </cell>
          <cell r="I1787">
            <v>0.55000000000000004</v>
          </cell>
          <cell r="J1787">
            <v>27.734444444444442</v>
          </cell>
        </row>
        <row r="1788">
          <cell r="B1788">
            <v>49.16</v>
          </cell>
          <cell r="C1788">
            <v>103.12</v>
          </cell>
          <cell r="D1788">
            <v>18.059999999999999</v>
          </cell>
          <cell r="E1788">
            <v>9.6300000000000008</v>
          </cell>
          <cell r="H1788">
            <v>45366</v>
          </cell>
          <cell r="I1788">
            <v>0.54888888888888887</v>
          </cell>
          <cell r="J1788">
            <v>27.813333333333329</v>
          </cell>
        </row>
        <row r="1789">
          <cell r="B1789">
            <v>47.55</v>
          </cell>
          <cell r="C1789">
            <v>102.57</v>
          </cell>
          <cell r="D1789">
            <v>18.09</v>
          </cell>
          <cell r="E1789">
            <v>8.49</v>
          </cell>
          <cell r="H1789">
            <v>45366</v>
          </cell>
          <cell r="I1789">
            <v>0.55222222222222228</v>
          </cell>
          <cell r="J1789">
            <v>29.042222222222222</v>
          </cell>
        </row>
        <row r="1790">
          <cell r="B1790">
            <v>45.93</v>
          </cell>
          <cell r="C1790">
            <v>99.53</v>
          </cell>
          <cell r="D1790">
            <v>18</v>
          </cell>
          <cell r="E1790">
            <v>7.79</v>
          </cell>
          <cell r="H1790">
            <v>45366</v>
          </cell>
          <cell r="I1790">
            <v>0.55444444444444452</v>
          </cell>
          <cell r="J1790">
            <v>31.301111111111108</v>
          </cell>
        </row>
        <row r="1791">
          <cell r="B1791">
            <v>47.91</v>
          </cell>
          <cell r="C1791">
            <v>93.44</v>
          </cell>
          <cell r="D1791">
            <v>18.11</v>
          </cell>
          <cell r="E1791">
            <v>9.0500000000000007</v>
          </cell>
          <cell r="H1791">
            <v>45366</v>
          </cell>
          <cell r="I1791">
            <v>0.56555555555555559</v>
          </cell>
          <cell r="J1791">
            <v>33.171111111111109</v>
          </cell>
        </row>
        <row r="1792">
          <cell r="B1792">
            <v>48.58</v>
          </cell>
          <cell r="C1792">
            <v>99.08</v>
          </cell>
          <cell r="D1792">
            <v>18.940000000000001</v>
          </cell>
          <cell r="E1792">
            <v>8.5299999999999994</v>
          </cell>
          <cell r="H1792">
            <v>45366</v>
          </cell>
          <cell r="I1792">
            <v>0.56666666666666665</v>
          </cell>
          <cell r="J1792">
            <v>34.932222222222229</v>
          </cell>
        </row>
        <row r="1793">
          <cell r="B1793">
            <v>52.79</v>
          </cell>
          <cell r="C1793">
            <v>110.31</v>
          </cell>
          <cell r="D1793">
            <v>18.52</v>
          </cell>
          <cell r="E1793">
            <v>8.74</v>
          </cell>
          <cell r="H1793">
            <v>45366</v>
          </cell>
          <cell r="I1793">
            <v>0.56555555555555559</v>
          </cell>
          <cell r="J1793">
            <v>36.74444444444444</v>
          </cell>
        </row>
        <row r="1794">
          <cell r="B1794">
            <v>55.82</v>
          </cell>
          <cell r="C1794">
            <v>107.84</v>
          </cell>
          <cell r="D1794">
            <v>18.22</v>
          </cell>
          <cell r="E1794">
            <v>9.16</v>
          </cell>
          <cell r="H1794">
            <v>45366</v>
          </cell>
          <cell r="I1794">
            <v>0.56555555555555559</v>
          </cell>
          <cell r="J1794">
            <v>39.154444444444444</v>
          </cell>
        </row>
        <row r="1795">
          <cell r="B1795">
            <v>56.15</v>
          </cell>
          <cell r="C1795">
            <v>117.32</v>
          </cell>
          <cell r="D1795">
            <v>19.16</v>
          </cell>
          <cell r="E1795">
            <v>8.57</v>
          </cell>
          <cell r="H1795">
            <v>45366</v>
          </cell>
          <cell r="I1795">
            <v>0.57555555555555549</v>
          </cell>
          <cell r="J1795">
            <v>40.447777777777773</v>
          </cell>
        </row>
        <row r="1796">
          <cell r="B1796">
            <v>59.02</v>
          </cell>
          <cell r="C1796">
            <v>125.48</v>
          </cell>
          <cell r="D1796">
            <v>19.41</v>
          </cell>
          <cell r="E1796">
            <v>9.16</v>
          </cell>
          <cell r="H1796">
            <v>45366</v>
          </cell>
          <cell r="I1796">
            <v>0.59000000000000008</v>
          </cell>
          <cell r="J1796">
            <v>40.926666666666669</v>
          </cell>
        </row>
        <row r="1797">
          <cell r="B1797">
            <v>59.35</v>
          </cell>
          <cell r="C1797">
            <v>124.47</v>
          </cell>
          <cell r="D1797">
            <v>18.39</v>
          </cell>
          <cell r="E1797">
            <v>9.26</v>
          </cell>
          <cell r="H1797">
            <v>45366</v>
          </cell>
          <cell r="I1797">
            <v>0.61111111111111116</v>
          </cell>
          <cell r="J1797">
            <v>41.184444444444445</v>
          </cell>
        </row>
        <row r="1798">
          <cell r="B1798">
            <v>62.13</v>
          </cell>
          <cell r="C1798">
            <v>122.44</v>
          </cell>
          <cell r="D1798">
            <v>17.63</v>
          </cell>
          <cell r="E1798">
            <v>8.6199999999999992</v>
          </cell>
          <cell r="H1798">
            <v>45366</v>
          </cell>
          <cell r="I1798">
            <v>0.62333333333333341</v>
          </cell>
          <cell r="J1798">
            <v>40.761111111111113</v>
          </cell>
        </row>
        <row r="1799">
          <cell r="B1799">
            <v>58.2</v>
          </cell>
          <cell r="C1799">
            <v>117.12</v>
          </cell>
          <cell r="D1799">
            <v>17.010000000000002</v>
          </cell>
          <cell r="E1799">
            <v>8.48</v>
          </cell>
          <cell r="H1799">
            <v>45366</v>
          </cell>
          <cell r="I1799">
            <v>0.61888888888888893</v>
          </cell>
          <cell r="J1799">
            <v>39.735555555555557</v>
          </cell>
        </row>
        <row r="1800">
          <cell r="B1800">
            <v>51.94</v>
          </cell>
          <cell r="C1800">
            <v>103.43</v>
          </cell>
          <cell r="D1800">
            <v>16.899999999999999</v>
          </cell>
          <cell r="E1800">
            <v>8.7799999999999994</v>
          </cell>
          <cell r="H1800">
            <v>45366</v>
          </cell>
          <cell r="I1800">
            <v>0.6066666666666668</v>
          </cell>
          <cell r="J1800">
            <v>39.082222222222221</v>
          </cell>
        </row>
        <row r="1801">
          <cell r="B1801">
            <v>57.07</v>
          </cell>
          <cell r="C1801">
            <v>98.51</v>
          </cell>
          <cell r="D1801">
            <v>16.3</v>
          </cell>
          <cell r="E1801">
            <v>8.42</v>
          </cell>
          <cell r="H1801">
            <v>45366</v>
          </cell>
          <cell r="I1801">
            <v>0.59666666666666668</v>
          </cell>
          <cell r="J1801">
            <v>38.760000000000005</v>
          </cell>
        </row>
        <row r="1802">
          <cell r="B1802">
            <v>54.26</v>
          </cell>
          <cell r="C1802">
            <v>98.67</v>
          </cell>
          <cell r="D1802">
            <v>16.079999999999998</v>
          </cell>
          <cell r="E1802">
            <v>8.51</v>
          </cell>
          <cell r="H1802">
            <v>45367</v>
          </cell>
          <cell r="I1802">
            <v>0.5855555555555555</v>
          </cell>
          <cell r="J1802">
            <v>38.284444444444446</v>
          </cell>
        </row>
        <row r="1803">
          <cell r="B1803">
            <v>58.65</v>
          </cell>
          <cell r="C1803">
            <v>97.33</v>
          </cell>
          <cell r="D1803">
            <v>15.77</v>
          </cell>
          <cell r="E1803">
            <v>9.01</v>
          </cell>
          <cell r="H1803">
            <v>45367</v>
          </cell>
          <cell r="I1803">
            <v>0.57666666666666666</v>
          </cell>
          <cell r="J1803">
            <v>37.24111111111111</v>
          </cell>
        </row>
        <row r="1804">
          <cell r="B1804">
            <v>55.63</v>
          </cell>
          <cell r="C1804">
            <v>100.04</v>
          </cell>
          <cell r="D1804">
            <v>15.47</v>
          </cell>
          <cell r="E1804">
            <v>8.86</v>
          </cell>
          <cell r="H1804">
            <v>45367</v>
          </cell>
          <cell r="I1804">
            <v>0.56111111111111123</v>
          </cell>
          <cell r="J1804">
            <v>36.775555555555556</v>
          </cell>
        </row>
        <row r="1805">
          <cell r="B1805">
            <v>54.46</v>
          </cell>
          <cell r="C1805">
            <v>103.69</v>
          </cell>
          <cell r="D1805">
            <v>15.62</v>
          </cell>
          <cell r="E1805">
            <v>9</v>
          </cell>
          <cell r="H1805">
            <v>45367</v>
          </cell>
          <cell r="I1805">
            <v>0.53666666666666674</v>
          </cell>
          <cell r="J1805">
            <v>36.901111111111113</v>
          </cell>
        </row>
        <row r="1806">
          <cell r="B1806">
            <v>52.69</v>
          </cell>
          <cell r="C1806">
            <v>103</v>
          </cell>
          <cell r="D1806">
            <v>16.260000000000002</v>
          </cell>
          <cell r="E1806">
            <v>8.6300000000000008</v>
          </cell>
          <cell r="H1806">
            <v>45367</v>
          </cell>
          <cell r="I1806">
            <v>0.51555555555555554</v>
          </cell>
          <cell r="J1806">
            <v>36.701111111111103</v>
          </cell>
        </row>
        <row r="1807">
          <cell r="B1807">
            <v>52.36</v>
          </cell>
          <cell r="C1807">
            <v>129.37</v>
          </cell>
          <cell r="D1807">
            <v>17.12</v>
          </cell>
          <cell r="E1807">
            <v>9.4600000000000009</v>
          </cell>
          <cell r="H1807">
            <v>45367</v>
          </cell>
          <cell r="I1807">
            <v>0.50555555555555554</v>
          </cell>
          <cell r="J1807">
            <v>36.172222222222224</v>
          </cell>
        </row>
        <row r="1808">
          <cell r="B1808">
            <v>56.99</v>
          </cell>
          <cell r="C1808">
            <v>120.54</v>
          </cell>
          <cell r="D1808">
            <v>17.559999999999999</v>
          </cell>
          <cell r="E1808">
            <v>9.67</v>
          </cell>
          <cell r="H1808">
            <v>45367</v>
          </cell>
          <cell r="I1808">
            <v>0.51333333333333331</v>
          </cell>
          <cell r="J1808">
            <v>35.210000000000008</v>
          </cell>
        </row>
        <row r="1809">
          <cell r="B1809">
            <v>59.51</v>
          </cell>
          <cell r="C1809">
            <v>119.13</v>
          </cell>
          <cell r="D1809">
            <v>20.149999999999999</v>
          </cell>
          <cell r="E1809">
            <v>10</v>
          </cell>
          <cell r="H1809">
            <v>45367</v>
          </cell>
          <cell r="I1809">
            <v>0.51555555555555566</v>
          </cell>
          <cell r="J1809">
            <v>34.226666666666659</v>
          </cell>
        </row>
        <row r="1810">
          <cell r="B1810">
            <v>49.81</v>
          </cell>
          <cell r="C1810">
            <v>121.96</v>
          </cell>
          <cell r="D1810">
            <v>22.07</v>
          </cell>
          <cell r="E1810">
            <v>10.16</v>
          </cell>
          <cell r="H1810">
            <v>45367</v>
          </cell>
          <cell r="I1810">
            <v>0.52333333333333332</v>
          </cell>
          <cell r="J1810">
            <v>33.375555555555557</v>
          </cell>
        </row>
        <row r="1811">
          <cell r="B1811">
            <v>51.87</v>
          </cell>
          <cell r="C1811">
            <v>116.09</v>
          </cell>
          <cell r="D1811">
            <v>21.96</v>
          </cell>
          <cell r="E1811">
            <v>9.99</v>
          </cell>
          <cell r="H1811">
            <v>45367</v>
          </cell>
          <cell r="I1811">
            <v>0.52999999999999992</v>
          </cell>
          <cell r="J1811">
            <v>33.235555555555557</v>
          </cell>
        </row>
        <row r="1812">
          <cell r="B1812">
            <v>44.5</v>
          </cell>
          <cell r="C1812">
            <v>104.59</v>
          </cell>
          <cell r="D1812">
            <v>21.79</v>
          </cell>
          <cell r="E1812">
            <v>10.130000000000001</v>
          </cell>
          <cell r="H1812">
            <v>45367</v>
          </cell>
          <cell r="I1812">
            <v>0.53222222222222237</v>
          </cell>
          <cell r="J1812">
            <v>33.773333333333341</v>
          </cell>
        </row>
        <row r="1813">
          <cell r="B1813">
            <v>45</v>
          </cell>
          <cell r="C1813">
            <v>98.83</v>
          </cell>
          <cell r="D1813">
            <v>22.08</v>
          </cell>
          <cell r="E1813">
            <v>9.1999999999999993</v>
          </cell>
          <cell r="H1813">
            <v>45367</v>
          </cell>
          <cell r="I1813">
            <v>0.53444444444444439</v>
          </cell>
          <cell r="J1813">
            <v>34.652222222222221</v>
          </cell>
        </row>
        <row r="1814">
          <cell r="B1814">
            <v>42.68</v>
          </cell>
          <cell r="C1814">
            <v>86.37</v>
          </cell>
          <cell r="D1814">
            <v>20.93</v>
          </cell>
          <cell r="E1814">
            <v>8.7799999999999994</v>
          </cell>
          <cell r="H1814">
            <v>45367</v>
          </cell>
          <cell r="I1814">
            <v>0.5344444444444445</v>
          </cell>
          <cell r="J1814">
            <v>36.805555555555557</v>
          </cell>
        </row>
        <row r="1815">
          <cell r="B1815">
            <v>45.64</v>
          </cell>
          <cell r="C1815">
            <v>92.93</v>
          </cell>
          <cell r="D1815">
            <v>20.95</v>
          </cell>
          <cell r="E1815">
            <v>9.17</v>
          </cell>
          <cell r="H1815">
            <v>45367</v>
          </cell>
          <cell r="I1815">
            <v>0.52666666666666673</v>
          </cell>
          <cell r="J1815">
            <v>38.285555555555561</v>
          </cell>
        </row>
        <row r="1816">
          <cell r="B1816">
            <v>52.26</v>
          </cell>
          <cell r="C1816">
            <v>99.48</v>
          </cell>
          <cell r="D1816">
            <v>21.12</v>
          </cell>
          <cell r="E1816">
            <v>9.9499999999999993</v>
          </cell>
          <cell r="H1816">
            <v>45367</v>
          </cell>
          <cell r="I1816">
            <v>0.52</v>
          </cell>
          <cell r="J1816">
            <v>40.196666666666673</v>
          </cell>
        </row>
        <row r="1817">
          <cell r="B1817">
            <v>48.75</v>
          </cell>
          <cell r="C1817">
            <v>99.68</v>
          </cell>
          <cell r="D1817">
            <v>20.9</v>
          </cell>
          <cell r="E1817">
            <v>10.29</v>
          </cell>
          <cell r="H1817">
            <v>45367</v>
          </cell>
          <cell r="I1817">
            <v>0.51888888888888884</v>
          </cell>
          <cell r="J1817">
            <v>42.285555555555554</v>
          </cell>
        </row>
        <row r="1818">
          <cell r="B1818">
            <v>49.82</v>
          </cell>
          <cell r="C1818">
            <v>99.26</v>
          </cell>
          <cell r="D1818">
            <v>16.45</v>
          </cell>
          <cell r="E1818">
            <v>14.18</v>
          </cell>
          <cell r="H1818">
            <v>45367</v>
          </cell>
          <cell r="I1818">
            <v>0.51888888888888884</v>
          </cell>
          <cell r="J1818">
            <v>44.035555555555554</v>
          </cell>
        </row>
        <row r="1819">
          <cell r="B1819">
            <v>49.09</v>
          </cell>
          <cell r="C1819">
            <v>100.82</v>
          </cell>
          <cell r="D1819">
            <v>16.59</v>
          </cell>
          <cell r="E1819">
            <v>7.85</v>
          </cell>
          <cell r="H1819">
            <v>45367</v>
          </cell>
          <cell r="I1819">
            <v>0.51777777777777789</v>
          </cell>
          <cell r="J1819">
            <v>45.309999999999995</v>
          </cell>
        </row>
        <row r="1820">
          <cell r="B1820">
            <v>51.92</v>
          </cell>
          <cell r="C1820">
            <v>104.66</v>
          </cell>
          <cell r="D1820">
            <v>16.71</v>
          </cell>
          <cell r="E1820">
            <v>7.58</v>
          </cell>
          <cell r="H1820">
            <v>45367</v>
          </cell>
          <cell r="I1820">
            <v>0.52333333333333343</v>
          </cell>
          <cell r="J1820">
            <v>45.317777777777771</v>
          </cell>
        </row>
        <row r="1821">
          <cell r="B1821">
            <v>51.12</v>
          </cell>
          <cell r="C1821">
            <v>106.03</v>
          </cell>
          <cell r="D1821">
            <v>17.05</v>
          </cell>
          <cell r="E1821">
            <v>8.27</v>
          </cell>
          <cell r="H1821">
            <v>45367</v>
          </cell>
          <cell r="I1821">
            <v>0.53222222222222226</v>
          </cell>
          <cell r="J1821">
            <v>44.154444444444437</v>
          </cell>
        </row>
        <row r="1822">
          <cell r="B1822">
            <v>51.52</v>
          </cell>
          <cell r="C1822">
            <v>102.18</v>
          </cell>
          <cell r="D1822">
            <v>17.079999999999998</v>
          </cell>
          <cell r="E1822">
            <v>9.0500000000000007</v>
          </cell>
          <cell r="H1822">
            <v>45367</v>
          </cell>
          <cell r="I1822">
            <v>0.54</v>
          </cell>
          <cell r="J1822">
            <v>43.196666666666665</v>
          </cell>
        </row>
        <row r="1823">
          <cell r="B1823">
            <v>49.55</v>
          </cell>
          <cell r="C1823">
            <v>101.57</v>
          </cell>
          <cell r="D1823">
            <v>16.64</v>
          </cell>
          <cell r="E1823">
            <v>8.4499999999999993</v>
          </cell>
          <cell r="H1823">
            <v>45367</v>
          </cell>
          <cell r="I1823">
            <v>0.54333333333333345</v>
          </cell>
          <cell r="J1823">
            <v>40.75888888888889</v>
          </cell>
        </row>
        <row r="1824">
          <cell r="B1824">
            <v>49.66</v>
          </cell>
          <cell r="C1824">
            <v>100.43</v>
          </cell>
          <cell r="D1824">
            <v>15.95</v>
          </cell>
          <cell r="E1824">
            <v>7.84</v>
          </cell>
          <cell r="H1824">
            <v>45367</v>
          </cell>
          <cell r="I1824">
            <v>0.5477777777777777</v>
          </cell>
          <cell r="J1824">
            <v>39.077777777777783</v>
          </cell>
        </row>
        <row r="1825">
          <cell r="B1825">
            <v>41.32</v>
          </cell>
          <cell r="C1825">
            <v>82.12</v>
          </cell>
          <cell r="D1825">
            <v>15.9</v>
          </cell>
          <cell r="E1825">
            <v>7.63</v>
          </cell>
          <cell r="H1825">
            <v>45367</v>
          </cell>
          <cell r="I1825">
            <v>0.54333333333333345</v>
          </cell>
          <cell r="J1825">
            <v>37.536666666666669</v>
          </cell>
        </row>
        <row r="1826">
          <cell r="B1826">
            <v>44.59</v>
          </cell>
          <cell r="C1826">
            <v>80.81</v>
          </cell>
          <cell r="D1826">
            <v>15.53</v>
          </cell>
          <cell r="E1826">
            <v>7.88</v>
          </cell>
          <cell r="H1826">
            <v>45368</v>
          </cell>
          <cell r="I1826">
            <v>0.53111111111111109</v>
          </cell>
          <cell r="J1826">
            <v>36.223333333333329</v>
          </cell>
        </row>
        <row r="1827">
          <cell r="B1827">
            <v>42.65</v>
          </cell>
          <cell r="C1827">
            <v>77.680000000000007</v>
          </cell>
          <cell r="D1827">
            <v>15.52</v>
          </cell>
          <cell r="E1827">
            <v>7.72</v>
          </cell>
          <cell r="H1827">
            <v>45368</v>
          </cell>
          <cell r="I1827">
            <v>0.52444444444444438</v>
          </cell>
          <cell r="J1827">
            <v>35.187777777777768</v>
          </cell>
        </row>
        <row r="1828">
          <cell r="B1828">
            <v>43.8</v>
          </cell>
          <cell r="C1828">
            <v>78.23</v>
          </cell>
          <cell r="D1828">
            <v>15.61</v>
          </cell>
          <cell r="E1828">
            <v>7.62</v>
          </cell>
          <cell r="H1828">
            <v>45368</v>
          </cell>
          <cell r="I1828">
            <v>0.51888888888888884</v>
          </cell>
          <cell r="J1828">
            <v>34.215555555555554</v>
          </cell>
        </row>
        <row r="1829">
          <cell r="B1829">
            <v>41.73</v>
          </cell>
          <cell r="C1829">
            <v>77.260000000000005</v>
          </cell>
          <cell r="D1829">
            <v>15.27</v>
          </cell>
          <cell r="E1829">
            <v>7.3</v>
          </cell>
          <cell r="H1829">
            <v>45368</v>
          </cell>
          <cell r="I1829">
            <v>0.50888888888888895</v>
          </cell>
          <cell r="J1829">
            <v>33.791111111111114</v>
          </cell>
        </row>
        <row r="1830">
          <cell r="B1830">
            <v>40.299999999999997</v>
          </cell>
          <cell r="C1830">
            <v>78.16</v>
          </cell>
          <cell r="D1830">
            <v>14.51</v>
          </cell>
          <cell r="E1830">
            <v>7.01</v>
          </cell>
          <cell r="H1830">
            <v>45368</v>
          </cell>
          <cell r="I1830">
            <v>0.5</v>
          </cell>
          <cell r="J1830">
            <v>33.725555555555552</v>
          </cell>
        </row>
        <row r="1831">
          <cell r="B1831">
            <v>45.79</v>
          </cell>
          <cell r="C1831">
            <v>89.68</v>
          </cell>
          <cell r="D1831">
            <v>14.76</v>
          </cell>
          <cell r="E1831">
            <v>7.14</v>
          </cell>
          <cell r="H1831">
            <v>45368</v>
          </cell>
          <cell r="I1831">
            <v>0.49444444444444446</v>
          </cell>
          <cell r="J1831">
            <v>33.156666666666666</v>
          </cell>
        </row>
        <row r="1832">
          <cell r="B1832">
            <v>45.65</v>
          </cell>
          <cell r="C1832">
            <v>91.5</v>
          </cell>
          <cell r="D1832">
            <v>15.01</v>
          </cell>
          <cell r="E1832">
            <v>7</v>
          </cell>
          <cell r="H1832">
            <v>45368</v>
          </cell>
          <cell r="I1832">
            <v>0.49555555555555553</v>
          </cell>
          <cell r="J1832">
            <v>32.387777777777778</v>
          </cell>
        </row>
        <row r="1833">
          <cell r="B1833">
            <v>48.23</v>
          </cell>
          <cell r="C1833">
            <v>93.98</v>
          </cell>
          <cell r="D1833">
            <v>14.95</v>
          </cell>
          <cell r="E1833">
            <v>6.84</v>
          </cell>
          <cell r="H1833">
            <v>45368</v>
          </cell>
          <cell r="I1833">
            <v>0.49888888888888894</v>
          </cell>
          <cell r="J1833">
            <v>31.558888888888887</v>
          </cell>
        </row>
        <row r="1834">
          <cell r="B1834">
            <v>46.58</v>
          </cell>
          <cell r="C1834">
            <v>102.05</v>
          </cell>
          <cell r="D1834">
            <v>15.96</v>
          </cell>
          <cell r="E1834">
            <v>7.97</v>
          </cell>
          <cell r="H1834">
            <v>45368</v>
          </cell>
          <cell r="I1834">
            <v>0.50888888888888895</v>
          </cell>
          <cell r="J1834">
            <v>30.822222222222219</v>
          </cell>
        </row>
        <row r="1835">
          <cell r="B1835">
            <v>42.42</v>
          </cell>
          <cell r="C1835">
            <v>108.87</v>
          </cell>
          <cell r="D1835">
            <v>15.87</v>
          </cell>
          <cell r="E1835">
            <v>9.1</v>
          </cell>
          <cell r="H1835">
            <v>45368</v>
          </cell>
          <cell r="I1835">
            <v>0.51888888888888884</v>
          </cell>
          <cell r="J1835">
            <v>30.519999999999996</v>
          </cell>
        </row>
        <row r="1836">
          <cell r="B1836">
            <v>47.2</v>
          </cell>
          <cell r="C1836">
            <v>106.64</v>
          </cell>
          <cell r="D1836">
            <v>15.95</v>
          </cell>
          <cell r="E1836">
            <v>9.51</v>
          </cell>
          <cell r="H1836">
            <v>45368</v>
          </cell>
          <cell r="I1836">
            <v>0.53000000000000014</v>
          </cell>
          <cell r="J1836">
            <v>30.718888888888884</v>
          </cell>
        </row>
        <row r="1837">
          <cell r="B1837">
            <v>43.18</v>
          </cell>
          <cell r="C1837">
            <v>95.04</v>
          </cell>
          <cell r="D1837">
            <v>16.03</v>
          </cell>
          <cell r="E1837">
            <v>9.5</v>
          </cell>
          <cell r="H1837">
            <v>45368</v>
          </cell>
          <cell r="I1837">
            <v>0.55555555555555558</v>
          </cell>
          <cell r="J1837">
            <v>31.911111111111111</v>
          </cell>
        </row>
        <row r="1838">
          <cell r="B1838">
            <v>42.97</v>
          </cell>
          <cell r="C1838">
            <v>92.64</v>
          </cell>
          <cell r="D1838">
            <v>15.04</v>
          </cell>
          <cell r="E1838">
            <v>7.93</v>
          </cell>
          <cell r="H1838">
            <v>45368</v>
          </cell>
          <cell r="I1838">
            <v>0.55666666666666675</v>
          </cell>
          <cell r="J1838">
            <v>32.826666666666675</v>
          </cell>
        </row>
        <row r="1839">
          <cell r="B1839">
            <v>45.22</v>
          </cell>
          <cell r="C1839">
            <v>93.29</v>
          </cell>
          <cell r="D1839">
            <v>15.13</v>
          </cell>
          <cell r="E1839">
            <v>9.1300000000000008</v>
          </cell>
          <cell r="H1839">
            <v>45368</v>
          </cell>
          <cell r="I1839">
            <v>0.55444444444444452</v>
          </cell>
          <cell r="J1839">
            <v>33.891111111111108</v>
          </cell>
        </row>
        <row r="1840">
          <cell r="B1840">
            <v>45.74</v>
          </cell>
          <cell r="C1840">
            <v>96.76</v>
          </cell>
          <cell r="D1840">
            <v>15.61</v>
          </cell>
          <cell r="E1840">
            <v>8.42</v>
          </cell>
          <cell r="H1840">
            <v>45368</v>
          </cell>
          <cell r="I1840">
            <v>0.54999999999999993</v>
          </cell>
          <cell r="J1840">
            <v>35.901111111111113</v>
          </cell>
        </row>
        <row r="1841">
          <cell r="B1841">
            <v>46.61</v>
          </cell>
          <cell r="C1841">
            <v>88.22</v>
          </cell>
          <cell r="D1841">
            <v>15.03</v>
          </cell>
          <cell r="E1841">
            <v>7.98</v>
          </cell>
          <cell r="H1841">
            <v>45368</v>
          </cell>
          <cell r="I1841">
            <v>0.54222222222222227</v>
          </cell>
          <cell r="J1841">
            <v>37.516666666666666</v>
          </cell>
        </row>
        <row r="1842">
          <cell r="B1842">
            <v>46.63</v>
          </cell>
          <cell r="C1842">
            <v>91.39</v>
          </cell>
          <cell r="D1842">
            <v>14.39</v>
          </cell>
          <cell r="E1842">
            <v>10.54</v>
          </cell>
          <cell r="H1842">
            <v>45368</v>
          </cell>
          <cell r="I1842">
            <v>0.53555555555555556</v>
          </cell>
          <cell r="J1842">
            <v>39.333333333333336</v>
          </cell>
        </row>
        <row r="1843">
          <cell r="B1843">
            <v>61.44</v>
          </cell>
          <cell r="C1843">
            <v>103.15</v>
          </cell>
          <cell r="D1843">
            <v>14.62</v>
          </cell>
          <cell r="E1843">
            <v>12.67</v>
          </cell>
          <cell r="H1843">
            <v>45368</v>
          </cell>
          <cell r="I1843">
            <v>0.53666666666666663</v>
          </cell>
          <cell r="J1843">
            <v>41.865555555555559</v>
          </cell>
        </row>
        <row r="1844">
          <cell r="B1844">
            <v>64.44</v>
          </cell>
          <cell r="C1844">
            <v>113.42</v>
          </cell>
          <cell r="D1844">
            <v>15.45</v>
          </cell>
          <cell r="E1844">
            <v>12.79</v>
          </cell>
          <cell r="H1844">
            <v>45368</v>
          </cell>
          <cell r="I1844">
            <v>0.54111111111111099</v>
          </cell>
          <cell r="J1844">
            <v>42.782222222222224</v>
          </cell>
        </row>
        <row r="1845">
          <cell r="B1845">
            <v>63.39</v>
          </cell>
          <cell r="C1845">
            <v>106.72</v>
          </cell>
          <cell r="D1845">
            <v>15</v>
          </cell>
          <cell r="E1845">
            <v>10.67</v>
          </cell>
          <cell r="H1845">
            <v>45368</v>
          </cell>
          <cell r="I1845">
            <v>0.54333333333333345</v>
          </cell>
          <cell r="J1845">
            <v>42.48</v>
          </cell>
        </row>
        <row r="1846">
          <cell r="B1846">
            <v>63.71</v>
          </cell>
          <cell r="C1846">
            <v>105.99</v>
          </cell>
          <cell r="D1846">
            <v>15.2</v>
          </cell>
          <cell r="E1846">
            <v>11.09</v>
          </cell>
          <cell r="H1846">
            <v>45368</v>
          </cell>
          <cell r="I1846">
            <v>0.52888888888888885</v>
          </cell>
          <cell r="J1846">
            <v>41.534444444444446</v>
          </cell>
        </row>
        <row r="1847">
          <cell r="B1847">
            <v>66.05</v>
          </cell>
          <cell r="C1847">
            <v>114.17</v>
          </cell>
          <cell r="D1847">
            <v>15.29</v>
          </cell>
          <cell r="E1847">
            <v>10.34</v>
          </cell>
          <cell r="H1847">
            <v>45368</v>
          </cell>
          <cell r="I1847">
            <v>0.53555555555555545</v>
          </cell>
          <cell r="J1847">
            <v>41</v>
          </cell>
        </row>
        <row r="1848">
          <cell r="B1848">
            <v>68.569999999999993</v>
          </cell>
          <cell r="C1848">
            <v>117.64</v>
          </cell>
          <cell r="D1848">
            <v>14.69</v>
          </cell>
          <cell r="E1848">
            <v>10.029999999999999</v>
          </cell>
          <cell r="H1848">
            <v>45368</v>
          </cell>
          <cell r="I1848">
            <v>0.53555555555555556</v>
          </cell>
          <cell r="J1848">
            <v>40.424444444444447</v>
          </cell>
        </row>
        <row r="1849">
          <cell r="B1849">
            <v>68.37</v>
          </cell>
          <cell r="C1849">
            <v>118.61</v>
          </cell>
          <cell r="D1849">
            <v>14.31</v>
          </cell>
          <cell r="E1849">
            <v>11.83</v>
          </cell>
          <cell r="H1849">
            <v>45368</v>
          </cell>
          <cell r="I1849">
            <v>0.52999999999999992</v>
          </cell>
          <cell r="J1849">
            <v>39.081111111111113</v>
          </cell>
        </row>
        <row r="1850">
          <cell r="B1850">
            <v>71.98</v>
          </cell>
          <cell r="C1850">
            <v>123.57</v>
          </cell>
          <cell r="D1850">
            <v>14.41</v>
          </cell>
          <cell r="E1850">
            <v>12.76</v>
          </cell>
          <cell r="H1850">
            <v>45369</v>
          </cell>
          <cell r="I1850">
            <v>0.52555555555555555</v>
          </cell>
          <cell r="J1850">
            <v>38.257777777777775</v>
          </cell>
        </row>
        <row r="1851">
          <cell r="B1851">
            <v>80.36</v>
          </cell>
          <cell r="C1851">
            <v>132.94</v>
          </cell>
          <cell r="D1851">
            <v>13.68</v>
          </cell>
          <cell r="E1851">
            <v>13.9</v>
          </cell>
          <cell r="H1851">
            <v>45369</v>
          </cell>
          <cell r="I1851">
            <v>0.52333333333333332</v>
          </cell>
          <cell r="J1851">
            <v>37.300000000000004</v>
          </cell>
        </row>
        <row r="1852">
          <cell r="B1852">
            <v>77.27</v>
          </cell>
          <cell r="C1852">
            <v>127.8</v>
          </cell>
          <cell r="D1852">
            <v>13.65</v>
          </cell>
          <cell r="E1852">
            <v>12.24</v>
          </cell>
          <cell r="H1852">
            <v>45369</v>
          </cell>
          <cell r="I1852">
            <v>0.51555555555555554</v>
          </cell>
          <cell r="J1852">
            <v>35.598888888888887</v>
          </cell>
        </row>
        <row r="1853">
          <cell r="B1853">
            <v>71.069999999999993</v>
          </cell>
          <cell r="C1853">
            <v>118.64</v>
          </cell>
          <cell r="D1853">
            <v>14.04</v>
          </cell>
          <cell r="E1853">
            <v>11.39</v>
          </cell>
          <cell r="H1853">
            <v>45369</v>
          </cell>
          <cell r="I1853">
            <v>0.50666666666666649</v>
          </cell>
          <cell r="J1853">
            <v>34.915555555555557</v>
          </cell>
        </row>
        <row r="1854">
          <cell r="B1854">
            <v>66.209999999999994</v>
          </cell>
          <cell r="C1854">
            <v>107.89</v>
          </cell>
          <cell r="D1854">
            <v>14.46</v>
          </cell>
          <cell r="E1854">
            <v>10.5</v>
          </cell>
          <cell r="H1854">
            <v>45369</v>
          </cell>
          <cell r="I1854">
            <v>0.49666666666666653</v>
          </cell>
          <cell r="J1854">
            <v>34.885555555555555</v>
          </cell>
        </row>
        <row r="1855">
          <cell r="B1855">
            <v>65.22</v>
          </cell>
          <cell r="C1855">
            <v>118.72</v>
          </cell>
          <cell r="D1855">
            <v>14.63</v>
          </cell>
          <cell r="E1855">
            <v>9.57</v>
          </cell>
          <cell r="H1855">
            <v>45369</v>
          </cell>
          <cell r="I1855">
            <v>0.48888888888888882</v>
          </cell>
          <cell r="J1855">
            <v>34.116666666666667</v>
          </cell>
        </row>
        <row r="1856">
          <cell r="B1856">
            <v>64.25</v>
          </cell>
          <cell r="C1856">
            <v>119.84</v>
          </cell>
          <cell r="D1856">
            <v>15.13</v>
          </cell>
          <cell r="E1856">
            <v>9.25</v>
          </cell>
          <cell r="H1856">
            <v>45369</v>
          </cell>
          <cell r="I1856">
            <v>0.49222222222222217</v>
          </cell>
          <cell r="J1856">
            <v>33.115555555555552</v>
          </cell>
        </row>
        <row r="1857">
          <cell r="B1857">
            <v>70.47</v>
          </cell>
          <cell r="C1857">
            <v>153.76</v>
          </cell>
          <cell r="D1857">
            <v>15.03</v>
          </cell>
          <cell r="E1857">
            <v>8.9</v>
          </cell>
          <cell r="H1857">
            <v>45369</v>
          </cell>
          <cell r="I1857">
            <v>0.50444444444444447</v>
          </cell>
          <cell r="J1857">
            <v>32.225555555555552</v>
          </cell>
        </row>
        <row r="1858">
          <cell r="B1858">
            <v>71.11</v>
          </cell>
          <cell r="C1858">
            <v>130.11000000000001</v>
          </cell>
          <cell r="D1858">
            <v>14.56</v>
          </cell>
          <cell r="E1858">
            <v>8.66</v>
          </cell>
          <cell r="H1858">
            <v>45369</v>
          </cell>
          <cell r="I1858">
            <v>0.51777777777777778</v>
          </cell>
          <cell r="J1858">
            <v>31.974444444444444</v>
          </cell>
        </row>
        <row r="1859">
          <cell r="B1859">
            <v>54.71</v>
          </cell>
          <cell r="C1859">
            <v>122.26</v>
          </cell>
          <cell r="D1859">
            <v>15.02</v>
          </cell>
          <cell r="E1859">
            <v>8.4700000000000006</v>
          </cell>
          <cell r="H1859">
            <v>45369</v>
          </cell>
          <cell r="I1859">
            <v>0.53</v>
          </cell>
          <cell r="J1859">
            <v>32.346666666666664</v>
          </cell>
        </row>
        <row r="1860">
          <cell r="B1860">
            <v>47.3</v>
          </cell>
          <cell r="C1860">
            <v>101.32</v>
          </cell>
          <cell r="D1860">
            <v>15.27</v>
          </cell>
          <cell r="E1860">
            <v>8.26</v>
          </cell>
          <cell r="H1860">
            <v>45369</v>
          </cell>
          <cell r="I1860">
            <v>0.53888888888888886</v>
          </cell>
          <cell r="J1860">
            <v>33.673333333333332</v>
          </cell>
        </row>
        <row r="1861">
          <cell r="B1861">
            <v>44.84</v>
          </cell>
          <cell r="C1861">
            <v>90.19</v>
          </cell>
          <cell r="D1861">
            <v>15.9</v>
          </cell>
          <cell r="E1861">
            <v>7.81</v>
          </cell>
          <cell r="H1861">
            <v>45369</v>
          </cell>
          <cell r="I1861">
            <v>0.54666666666666663</v>
          </cell>
          <cell r="J1861">
            <v>35.473333333333329</v>
          </cell>
        </row>
        <row r="1862">
          <cell r="B1862">
            <v>46.97</v>
          </cell>
          <cell r="C1862">
            <v>89.14</v>
          </cell>
          <cell r="D1862">
            <v>15.72</v>
          </cell>
          <cell r="E1862">
            <v>7.38</v>
          </cell>
          <cell r="H1862">
            <v>45369</v>
          </cell>
          <cell r="I1862">
            <v>0.55444444444444441</v>
          </cell>
          <cell r="J1862">
            <v>37.239999999999995</v>
          </cell>
        </row>
        <row r="1863">
          <cell r="B1863">
            <v>48.07</v>
          </cell>
          <cell r="C1863">
            <v>95.7</v>
          </cell>
          <cell r="D1863">
            <v>15.8</v>
          </cell>
          <cell r="E1863">
            <v>7.29</v>
          </cell>
          <cell r="H1863">
            <v>45369</v>
          </cell>
          <cell r="I1863">
            <v>0.56222222222222207</v>
          </cell>
          <cell r="J1863">
            <v>39.995555555555555</v>
          </cell>
        </row>
        <row r="1864">
          <cell r="B1864">
            <v>55.15</v>
          </cell>
          <cell r="C1864">
            <v>98.32</v>
          </cell>
          <cell r="D1864">
            <v>15.29</v>
          </cell>
          <cell r="E1864">
            <v>7.52</v>
          </cell>
          <cell r="H1864">
            <v>45369</v>
          </cell>
          <cell r="I1864">
            <v>0.56888888888888878</v>
          </cell>
          <cell r="J1864">
            <v>43.33</v>
          </cell>
        </row>
        <row r="1865">
          <cell r="B1865">
            <v>51.41</v>
          </cell>
          <cell r="C1865">
            <v>98.98</v>
          </cell>
          <cell r="D1865">
            <v>16.010000000000002</v>
          </cell>
          <cell r="E1865">
            <v>7.82</v>
          </cell>
          <cell r="H1865">
            <v>45369</v>
          </cell>
          <cell r="I1865">
            <v>0.56444444444444442</v>
          </cell>
          <cell r="J1865">
            <v>46.419999999999995</v>
          </cell>
        </row>
        <row r="1866">
          <cell r="B1866">
            <v>49.04</v>
          </cell>
          <cell r="C1866">
            <v>101.43</v>
          </cell>
          <cell r="D1866">
            <v>16.05</v>
          </cell>
          <cell r="E1866">
            <v>7.82</v>
          </cell>
          <cell r="H1866">
            <v>45369</v>
          </cell>
          <cell r="I1866">
            <v>0.55777777777777771</v>
          </cell>
          <cell r="J1866">
            <v>49.298888888888889</v>
          </cell>
        </row>
        <row r="1867">
          <cell r="B1867">
            <v>52.14</v>
          </cell>
          <cell r="C1867">
            <v>103.54</v>
          </cell>
          <cell r="D1867">
            <v>16.52</v>
          </cell>
          <cell r="E1867">
            <v>7.94</v>
          </cell>
          <cell r="H1867">
            <v>45369</v>
          </cell>
          <cell r="I1867">
            <v>0.56000000000000005</v>
          </cell>
          <cell r="J1867">
            <v>50.902222222222221</v>
          </cell>
        </row>
        <row r="1868">
          <cell r="B1868">
            <v>61.14</v>
          </cell>
          <cell r="C1868">
            <v>113.17</v>
          </cell>
          <cell r="D1868">
            <v>16.350000000000001</v>
          </cell>
          <cell r="E1868">
            <v>8.2200000000000006</v>
          </cell>
          <cell r="H1868">
            <v>45369</v>
          </cell>
          <cell r="I1868">
            <v>0.56777777777777783</v>
          </cell>
          <cell r="J1868">
            <v>51.034444444444453</v>
          </cell>
        </row>
        <row r="1869">
          <cell r="B1869">
            <v>62.63</v>
          </cell>
          <cell r="C1869">
            <v>120.51</v>
          </cell>
          <cell r="D1869">
            <v>16.079999999999998</v>
          </cell>
          <cell r="E1869">
            <v>7.26</v>
          </cell>
          <cell r="H1869">
            <v>45369</v>
          </cell>
          <cell r="I1869">
            <v>0.58333333333333337</v>
          </cell>
          <cell r="J1869">
            <v>49.798888888888889</v>
          </cell>
        </row>
        <row r="1870">
          <cell r="B1870">
            <v>60.58</v>
          </cell>
          <cell r="C1870">
            <v>118.17</v>
          </cell>
          <cell r="D1870">
            <v>16.22</v>
          </cell>
          <cell r="E1870">
            <v>7.54</v>
          </cell>
          <cell r="H1870">
            <v>45369</v>
          </cell>
          <cell r="I1870">
            <v>0.59888888888888892</v>
          </cell>
          <cell r="J1870">
            <v>47.973333333333336</v>
          </cell>
        </row>
        <row r="1871">
          <cell r="B1871">
            <v>60.65</v>
          </cell>
          <cell r="C1871">
            <v>116.2</v>
          </cell>
          <cell r="D1871">
            <v>15.21</v>
          </cell>
          <cell r="E1871">
            <v>8.3800000000000008</v>
          </cell>
          <cell r="H1871">
            <v>45369</v>
          </cell>
          <cell r="I1871">
            <v>0.60000000000000009</v>
          </cell>
          <cell r="J1871">
            <v>46.326666666666661</v>
          </cell>
        </row>
        <row r="1872">
          <cell r="B1872">
            <v>61.31</v>
          </cell>
          <cell r="C1872">
            <v>110.84</v>
          </cell>
          <cell r="D1872">
            <v>15.76</v>
          </cell>
          <cell r="E1872">
            <v>8.8000000000000007</v>
          </cell>
          <cell r="H1872">
            <v>45369</v>
          </cell>
          <cell r="I1872">
            <v>0.5955555555555555</v>
          </cell>
          <cell r="J1872">
            <v>44.178888888888892</v>
          </cell>
        </row>
        <row r="1873">
          <cell r="B1873">
            <v>61.13</v>
          </cell>
          <cell r="C1873">
            <v>107.86</v>
          </cell>
          <cell r="D1873">
            <v>15.21</v>
          </cell>
          <cell r="E1873">
            <v>11.48</v>
          </cell>
          <cell r="H1873">
            <v>45369</v>
          </cell>
          <cell r="I1873">
            <v>0.58444444444444454</v>
          </cell>
          <cell r="J1873">
            <v>42.027777777777786</v>
          </cell>
        </row>
        <row r="1874">
          <cell r="B1874">
            <v>67.989999999999995</v>
          </cell>
          <cell r="C1874">
            <v>115.81</v>
          </cell>
          <cell r="D1874">
            <v>14.92</v>
          </cell>
          <cell r="E1874">
            <v>21.05</v>
          </cell>
          <cell r="H1874">
            <v>45370</v>
          </cell>
          <cell r="I1874">
            <v>0.57555555555555549</v>
          </cell>
          <cell r="J1874">
            <v>40.352222222222224</v>
          </cell>
        </row>
        <row r="1875">
          <cell r="B1875">
            <v>72.31</v>
          </cell>
          <cell r="C1875">
            <v>127.84</v>
          </cell>
          <cell r="D1875">
            <v>14.32</v>
          </cell>
          <cell r="E1875">
            <v>27.24</v>
          </cell>
          <cell r="H1875">
            <v>45370</v>
          </cell>
          <cell r="I1875">
            <v>0.56666666666666665</v>
          </cell>
          <cell r="J1875">
            <v>38.49444444444444</v>
          </cell>
        </row>
        <row r="1876">
          <cell r="B1876">
            <v>90.05</v>
          </cell>
          <cell r="C1876">
            <v>177.76</v>
          </cell>
          <cell r="D1876">
            <v>14.15</v>
          </cell>
          <cell r="E1876">
            <v>21.04</v>
          </cell>
          <cell r="H1876">
            <v>45370</v>
          </cell>
          <cell r="I1876">
            <v>0.55111111111111111</v>
          </cell>
          <cell r="J1876">
            <v>37.263333333333335</v>
          </cell>
        </row>
        <row r="1877">
          <cell r="B1877">
            <v>83.24</v>
          </cell>
          <cell r="C1877">
            <v>168.36</v>
          </cell>
          <cell r="D1877">
            <v>14.18</v>
          </cell>
          <cell r="E1877">
            <v>14.59</v>
          </cell>
          <cell r="H1877">
            <v>45370</v>
          </cell>
          <cell r="I1877">
            <v>0.53222222222222215</v>
          </cell>
          <cell r="J1877">
            <v>36.623333333333335</v>
          </cell>
        </row>
        <row r="1878">
          <cell r="B1878">
            <v>69.099999999999994</v>
          </cell>
          <cell r="C1878">
            <v>190.01</v>
          </cell>
          <cell r="D1878">
            <v>14.84</v>
          </cell>
          <cell r="E1878">
            <v>12.37</v>
          </cell>
          <cell r="H1878">
            <v>45370</v>
          </cell>
          <cell r="I1878">
            <v>0.50777777777777766</v>
          </cell>
          <cell r="J1878">
            <v>36.32</v>
          </cell>
        </row>
        <row r="1879">
          <cell r="B1879">
            <v>55.39</v>
          </cell>
          <cell r="C1879">
            <v>103.52</v>
          </cell>
          <cell r="D1879">
            <v>14.5</v>
          </cell>
          <cell r="E1879">
            <v>11.52</v>
          </cell>
          <cell r="H1879">
            <v>45370</v>
          </cell>
          <cell r="I1879">
            <v>0.48666666666666664</v>
          </cell>
          <cell r="J1879">
            <v>35.617777777777775</v>
          </cell>
        </row>
        <row r="1880">
          <cell r="B1880">
            <v>55.89</v>
          </cell>
          <cell r="C1880">
            <v>106.69</v>
          </cell>
          <cell r="D1880">
            <v>14.67</v>
          </cell>
          <cell r="E1880">
            <v>10.28</v>
          </cell>
          <cell r="H1880">
            <v>45370</v>
          </cell>
          <cell r="I1880">
            <v>0.47999999999999993</v>
          </cell>
          <cell r="J1880">
            <v>35.04</v>
          </cell>
        </row>
        <row r="1881">
          <cell r="B1881">
            <v>55.16</v>
          </cell>
          <cell r="C1881">
            <v>110.72</v>
          </cell>
          <cell r="D1881">
            <v>15.59</v>
          </cell>
          <cell r="E1881">
            <v>9.94</v>
          </cell>
          <cell r="H1881">
            <v>45370</v>
          </cell>
          <cell r="I1881">
            <v>0.4811111111111111</v>
          </cell>
          <cell r="J1881">
            <v>34.322222222222223</v>
          </cell>
        </row>
        <row r="1882">
          <cell r="B1882">
            <v>52.47</v>
          </cell>
          <cell r="C1882">
            <v>113.84</v>
          </cell>
          <cell r="D1882">
            <v>15.29</v>
          </cell>
          <cell r="E1882">
            <v>8.1199999999999992</v>
          </cell>
          <cell r="H1882">
            <v>45370</v>
          </cell>
          <cell r="I1882">
            <v>0.48555555555555557</v>
          </cell>
          <cell r="J1882">
            <v>34.191111111111113</v>
          </cell>
        </row>
        <row r="1883">
          <cell r="B1883">
            <v>47.94</v>
          </cell>
          <cell r="C1883">
            <v>103.49</v>
          </cell>
          <cell r="D1883">
            <v>14.9</v>
          </cell>
          <cell r="E1883">
            <v>8.64</v>
          </cell>
          <cell r="H1883">
            <v>45370</v>
          </cell>
          <cell r="I1883">
            <v>0.49111111111111111</v>
          </cell>
          <cell r="J1883">
            <v>34.735555555555557</v>
          </cell>
        </row>
        <row r="1884">
          <cell r="B1884">
            <v>49.68</v>
          </cell>
          <cell r="C1884">
            <v>100.81</v>
          </cell>
          <cell r="D1884">
            <v>15.14</v>
          </cell>
          <cell r="E1884">
            <v>8.67</v>
          </cell>
          <cell r="H1884">
            <v>45370</v>
          </cell>
          <cell r="I1884">
            <v>0.49555555555555547</v>
          </cell>
          <cell r="J1884">
            <v>36.193333333333328</v>
          </cell>
        </row>
        <row r="1885">
          <cell r="B1885">
            <v>45.22</v>
          </cell>
          <cell r="C1885">
            <v>91.92</v>
          </cell>
          <cell r="D1885">
            <v>16.23</v>
          </cell>
          <cell r="E1885">
            <v>9.26</v>
          </cell>
          <cell r="H1885">
            <v>45370</v>
          </cell>
          <cell r="I1885">
            <v>0.50222222222222213</v>
          </cell>
          <cell r="J1885">
            <v>38.472222222222229</v>
          </cell>
        </row>
        <row r="1886">
          <cell r="B1886">
            <v>43.59</v>
          </cell>
          <cell r="C1886">
            <v>87.69</v>
          </cell>
          <cell r="D1886">
            <v>16.63</v>
          </cell>
          <cell r="E1886">
            <v>9.1199999999999992</v>
          </cell>
          <cell r="H1886">
            <v>45370</v>
          </cell>
          <cell r="I1886">
            <v>0.50888888888888895</v>
          </cell>
          <cell r="J1886">
            <v>41.647777777777783</v>
          </cell>
        </row>
        <row r="1887">
          <cell r="B1887">
            <v>40.36</v>
          </cell>
          <cell r="C1887">
            <v>85.37</v>
          </cell>
          <cell r="D1887">
            <v>17.21</v>
          </cell>
          <cell r="E1887">
            <v>9.3699999999999992</v>
          </cell>
          <cell r="H1887">
            <v>45370</v>
          </cell>
          <cell r="I1887">
            <v>0.51666666666666672</v>
          </cell>
          <cell r="J1887">
            <v>44.805555555555564</v>
          </cell>
        </row>
        <row r="1888">
          <cell r="B1888">
            <v>61.28</v>
          </cell>
          <cell r="C1888">
            <v>110.04</v>
          </cell>
          <cell r="D1888">
            <v>16.91</v>
          </cell>
          <cell r="E1888">
            <v>8.6199999999999992</v>
          </cell>
          <cell r="H1888">
            <v>45370</v>
          </cell>
          <cell r="I1888">
            <v>0.52333333333333332</v>
          </cell>
          <cell r="J1888">
            <v>47.806666666666672</v>
          </cell>
        </row>
        <row r="1889">
          <cell r="B1889">
            <v>60.46</v>
          </cell>
          <cell r="C1889">
            <v>108.7</v>
          </cell>
          <cell r="D1889">
            <v>16.350000000000001</v>
          </cell>
          <cell r="E1889">
            <v>8.7799999999999994</v>
          </cell>
          <cell r="H1889">
            <v>45370</v>
          </cell>
          <cell r="I1889">
            <v>0.52999999999999992</v>
          </cell>
          <cell r="J1889">
            <v>50.702222222222225</v>
          </cell>
        </row>
        <row r="1890">
          <cell r="B1890">
            <v>58.97</v>
          </cell>
          <cell r="C1890">
            <v>110.88</v>
          </cell>
          <cell r="D1890">
            <v>16.14</v>
          </cell>
          <cell r="E1890">
            <v>9.0299999999999994</v>
          </cell>
          <cell r="H1890">
            <v>45370</v>
          </cell>
          <cell r="I1890">
            <v>0.53333333333333344</v>
          </cell>
          <cell r="J1890">
            <v>53.361111111111107</v>
          </cell>
        </row>
        <row r="1891">
          <cell r="B1891">
            <v>58.77</v>
          </cell>
          <cell r="C1891">
            <v>113.23</v>
          </cell>
          <cell r="D1891">
            <v>16.21</v>
          </cell>
          <cell r="E1891">
            <v>9.81</v>
          </cell>
          <cell r="H1891">
            <v>45370</v>
          </cell>
          <cell r="I1891">
            <v>0.5411111111111111</v>
          </cell>
          <cell r="J1891">
            <v>54.612222222222222</v>
          </cell>
        </row>
        <row r="1892">
          <cell r="B1892">
            <v>61.48</v>
          </cell>
          <cell r="C1892">
            <v>117.45</v>
          </cell>
          <cell r="D1892">
            <v>16.600000000000001</v>
          </cell>
          <cell r="E1892">
            <v>9.61</v>
          </cell>
          <cell r="H1892">
            <v>45370</v>
          </cell>
          <cell r="I1892">
            <v>0.56111111111111123</v>
          </cell>
          <cell r="J1892">
            <v>54.093333333333334</v>
          </cell>
        </row>
        <row r="1893">
          <cell r="B1893">
            <v>63.88</v>
          </cell>
          <cell r="C1893">
            <v>131.16</v>
          </cell>
          <cell r="D1893">
            <v>16.91</v>
          </cell>
          <cell r="E1893">
            <v>8.9499999999999993</v>
          </cell>
          <cell r="H1893">
            <v>45370</v>
          </cell>
          <cell r="I1893">
            <v>0.59222222222222232</v>
          </cell>
          <cell r="J1893">
            <v>51.971111111111121</v>
          </cell>
        </row>
        <row r="1894">
          <cell r="B1894">
            <v>68.55</v>
          </cell>
          <cell r="C1894">
            <v>130.46</v>
          </cell>
          <cell r="D1894">
            <v>16.61</v>
          </cell>
          <cell r="E1894">
            <v>9.94</v>
          </cell>
          <cell r="H1894">
            <v>45370</v>
          </cell>
          <cell r="I1894">
            <v>0.61444444444444435</v>
          </cell>
          <cell r="J1894">
            <v>49.886666666666677</v>
          </cell>
        </row>
        <row r="1895">
          <cell r="B1895">
            <v>71.75</v>
          </cell>
          <cell r="C1895">
            <v>176.32</v>
          </cell>
          <cell r="D1895">
            <v>15.77</v>
          </cell>
          <cell r="E1895">
            <v>11.99</v>
          </cell>
          <cell r="H1895">
            <v>45370</v>
          </cell>
          <cell r="I1895">
            <v>0.61444444444444446</v>
          </cell>
          <cell r="J1895">
            <v>47.357777777777784</v>
          </cell>
        </row>
        <row r="1896">
          <cell r="B1896">
            <v>72.900000000000006</v>
          </cell>
          <cell r="C1896">
            <v>127.37</v>
          </cell>
          <cell r="D1896">
            <v>16.010000000000002</v>
          </cell>
          <cell r="E1896">
            <v>10.46</v>
          </cell>
          <cell r="H1896">
            <v>45370</v>
          </cell>
          <cell r="I1896">
            <v>0.61</v>
          </cell>
          <cell r="J1896">
            <v>45.137777777777778</v>
          </cell>
        </row>
        <row r="1897">
          <cell r="B1897">
            <v>52.1</v>
          </cell>
          <cell r="C1897">
            <v>112.37</v>
          </cell>
          <cell r="D1897">
            <v>16.02</v>
          </cell>
          <cell r="E1897">
            <v>9.9700000000000006</v>
          </cell>
          <cell r="H1897">
            <v>45370</v>
          </cell>
          <cell r="I1897">
            <v>0.60111111111111115</v>
          </cell>
          <cell r="J1897">
            <v>43.511111111111106</v>
          </cell>
        </row>
        <row r="1898">
          <cell r="B1898">
            <v>66.150000000000006</v>
          </cell>
          <cell r="C1898">
            <v>107.86</v>
          </cell>
          <cell r="D1898">
            <v>14.87</v>
          </cell>
          <cell r="E1898">
            <v>10.69</v>
          </cell>
          <cell r="H1898">
            <v>45371</v>
          </cell>
          <cell r="I1898">
            <v>0.59444444444444444</v>
          </cell>
          <cell r="J1898">
            <v>41.796666666666667</v>
          </cell>
        </row>
        <row r="1899">
          <cell r="B1899">
            <v>66.75</v>
          </cell>
          <cell r="C1899">
            <v>107.86</v>
          </cell>
          <cell r="D1899">
            <v>14.69</v>
          </cell>
          <cell r="E1899">
            <v>11.1</v>
          </cell>
          <cell r="H1899">
            <v>45371</v>
          </cell>
          <cell r="I1899">
            <v>0.5855555555555555</v>
          </cell>
          <cell r="J1899">
            <v>39.988888888888887</v>
          </cell>
        </row>
        <row r="1900">
          <cell r="B1900">
            <v>64.58</v>
          </cell>
          <cell r="C1900">
            <v>107.67</v>
          </cell>
          <cell r="D1900">
            <v>14.67</v>
          </cell>
          <cell r="E1900">
            <v>11.3</v>
          </cell>
          <cell r="H1900">
            <v>45371</v>
          </cell>
          <cell r="I1900">
            <v>0.57555555555555549</v>
          </cell>
          <cell r="J1900">
            <v>38.464444444444446</v>
          </cell>
        </row>
        <row r="1901">
          <cell r="B1901">
            <v>61.19</v>
          </cell>
          <cell r="C1901">
            <v>104.74</v>
          </cell>
          <cell r="D1901">
            <v>14.35</v>
          </cell>
          <cell r="E1901">
            <v>11.57</v>
          </cell>
          <cell r="H1901">
            <v>45371</v>
          </cell>
          <cell r="I1901">
            <v>0.55222222222222206</v>
          </cell>
          <cell r="J1901">
            <v>37.86888888888889</v>
          </cell>
        </row>
        <row r="1902">
          <cell r="B1902">
            <v>59.24</v>
          </cell>
          <cell r="C1902">
            <v>104.27</v>
          </cell>
          <cell r="D1902">
            <v>14.39</v>
          </cell>
          <cell r="E1902">
            <v>11.59</v>
          </cell>
          <cell r="H1902">
            <v>45371</v>
          </cell>
          <cell r="I1902">
            <v>0.51777777777777778</v>
          </cell>
          <cell r="J1902">
            <v>38.096666666666664</v>
          </cell>
        </row>
        <row r="1903">
          <cell r="B1903">
            <v>60.82</v>
          </cell>
          <cell r="C1903">
            <v>104.65</v>
          </cell>
          <cell r="D1903">
            <v>14.83</v>
          </cell>
          <cell r="E1903">
            <v>10.72</v>
          </cell>
          <cell r="H1903">
            <v>45371</v>
          </cell>
          <cell r="I1903">
            <v>0.49333333333333329</v>
          </cell>
          <cell r="J1903">
            <v>37.226666666666659</v>
          </cell>
        </row>
        <row r="1904">
          <cell r="B1904">
            <v>61.87</v>
          </cell>
          <cell r="C1904">
            <v>106.33</v>
          </cell>
          <cell r="D1904">
            <v>14.38</v>
          </cell>
          <cell r="E1904">
            <v>10.43</v>
          </cell>
          <cell r="H1904">
            <v>45371</v>
          </cell>
          <cell r="I1904">
            <v>0.49777777777777782</v>
          </cell>
          <cell r="J1904">
            <v>35.713333333333338</v>
          </cell>
        </row>
        <row r="1905">
          <cell r="B1905">
            <v>64.88</v>
          </cell>
          <cell r="C1905">
            <v>120.78</v>
          </cell>
          <cell r="D1905">
            <v>14.92</v>
          </cell>
          <cell r="E1905">
            <v>10.76</v>
          </cell>
          <cell r="H1905">
            <v>45371</v>
          </cell>
          <cell r="I1905">
            <v>0.51</v>
          </cell>
          <cell r="J1905">
            <v>34.18</v>
          </cell>
        </row>
        <row r="1906">
          <cell r="B1906">
            <v>67.790000000000006</v>
          </cell>
          <cell r="C1906">
            <v>133.47999999999999</v>
          </cell>
          <cell r="D1906">
            <v>14.83</v>
          </cell>
          <cell r="E1906">
            <v>10.97</v>
          </cell>
          <cell r="H1906">
            <v>45371</v>
          </cell>
          <cell r="I1906">
            <v>0.52444444444444427</v>
          </cell>
          <cell r="J1906">
            <v>32.887777777777785</v>
          </cell>
        </row>
        <row r="1907">
          <cell r="B1907">
            <v>63.74</v>
          </cell>
          <cell r="C1907">
            <v>129.19</v>
          </cell>
          <cell r="D1907">
            <v>14.99</v>
          </cell>
          <cell r="E1907">
            <v>13.24</v>
          </cell>
          <cell r="H1907">
            <v>45371</v>
          </cell>
          <cell r="I1907">
            <v>0.53111111111111109</v>
          </cell>
          <cell r="J1907">
            <v>32.395555555555553</v>
          </cell>
        </row>
        <row r="1908">
          <cell r="B1908">
            <v>55.26</v>
          </cell>
          <cell r="C1908">
            <v>116.33</v>
          </cell>
          <cell r="D1908">
            <v>16.149999999999999</v>
          </cell>
          <cell r="E1908">
            <v>13.75</v>
          </cell>
          <cell r="H1908">
            <v>45371</v>
          </cell>
          <cell r="I1908">
            <v>0.53888888888888886</v>
          </cell>
          <cell r="J1908">
            <v>32.861111111111114</v>
          </cell>
        </row>
        <row r="1909">
          <cell r="B1909">
            <v>56.54</v>
          </cell>
          <cell r="C1909">
            <v>103.88</v>
          </cell>
          <cell r="D1909">
            <v>16.760000000000002</v>
          </cell>
          <cell r="E1909">
            <v>12.67</v>
          </cell>
          <cell r="H1909">
            <v>45371</v>
          </cell>
          <cell r="I1909">
            <v>0.54666666666666663</v>
          </cell>
          <cell r="J1909">
            <v>34.595555555555556</v>
          </cell>
        </row>
        <row r="1910">
          <cell r="B1910">
            <v>58.9</v>
          </cell>
          <cell r="C1910">
            <v>108.22</v>
          </cell>
          <cell r="D1910">
            <v>17.239999999999998</v>
          </cell>
          <cell r="E1910">
            <v>12.35</v>
          </cell>
          <cell r="H1910">
            <v>45371</v>
          </cell>
          <cell r="I1910">
            <v>0.55444444444444441</v>
          </cell>
          <cell r="J1910">
            <v>37.323333333333338</v>
          </cell>
        </row>
        <row r="1911">
          <cell r="B1911">
            <v>58.63</v>
          </cell>
          <cell r="C1911">
            <v>112.4</v>
          </cell>
          <cell r="D1911">
            <v>17.440000000000001</v>
          </cell>
          <cell r="E1911">
            <v>12.27</v>
          </cell>
          <cell r="H1911">
            <v>45371</v>
          </cell>
          <cell r="I1911">
            <v>0.56444444444444453</v>
          </cell>
          <cell r="J1911">
            <v>40.913333333333327</v>
          </cell>
        </row>
        <row r="1912">
          <cell r="B1912">
            <v>58.87</v>
          </cell>
          <cell r="C1912">
            <v>114.24</v>
          </cell>
          <cell r="D1912">
            <v>18.940000000000001</v>
          </cell>
          <cell r="E1912">
            <v>12.07</v>
          </cell>
          <cell r="H1912">
            <v>45371</v>
          </cell>
          <cell r="I1912">
            <v>0.5755555555555556</v>
          </cell>
          <cell r="J1912">
            <v>45.09</v>
          </cell>
        </row>
        <row r="1913">
          <cell r="B1913">
            <v>62.22</v>
          </cell>
          <cell r="C1913">
            <v>119.02</v>
          </cell>
          <cell r="D1913">
            <v>19.46</v>
          </cell>
          <cell r="E1913">
            <v>10.68</v>
          </cell>
          <cell r="H1913">
            <v>45371</v>
          </cell>
          <cell r="I1913">
            <v>0.57777777777777795</v>
          </cell>
          <cell r="J1913">
            <v>49.211111111111109</v>
          </cell>
        </row>
        <row r="1914">
          <cell r="B1914">
            <v>58.19</v>
          </cell>
          <cell r="C1914">
            <v>119.43</v>
          </cell>
          <cell r="D1914">
            <v>18.170000000000002</v>
          </cell>
          <cell r="E1914">
            <v>10.82</v>
          </cell>
          <cell r="H1914">
            <v>45371</v>
          </cell>
          <cell r="I1914">
            <v>0.57444444444444442</v>
          </cell>
          <cell r="J1914">
            <v>52.88</v>
          </cell>
        </row>
        <row r="1915">
          <cell r="B1915">
            <v>58.37</v>
          </cell>
          <cell r="C1915">
            <v>121.03</v>
          </cell>
          <cell r="D1915">
            <v>17.7</v>
          </cell>
          <cell r="E1915">
            <v>11.67</v>
          </cell>
          <cell r="H1915">
            <v>45371</v>
          </cell>
          <cell r="I1915">
            <v>0.57888888888888879</v>
          </cell>
          <cell r="J1915">
            <v>54.798888888888889</v>
          </cell>
        </row>
        <row r="1916">
          <cell r="B1916">
            <v>57.19</v>
          </cell>
          <cell r="C1916">
            <v>124.39</v>
          </cell>
          <cell r="D1916">
            <v>19.38</v>
          </cell>
          <cell r="E1916">
            <v>11.31</v>
          </cell>
          <cell r="H1916">
            <v>45371</v>
          </cell>
          <cell r="I1916">
            <v>0.59777777777777763</v>
          </cell>
          <cell r="J1916">
            <v>54.691111111111113</v>
          </cell>
        </row>
        <row r="1917">
          <cell r="B1917">
            <v>57.24</v>
          </cell>
          <cell r="C1917">
            <v>126.06</v>
          </cell>
          <cell r="D1917">
            <v>19.45</v>
          </cell>
          <cell r="E1917">
            <v>10.1</v>
          </cell>
          <cell r="H1917">
            <v>45371</v>
          </cell>
          <cell r="I1917">
            <v>0.6166666666666667</v>
          </cell>
          <cell r="J1917">
            <v>53.493333333333332</v>
          </cell>
        </row>
        <row r="1918">
          <cell r="B1918">
            <v>59.2</v>
          </cell>
          <cell r="C1918">
            <v>125.97</v>
          </cell>
          <cell r="D1918">
            <v>18.03</v>
          </cell>
          <cell r="E1918">
            <v>11.27</v>
          </cell>
          <cell r="H1918">
            <v>45371</v>
          </cell>
          <cell r="I1918">
            <v>0.62777777777777777</v>
          </cell>
          <cell r="J1918">
            <v>51.825555555555553</v>
          </cell>
        </row>
        <row r="1919">
          <cell r="B1919">
            <v>63.41</v>
          </cell>
          <cell r="C1919">
            <v>135.77000000000001</v>
          </cell>
          <cell r="D1919">
            <v>16.71</v>
          </cell>
          <cell r="E1919">
            <v>11.73</v>
          </cell>
          <cell r="H1919">
            <v>45371</v>
          </cell>
          <cell r="I1919">
            <v>0.62333333333333341</v>
          </cell>
          <cell r="J1919">
            <v>48.682222222222222</v>
          </cell>
        </row>
        <row r="1920">
          <cell r="B1920">
            <v>90.77</v>
          </cell>
          <cell r="C1920">
            <v>129.22</v>
          </cell>
          <cell r="D1920">
            <v>16.010000000000002</v>
          </cell>
          <cell r="E1920">
            <v>10.210000000000001</v>
          </cell>
          <cell r="H1920">
            <v>45371</v>
          </cell>
          <cell r="I1920">
            <v>0.61222222222222222</v>
          </cell>
          <cell r="J1920">
            <v>45.32</v>
          </cell>
        </row>
        <row r="1921">
          <cell r="B1921">
            <v>109.47</v>
          </cell>
          <cell r="C1921">
            <v>112.17</v>
          </cell>
          <cell r="D1921">
            <v>15.32</v>
          </cell>
          <cell r="E1921">
            <v>9.27</v>
          </cell>
          <cell r="H1921">
            <v>45371</v>
          </cell>
          <cell r="I1921">
            <v>0.5955555555555555</v>
          </cell>
          <cell r="J1921">
            <v>41.694444444444443</v>
          </cell>
        </row>
        <row r="1922">
          <cell r="B1922">
            <v>50.29</v>
          </cell>
          <cell r="C1922">
            <v>100.78</v>
          </cell>
          <cell r="D1922">
            <v>15</v>
          </cell>
          <cell r="E1922">
            <v>8.3699999999999992</v>
          </cell>
          <cell r="H1922">
            <v>45372</v>
          </cell>
          <cell r="I1922">
            <v>0.58111111111111102</v>
          </cell>
          <cell r="J1922">
            <v>38.283333333333331</v>
          </cell>
        </row>
        <row r="1923">
          <cell r="B1923">
            <v>46.02</v>
          </cell>
          <cell r="C1923">
            <v>93.43</v>
          </cell>
          <cell r="D1923">
            <v>15.41</v>
          </cell>
          <cell r="E1923">
            <v>7.92</v>
          </cell>
          <cell r="H1923">
            <v>45372</v>
          </cell>
          <cell r="I1923">
            <v>0.56777777777777771</v>
          </cell>
          <cell r="J1923">
            <v>35.153333333333329</v>
          </cell>
        </row>
        <row r="1924">
          <cell r="B1924">
            <v>46.15</v>
          </cell>
          <cell r="C1924">
            <v>88.74</v>
          </cell>
          <cell r="D1924">
            <v>15.14</v>
          </cell>
          <cell r="E1924">
            <v>7.56</v>
          </cell>
          <cell r="H1924">
            <v>45372</v>
          </cell>
          <cell r="I1924">
            <v>0.54666666666666663</v>
          </cell>
          <cell r="J1924">
            <v>33.341111111111111</v>
          </cell>
        </row>
        <row r="1925">
          <cell r="B1925">
            <v>40.39</v>
          </cell>
          <cell r="C1925">
            <v>81.09</v>
          </cell>
          <cell r="D1925">
            <v>15.25</v>
          </cell>
          <cell r="E1925">
            <v>7.45</v>
          </cell>
          <cell r="H1925">
            <v>45372</v>
          </cell>
          <cell r="I1925">
            <v>0.51666666666666661</v>
          </cell>
          <cell r="J1925">
            <v>32.706666666666671</v>
          </cell>
        </row>
        <row r="1926">
          <cell r="B1926">
            <v>41.93</v>
          </cell>
          <cell r="C1926">
            <v>74.010000000000005</v>
          </cell>
          <cell r="D1926">
            <v>14.75</v>
          </cell>
          <cell r="E1926">
            <v>7.29</v>
          </cell>
          <cell r="H1926">
            <v>45372</v>
          </cell>
          <cell r="I1926">
            <v>0.49</v>
          </cell>
          <cell r="J1926">
            <v>32.524444444444441</v>
          </cell>
        </row>
        <row r="1927">
          <cell r="B1927">
            <v>34.99</v>
          </cell>
          <cell r="C1927">
            <v>63.72</v>
          </cell>
          <cell r="D1927">
            <v>15.01</v>
          </cell>
          <cell r="E1927">
            <v>7.28</v>
          </cell>
          <cell r="H1927">
            <v>45372</v>
          </cell>
          <cell r="I1927">
            <v>0.47000000000000003</v>
          </cell>
          <cell r="J1927">
            <v>31.892222222222227</v>
          </cell>
        </row>
        <row r="1928">
          <cell r="B1928">
            <v>28.42</v>
          </cell>
          <cell r="C1928">
            <v>56.86</v>
          </cell>
          <cell r="D1928">
            <v>15.64</v>
          </cell>
          <cell r="E1928">
            <v>7.52</v>
          </cell>
          <cell r="H1928">
            <v>45372</v>
          </cell>
          <cell r="I1928">
            <v>0.46777777777777779</v>
          </cell>
          <cell r="J1928">
            <v>31.908888888888882</v>
          </cell>
        </row>
        <row r="1929">
          <cell r="B1929">
            <v>26.69</v>
          </cell>
          <cell r="C1929">
            <v>58.47</v>
          </cell>
          <cell r="D1929">
            <v>15.51</v>
          </cell>
          <cell r="E1929">
            <v>8.01</v>
          </cell>
          <cell r="H1929">
            <v>45372</v>
          </cell>
          <cell r="I1929">
            <v>0.47333333333333333</v>
          </cell>
          <cell r="J1929">
            <v>31.182222222222222</v>
          </cell>
        </row>
        <row r="1930">
          <cell r="B1930">
            <v>26.75</v>
          </cell>
          <cell r="C1930">
            <v>62.6</v>
          </cell>
          <cell r="D1930">
            <v>15.26</v>
          </cell>
          <cell r="E1930">
            <v>8.08</v>
          </cell>
          <cell r="H1930">
            <v>45372</v>
          </cell>
          <cell r="I1930">
            <v>0.48222222222222222</v>
          </cell>
          <cell r="J1930">
            <v>30.247777777777781</v>
          </cell>
        </row>
        <row r="1931">
          <cell r="B1931">
            <v>27.49</v>
          </cell>
          <cell r="C1931">
            <v>58.5</v>
          </cell>
          <cell r="D1931">
            <v>15.12</v>
          </cell>
          <cell r="E1931">
            <v>8.1300000000000008</v>
          </cell>
          <cell r="H1931">
            <v>45372</v>
          </cell>
          <cell r="I1931">
            <v>0.4933333333333334</v>
          </cell>
          <cell r="J1931">
            <v>30.013333333333335</v>
          </cell>
        </row>
        <row r="1932">
          <cell r="B1932">
            <v>25.18</v>
          </cell>
          <cell r="C1932">
            <v>51.6</v>
          </cell>
          <cell r="D1932">
            <v>15.62</v>
          </cell>
          <cell r="E1932">
            <v>8.32</v>
          </cell>
          <cell r="H1932">
            <v>45372</v>
          </cell>
          <cell r="I1932">
            <v>0.50555555555555565</v>
          </cell>
          <cell r="J1932">
            <v>30.401111111111113</v>
          </cell>
        </row>
        <row r="1933">
          <cell r="B1933">
            <v>27.21</v>
          </cell>
          <cell r="C1933">
            <v>56.68</v>
          </cell>
          <cell r="D1933">
            <v>15.37</v>
          </cell>
          <cell r="E1933">
            <v>7.83</v>
          </cell>
          <cell r="H1933">
            <v>45372</v>
          </cell>
          <cell r="I1933">
            <v>0.51222222222222213</v>
          </cell>
          <cell r="J1933">
            <v>30.826666666666668</v>
          </cell>
        </row>
        <row r="1934">
          <cell r="B1934">
            <v>28.13</v>
          </cell>
          <cell r="C1934">
            <v>57.15</v>
          </cell>
          <cell r="D1934">
            <v>15.76</v>
          </cell>
          <cell r="E1934">
            <v>7.69</v>
          </cell>
          <cell r="H1934">
            <v>45372</v>
          </cell>
          <cell r="I1934">
            <v>0.5133333333333332</v>
          </cell>
          <cell r="J1934">
            <v>31.73</v>
          </cell>
        </row>
        <row r="1935">
          <cell r="B1935">
            <v>20.11</v>
          </cell>
          <cell r="C1935">
            <v>49.96</v>
          </cell>
          <cell r="D1935">
            <v>15.75</v>
          </cell>
          <cell r="E1935">
            <v>7.58</v>
          </cell>
          <cell r="H1935">
            <v>45372</v>
          </cell>
          <cell r="I1935">
            <v>0.52444444444444438</v>
          </cell>
          <cell r="J1935">
            <v>32.257777777777775</v>
          </cell>
        </row>
        <row r="1936">
          <cell r="B1936">
            <v>22.63</v>
          </cell>
          <cell r="C1936">
            <v>56.35</v>
          </cell>
          <cell r="D1936">
            <v>16.77</v>
          </cell>
          <cell r="E1936">
            <v>8.5500000000000007</v>
          </cell>
          <cell r="H1936">
            <v>45372</v>
          </cell>
          <cell r="I1936">
            <v>0.54333333333333345</v>
          </cell>
          <cell r="J1936">
            <v>33.085555555555551</v>
          </cell>
        </row>
        <row r="1937">
          <cell r="B1937">
            <v>23.49</v>
          </cell>
          <cell r="C1937">
            <v>58.61</v>
          </cell>
          <cell r="D1937">
            <v>15.95</v>
          </cell>
          <cell r="E1937">
            <v>8.26</v>
          </cell>
          <cell r="H1937">
            <v>45372</v>
          </cell>
          <cell r="I1937">
            <v>0.56333333333333335</v>
          </cell>
          <cell r="J1937">
            <v>33.976666666666667</v>
          </cell>
        </row>
        <row r="1938">
          <cell r="B1938">
            <v>24.87</v>
          </cell>
          <cell r="C1938">
            <v>63.51</v>
          </cell>
          <cell r="D1938">
            <v>16.46</v>
          </cell>
          <cell r="E1938">
            <v>8.59</v>
          </cell>
          <cell r="H1938">
            <v>45372</v>
          </cell>
          <cell r="I1938">
            <v>0.5822222222222222</v>
          </cell>
          <cell r="J1938">
            <v>34.93</v>
          </cell>
        </row>
        <row r="1939">
          <cell r="B1939">
            <v>29.38</v>
          </cell>
          <cell r="C1939">
            <v>69.819999999999993</v>
          </cell>
          <cell r="D1939">
            <v>15.8</v>
          </cell>
          <cell r="E1939">
            <v>7.87</v>
          </cell>
          <cell r="H1939">
            <v>45372</v>
          </cell>
          <cell r="I1939">
            <v>0.60333333333333328</v>
          </cell>
          <cell r="J1939">
            <v>35.954444444444448</v>
          </cell>
        </row>
        <row r="1940">
          <cell r="B1940">
            <v>35.340000000000003</v>
          </cell>
          <cell r="C1940">
            <v>80.400000000000006</v>
          </cell>
          <cell r="D1940">
            <v>16.52</v>
          </cell>
          <cell r="E1940">
            <v>8.1300000000000008</v>
          </cell>
          <cell r="H1940">
            <v>45372</v>
          </cell>
          <cell r="I1940">
            <v>0.62666666666666648</v>
          </cell>
          <cell r="J1940">
            <v>35.773333333333341</v>
          </cell>
        </row>
        <row r="1941">
          <cell r="B1941">
            <v>41.16</v>
          </cell>
          <cell r="C1941">
            <v>91.54</v>
          </cell>
          <cell r="D1941">
            <v>17.07</v>
          </cell>
          <cell r="E1941">
            <v>8.82</v>
          </cell>
          <cell r="H1941">
            <v>45372</v>
          </cell>
          <cell r="I1941">
            <v>0.65777777777777779</v>
          </cell>
          <cell r="J1941">
            <v>34.955555555555556</v>
          </cell>
        </row>
        <row r="1942">
          <cell r="B1942">
            <v>45.01</v>
          </cell>
          <cell r="C1942">
            <v>97.56</v>
          </cell>
          <cell r="D1942">
            <v>16.64</v>
          </cell>
          <cell r="E1942">
            <v>8.68</v>
          </cell>
          <cell r="H1942">
            <v>45372</v>
          </cell>
          <cell r="I1942">
            <v>0.69333333333333325</v>
          </cell>
          <cell r="J1942">
            <v>34.00333333333333</v>
          </cell>
        </row>
        <row r="1943">
          <cell r="B1943">
            <v>42.27</v>
          </cell>
          <cell r="C1943">
            <v>95.15</v>
          </cell>
          <cell r="D1943">
            <v>16.2</v>
          </cell>
          <cell r="E1943">
            <v>8.19</v>
          </cell>
          <cell r="H1943">
            <v>45372</v>
          </cell>
          <cell r="I1943">
            <v>0.71444444444444444</v>
          </cell>
          <cell r="J1943">
            <v>33.436666666666667</v>
          </cell>
        </row>
        <row r="1944">
          <cell r="B1944">
            <v>39.68</v>
          </cell>
          <cell r="C1944">
            <v>90.8</v>
          </cell>
          <cell r="D1944">
            <v>15.54</v>
          </cell>
          <cell r="E1944">
            <v>8.15</v>
          </cell>
          <cell r="H1944">
            <v>45372</v>
          </cell>
          <cell r="I1944">
            <v>0.7122222222222222</v>
          </cell>
          <cell r="J1944">
            <v>32.732222222222227</v>
          </cell>
        </row>
        <row r="1945">
          <cell r="B1945">
            <v>37.590000000000003</v>
          </cell>
          <cell r="C1945">
            <v>86.41</v>
          </cell>
          <cell r="D1945">
            <v>15.58</v>
          </cell>
          <cell r="E1945">
            <v>8.15</v>
          </cell>
          <cell r="H1945">
            <v>45372</v>
          </cell>
          <cell r="I1945">
            <v>0.69444444444444442</v>
          </cell>
          <cell r="J1945">
            <v>31.804444444444446</v>
          </cell>
        </row>
        <row r="1946">
          <cell r="B1946">
            <v>38.6</v>
          </cell>
          <cell r="C1946">
            <v>81.849999999999994</v>
          </cell>
          <cell r="D1946">
            <v>16.22</v>
          </cell>
          <cell r="E1946">
            <v>7.6</v>
          </cell>
          <cell r="H1946">
            <v>45373</v>
          </cell>
          <cell r="I1946">
            <v>0.68222222222222229</v>
          </cell>
          <cell r="J1946">
            <v>30.702222222222222</v>
          </cell>
        </row>
        <row r="1947">
          <cell r="B1947">
            <v>43.04</v>
          </cell>
          <cell r="C1947">
            <v>84.81</v>
          </cell>
          <cell r="D1947">
            <v>15.18</v>
          </cell>
          <cell r="E1947">
            <v>7.45</v>
          </cell>
          <cell r="H1947">
            <v>45373</v>
          </cell>
          <cell r="I1947">
            <v>0.66222222222222227</v>
          </cell>
          <cell r="J1947">
            <v>29.781111111111109</v>
          </cell>
        </row>
        <row r="1948">
          <cell r="B1948">
            <v>49.58</v>
          </cell>
          <cell r="C1948">
            <v>90.93</v>
          </cell>
          <cell r="D1948">
            <v>14.55</v>
          </cell>
          <cell r="E1948">
            <v>7.3</v>
          </cell>
          <cell r="H1948">
            <v>45373</v>
          </cell>
          <cell r="I1948">
            <v>0.64111111111111119</v>
          </cell>
          <cell r="J1948">
            <v>28.777777777777779</v>
          </cell>
        </row>
        <row r="1949">
          <cell r="B1949">
            <v>40.270000000000003</v>
          </cell>
          <cell r="C1949">
            <v>73.19</v>
          </cell>
          <cell r="D1949">
            <v>14.72</v>
          </cell>
          <cell r="E1949">
            <v>7.72</v>
          </cell>
          <cell r="H1949">
            <v>45373</v>
          </cell>
          <cell r="I1949">
            <v>0.61777777777777787</v>
          </cell>
          <cell r="J1949">
            <v>28.303333333333327</v>
          </cell>
        </row>
        <row r="1950">
          <cell r="B1950">
            <v>34.82</v>
          </cell>
          <cell r="C1950">
            <v>65.64</v>
          </cell>
          <cell r="D1950">
            <v>14.24</v>
          </cell>
          <cell r="E1950">
            <v>8.02</v>
          </cell>
          <cell r="H1950">
            <v>45373</v>
          </cell>
          <cell r="I1950">
            <v>0.58000000000000007</v>
          </cell>
          <cell r="J1950">
            <v>27.937777777777775</v>
          </cell>
        </row>
        <row r="1951">
          <cell r="B1951">
            <v>31.74</v>
          </cell>
          <cell r="C1951">
            <v>63.59</v>
          </cell>
          <cell r="D1951">
            <v>14.58</v>
          </cell>
          <cell r="E1951">
            <v>8.4499999999999993</v>
          </cell>
          <cell r="H1951">
            <v>45373</v>
          </cell>
          <cell r="I1951">
            <v>0.54666666666666675</v>
          </cell>
          <cell r="J1951">
            <v>28.544444444444441</v>
          </cell>
        </row>
        <row r="1952">
          <cell r="B1952">
            <v>30.91</v>
          </cell>
          <cell r="C1952">
            <v>64.02</v>
          </cell>
          <cell r="D1952">
            <v>14.36</v>
          </cell>
          <cell r="E1952">
            <v>8.74</v>
          </cell>
          <cell r="H1952">
            <v>45373</v>
          </cell>
          <cell r="I1952">
            <v>0.53666666666666674</v>
          </cell>
          <cell r="J1952">
            <v>28.06</v>
          </cell>
        </row>
        <row r="1953">
          <cell r="B1953">
            <v>33.76</v>
          </cell>
          <cell r="C1953">
            <v>71.94</v>
          </cell>
          <cell r="D1953">
            <v>14.73</v>
          </cell>
          <cell r="E1953">
            <v>8.15</v>
          </cell>
          <cell r="H1953">
            <v>45373</v>
          </cell>
          <cell r="I1953">
            <v>0.53555555555555556</v>
          </cell>
          <cell r="J1953">
            <v>27.934444444444441</v>
          </cell>
        </row>
        <row r="1954">
          <cell r="B1954">
            <v>33.520000000000003</v>
          </cell>
          <cell r="C1954">
            <v>75.92</v>
          </cell>
          <cell r="D1954">
            <v>15.54</v>
          </cell>
          <cell r="E1954">
            <v>8.08</v>
          </cell>
          <cell r="H1954">
            <v>45373</v>
          </cell>
          <cell r="I1954">
            <v>0.55222222222222217</v>
          </cell>
          <cell r="J1954">
            <v>27.49111111111111</v>
          </cell>
        </row>
        <row r="1955">
          <cell r="B1955">
            <v>37.96</v>
          </cell>
          <cell r="C1955">
            <v>77.75</v>
          </cell>
          <cell r="D1955">
            <v>15.48</v>
          </cell>
          <cell r="E1955">
            <v>7.94</v>
          </cell>
          <cell r="H1955">
            <v>45373</v>
          </cell>
          <cell r="I1955">
            <v>0.56222222222222229</v>
          </cell>
          <cell r="J1955">
            <v>27.371111111111109</v>
          </cell>
        </row>
        <row r="1956">
          <cell r="B1956">
            <v>38.44</v>
          </cell>
          <cell r="C1956">
            <v>78.86</v>
          </cell>
          <cell r="D1956">
            <v>16</v>
          </cell>
          <cell r="E1956">
            <v>8.3800000000000008</v>
          </cell>
          <cell r="H1956">
            <v>45373</v>
          </cell>
          <cell r="I1956">
            <v>0.57111111111111112</v>
          </cell>
          <cell r="J1956">
            <v>28.084444444444447</v>
          </cell>
        </row>
        <row r="1957">
          <cell r="B1957">
            <v>36.74</v>
          </cell>
          <cell r="C1957">
            <v>82.61</v>
          </cell>
          <cell r="D1957">
            <v>16.41</v>
          </cell>
          <cell r="E1957">
            <v>9.0399999999999991</v>
          </cell>
          <cell r="H1957">
            <v>45373</v>
          </cell>
          <cell r="I1957">
            <v>0.57777777777777772</v>
          </cell>
          <cell r="J1957">
            <v>29.913333333333338</v>
          </cell>
        </row>
        <row r="1958">
          <cell r="B1958">
            <v>34.619999999999997</v>
          </cell>
          <cell r="C1958">
            <v>78.33</v>
          </cell>
          <cell r="D1958">
            <v>16.43</v>
          </cell>
          <cell r="E1958">
            <v>8.18</v>
          </cell>
          <cell r="H1958">
            <v>45373</v>
          </cell>
          <cell r="I1958">
            <v>0.57999999999999996</v>
          </cell>
          <cell r="J1958">
            <v>32.538888888888891</v>
          </cell>
        </row>
        <row r="1959">
          <cell r="B1959">
            <v>32.43</v>
          </cell>
          <cell r="C1959">
            <v>72.41</v>
          </cell>
          <cell r="D1959">
            <v>16.61</v>
          </cell>
          <cell r="E1959">
            <v>7.82</v>
          </cell>
          <cell r="H1959">
            <v>45373</v>
          </cell>
          <cell r="I1959">
            <v>0.58888888888888891</v>
          </cell>
          <cell r="J1959">
            <v>35.151111111111113</v>
          </cell>
        </row>
        <row r="1960">
          <cell r="B1960">
            <v>36.94</v>
          </cell>
          <cell r="C1960">
            <v>78.62</v>
          </cell>
          <cell r="D1960">
            <v>17.18</v>
          </cell>
          <cell r="E1960">
            <v>8.76</v>
          </cell>
          <cell r="H1960">
            <v>45373</v>
          </cell>
          <cell r="I1960">
            <v>0.60555555555555551</v>
          </cell>
          <cell r="J1960">
            <v>36.834444444444443</v>
          </cell>
        </row>
        <row r="1961">
          <cell r="B1961">
            <v>37.020000000000003</v>
          </cell>
          <cell r="C1961">
            <v>83.62</v>
          </cell>
          <cell r="D1961">
            <v>16.66</v>
          </cell>
          <cell r="E1961">
            <v>8.7100000000000009</v>
          </cell>
          <cell r="H1961">
            <v>45373</v>
          </cell>
          <cell r="I1961">
            <v>0.62555555555555553</v>
          </cell>
          <cell r="J1961">
            <v>38.734444444444449</v>
          </cell>
        </row>
        <row r="1962">
          <cell r="B1962">
            <v>36.340000000000003</v>
          </cell>
          <cell r="C1962">
            <v>82.16</v>
          </cell>
          <cell r="D1962">
            <v>16.86</v>
          </cell>
          <cell r="E1962">
            <v>8.5299999999999994</v>
          </cell>
          <cell r="H1962">
            <v>45373</v>
          </cell>
          <cell r="I1962">
            <v>0.64222222222222225</v>
          </cell>
          <cell r="J1962">
            <v>40.494444444444447</v>
          </cell>
        </row>
        <row r="1963">
          <cell r="B1963">
            <v>36.869999999999997</v>
          </cell>
          <cell r="C1963">
            <v>80.349999999999994</v>
          </cell>
          <cell r="D1963">
            <v>17.18</v>
          </cell>
          <cell r="E1963">
            <v>8.3699999999999992</v>
          </cell>
          <cell r="H1963">
            <v>45373</v>
          </cell>
          <cell r="I1963">
            <v>0.65444444444444438</v>
          </cell>
          <cell r="J1963">
            <v>42.848888888888894</v>
          </cell>
        </row>
        <row r="1964">
          <cell r="B1964">
            <v>41.15</v>
          </cell>
          <cell r="C1964">
            <v>92.27</v>
          </cell>
          <cell r="D1964">
            <v>18.61</v>
          </cell>
          <cell r="E1964">
            <v>10.59</v>
          </cell>
          <cell r="H1964">
            <v>45373</v>
          </cell>
          <cell r="I1964">
            <v>0.67666666666666664</v>
          </cell>
          <cell r="J1964">
            <v>44.007777777777783</v>
          </cell>
        </row>
        <row r="1965">
          <cell r="B1965">
            <v>44.33</v>
          </cell>
          <cell r="C1965">
            <v>112.53</v>
          </cell>
          <cell r="D1965">
            <v>20.54</v>
          </cell>
          <cell r="E1965">
            <v>11.3</v>
          </cell>
          <cell r="H1965">
            <v>45373</v>
          </cell>
          <cell r="I1965">
            <v>0.72888888888888892</v>
          </cell>
          <cell r="J1965">
            <v>43.70333333333334</v>
          </cell>
        </row>
        <row r="1966">
          <cell r="B1966">
            <v>48.9</v>
          </cell>
          <cell r="C1966">
            <v>119.57</v>
          </cell>
          <cell r="D1966">
            <v>18.91</v>
          </cell>
          <cell r="E1966">
            <v>8.35</v>
          </cell>
          <cell r="H1966">
            <v>45373</v>
          </cell>
          <cell r="I1966">
            <v>0.74888888888888883</v>
          </cell>
          <cell r="J1966">
            <v>42.595555555555556</v>
          </cell>
        </row>
        <row r="1967">
          <cell r="B1967">
            <v>40.11</v>
          </cell>
          <cell r="C1967">
            <v>98.33</v>
          </cell>
          <cell r="D1967">
            <v>17.5</v>
          </cell>
          <cell r="E1967">
            <v>8.39</v>
          </cell>
          <cell r="H1967">
            <v>45373</v>
          </cell>
          <cell r="I1967">
            <v>0.75444444444444436</v>
          </cell>
          <cell r="J1967">
            <v>40.074444444444445</v>
          </cell>
        </row>
        <row r="1968">
          <cell r="B1968">
            <v>38.770000000000003</v>
          </cell>
          <cell r="C1968">
            <v>86.18</v>
          </cell>
          <cell r="D1968">
            <v>16.8</v>
          </cell>
          <cell r="E1968">
            <v>8.56</v>
          </cell>
          <cell r="H1968">
            <v>45373</v>
          </cell>
          <cell r="I1968">
            <v>0.7466666666666667</v>
          </cell>
          <cell r="J1968">
            <v>37.958888888888893</v>
          </cell>
        </row>
        <row r="1969">
          <cell r="B1969">
            <v>39.53</v>
          </cell>
          <cell r="C1969">
            <v>85.87</v>
          </cell>
          <cell r="D1969">
            <v>16.2</v>
          </cell>
          <cell r="E1969">
            <v>8.07</v>
          </cell>
          <cell r="H1969">
            <v>45373</v>
          </cell>
          <cell r="I1969">
            <v>0.7200000000000002</v>
          </cell>
          <cell r="J1969">
            <v>35.648888888888884</v>
          </cell>
        </row>
        <row r="1970">
          <cell r="B1970">
            <v>36.32</v>
          </cell>
          <cell r="C1970">
            <v>81.93</v>
          </cell>
          <cell r="D1970">
            <v>15.69</v>
          </cell>
          <cell r="E1970">
            <v>8.01</v>
          </cell>
          <cell r="H1970">
            <v>45374</v>
          </cell>
          <cell r="I1970">
            <v>0.68666666666666665</v>
          </cell>
          <cell r="J1970">
            <v>33.303333333333327</v>
          </cell>
        </row>
        <row r="1971">
          <cell r="B1971">
            <v>38.520000000000003</v>
          </cell>
          <cell r="C1971">
            <v>78.459999999999994</v>
          </cell>
          <cell r="D1971">
            <v>15.27</v>
          </cell>
          <cell r="E1971">
            <v>7.68</v>
          </cell>
          <cell r="H1971">
            <v>45374</v>
          </cell>
          <cell r="I1971">
            <v>0.66333333333333344</v>
          </cell>
          <cell r="J1971">
            <v>30.967777777777776</v>
          </cell>
        </row>
        <row r="1972">
          <cell r="B1972">
            <v>40.200000000000003</v>
          </cell>
          <cell r="C1972">
            <v>77.260000000000005</v>
          </cell>
          <cell r="D1972">
            <v>15.28</v>
          </cell>
          <cell r="E1972">
            <v>8.06</v>
          </cell>
          <cell r="H1972">
            <v>45374</v>
          </cell>
          <cell r="I1972">
            <v>0.63333333333333341</v>
          </cell>
          <cell r="J1972">
            <v>28.214444444444446</v>
          </cell>
        </row>
        <row r="1973">
          <cell r="B1973">
            <v>41.05</v>
          </cell>
          <cell r="C1973">
            <v>76.02</v>
          </cell>
          <cell r="D1973">
            <v>15.34</v>
          </cell>
          <cell r="E1973">
            <v>8.36</v>
          </cell>
          <cell r="H1973">
            <v>45374</v>
          </cell>
          <cell r="I1973">
            <v>0.58333333333333337</v>
          </cell>
          <cell r="J1973">
            <v>26.325555555555557</v>
          </cell>
        </row>
        <row r="1974">
          <cell r="B1974">
            <v>38.74</v>
          </cell>
          <cell r="C1974">
            <v>74.239999999999995</v>
          </cell>
          <cell r="D1974">
            <v>15.52</v>
          </cell>
          <cell r="E1974">
            <v>8.3800000000000008</v>
          </cell>
          <cell r="H1974">
            <v>45374</v>
          </cell>
          <cell r="I1974">
            <v>0.51000000000000012</v>
          </cell>
          <cell r="J1974">
            <v>25.056666666666668</v>
          </cell>
        </row>
        <row r="1975">
          <cell r="B1975">
            <v>43.34</v>
          </cell>
          <cell r="C1975">
            <v>83.42</v>
          </cell>
          <cell r="D1975">
            <v>16.11</v>
          </cell>
          <cell r="E1975">
            <v>8.6999999999999993</v>
          </cell>
          <cell r="H1975">
            <v>45374</v>
          </cell>
          <cell r="I1975">
            <v>0.4933333333333334</v>
          </cell>
          <cell r="J1975">
            <v>23.783333333333335</v>
          </cell>
        </row>
        <row r="1976">
          <cell r="B1976">
            <v>48.37</v>
          </cell>
          <cell r="C1976">
            <v>90.67</v>
          </cell>
          <cell r="D1976">
            <v>14.25</v>
          </cell>
          <cell r="E1976">
            <v>8.6999999999999993</v>
          </cell>
          <cell r="H1976">
            <v>45374</v>
          </cell>
          <cell r="I1976">
            <v>0.5</v>
          </cell>
          <cell r="J1976">
            <v>23.266666666666666</v>
          </cell>
        </row>
        <row r="1977">
          <cell r="B1977">
            <v>49.64</v>
          </cell>
          <cell r="C1977">
            <v>99.07</v>
          </cell>
          <cell r="D1977">
            <v>14.26</v>
          </cell>
          <cell r="E1977">
            <v>8.57</v>
          </cell>
          <cell r="H1977">
            <v>45374</v>
          </cell>
          <cell r="I1977">
            <v>0.52666666666666662</v>
          </cell>
          <cell r="J1977">
            <v>22.998888888888889</v>
          </cell>
        </row>
        <row r="1978">
          <cell r="B1978">
            <v>46.89</v>
          </cell>
          <cell r="C1978">
            <v>97.88</v>
          </cell>
          <cell r="D1978">
            <v>13.94</v>
          </cell>
          <cell r="E1978">
            <v>8.3699999999999992</v>
          </cell>
          <cell r="H1978">
            <v>45374</v>
          </cell>
          <cell r="I1978">
            <v>0.55444444444444452</v>
          </cell>
          <cell r="J1978">
            <v>23.194444444444443</v>
          </cell>
        </row>
        <row r="1979">
          <cell r="B1979">
            <v>40.21</v>
          </cell>
          <cell r="C1979">
            <v>89.24</v>
          </cell>
          <cell r="D1979">
            <v>14.28</v>
          </cell>
          <cell r="E1979">
            <v>8.5399999999999991</v>
          </cell>
          <cell r="H1979">
            <v>45374</v>
          </cell>
          <cell r="I1979">
            <v>0.58333333333333326</v>
          </cell>
          <cell r="J1979">
            <v>24.592222222222219</v>
          </cell>
        </row>
        <row r="1980">
          <cell r="B1980">
            <v>42.88</v>
          </cell>
          <cell r="C1980">
            <v>107.18</v>
          </cell>
          <cell r="D1980">
            <v>14.98</v>
          </cell>
          <cell r="E1980">
            <v>8.66</v>
          </cell>
          <cell r="H1980">
            <v>45374</v>
          </cell>
          <cell r="I1980">
            <v>0.60444444444444445</v>
          </cell>
          <cell r="J1980">
            <v>26.951111111111111</v>
          </cell>
        </row>
        <row r="1981">
          <cell r="B1981">
            <v>39.1</v>
          </cell>
          <cell r="C1981">
            <v>101.76</v>
          </cell>
          <cell r="D1981">
            <v>15.95</v>
          </cell>
          <cell r="E1981">
            <v>9.1</v>
          </cell>
          <cell r="H1981">
            <v>45374</v>
          </cell>
          <cell r="I1981">
            <v>0.62777777777777766</v>
          </cell>
          <cell r="J1981">
            <v>29.948888888888884</v>
          </cell>
        </row>
        <row r="1982">
          <cell r="B1982">
            <v>35.6</v>
          </cell>
          <cell r="C1982">
            <v>87.66</v>
          </cell>
          <cell r="D1982">
            <v>15.77</v>
          </cell>
          <cell r="E1982">
            <v>8.83</v>
          </cell>
          <cell r="H1982">
            <v>45374</v>
          </cell>
          <cell r="I1982">
            <v>0.65777777777777779</v>
          </cell>
          <cell r="J1982">
            <v>33.31</v>
          </cell>
        </row>
        <row r="1983">
          <cell r="B1983">
            <v>35.83</v>
          </cell>
          <cell r="C1983">
            <v>91.53</v>
          </cell>
          <cell r="D1983">
            <v>15.77</v>
          </cell>
          <cell r="E1983">
            <v>8.6999999999999993</v>
          </cell>
          <cell r="H1983">
            <v>45374</v>
          </cell>
          <cell r="I1983">
            <v>0.68111111111111111</v>
          </cell>
          <cell r="J1983">
            <v>36.733333333333327</v>
          </cell>
        </row>
        <row r="1984">
          <cell r="B1984">
            <v>36.4</v>
          </cell>
          <cell r="C1984">
            <v>91.49</v>
          </cell>
          <cell r="D1984">
            <v>16.059999999999999</v>
          </cell>
          <cell r="E1984">
            <v>8.2799999999999994</v>
          </cell>
          <cell r="H1984">
            <v>45374</v>
          </cell>
          <cell r="I1984">
            <v>0.68111111111111111</v>
          </cell>
          <cell r="J1984">
            <v>39.225555555555552</v>
          </cell>
        </row>
        <row r="1985">
          <cell r="B1985">
            <v>35.36</v>
          </cell>
          <cell r="C1985">
            <v>100.34</v>
          </cell>
          <cell r="D1985">
            <v>16.38</v>
          </cell>
          <cell r="E1985">
            <v>8.49</v>
          </cell>
          <cell r="H1985">
            <v>45374</v>
          </cell>
          <cell r="I1985">
            <v>0.68111111111111122</v>
          </cell>
          <cell r="J1985">
            <v>41.378888888888888</v>
          </cell>
        </row>
        <row r="1986">
          <cell r="B1986">
            <v>37.450000000000003</v>
          </cell>
          <cell r="C1986">
            <v>102.04</v>
          </cell>
          <cell r="D1986">
            <v>15.23</v>
          </cell>
          <cell r="E1986">
            <v>9.16</v>
          </cell>
          <cell r="H1986">
            <v>45374</v>
          </cell>
          <cell r="I1986">
            <v>0.67666666666666653</v>
          </cell>
          <cell r="J1986">
            <v>42.798888888888882</v>
          </cell>
        </row>
        <row r="1987">
          <cell r="B1987">
            <v>36.590000000000003</v>
          </cell>
          <cell r="C1987">
            <v>94.54</v>
          </cell>
          <cell r="D1987">
            <v>15.96</v>
          </cell>
          <cell r="E1987">
            <v>8.39</v>
          </cell>
          <cell r="H1987">
            <v>45374</v>
          </cell>
          <cell r="I1987">
            <v>0.66555555555555546</v>
          </cell>
          <cell r="J1987">
            <v>44.036666666666662</v>
          </cell>
        </row>
        <row r="1988">
          <cell r="B1988">
            <v>39.32</v>
          </cell>
          <cell r="C1988">
            <v>94.98</v>
          </cell>
          <cell r="D1988">
            <v>17.25</v>
          </cell>
          <cell r="E1988">
            <v>8.92</v>
          </cell>
          <cell r="H1988">
            <v>45374</v>
          </cell>
          <cell r="I1988">
            <v>0.66333333333333322</v>
          </cell>
          <cell r="J1988">
            <v>43.646666666666668</v>
          </cell>
        </row>
        <row r="1989">
          <cell r="B1989">
            <v>44.04</v>
          </cell>
          <cell r="C1989">
            <v>117.87</v>
          </cell>
          <cell r="D1989">
            <v>16.18</v>
          </cell>
          <cell r="E1989">
            <v>8.65</v>
          </cell>
          <cell r="H1989">
            <v>45374</v>
          </cell>
          <cell r="I1989">
            <v>0.66111111111111098</v>
          </cell>
          <cell r="J1989">
            <v>42.611111111111114</v>
          </cell>
        </row>
        <row r="1990">
          <cell r="B1990">
            <v>46.84</v>
          </cell>
          <cell r="C1990">
            <v>123.39</v>
          </cell>
          <cell r="D1990">
            <v>17.62</v>
          </cell>
          <cell r="E1990">
            <v>8.44</v>
          </cell>
          <cell r="H1990">
            <v>45374</v>
          </cell>
          <cell r="I1990">
            <v>0.65222222222222226</v>
          </cell>
          <cell r="J1990">
            <v>40.898888888888884</v>
          </cell>
        </row>
        <row r="1991">
          <cell r="B1991">
            <v>52.11</v>
          </cell>
          <cell r="C1991">
            <v>118.15</v>
          </cell>
          <cell r="D1991">
            <v>17</v>
          </cell>
          <cell r="E1991">
            <v>7.79</v>
          </cell>
          <cell r="H1991">
            <v>45374</v>
          </cell>
          <cell r="I1991">
            <v>0.64222222222222225</v>
          </cell>
          <cell r="J1991">
            <v>39.123333333333335</v>
          </cell>
        </row>
        <row r="1992">
          <cell r="B1992">
            <v>45.54</v>
          </cell>
          <cell r="C1992">
            <v>107.97</v>
          </cell>
          <cell r="D1992">
            <v>16.07</v>
          </cell>
          <cell r="E1992">
            <v>7.98</v>
          </cell>
          <cell r="H1992">
            <v>45374</v>
          </cell>
          <cell r="I1992">
            <v>0.62777777777777777</v>
          </cell>
          <cell r="J1992">
            <v>36.967777777777776</v>
          </cell>
        </row>
        <row r="1993">
          <cell r="B1993">
            <v>41.92</v>
          </cell>
          <cell r="C1993">
            <v>98.41</v>
          </cell>
          <cell r="D1993">
            <v>15.51</v>
          </cell>
          <cell r="E1993">
            <v>8.4600000000000009</v>
          </cell>
          <cell r="H1993">
            <v>45374</v>
          </cell>
          <cell r="I1993">
            <v>0.60666666666666669</v>
          </cell>
          <cell r="J1993">
            <v>35.24444444444444</v>
          </cell>
        </row>
        <row r="1994">
          <cell r="B1994">
            <v>40.369999999999997</v>
          </cell>
          <cell r="C1994">
            <v>90.7</v>
          </cell>
          <cell r="D1994">
            <v>15.33</v>
          </cell>
          <cell r="E1994">
            <v>8.61</v>
          </cell>
          <cell r="H1994">
            <v>45375</v>
          </cell>
          <cell r="I1994">
            <v>0.5755555555555556</v>
          </cell>
          <cell r="J1994">
            <v>34.565555555555562</v>
          </cell>
        </row>
        <row r="1995">
          <cell r="B1995">
            <v>37.71</v>
          </cell>
          <cell r="C1995">
            <v>84.55</v>
          </cell>
          <cell r="D1995">
            <v>15.28</v>
          </cell>
          <cell r="E1995">
            <v>8.41</v>
          </cell>
          <cell r="H1995">
            <v>45375</v>
          </cell>
          <cell r="I1995">
            <v>0.5411111111111111</v>
          </cell>
          <cell r="J1995">
            <v>33.793333333333337</v>
          </cell>
        </row>
        <row r="1996">
          <cell r="B1996">
            <v>40.57</v>
          </cell>
          <cell r="C1996">
            <v>85.29</v>
          </cell>
          <cell r="D1996">
            <v>15.34</v>
          </cell>
          <cell r="E1996">
            <v>7.98</v>
          </cell>
          <cell r="H1996">
            <v>45375</v>
          </cell>
          <cell r="I1996">
            <v>0.52222222222222225</v>
          </cell>
          <cell r="J1996">
            <v>33.178888888888885</v>
          </cell>
        </row>
        <row r="1997">
          <cell r="B1997">
            <v>38.72</v>
          </cell>
          <cell r="C1997">
            <v>80.150000000000006</v>
          </cell>
          <cell r="D1997">
            <v>15.37</v>
          </cell>
          <cell r="E1997">
            <v>7.69</v>
          </cell>
          <cell r="H1997">
            <v>45375</v>
          </cell>
          <cell r="I1997">
            <v>0.49444444444444458</v>
          </cell>
          <cell r="J1997">
            <v>33.11333333333333</v>
          </cell>
        </row>
        <row r="1998">
          <cell r="B1998">
            <v>36.28</v>
          </cell>
          <cell r="C1998">
            <v>74.599999999999994</v>
          </cell>
          <cell r="D1998">
            <v>15.13</v>
          </cell>
          <cell r="E1998">
            <v>7.77</v>
          </cell>
          <cell r="H1998">
            <v>45375</v>
          </cell>
          <cell r="I1998">
            <v>0.47444444444444439</v>
          </cell>
          <cell r="J1998">
            <v>32.633333333333333</v>
          </cell>
        </row>
        <row r="1999">
          <cell r="B1999">
            <v>34.06</v>
          </cell>
          <cell r="C1999">
            <v>71.77</v>
          </cell>
          <cell r="D1999">
            <v>15.18</v>
          </cell>
          <cell r="E1999">
            <v>8.5399999999999991</v>
          </cell>
          <cell r="H1999">
            <v>45375</v>
          </cell>
          <cell r="I1999">
            <v>0.4655555555555555</v>
          </cell>
          <cell r="J1999">
            <v>32.217777777777783</v>
          </cell>
        </row>
        <row r="2000">
          <cell r="B2000">
            <v>37.340000000000003</v>
          </cell>
          <cell r="C2000">
            <v>73.989999999999995</v>
          </cell>
          <cell r="D2000">
            <v>15.82</v>
          </cell>
          <cell r="E2000">
            <v>8.83</v>
          </cell>
          <cell r="H2000">
            <v>45375</v>
          </cell>
          <cell r="I2000">
            <v>0.45999999999999996</v>
          </cell>
          <cell r="J2000">
            <v>31.522222222222222</v>
          </cell>
        </row>
        <row r="2001">
          <cell r="B2001">
            <v>40.799999999999997</v>
          </cell>
          <cell r="C2001">
            <v>93.1</v>
          </cell>
          <cell r="D2001">
            <v>16.37</v>
          </cell>
          <cell r="E2001">
            <v>8.9600000000000009</v>
          </cell>
          <cell r="H2001">
            <v>45375</v>
          </cell>
          <cell r="I2001">
            <v>0.46888888888888897</v>
          </cell>
          <cell r="J2001">
            <v>31.328888888888887</v>
          </cell>
        </row>
        <row r="2002">
          <cell r="B2002">
            <v>42.86</v>
          </cell>
          <cell r="C2002">
            <v>112.54</v>
          </cell>
          <cell r="D2002">
            <v>16.13</v>
          </cell>
          <cell r="E2002">
            <v>10.26</v>
          </cell>
          <cell r="H2002">
            <v>45375</v>
          </cell>
          <cell r="I2002">
            <v>0.47666666666666679</v>
          </cell>
          <cell r="J2002">
            <v>32.106666666666662</v>
          </cell>
        </row>
        <row r="2003">
          <cell r="B2003">
            <v>43.4</v>
          </cell>
          <cell r="C2003">
            <v>95.06</v>
          </cell>
          <cell r="D2003">
            <v>16.02</v>
          </cell>
          <cell r="E2003">
            <v>12.45</v>
          </cell>
          <cell r="H2003">
            <v>45375</v>
          </cell>
          <cell r="I2003">
            <v>0.48888888888888893</v>
          </cell>
          <cell r="J2003">
            <v>33.162222222222219</v>
          </cell>
        </row>
        <row r="2004">
          <cell r="B2004">
            <v>46.32</v>
          </cell>
          <cell r="C2004">
            <v>95.36</v>
          </cell>
          <cell r="D2004">
            <v>16.38</v>
          </cell>
          <cell r="E2004">
            <v>11.32</v>
          </cell>
          <cell r="H2004">
            <v>45375</v>
          </cell>
          <cell r="I2004">
            <v>0.49888888888888894</v>
          </cell>
          <cell r="J2004">
            <v>34.74666666666667</v>
          </cell>
        </row>
        <row r="2005">
          <cell r="B2005">
            <v>40.96</v>
          </cell>
          <cell r="C2005">
            <v>96.03</v>
          </cell>
          <cell r="D2005">
            <v>16.78</v>
          </cell>
          <cell r="E2005">
            <v>10.199999999999999</v>
          </cell>
          <cell r="H2005">
            <v>45375</v>
          </cell>
          <cell r="I2005">
            <v>0.5</v>
          </cell>
          <cell r="J2005">
            <v>37.085555555555551</v>
          </cell>
        </row>
        <row r="2006">
          <cell r="B2006">
            <v>40.86</v>
          </cell>
          <cell r="C2006">
            <v>93.33</v>
          </cell>
          <cell r="D2006">
            <v>16.88</v>
          </cell>
          <cell r="E2006">
            <v>8.32</v>
          </cell>
          <cell r="H2006">
            <v>45375</v>
          </cell>
          <cell r="I2006">
            <v>0.50222222222222224</v>
          </cell>
          <cell r="J2006">
            <v>39.327777777777783</v>
          </cell>
        </row>
        <row r="2007">
          <cell r="B2007">
            <v>37.9</v>
          </cell>
          <cell r="C2007">
            <v>104.7</v>
          </cell>
          <cell r="D2007">
            <v>16.98</v>
          </cell>
          <cell r="E2007">
            <v>8.44</v>
          </cell>
          <cell r="H2007">
            <v>45375</v>
          </cell>
          <cell r="I2007">
            <v>0.50333333333333341</v>
          </cell>
          <cell r="J2007">
            <v>40.723333333333336</v>
          </cell>
        </row>
        <row r="2008">
          <cell r="B2008">
            <v>38.22</v>
          </cell>
          <cell r="C2008">
            <v>93.89</v>
          </cell>
          <cell r="D2008">
            <v>16.53</v>
          </cell>
          <cell r="E2008">
            <v>9.76</v>
          </cell>
          <cell r="H2008">
            <v>45375</v>
          </cell>
          <cell r="I2008">
            <v>0.49666666666666665</v>
          </cell>
          <cell r="J2008">
            <v>42.297777777777782</v>
          </cell>
        </row>
        <row r="2009">
          <cell r="B2009">
            <v>34.4</v>
          </cell>
          <cell r="C2009">
            <v>96.66</v>
          </cell>
          <cell r="D2009">
            <v>16.420000000000002</v>
          </cell>
          <cell r="E2009">
            <v>9.56</v>
          </cell>
          <cell r="H2009">
            <v>45375</v>
          </cell>
          <cell r="I2009">
            <v>0.49888888888888883</v>
          </cell>
          <cell r="J2009">
            <v>43.615555555555552</v>
          </cell>
        </row>
        <row r="2010">
          <cell r="B2010">
            <v>37.229999999999997</v>
          </cell>
          <cell r="C2010">
            <v>89.51</v>
          </cell>
          <cell r="D2010">
            <v>16.100000000000001</v>
          </cell>
          <cell r="E2010">
            <v>8.77</v>
          </cell>
          <cell r="H2010">
            <v>45375</v>
          </cell>
          <cell r="I2010">
            <v>0.49555555555555553</v>
          </cell>
          <cell r="J2010">
            <v>44.718888888888891</v>
          </cell>
        </row>
        <row r="2011">
          <cell r="B2011">
            <v>34.57</v>
          </cell>
          <cell r="C2011">
            <v>76.739999999999995</v>
          </cell>
          <cell r="D2011">
            <v>15.81</v>
          </cell>
          <cell r="E2011">
            <v>8.06</v>
          </cell>
          <cell r="H2011">
            <v>45375</v>
          </cell>
          <cell r="I2011">
            <v>0.49888888888888894</v>
          </cell>
          <cell r="J2011">
            <v>44.902222222222221</v>
          </cell>
        </row>
        <row r="2012">
          <cell r="B2012">
            <v>45.88</v>
          </cell>
          <cell r="C2012">
            <v>80.5</v>
          </cell>
          <cell r="D2012">
            <v>16.32</v>
          </cell>
          <cell r="E2012">
            <v>8.41</v>
          </cell>
          <cell r="H2012">
            <v>45375</v>
          </cell>
          <cell r="I2012">
            <v>0.51</v>
          </cell>
          <cell r="J2012">
            <v>44.30777777777778</v>
          </cell>
        </row>
        <row r="2013">
          <cell r="B2013">
            <v>45.86</v>
          </cell>
          <cell r="C2013">
            <v>97.04</v>
          </cell>
          <cell r="D2013">
            <v>16.78</v>
          </cell>
          <cell r="E2013">
            <v>9.82</v>
          </cell>
          <cell r="H2013">
            <v>45375</v>
          </cell>
          <cell r="I2013">
            <v>0.52777777777777779</v>
          </cell>
          <cell r="J2013">
            <v>43.254444444444438</v>
          </cell>
        </row>
        <row r="2014">
          <cell r="B2014">
            <v>47.78</v>
          </cell>
          <cell r="C2014">
            <v>90.6</v>
          </cell>
          <cell r="D2014">
            <v>16.7</v>
          </cell>
          <cell r="E2014">
            <v>10.77</v>
          </cell>
          <cell r="H2014">
            <v>45375</v>
          </cell>
          <cell r="I2014">
            <v>0.55111111111111111</v>
          </cell>
          <cell r="J2014">
            <v>41.376666666666665</v>
          </cell>
        </row>
        <row r="2015">
          <cell r="B2015">
            <v>52.11</v>
          </cell>
          <cell r="C2015">
            <v>103.88</v>
          </cell>
          <cell r="D2015">
            <v>15.37</v>
          </cell>
          <cell r="E2015">
            <v>10.06</v>
          </cell>
          <cell r="H2015">
            <v>45375</v>
          </cell>
          <cell r="I2015">
            <v>0.56333333333333335</v>
          </cell>
          <cell r="J2015">
            <v>38.74</v>
          </cell>
        </row>
        <row r="2016">
          <cell r="B2016">
            <v>52.8</v>
          </cell>
          <cell r="C2016">
            <v>103.32</v>
          </cell>
          <cell r="D2016">
            <v>15.31</v>
          </cell>
          <cell r="E2016">
            <v>8.8800000000000008</v>
          </cell>
          <cell r="H2016">
            <v>45375</v>
          </cell>
          <cell r="I2016">
            <v>0.56999999999999995</v>
          </cell>
          <cell r="J2016">
            <v>37.6</v>
          </cell>
        </row>
        <row r="2017">
          <cell r="B2017">
            <v>49.99</v>
          </cell>
          <cell r="C2017">
            <v>93.23</v>
          </cell>
          <cell r="D2017">
            <v>15.06</v>
          </cell>
          <cell r="E2017">
            <v>8.19</v>
          </cell>
          <cell r="H2017">
            <v>45375</v>
          </cell>
          <cell r="I2017">
            <v>0.57555555555555549</v>
          </cell>
          <cell r="J2017">
            <v>36.593333333333334</v>
          </cell>
        </row>
        <row r="2018">
          <cell r="B2018">
            <v>48.7</v>
          </cell>
          <cell r="C2018">
            <v>84.6</v>
          </cell>
          <cell r="D2018">
            <v>14.96</v>
          </cell>
          <cell r="E2018">
            <v>7.68</v>
          </cell>
          <cell r="H2018">
            <v>45376</v>
          </cell>
          <cell r="I2018">
            <v>0.568888888888889</v>
          </cell>
          <cell r="J2018">
            <v>36.208888888888886</v>
          </cell>
        </row>
        <row r="2019">
          <cell r="B2019">
            <v>40.71</v>
          </cell>
          <cell r="C2019">
            <v>80.47</v>
          </cell>
          <cell r="D2019">
            <v>14.21</v>
          </cell>
          <cell r="E2019">
            <v>7.25</v>
          </cell>
          <cell r="H2019">
            <v>45376</v>
          </cell>
          <cell r="I2019">
            <v>0.56111111111111112</v>
          </cell>
          <cell r="J2019">
            <v>35.75333333333333</v>
          </cell>
        </row>
        <row r="2020">
          <cell r="B2020">
            <v>41.14</v>
          </cell>
          <cell r="C2020">
            <v>79.95</v>
          </cell>
          <cell r="D2020">
            <v>14.31</v>
          </cell>
          <cell r="E2020">
            <v>7.04</v>
          </cell>
          <cell r="H2020">
            <v>45376</v>
          </cell>
          <cell r="I2020">
            <v>0.55444444444444452</v>
          </cell>
          <cell r="J2020">
            <v>35.42444444444444</v>
          </cell>
        </row>
        <row r="2021">
          <cell r="B2021">
            <v>38.369999999999997</v>
          </cell>
          <cell r="C2021">
            <v>72.98</v>
          </cell>
          <cell r="D2021">
            <v>14.43</v>
          </cell>
          <cell r="E2021">
            <v>7.51</v>
          </cell>
          <cell r="H2021">
            <v>45376</v>
          </cell>
          <cell r="I2021">
            <v>0.54111111111111099</v>
          </cell>
          <cell r="J2021">
            <v>34.892222222222216</v>
          </cell>
        </row>
        <row r="2022">
          <cell r="B2022">
            <v>43.71</v>
          </cell>
          <cell r="C2022">
            <v>79.569999999999993</v>
          </cell>
          <cell r="D2022">
            <v>14.35</v>
          </cell>
          <cell r="E2022">
            <v>7.79</v>
          </cell>
          <cell r="H2022">
            <v>45376</v>
          </cell>
          <cell r="I2022">
            <v>0.52444444444444449</v>
          </cell>
          <cell r="J2022">
            <v>34.345555555555556</v>
          </cell>
        </row>
        <row r="2023">
          <cell r="B2023">
            <v>47.32</v>
          </cell>
          <cell r="C2023">
            <v>83.18</v>
          </cell>
          <cell r="D2023">
            <v>15.17</v>
          </cell>
          <cell r="E2023">
            <v>7.49</v>
          </cell>
          <cell r="H2023">
            <v>45376</v>
          </cell>
          <cell r="I2023">
            <v>0.51888888888888884</v>
          </cell>
          <cell r="J2023">
            <v>33.715555555555554</v>
          </cell>
        </row>
        <row r="2024">
          <cell r="B2024">
            <v>50.76</v>
          </cell>
          <cell r="C2024">
            <v>89.26</v>
          </cell>
          <cell r="D2024">
            <v>15.31</v>
          </cell>
          <cell r="E2024">
            <v>7.53</v>
          </cell>
          <cell r="H2024">
            <v>45376</v>
          </cell>
          <cell r="I2024">
            <v>0.52111111111111108</v>
          </cell>
          <cell r="J2024">
            <v>33.465555555555561</v>
          </cell>
        </row>
        <row r="2025">
          <cell r="B2025">
            <v>52.81</v>
          </cell>
          <cell r="C2025">
            <v>96.23</v>
          </cell>
          <cell r="D2025">
            <v>15.52</v>
          </cell>
          <cell r="E2025">
            <v>7.38</v>
          </cell>
          <cell r="H2025">
            <v>45376</v>
          </cell>
          <cell r="I2025">
            <v>0.52888888888888885</v>
          </cell>
          <cell r="J2025">
            <v>33.182222222222222</v>
          </cell>
        </row>
        <row r="2026">
          <cell r="B2026">
            <v>47.56</v>
          </cell>
          <cell r="C2026">
            <v>92.99</v>
          </cell>
          <cell r="D2026">
            <v>16.010000000000002</v>
          </cell>
          <cell r="E2026">
            <v>7.76</v>
          </cell>
          <cell r="H2026">
            <v>45376</v>
          </cell>
          <cell r="I2026">
            <v>0.53555555555555545</v>
          </cell>
          <cell r="J2026">
            <v>33.384444444444441</v>
          </cell>
        </row>
        <row r="2027">
          <cell r="B2027">
            <v>38.270000000000003</v>
          </cell>
          <cell r="C2027">
            <v>81.39</v>
          </cell>
          <cell r="D2027">
            <v>14.38</v>
          </cell>
          <cell r="E2027">
            <v>7.84</v>
          </cell>
          <cell r="H2027">
            <v>45376</v>
          </cell>
          <cell r="I2027">
            <v>0.54444444444444451</v>
          </cell>
          <cell r="J2027">
            <v>32.839999999999996</v>
          </cell>
        </row>
        <row r="2028">
          <cell r="B2028">
            <v>31.59</v>
          </cell>
          <cell r="C2028">
            <v>76.650000000000006</v>
          </cell>
          <cell r="D2028">
            <v>15.05</v>
          </cell>
          <cell r="E2028">
            <v>7.09</v>
          </cell>
          <cell r="H2028">
            <v>45376</v>
          </cell>
          <cell r="I2028">
            <v>0.56000000000000005</v>
          </cell>
          <cell r="J2028">
            <v>33.455555555555549</v>
          </cell>
        </row>
        <row r="2029">
          <cell r="B2029">
            <v>27.54</v>
          </cell>
          <cell r="C2029">
            <v>80.11</v>
          </cell>
          <cell r="D2029">
            <v>15.94</v>
          </cell>
          <cell r="E2029">
            <v>6.84</v>
          </cell>
          <cell r="H2029">
            <v>45376</v>
          </cell>
          <cell r="I2029">
            <v>0.57333333333333325</v>
          </cell>
          <cell r="J2029">
            <v>34.865555555555567</v>
          </cell>
        </row>
        <row r="2030">
          <cell r="B2030">
            <v>34.14</v>
          </cell>
          <cell r="C2030">
            <v>82.84</v>
          </cell>
          <cell r="D2030">
            <v>16.260000000000002</v>
          </cell>
          <cell r="E2030">
            <v>7.93</v>
          </cell>
          <cell r="H2030">
            <v>45376</v>
          </cell>
          <cell r="I2030">
            <v>0.57555555555555549</v>
          </cell>
          <cell r="J2030">
            <v>36.218888888888884</v>
          </cell>
        </row>
        <row r="2031">
          <cell r="B2031">
            <v>39.31</v>
          </cell>
          <cell r="C2031">
            <v>83</v>
          </cell>
          <cell r="D2031">
            <v>16.260000000000002</v>
          </cell>
          <cell r="E2031">
            <v>7.82</v>
          </cell>
          <cell r="H2031">
            <v>45376</v>
          </cell>
          <cell r="I2031">
            <v>0.57666666666666666</v>
          </cell>
          <cell r="J2031">
            <v>37.596666666666664</v>
          </cell>
        </row>
        <row r="2032">
          <cell r="B2032">
            <v>40.44</v>
          </cell>
          <cell r="C2032">
            <v>89.93</v>
          </cell>
          <cell r="D2032">
            <v>15.61</v>
          </cell>
          <cell r="E2032">
            <v>7.58</v>
          </cell>
          <cell r="H2032">
            <v>45376</v>
          </cell>
          <cell r="I2032">
            <v>0.56777777777777771</v>
          </cell>
          <cell r="J2032">
            <v>39.721111111111114</v>
          </cell>
        </row>
        <row r="2033">
          <cell r="B2033">
            <v>41.76</v>
          </cell>
          <cell r="C2033">
            <v>92.06</v>
          </cell>
          <cell r="D2033">
            <v>14.94</v>
          </cell>
          <cell r="E2033">
            <v>7.44</v>
          </cell>
          <cell r="H2033">
            <v>45376</v>
          </cell>
          <cell r="I2033">
            <v>0.55444444444444441</v>
          </cell>
          <cell r="J2033">
            <v>41.786666666666662</v>
          </cell>
        </row>
        <row r="2034">
          <cell r="B2034">
            <v>40.96</v>
          </cell>
          <cell r="C2034">
            <v>91.34</v>
          </cell>
          <cell r="D2034">
            <v>15.29</v>
          </cell>
          <cell r="E2034">
            <v>7.75</v>
          </cell>
          <cell r="H2034">
            <v>45376</v>
          </cell>
          <cell r="I2034">
            <v>0.54555555555555557</v>
          </cell>
          <cell r="J2034">
            <v>43.385555555555555</v>
          </cell>
        </row>
        <row r="2035">
          <cell r="B2035">
            <v>42.65</v>
          </cell>
          <cell r="C2035">
            <v>94.03</v>
          </cell>
          <cell r="D2035">
            <v>15.53</v>
          </cell>
          <cell r="E2035">
            <v>7.44</v>
          </cell>
          <cell r="H2035">
            <v>45376</v>
          </cell>
          <cell r="I2035">
            <v>0.54555555555555557</v>
          </cell>
          <cell r="J2035">
            <v>44.103333333333332</v>
          </cell>
        </row>
        <row r="2036">
          <cell r="B2036">
            <v>43.4</v>
          </cell>
          <cell r="C2036">
            <v>99.97</v>
          </cell>
          <cell r="D2036">
            <v>16.440000000000001</v>
          </cell>
          <cell r="E2036">
            <v>6.6</v>
          </cell>
          <cell r="H2036">
            <v>45376</v>
          </cell>
          <cell r="I2036">
            <v>0.55111111111111111</v>
          </cell>
          <cell r="J2036">
            <v>45.038888888888891</v>
          </cell>
        </row>
        <row r="2037">
          <cell r="B2037">
            <v>47.66</v>
          </cell>
          <cell r="C2037">
            <v>113.65</v>
          </cell>
          <cell r="D2037">
            <v>16.45</v>
          </cell>
          <cell r="E2037">
            <v>7.08</v>
          </cell>
          <cell r="H2037">
            <v>45376</v>
          </cell>
          <cell r="I2037">
            <v>0.55222222222222228</v>
          </cell>
          <cell r="J2037">
            <v>44.666666666666664</v>
          </cell>
        </row>
        <row r="2038">
          <cell r="B2038">
            <v>49.36</v>
          </cell>
          <cell r="C2038">
            <v>108.73</v>
          </cell>
          <cell r="D2038">
            <v>15.81</v>
          </cell>
          <cell r="E2038">
            <v>6.96</v>
          </cell>
          <cell r="H2038">
            <v>45376</v>
          </cell>
          <cell r="I2038">
            <v>0.5477777777777777</v>
          </cell>
          <cell r="J2038">
            <v>43.283333333333331</v>
          </cell>
        </row>
        <row r="2039">
          <cell r="B2039">
            <v>48.58</v>
          </cell>
          <cell r="C2039">
            <v>99.71</v>
          </cell>
          <cell r="D2039">
            <v>14.64</v>
          </cell>
          <cell r="E2039">
            <v>7.18</v>
          </cell>
          <cell r="H2039">
            <v>45376</v>
          </cell>
          <cell r="I2039">
            <v>0.54666666666666663</v>
          </cell>
          <cell r="J2039">
            <v>41.867777777777775</v>
          </cell>
        </row>
        <row r="2040">
          <cell r="B2040">
            <v>47.17</v>
          </cell>
          <cell r="C2040">
            <v>92.5</v>
          </cell>
          <cell r="D2040">
            <v>14.53</v>
          </cell>
          <cell r="E2040">
            <v>7.3</v>
          </cell>
          <cell r="H2040">
            <v>45376</v>
          </cell>
          <cell r="I2040">
            <v>0.54444444444444451</v>
          </cell>
          <cell r="J2040">
            <v>40.836666666666666</v>
          </cell>
        </row>
        <row r="2041">
          <cell r="B2041">
            <v>43.45</v>
          </cell>
          <cell r="C2041">
            <v>85.25</v>
          </cell>
          <cell r="D2041">
            <v>14.09</v>
          </cell>
          <cell r="E2041">
            <v>7.1</v>
          </cell>
          <cell r="H2041">
            <v>45376</v>
          </cell>
          <cell r="I2041">
            <v>0.54111111111111099</v>
          </cell>
          <cell r="J2041">
            <v>39.318888888888878</v>
          </cell>
        </row>
        <row r="2042">
          <cell r="B2042">
            <v>38.24</v>
          </cell>
          <cell r="C2042">
            <v>76.97</v>
          </cell>
          <cell r="D2042">
            <v>13.87</v>
          </cell>
          <cell r="E2042">
            <v>6.61</v>
          </cell>
          <cell r="H2042">
            <v>45377</v>
          </cell>
          <cell r="I2042">
            <v>0.53888888888888897</v>
          </cell>
          <cell r="J2042">
            <v>38.456666666666663</v>
          </cell>
        </row>
        <row r="2043">
          <cell r="B2043">
            <v>33.56</v>
          </cell>
          <cell r="C2043">
            <v>72.06</v>
          </cell>
          <cell r="D2043">
            <v>13.68</v>
          </cell>
          <cell r="E2043">
            <v>6.71</v>
          </cell>
          <cell r="H2043">
            <v>45377</v>
          </cell>
          <cell r="I2043">
            <v>0.53222222222222215</v>
          </cell>
          <cell r="J2043">
            <v>37.76</v>
          </cell>
        </row>
        <row r="2044">
          <cell r="B2044">
            <v>35.659999999999997</v>
          </cell>
          <cell r="C2044">
            <v>68.39</v>
          </cell>
          <cell r="D2044">
            <v>13.04</v>
          </cell>
          <cell r="E2044">
            <v>6.8</v>
          </cell>
          <cell r="H2044">
            <v>45377</v>
          </cell>
          <cell r="I2044">
            <v>0.52</v>
          </cell>
          <cell r="J2044">
            <v>36.767777777777781</v>
          </cell>
        </row>
        <row r="2045">
          <cell r="B2045">
            <v>34.79</v>
          </cell>
          <cell r="C2045">
            <v>65.849999999999994</v>
          </cell>
          <cell r="D2045">
            <v>13</v>
          </cell>
          <cell r="E2045">
            <v>7.53</v>
          </cell>
          <cell r="H2045">
            <v>45377</v>
          </cell>
          <cell r="I2045">
            <v>0.5033333333333333</v>
          </cell>
          <cell r="J2045">
            <v>36.101111111111116</v>
          </cell>
        </row>
        <row r="2046">
          <cell r="B2046">
            <v>34.49</v>
          </cell>
          <cell r="C2046">
            <v>63.72</v>
          </cell>
          <cell r="D2046">
            <v>13.3</v>
          </cell>
          <cell r="E2046">
            <v>8.09</v>
          </cell>
          <cell r="H2046">
            <v>45377</v>
          </cell>
          <cell r="I2046">
            <v>0.49</v>
          </cell>
          <cell r="J2046">
            <v>35.214444444444446</v>
          </cell>
        </row>
        <row r="2047">
          <cell r="B2047">
            <v>37.22</v>
          </cell>
          <cell r="C2047">
            <v>75.819999999999993</v>
          </cell>
          <cell r="D2047">
            <v>13.65</v>
          </cell>
          <cell r="E2047">
            <v>8.39</v>
          </cell>
          <cell r="H2047">
            <v>45377</v>
          </cell>
          <cell r="I2047">
            <v>0.48333333333333328</v>
          </cell>
          <cell r="J2047">
            <v>34.19777777777778</v>
          </cell>
        </row>
        <row r="2048">
          <cell r="B2048">
            <v>39.47</v>
          </cell>
          <cell r="C2048">
            <v>69.239999999999995</v>
          </cell>
          <cell r="D2048">
            <v>13.83</v>
          </cell>
          <cell r="E2048">
            <v>8.89</v>
          </cell>
          <cell r="H2048">
            <v>45377</v>
          </cell>
          <cell r="I2048">
            <v>0.48777777777777775</v>
          </cell>
          <cell r="J2048">
            <v>33.238888888888887</v>
          </cell>
        </row>
        <row r="2049">
          <cell r="B2049">
            <v>41.05</v>
          </cell>
          <cell r="C2049">
            <v>86.3</v>
          </cell>
          <cell r="D2049">
            <v>14.18</v>
          </cell>
          <cell r="E2049">
            <v>8.4499999999999993</v>
          </cell>
          <cell r="H2049">
            <v>45377</v>
          </cell>
          <cell r="I2049">
            <v>0.49444444444444435</v>
          </cell>
          <cell r="J2049">
            <v>32.236666666666665</v>
          </cell>
        </row>
        <row r="2050">
          <cell r="B2050">
            <v>40.26</v>
          </cell>
          <cell r="C2050">
            <v>85.6</v>
          </cell>
          <cell r="D2050">
            <v>14.84</v>
          </cell>
          <cell r="E2050">
            <v>7.64</v>
          </cell>
          <cell r="H2050">
            <v>45377</v>
          </cell>
          <cell r="I2050">
            <v>0.50222222222222224</v>
          </cell>
          <cell r="J2050">
            <v>31.917777777777776</v>
          </cell>
        </row>
        <row r="2051">
          <cell r="B2051">
            <v>39.22</v>
          </cell>
          <cell r="C2051">
            <v>83.67</v>
          </cell>
          <cell r="D2051">
            <v>15.07</v>
          </cell>
          <cell r="E2051">
            <v>7.83</v>
          </cell>
          <cell r="H2051">
            <v>45377</v>
          </cell>
          <cell r="I2051">
            <v>0.50888888888888895</v>
          </cell>
          <cell r="J2051">
            <v>32.208888888888886</v>
          </cell>
        </row>
        <row r="2052">
          <cell r="B2052">
            <v>40.590000000000003</v>
          </cell>
          <cell r="C2052">
            <v>93.95</v>
          </cell>
          <cell r="D2052">
            <v>15.86</v>
          </cell>
          <cell r="E2052">
            <v>8.26</v>
          </cell>
          <cell r="H2052">
            <v>45377</v>
          </cell>
          <cell r="I2052">
            <v>0.52</v>
          </cell>
          <cell r="J2052">
            <v>33.342222222222219</v>
          </cell>
        </row>
        <row r="2053">
          <cell r="B2053">
            <v>42.32</v>
          </cell>
          <cell r="C2053">
            <v>94.06</v>
          </cell>
          <cell r="D2053">
            <v>15.25</v>
          </cell>
          <cell r="E2053">
            <v>8.36</v>
          </cell>
          <cell r="H2053">
            <v>45377</v>
          </cell>
          <cell r="I2053">
            <v>0.52888888888888885</v>
          </cell>
          <cell r="J2053">
            <v>35.19</v>
          </cell>
        </row>
        <row r="2054">
          <cell r="B2054">
            <v>42.82</v>
          </cell>
          <cell r="C2054">
            <v>93.55</v>
          </cell>
          <cell r="D2054">
            <v>16</v>
          </cell>
          <cell r="E2054">
            <v>8.3800000000000008</v>
          </cell>
          <cell r="H2054">
            <v>45377</v>
          </cell>
          <cell r="I2054">
            <v>0.53555555555555556</v>
          </cell>
          <cell r="J2054">
            <v>37.077777777777783</v>
          </cell>
        </row>
        <row r="2055">
          <cell r="B2055">
            <v>42.4</v>
          </cell>
          <cell r="C2055">
            <v>96.51</v>
          </cell>
          <cell r="D2055">
            <v>16.11</v>
          </cell>
          <cell r="E2055">
            <v>8.32</v>
          </cell>
          <cell r="H2055">
            <v>45377</v>
          </cell>
          <cell r="I2055">
            <v>0.53888888888888886</v>
          </cell>
          <cell r="J2055">
            <v>39.465555555555547</v>
          </cell>
        </row>
        <row r="2056">
          <cell r="B2056">
            <v>44.82</v>
          </cell>
          <cell r="C2056">
            <v>101.7</v>
          </cell>
          <cell r="D2056">
            <v>15.55</v>
          </cell>
          <cell r="E2056">
            <v>7.74</v>
          </cell>
          <cell r="H2056">
            <v>45377</v>
          </cell>
          <cell r="I2056">
            <v>0.54111111111111099</v>
          </cell>
          <cell r="J2056">
            <v>41.938888888888883</v>
          </cell>
        </row>
        <row r="2057">
          <cell r="B2057">
            <v>44.69</v>
          </cell>
          <cell r="C2057">
            <v>102.53</v>
          </cell>
          <cell r="D2057">
            <v>16.02</v>
          </cell>
          <cell r="E2057">
            <v>8.24</v>
          </cell>
          <cell r="H2057">
            <v>45377</v>
          </cell>
          <cell r="I2057">
            <v>0.53666666666666663</v>
          </cell>
          <cell r="J2057">
            <v>44.648888888888891</v>
          </cell>
        </row>
        <row r="2058">
          <cell r="B2058">
            <v>44.72</v>
          </cell>
          <cell r="C2058">
            <v>101.88</v>
          </cell>
          <cell r="D2058">
            <v>15.78</v>
          </cell>
          <cell r="E2058">
            <v>7.61</v>
          </cell>
          <cell r="H2058">
            <v>45377</v>
          </cell>
          <cell r="I2058">
            <v>0.53555555555555556</v>
          </cell>
          <cell r="J2058">
            <v>46.823333333333338</v>
          </cell>
        </row>
        <row r="2059">
          <cell r="B2059">
            <v>44.86</v>
          </cell>
          <cell r="C2059">
            <v>100.66</v>
          </cell>
          <cell r="D2059">
            <v>15.13</v>
          </cell>
          <cell r="E2059">
            <v>7.93</v>
          </cell>
          <cell r="H2059">
            <v>45377</v>
          </cell>
          <cell r="I2059">
            <v>0.53999999999999992</v>
          </cell>
          <cell r="J2059">
            <v>47.89</v>
          </cell>
        </row>
        <row r="2060">
          <cell r="B2060">
            <v>50.41</v>
          </cell>
          <cell r="C2060">
            <v>102.6</v>
          </cell>
          <cell r="D2060">
            <v>15.82</v>
          </cell>
          <cell r="E2060">
            <v>7.61</v>
          </cell>
          <cell r="H2060">
            <v>45377</v>
          </cell>
          <cell r="I2060">
            <v>0.55222222222222217</v>
          </cell>
          <cell r="J2060">
            <v>47.701111111111111</v>
          </cell>
        </row>
        <row r="2061">
          <cell r="B2061">
            <v>52.09</v>
          </cell>
          <cell r="C2061">
            <v>111.68</v>
          </cell>
          <cell r="D2061">
            <v>16.420000000000002</v>
          </cell>
          <cell r="E2061">
            <v>7.47</v>
          </cell>
          <cell r="H2061">
            <v>45377</v>
          </cell>
          <cell r="I2061">
            <v>0.55666666666666664</v>
          </cell>
          <cell r="J2061">
            <v>46.388888888888886</v>
          </cell>
        </row>
        <row r="2062">
          <cell r="B2062">
            <v>50.69</v>
          </cell>
          <cell r="C2062">
            <v>109.75</v>
          </cell>
          <cell r="D2062">
            <v>15.94</v>
          </cell>
          <cell r="E2062">
            <v>7.53</v>
          </cell>
          <cell r="H2062">
            <v>45377</v>
          </cell>
          <cell r="I2062">
            <v>0.56222222222222218</v>
          </cell>
          <cell r="J2062">
            <v>44.063333333333333</v>
          </cell>
        </row>
        <row r="2063">
          <cell r="B2063">
            <v>130.59</v>
          </cell>
          <cell r="C2063">
            <v>102.06</v>
          </cell>
          <cell r="D2063">
            <v>15.58</v>
          </cell>
          <cell r="E2063">
            <v>7.45</v>
          </cell>
          <cell r="H2063">
            <v>45377</v>
          </cell>
          <cell r="I2063">
            <v>0.56333333333333335</v>
          </cell>
          <cell r="J2063">
            <v>42.037777777777777</v>
          </cell>
        </row>
        <row r="2064">
          <cell r="B2064">
            <v>45.39</v>
          </cell>
          <cell r="C2064">
            <v>95.91</v>
          </cell>
          <cell r="D2064">
            <v>15.25</v>
          </cell>
          <cell r="E2064">
            <v>7.2</v>
          </cell>
          <cell r="H2064">
            <v>45377</v>
          </cell>
          <cell r="I2064">
            <v>0.56111111111111112</v>
          </cell>
          <cell r="J2064">
            <v>40.478888888888889</v>
          </cell>
        </row>
        <row r="2065">
          <cell r="B2065">
            <v>44</v>
          </cell>
          <cell r="C2065">
            <v>87.51</v>
          </cell>
          <cell r="D2065">
            <v>15.14</v>
          </cell>
          <cell r="E2065">
            <v>6.95</v>
          </cell>
          <cell r="H2065">
            <v>45377</v>
          </cell>
          <cell r="I2065">
            <v>0.55444444444444452</v>
          </cell>
          <cell r="J2065">
            <v>39.349999999999994</v>
          </cell>
        </row>
        <row r="2066">
          <cell r="B2066">
            <v>43.73</v>
          </cell>
          <cell r="C2066">
            <v>81.33</v>
          </cell>
          <cell r="D2066">
            <v>14.5</v>
          </cell>
          <cell r="E2066">
            <v>7.18</v>
          </cell>
          <cell r="H2066">
            <v>45378</v>
          </cell>
          <cell r="I2066">
            <v>0.54777777777777781</v>
          </cell>
          <cell r="J2066">
            <v>37.801111111111105</v>
          </cell>
        </row>
        <row r="2067">
          <cell r="B2067">
            <v>39.53</v>
          </cell>
          <cell r="C2067">
            <v>78.48</v>
          </cell>
          <cell r="D2067">
            <v>13.9</v>
          </cell>
          <cell r="E2067">
            <v>7.48</v>
          </cell>
          <cell r="H2067">
            <v>45378</v>
          </cell>
          <cell r="I2067">
            <v>0.5411111111111111</v>
          </cell>
          <cell r="J2067">
            <v>36.46</v>
          </cell>
        </row>
        <row r="2068">
          <cell r="B2068">
            <v>38.22</v>
          </cell>
          <cell r="C2068">
            <v>73.209999999999994</v>
          </cell>
          <cell r="D2068">
            <v>13.87</v>
          </cell>
          <cell r="E2068">
            <v>8.24</v>
          </cell>
          <cell r="H2068">
            <v>45378</v>
          </cell>
          <cell r="I2068">
            <v>0.52666666666666673</v>
          </cell>
          <cell r="J2068">
            <v>35.297777777777782</v>
          </cell>
        </row>
        <row r="2069">
          <cell r="B2069">
            <v>36.17</v>
          </cell>
          <cell r="C2069">
            <v>69.34</v>
          </cell>
          <cell r="D2069">
            <v>14.05</v>
          </cell>
          <cell r="E2069">
            <v>8.15</v>
          </cell>
          <cell r="H2069">
            <v>45378</v>
          </cell>
          <cell r="I2069">
            <v>0.51111111111111107</v>
          </cell>
          <cell r="J2069">
            <v>34.586666666666666</v>
          </cell>
        </row>
        <row r="2070">
          <cell r="B2070">
            <v>33.049999999999997</v>
          </cell>
          <cell r="C2070">
            <v>62.88</v>
          </cell>
          <cell r="D2070">
            <v>14.87</v>
          </cell>
          <cell r="E2070">
            <v>7.96</v>
          </cell>
          <cell r="H2070">
            <v>45378</v>
          </cell>
          <cell r="I2070">
            <v>0.50111111111111106</v>
          </cell>
          <cell r="J2070">
            <v>34.025555555555556</v>
          </cell>
        </row>
        <row r="2071">
          <cell r="B2071">
            <v>30.43</v>
          </cell>
          <cell r="C2071">
            <v>60.16</v>
          </cell>
          <cell r="D2071">
            <v>15.26</v>
          </cell>
          <cell r="E2071">
            <v>7.21</v>
          </cell>
          <cell r="H2071">
            <v>45378</v>
          </cell>
          <cell r="I2071">
            <v>0.49777777777777782</v>
          </cell>
          <cell r="J2071">
            <v>34.028888888888893</v>
          </cell>
        </row>
        <row r="2072">
          <cell r="B2072">
            <v>33.83</v>
          </cell>
          <cell r="C2072">
            <v>65.459999999999994</v>
          </cell>
          <cell r="D2072">
            <v>15.96</v>
          </cell>
          <cell r="E2072">
            <v>7.62</v>
          </cell>
          <cell r="H2072">
            <v>45378</v>
          </cell>
          <cell r="I2072">
            <v>0.50444444444444447</v>
          </cell>
          <cell r="J2072">
            <v>33.427777777777777</v>
          </cell>
        </row>
        <row r="2073">
          <cell r="B2073">
            <v>37.86</v>
          </cell>
          <cell r="C2073">
            <v>80.010000000000005</v>
          </cell>
          <cell r="D2073">
            <v>16.21</v>
          </cell>
          <cell r="E2073">
            <v>7.88</v>
          </cell>
          <cell r="H2073">
            <v>45378</v>
          </cell>
          <cell r="I2073">
            <v>0.52222222222222225</v>
          </cell>
          <cell r="J2073">
            <v>32.547777777777782</v>
          </cell>
        </row>
        <row r="2074">
          <cell r="B2074">
            <v>41.13</v>
          </cell>
          <cell r="C2074">
            <v>100.62</v>
          </cell>
          <cell r="D2074">
            <v>16.100000000000001</v>
          </cell>
          <cell r="E2074">
            <v>7.94</v>
          </cell>
          <cell r="H2074">
            <v>45378</v>
          </cell>
          <cell r="I2074">
            <v>0.53888888888888897</v>
          </cell>
          <cell r="J2074">
            <v>32.01</v>
          </cell>
        </row>
        <row r="2075">
          <cell r="B2075">
            <v>40.53</v>
          </cell>
          <cell r="C2075">
            <v>90.74</v>
          </cell>
          <cell r="D2075">
            <v>15.75</v>
          </cell>
          <cell r="E2075">
            <v>8.19</v>
          </cell>
          <cell r="H2075">
            <v>45378</v>
          </cell>
          <cell r="I2075">
            <v>0.55222222222222228</v>
          </cell>
          <cell r="J2075">
            <v>32.612222222222222</v>
          </cell>
        </row>
        <row r="2076">
          <cell r="B2076">
            <v>40.24</v>
          </cell>
          <cell r="C2076">
            <v>85.49</v>
          </cell>
          <cell r="D2076">
            <v>15.72</v>
          </cell>
          <cell r="E2076">
            <v>8.34</v>
          </cell>
          <cell r="H2076">
            <v>45378</v>
          </cell>
          <cell r="I2076">
            <v>0.56555555555555559</v>
          </cell>
          <cell r="J2076">
            <v>33.887777777777778</v>
          </cell>
        </row>
        <row r="2077">
          <cell r="B2077">
            <v>37.08</v>
          </cell>
          <cell r="C2077">
            <v>83.13</v>
          </cell>
          <cell r="D2077">
            <v>16.170000000000002</v>
          </cell>
          <cell r="E2077">
            <v>7.36</v>
          </cell>
          <cell r="H2077">
            <v>45378</v>
          </cell>
          <cell r="I2077">
            <v>0.5755555555555556</v>
          </cell>
          <cell r="J2077">
            <v>35.286666666666662</v>
          </cell>
        </row>
        <row r="2078">
          <cell r="B2078">
            <v>35.11</v>
          </cell>
          <cell r="C2078">
            <v>77.989999999999995</v>
          </cell>
          <cell r="D2078">
            <v>15.32</v>
          </cell>
          <cell r="E2078">
            <v>7.9</v>
          </cell>
          <cell r="H2078">
            <v>45378</v>
          </cell>
          <cell r="I2078">
            <v>0.58000000000000007</v>
          </cell>
          <cell r="J2078">
            <v>36.465555555555554</v>
          </cell>
        </row>
        <row r="2079">
          <cell r="B2079">
            <v>36.6</v>
          </cell>
          <cell r="C2079">
            <v>76.290000000000006</v>
          </cell>
          <cell r="D2079">
            <v>15.92</v>
          </cell>
          <cell r="E2079">
            <v>7.84</v>
          </cell>
          <cell r="H2079">
            <v>45378</v>
          </cell>
          <cell r="I2079">
            <v>0.57888888888888879</v>
          </cell>
          <cell r="J2079">
            <v>37.865555555555552</v>
          </cell>
        </row>
        <row r="2080">
          <cell r="B2080">
            <v>35.020000000000003</v>
          </cell>
          <cell r="C2080">
            <v>75.13</v>
          </cell>
          <cell r="D2080">
            <v>15.41</v>
          </cell>
          <cell r="E2080">
            <v>8.25</v>
          </cell>
          <cell r="H2080">
            <v>45378</v>
          </cell>
          <cell r="I2080">
            <v>0.57222222222222208</v>
          </cell>
          <cell r="J2080">
            <v>39.583333333333336</v>
          </cell>
        </row>
        <row r="2081">
          <cell r="B2081">
            <v>34.72</v>
          </cell>
          <cell r="C2081">
            <v>75.36</v>
          </cell>
          <cell r="D2081">
            <v>15.43</v>
          </cell>
          <cell r="E2081">
            <v>8.39</v>
          </cell>
          <cell r="H2081">
            <v>45378</v>
          </cell>
          <cell r="I2081">
            <v>0.56000000000000005</v>
          </cell>
          <cell r="J2081">
            <v>41.25888888888889</v>
          </cell>
        </row>
        <row r="2082">
          <cell r="B2082">
            <v>34.68</v>
          </cell>
          <cell r="C2082">
            <v>73.180000000000007</v>
          </cell>
          <cell r="D2082">
            <v>15.84</v>
          </cell>
          <cell r="E2082">
            <v>9.4700000000000006</v>
          </cell>
          <cell r="H2082">
            <v>45378</v>
          </cell>
          <cell r="I2082">
            <v>0.54666666666666663</v>
          </cell>
          <cell r="J2082">
            <v>42.447777777777773</v>
          </cell>
        </row>
        <row r="2083">
          <cell r="B2083">
            <v>37.15</v>
          </cell>
          <cell r="C2083">
            <v>76.709999999999994</v>
          </cell>
          <cell r="D2083">
            <v>14.96</v>
          </cell>
          <cell r="E2083">
            <v>10.119999999999999</v>
          </cell>
          <cell r="H2083">
            <v>45378</v>
          </cell>
          <cell r="I2083">
            <v>0.54</v>
          </cell>
          <cell r="J2083">
            <v>43.332222222222214</v>
          </cell>
        </row>
        <row r="2084">
          <cell r="B2084">
            <v>41.67</v>
          </cell>
          <cell r="C2084">
            <v>79.61</v>
          </cell>
          <cell r="D2084">
            <v>15.32</v>
          </cell>
          <cell r="E2084">
            <v>9.31</v>
          </cell>
          <cell r="H2084">
            <v>45378</v>
          </cell>
          <cell r="I2084">
            <v>0.54</v>
          </cell>
          <cell r="J2084">
            <v>42.935555555555545</v>
          </cell>
        </row>
        <row r="2085">
          <cell r="B2085">
            <v>41.2</v>
          </cell>
          <cell r="C2085">
            <v>85.14</v>
          </cell>
          <cell r="D2085">
            <v>16.27</v>
          </cell>
          <cell r="E2085">
            <v>8.11</v>
          </cell>
          <cell r="H2085">
            <v>45378</v>
          </cell>
          <cell r="I2085">
            <v>0.5411111111111111</v>
          </cell>
          <cell r="J2085">
            <v>41.372222222222227</v>
          </cell>
        </row>
        <row r="2086">
          <cell r="B2086">
            <v>39.46</v>
          </cell>
          <cell r="C2086">
            <v>80</v>
          </cell>
          <cell r="D2086">
            <v>16.38</v>
          </cell>
          <cell r="E2086">
            <v>7.64</v>
          </cell>
          <cell r="H2086">
            <v>45378</v>
          </cell>
          <cell r="I2086">
            <v>0.55444444444444441</v>
          </cell>
          <cell r="J2086">
            <v>39.11666666666666</v>
          </cell>
        </row>
        <row r="2087">
          <cell r="B2087">
            <v>38.28</v>
          </cell>
          <cell r="C2087">
            <v>81.48</v>
          </cell>
          <cell r="D2087">
            <v>16.37</v>
          </cell>
          <cell r="E2087">
            <v>8.4</v>
          </cell>
          <cell r="H2087">
            <v>45378</v>
          </cell>
          <cell r="I2087">
            <v>0.56333333333333335</v>
          </cell>
          <cell r="J2087">
            <v>37.554444444444442</v>
          </cell>
        </row>
        <row r="2088">
          <cell r="B2088">
            <v>43.84</v>
          </cell>
          <cell r="C2088">
            <v>86.91</v>
          </cell>
          <cell r="D2088">
            <v>15.5</v>
          </cell>
          <cell r="E2088">
            <v>8.48</v>
          </cell>
          <cell r="H2088">
            <v>45378</v>
          </cell>
          <cell r="I2088">
            <v>0.56777777777777771</v>
          </cell>
          <cell r="J2088">
            <v>36.462222222222216</v>
          </cell>
        </row>
        <row r="2089">
          <cell r="B2089">
            <v>50.65</v>
          </cell>
          <cell r="C2089">
            <v>91.04</v>
          </cell>
          <cell r="D2089">
            <v>15.32</v>
          </cell>
          <cell r="E2089">
            <v>8.57</v>
          </cell>
          <cell r="H2089">
            <v>45378</v>
          </cell>
          <cell r="I2089">
            <v>0.56999999999999995</v>
          </cell>
          <cell r="J2089">
            <v>35.454444444444441</v>
          </cell>
        </row>
        <row r="2090">
          <cell r="B2090">
            <v>52.23</v>
          </cell>
          <cell r="C2090">
            <v>95.22</v>
          </cell>
          <cell r="D2090">
            <v>14.97</v>
          </cell>
          <cell r="E2090">
            <v>8.83</v>
          </cell>
          <cell r="H2090">
            <v>45379</v>
          </cell>
          <cell r="I2090">
            <v>0.57888888888888901</v>
          </cell>
          <cell r="J2090">
            <v>34.46</v>
          </cell>
        </row>
        <row r="2091">
          <cell r="B2091">
            <v>50.28</v>
          </cell>
          <cell r="C2091">
            <v>97.15</v>
          </cell>
          <cell r="D2091">
            <v>14.51</v>
          </cell>
          <cell r="E2091">
            <v>8.35</v>
          </cell>
          <cell r="H2091">
            <v>45379</v>
          </cell>
          <cell r="I2091">
            <v>0.58333333333333348</v>
          </cell>
          <cell r="J2091">
            <v>33.667777777777779</v>
          </cell>
        </row>
        <row r="2092">
          <cell r="B2092">
            <v>52.81</v>
          </cell>
          <cell r="C2092">
            <v>101.92</v>
          </cell>
          <cell r="D2092">
            <v>14.38</v>
          </cell>
          <cell r="E2092">
            <v>7.48</v>
          </cell>
          <cell r="H2092">
            <v>45379</v>
          </cell>
          <cell r="I2092">
            <v>0.58444444444444443</v>
          </cell>
          <cell r="J2092">
            <v>32.684444444444438</v>
          </cell>
        </row>
        <row r="2093">
          <cell r="B2093">
            <v>55.2</v>
          </cell>
          <cell r="C2093">
            <v>105.82</v>
          </cell>
          <cell r="D2093">
            <v>14.13</v>
          </cell>
          <cell r="E2093">
            <v>7.13</v>
          </cell>
          <cell r="H2093">
            <v>45379</v>
          </cell>
          <cell r="I2093">
            <v>0.58111111111111102</v>
          </cell>
          <cell r="J2093">
            <v>31.91333333333333</v>
          </cell>
        </row>
        <row r="2094">
          <cell r="B2094">
            <v>49.49</v>
          </cell>
          <cell r="C2094">
            <v>102.11</v>
          </cell>
          <cell r="D2094">
            <v>14.77</v>
          </cell>
          <cell r="E2094">
            <v>7.73</v>
          </cell>
          <cell r="H2094">
            <v>45379</v>
          </cell>
          <cell r="I2094">
            <v>0.57333333333333336</v>
          </cell>
          <cell r="J2094">
            <v>31.735555555555557</v>
          </cell>
        </row>
        <row r="2095">
          <cell r="B2095">
            <v>51.31</v>
          </cell>
          <cell r="C2095">
            <v>95.65</v>
          </cell>
          <cell r="D2095">
            <v>14.86</v>
          </cell>
          <cell r="E2095">
            <v>7.73</v>
          </cell>
          <cell r="H2095">
            <v>45379</v>
          </cell>
          <cell r="I2095">
            <v>0.56333333333333335</v>
          </cell>
          <cell r="J2095">
            <v>32.226666666666659</v>
          </cell>
        </row>
        <row r="2096">
          <cell r="B2096">
            <v>54.4</v>
          </cell>
          <cell r="C2096">
            <v>95.64</v>
          </cell>
          <cell r="D2096">
            <v>15.17</v>
          </cell>
          <cell r="E2096">
            <v>8.1999999999999993</v>
          </cell>
          <cell r="H2096">
            <v>45379</v>
          </cell>
          <cell r="I2096">
            <v>0.56555555555555559</v>
          </cell>
          <cell r="J2096">
            <v>31.996666666666663</v>
          </cell>
        </row>
        <row r="2097">
          <cell r="B2097">
            <v>58.35</v>
          </cell>
          <cell r="C2097">
            <v>126.09</v>
          </cell>
          <cell r="D2097">
            <v>15.27</v>
          </cell>
          <cell r="E2097">
            <v>9.3000000000000007</v>
          </cell>
          <cell r="H2097">
            <v>45379</v>
          </cell>
          <cell r="I2097">
            <v>0.57777777777777783</v>
          </cell>
          <cell r="J2097">
            <v>31.633333333333326</v>
          </cell>
        </row>
        <row r="2098">
          <cell r="B2098">
            <v>54.27</v>
          </cell>
          <cell r="C2098">
            <v>104.58</v>
          </cell>
          <cell r="D2098">
            <v>14.81</v>
          </cell>
          <cell r="E2098">
            <v>9.0500000000000007</v>
          </cell>
          <cell r="H2098">
            <v>45379</v>
          </cell>
          <cell r="I2098">
            <v>0.59</v>
          </cell>
          <cell r="J2098">
            <v>31.402222222222221</v>
          </cell>
        </row>
        <row r="2099">
          <cell r="B2099">
            <v>47.6</v>
          </cell>
          <cell r="C2099">
            <v>95.97</v>
          </cell>
          <cell r="D2099">
            <v>15.32</v>
          </cell>
          <cell r="E2099">
            <v>8.8800000000000008</v>
          </cell>
          <cell r="H2099">
            <v>45379</v>
          </cell>
          <cell r="I2099">
            <v>0.59777777777777774</v>
          </cell>
          <cell r="J2099">
            <v>31.762222222222224</v>
          </cell>
        </row>
        <row r="2100">
          <cell r="B2100">
            <v>45.45</v>
          </cell>
          <cell r="C2100">
            <v>88.74</v>
          </cell>
          <cell r="D2100">
            <v>15.61</v>
          </cell>
          <cell r="E2100">
            <v>8.9700000000000006</v>
          </cell>
          <cell r="H2100">
            <v>45379</v>
          </cell>
          <cell r="I2100">
            <v>0.60111111111111115</v>
          </cell>
          <cell r="J2100">
            <v>33.107777777777777</v>
          </cell>
        </row>
        <row r="2101">
          <cell r="B2101">
            <v>41.9</v>
          </cell>
          <cell r="C2101">
            <v>80.59</v>
          </cell>
          <cell r="D2101">
            <v>15.5</v>
          </cell>
          <cell r="E2101">
            <v>9.85</v>
          </cell>
          <cell r="H2101">
            <v>45379</v>
          </cell>
          <cell r="I2101">
            <v>0.61111111111111116</v>
          </cell>
          <cell r="J2101">
            <v>34.436666666666667</v>
          </cell>
        </row>
        <row r="2102">
          <cell r="B2102">
            <v>35.729999999999997</v>
          </cell>
          <cell r="C2102">
            <v>75.239999999999995</v>
          </cell>
          <cell r="D2102">
            <v>15.44</v>
          </cell>
          <cell r="E2102">
            <v>9.44</v>
          </cell>
          <cell r="H2102">
            <v>45379</v>
          </cell>
          <cell r="I2102">
            <v>0.62222222222222223</v>
          </cell>
          <cell r="J2102">
            <v>35.626666666666665</v>
          </cell>
        </row>
        <row r="2103">
          <cell r="B2103">
            <v>33.51</v>
          </cell>
          <cell r="C2103">
            <v>66.790000000000006</v>
          </cell>
          <cell r="D2103">
            <v>14.76</v>
          </cell>
          <cell r="E2103">
            <v>8.35</v>
          </cell>
          <cell r="H2103">
            <v>45379</v>
          </cell>
          <cell r="I2103">
            <v>0.63222222222222213</v>
          </cell>
          <cell r="J2103">
            <v>36.171111111111109</v>
          </cell>
        </row>
        <row r="2104">
          <cell r="B2104">
            <v>29.61</v>
          </cell>
          <cell r="C2104">
            <v>63.92</v>
          </cell>
          <cell r="D2104">
            <v>15.98</v>
          </cell>
          <cell r="E2104">
            <v>7.47</v>
          </cell>
          <cell r="H2104">
            <v>45379</v>
          </cell>
          <cell r="I2104">
            <v>0.64</v>
          </cell>
          <cell r="J2104">
            <v>36.843333333333334</v>
          </cell>
        </row>
        <row r="2105">
          <cell r="B2105">
            <v>28.67</v>
          </cell>
          <cell r="C2105">
            <v>60.36</v>
          </cell>
          <cell r="D2105">
            <v>16.829999999999998</v>
          </cell>
          <cell r="E2105">
            <v>7.37</v>
          </cell>
          <cell r="H2105">
            <v>45379</v>
          </cell>
          <cell r="I2105">
            <v>0.64666666666666672</v>
          </cell>
          <cell r="J2105">
            <v>37.99444444444444</v>
          </cell>
        </row>
        <row r="2106">
          <cell r="B2106">
            <v>30.68</v>
          </cell>
          <cell r="C2106">
            <v>63.41</v>
          </cell>
          <cell r="D2106">
            <v>14.78</v>
          </cell>
          <cell r="E2106">
            <v>7.89</v>
          </cell>
          <cell r="H2106">
            <v>45379</v>
          </cell>
          <cell r="I2106">
            <v>0.64444444444444449</v>
          </cell>
          <cell r="J2106">
            <v>38.664444444444449</v>
          </cell>
        </row>
        <row r="2107">
          <cell r="B2107">
            <v>30.57</v>
          </cell>
          <cell r="C2107">
            <v>62.68</v>
          </cell>
          <cell r="D2107">
            <v>15.92</v>
          </cell>
          <cell r="E2107">
            <v>7.03</v>
          </cell>
          <cell r="H2107">
            <v>45379</v>
          </cell>
          <cell r="I2107">
            <v>0.64999999999999991</v>
          </cell>
          <cell r="J2107">
            <v>38.614444444444445</v>
          </cell>
        </row>
        <row r="2108">
          <cell r="B2108">
            <v>34.340000000000003</v>
          </cell>
          <cell r="C2108">
            <v>68.73</v>
          </cell>
          <cell r="D2108">
            <v>17.489999999999998</v>
          </cell>
          <cell r="E2108">
            <v>6.98</v>
          </cell>
          <cell r="H2108">
            <v>45379</v>
          </cell>
          <cell r="I2108">
            <v>0.67000000000000015</v>
          </cell>
          <cell r="J2108">
            <v>37.752222222222223</v>
          </cell>
        </row>
        <row r="2109">
          <cell r="B2109">
            <v>40.31</v>
          </cell>
          <cell r="C2109">
            <v>91.26</v>
          </cell>
          <cell r="D2109">
            <v>19.84</v>
          </cell>
          <cell r="E2109">
            <v>6.73</v>
          </cell>
          <cell r="H2109">
            <v>45379</v>
          </cell>
          <cell r="I2109">
            <v>0.7022222222222223</v>
          </cell>
          <cell r="J2109">
            <v>36.074444444444445</v>
          </cell>
        </row>
        <row r="2110">
          <cell r="B2110">
            <v>49.7</v>
          </cell>
          <cell r="C2110">
            <v>101.29</v>
          </cell>
          <cell r="D2110">
            <v>18.82</v>
          </cell>
          <cell r="E2110">
            <v>7.18</v>
          </cell>
          <cell r="H2110">
            <v>45379</v>
          </cell>
          <cell r="I2110">
            <v>0.71000000000000008</v>
          </cell>
          <cell r="J2110">
            <v>34.263333333333335</v>
          </cell>
        </row>
        <row r="2111">
          <cell r="B2111">
            <v>45.52</v>
          </cell>
          <cell r="C2111">
            <v>119.94</v>
          </cell>
          <cell r="D2111">
            <v>17.239999999999998</v>
          </cell>
          <cell r="E2111">
            <v>8.61</v>
          </cell>
          <cell r="H2111">
            <v>45379</v>
          </cell>
          <cell r="I2111">
            <v>0.7122222222222222</v>
          </cell>
          <cell r="J2111">
            <v>32.493333333333332</v>
          </cell>
        </row>
        <row r="2112">
          <cell r="B2112">
            <v>48.83</v>
          </cell>
          <cell r="C2112">
            <v>94.57</v>
          </cell>
          <cell r="D2112">
            <v>16.63</v>
          </cell>
          <cell r="E2112">
            <v>8.4499999999999993</v>
          </cell>
          <cell r="H2112">
            <v>45379</v>
          </cell>
          <cell r="I2112">
            <v>0.71333333333333337</v>
          </cell>
          <cell r="J2112">
            <v>31.281111111111116</v>
          </cell>
        </row>
        <row r="2113">
          <cell r="B2113">
            <v>45.4</v>
          </cell>
          <cell r="C2113">
            <v>102.5</v>
          </cell>
          <cell r="D2113">
            <v>15.97</v>
          </cell>
          <cell r="E2113">
            <v>8.0299999999999994</v>
          </cell>
          <cell r="H2113">
            <v>45379</v>
          </cell>
          <cell r="I2113">
            <v>0.7122222222222222</v>
          </cell>
          <cell r="J2113">
            <v>30.697777777777773</v>
          </cell>
        </row>
        <row r="2114">
          <cell r="B2114">
            <v>43.43</v>
          </cell>
          <cell r="C2114">
            <v>88.2</v>
          </cell>
          <cell r="D2114">
            <v>15.26</v>
          </cell>
          <cell r="E2114">
            <v>7.56</v>
          </cell>
          <cell r="H2114">
            <v>45380</v>
          </cell>
          <cell r="I2114">
            <v>0.70111111111111102</v>
          </cell>
          <cell r="J2114">
            <v>29.973333333333333</v>
          </cell>
        </row>
        <row r="2115">
          <cell r="B2115">
            <v>49.62</v>
          </cell>
          <cell r="C2115">
            <v>88.2</v>
          </cell>
          <cell r="D2115">
            <v>15.11</v>
          </cell>
          <cell r="E2115">
            <v>8.0299999999999994</v>
          </cell>
          <cell r="H2115">
            <v>45380</v>
          </cell>
          <cell r="I2115">
            <v>0.72333333333333327</v>
          </cell>
          <cell r="J2115">
            <v>29.205555555555559</v>
          </cell>
        </row>
        <row r="2116">
          <cell r="B2116">
            <v>56.17</v>
          </cell>
          <cell r="C2116">
            <v>98.34</v>
          </cell>
          <cell r="D2116">
            <v>14.52</v>
          </cell>
          <cell r="E2116">
            <v>9.1300000000000008</v>
          </cell>
          <cell r="H2116">
            <v>45380</v>
          </cell>
          <cell r="I2116">
            <v>0.77777777777777768</v>
          </cell>
          <cell r="J2116">
            <v>28.871111111111116</v>
          </cell>
        </row>
        <row r="2117">
          <cell r="B2117">
            <v>61</v>
          </cell>
          <cell r="C2117">
            <v>111.81</v>
          </cell>
          <cell r="D2117">
            <v>14.52</v>
          </cell>
          <cell r="E2117">
            <v>10.210000000000001</v>
          </cell>
          <cell r="H2117">
            <v>45380</v>
          </cell>
          <cell r="I2117">
            <v>0.77222222222222214</v>
          </cell>
          <cell r="J2117">
            <v>28.774444444444448</v>
          </cell>
        </row>
        <row r="2118">
          <cell r="B2118">
            <v>59.4</v>
          </cell>
          <cell r="C2118">
            <v>105.81</v>
          </cell>
          <cell r="D2118">
            <v>14.5</v>
          </cell>
          <cell r="E2118">
            <v>10.68</v>
          </cell>
          <cell r="H2118">
            <v>45380</v>
          </cell>
          <cell r="I2118">
            <v>0.75555555555555542</v>
          </cell>
          <cell r="J2118">
            <v>28.563333333333333</v>
          </cell>
        </row>
        <row r="2119">
          <cell r="B2119">
            <v>55.83</v>
          </cell>
          <cell r="C2119">
            <v>106.47</v>
          </cell>
          <cell r="D2119">
            <v>14.88</v>
          </cell>
          <cell r="E2119">
            <v>10.92</v>
          </cell>
          <cell r="H2119">
            <v>45380</v>
          </cell>
          <cell r="I2119">
            <v>0.73555555555555552</v>
          </cell>
          <cell r="J2119">
            <v>28.512222222222224</v>
          </cell>
        </row>
        <row r="2120">
          <cell r="B2120">
            <v>54.56</v>
          </cell>
          <cell r="C2120">
            <v>100.04</v>
          </cell>
          <cell r="D2120">
            <v>14.8</v>
          </cell>
          <cell r="E2120">
            <v>9.1999999999999993</v>
          </cell>
          <cell r="H2120">
            <v>45380</v>
          </cell>
          <cell r="I2120">
            <v>0.75333333333333341</v>
          </cell>
          <cell r="J2120">
            <v>28.607777777777773</v>
          </cell>
        </row>
        <row r="2121">
          <cell r="B2121">
            <v>53.22</v>
          </cell>
          <cell r="C2121">
            <v>107.62</v>
          </cell>
          <cell r="D2121">
            <v>15.03</v>
          </cell>
          <cell r="E2121">
            <v>8.0399999999999991</v>
          </cell>
          <cell r="H2121">
            <v>45380</v>
          </cell>
          <cell r="I2121">
            <v>0.75</v>
          </cell>
          <cell r="J2121">
            <v>29.065555555555552</v>
          </cell>
        </row>
        <row r="2122">
          <cell r="B2122">
            <v>44.93</v>
          </cell>
          <cell r="C2122">
            <v>97.38</v>
          </cell>
          <cell r="D2122">
            <v>15.13</v>
          </cell>
          <cell r="E2122">
            <v>8.17</v>
          </cell>
          <cell r="H2122">
            <v>45380</v>
          </cell>
          <cell r="I2122">
            <v>0.74555555555555553</v>
          </cell>
          <cell r="J2122">
            <v>29.09</v>
          </cell>
        </row>
        <row r="2123">
          <cell r="B2123">
            <v>41.21</v>
          </cell>
          <cell r="C2123">
            <v>88.96</v>
          </cell>
          <cell r="D2123">
            <v>15.71</v>
          </cell>
          <cell r="E2123">
            <v>8.3800000000000008</v>
          </cell>
          <cell r="H2123">
            <v>45380</v>
          </cell>
          <cell r="I2123">
            <v>0.74555555555555553</v>
          </cell>
          <cell r="J2123">
            <v>29.580000000000002</v>
          </cell>
        </row>
        <row r="2124">
          <cell r="B2124">
            <v>36.65</v>
          </cell>
          <cell r="C2124">
            <v>80.069999999999993</v>
          </cell>
          <cell r="D2124">
            <v>15.31</v>
          </cell>
          <cell r="E2124">
            <v>8.2899999999999991</v>
          </cell>
          <cell r="H2124">
            <v>45380</v>
          </cell>
          <cell r="I2124">
            <v>0.70888888888888901</v>
          </cell>
          <cell r="J2124">
            <v>30.922222222222224</v>
          </cell>
        </row>
        <row r="2125">
          <cell r="B2125">
            <v>33.29</v>
          </cell>
          <cell r="C2125">
            <v>71.11</v>
          </cell>
          <cell r="D2125">
            <v>15.49</v>
          </cell>
          <cell r="E2125">
            <v>7.44</v>
          </cell>
          <cell r="H2125">
            <v>45380</v>
          </cell>
          <cell r="I2125">
            <v>0.6433333333333332</v>
          </cell>
          <cell r="J2125">
            <v>32.93</v>
          </cell>
        </row>
        <row r="2126">
          <cell r="B2126">
            <v>38.549999999999997</v>
          </cell>
          <cell r="C2126">
            <v>82.63</v>
          </cell>
          <cell r="D2126">
            <v>15.54</v>
          </cell>
          <cell r="E2126">
            <v>11.45</v>
          </cell>
          <cell r="H2126">
            <v>45380</v>
          </cell>
          <cell r="I2126">
            <v>0.61888888888888882</v>
          </cell>
          <cell r="J2126">
            <v>35.002222222222223</v>
          </cell>
        </row>
        <row r="2127">
          <cell r="B2127">
            <v>40.51</v>
          </cell>
          <cell r="C2127">
            <v>97.1</v>
          </cell>
          <cell r="D2127">
            <v>16.899999999999999</v>
          </cell>
          <cell r="E2127">
            <v>9.49</v>
          </cell>
          <cell r="H2127">
            <v>45380</v>
          </cell>
          <cell r="I2127">
            <v>0.60444444444444445</v>
          </cell>
          <cell r="J2127">
            <v>36.947777777777773</v>
          </cell>
        </row>
        <row r="2128">
          <cell r="B2128">
            <v>41.88</v>
          </cell>
          <cell r="C2128">
            <v>85.27</v>
          </cell>
          <cell r="D2128">
            <v>16.309999999999999</v>
          </cell>
          <cell r="E2128">
            <v>8.3000000000000007</v>
          </cell>
          <cell r="H2128">
            <v>45380</v>
          </cell>
          <cell r="I2128">
            <v>0.61444444444444446</v>
          </cell>
          <cell r="J2128">
            <v>38.347777777777765</v>
          </cell>
        </row>
        <row r="2129">
          <cell r="B2129">
            <v>43.57</v>
          </cell>
          <cell r="C2129">
            <v>85.79</v>
          </cell>
          <cell r="D2129">
            <v>17.07</v>
          </cell>
          <cell r="E2129">
            <v>8.8699999999999992</v>
          </cell>
          <cell r="H2129">
            <v>45380</v>
          </cell>
          <cell r="I2129">
            <v>0.5855555555555555</v>
          </cell>
          <cell r="J2129">
            <v>40.452222222222218</v>
          </cell>
        </row>
        <row r="2130">
          <cell r="B2130">
            <v>45.38</v>
          </cell>
          <cell r="C2130">
            <v>92.27</v>
          </cell>
          <cell r="D2130">
            <v>17.39</v>
          </cell>
          <cell r="E2130">
            <v>9.42</v>
          </cell>
          <cell r="H2130">
            <v>45380</v>
          </cell>
          <cell r="I2130">
            <v>0.57111111111111112</v>
          </cell>
          <cell r="J2130">
            <v>42.557777777777773</v>
          </cell>
        </row>
        <row r="2131">
          <cell r="B2131">
            <v>48.86</v>
          </cell>
          <cell r="C2131">
            <v>99.53</v>
          </cell>
          <cell r="D2131">
            <v>18.2</v>
          </cell>
          <cell r="E2131">
            <v>10.14</v>
          </cell>
          <cell r="H2131">
            <v>45380</v>
          </cell>
          <cell r="I2131">
            <v>0.57666666666666677</v>
          </cell>
          <cell r="J2131">
            <v>43.510000000000005</v>
          </cell>
        </row>
        <row r="2132">
          <cell r="B2132">
            <v>48.88</v>
          </cell>
          <cell r="C2132">
            <v>99.92</v>
          </cell>
          <cell r="D2132">
            <v>18.64</v>
          </cell>
          <cell r="E2132">
            <v>9.1199999999999992</v>
          </cell>
          <cell r="H2132">
            <v>45380</v>
          </cell>
          <cell r="I2132">
            <v>0.61444444444444446</v>
          </cell>
          <cell r="J2132">
            <v>43.714444444444439</v>
          </cell>
        </row>
        <row r="2133">
          <cell r="B2133">
            <v>49.37</v>
          </cell>
          <cell r="C2133">
            <v>106.31</v>
          </cell>
          <cell r="D2133">
            <v>18.32</v>
          </cell>
          <cell r="E2133">
            <v>7.65</v>
          </cell>
          <cell r="H2133">
            <v>45380</v>
          </cell>
          <cell r="I2133">
            <v>0.62777777777777777</v>
          </cell>
          <cell r="J2133">
            <v>42.896666666666668</v>
          </cell>
        </row>
        <row r="2134">
          <cell r="B2134">
            <v>50.1</v>
          </cell>
          <cell r="C2134">
            <v>105.83</v>
          </cell>
          <cell r="D2134">
            <v>17.440000000000001</v>
          </cell>
          <cell r="E2134">
            <v>6.85</v>
          </cell>
          <cell r="H2134">
            <v>45380</v>
          </cell>
          <cell r="I2134">
            <v>0.62333333333333329</v>
          </cell>
          <cell r="J2134">
            <v>41.179999999999993</v>
          </cell>
        </row>
        <row r="2135">
          <cell r="B2135">
            <v>45.28</v>
          </cell>
          <cell r="C2135">
            <v>100.01</v>
          </cell>
          <cell r="D2135">
            <v>18</v>
          </cell>
          <cell r="E2135">
            <v>7.17</v>
          </cell>
          <cell r="H2135">
            <v>45380</v>
          </cell>
          <cell r="I2135">
            <v>0.62666666666666659</v>
          </cell>
          <cell r="J2135">
            <v>38.845555555555549</v>
          </cell>
        </row>
        <row r="2136">
          <cell r="B2136">
            <v>51.46</v>
          </cell>
          <cell r="C2136">
            <v>97.68</v>
          </cell>
          <cell r="D2136">
            <v>17.309999999999999</v>
          </cell>
          <cell r="E2136">
            <v>7.22</v>
          </cell>
          <cell r="H2136">
            <v>45380</v>
          </cell>
          <cell r="I2136">
            <v>0.61555555555555563</v>
          </cell>
          <cell r="J2136">
            <v>36.811111111111103</v>
          </cell>
        </row>
        <row r="2137">
          <cell r="B2137">
            <v>49.19</v>
          </cell>
          <cell r="C2137">
            <v>95.03</v>
          </cell>
          <cell r="D2137">
            <v>17.63</v>
          </cell>
          <cell r="E2137">
            <v>7.81</v>
          </cell>
          <cell r="H2137">
            <v>45380</v>
          </cell>
          <cell r="I2137">
            <v>0.60666666666666669</v>
          </cell>
          <cell r="J2137">
            <v>36.284444444444446</v>
          </cell>
        </row>
        <row r="2138">
          <cell r="B2138">
            <v>48.92</v>
          </cell>
          <cell r="C2138">
            <v>94.93</v>
          </cell>
          <cell r="D2138">
            <v>17.079999999999998</v>
          </cell>
          <cell r="E2138">
            <v>8.07</v>
          </cell>
          <cell r="H2138">
            <v>45381</v>
          </cell>
          <cell r="I2138">
            <v>0.61555555555555541</v>
          </cell>
          <cell r="J2138">
            <v>35.387777777777771</v>
          </cell>
        </row>
        <row r="2139">
          <cell r="B2139">
            <v>45.44</v>
          </cell>
          <cell r="C2139">
            <v>92.25</v>
          </cell>
          <cell r="D2139">
            <v>16.04</v>
          </cell>
          <cell r="E2139">
            <v>8.2200000000000006</v>
          </cell>
          <cell r="H2139">
            <v>45381</v>
          </cell>
          <cell r="I2139">
            <v>0.63</v>
          </cell>
          <cell r="J2139">
            <v>33.561111111111103</v>
          </cell>
        </row>
        <row r="2140">
          <cell r="B2140">
            <v>45.47</v>
          </cell>
          <cell r="C2140">
            <v>92.17</v>
          </cell>
          <cell r="D2140">
            <v>16.2</v>
          </cell>
          <cell r="E2140">
            <v>8.89</v>
          </cell>
          <cell r="H2140">
            <v>45381</v>
          </cell>
          <cell r="I2140">
            <v>0.6166666666666667</v>
          </cell>
          <cell r="J2140">
            <v>32.49444444444444</v>
          </cell>
        </row>
        <row r="2141">
          <cell r="B2141">
            <v>43.92</v>
          </cell>
          <cell r="C2141">
            <v>89.51</v>
          </cell>
          <cell r="D2141">
            <v>15.97</v>
          </cell>
          <cell r="E2141">
            <v>9.1</v>
          </cell>
          <cell r="H2141">
            <v>45381</v>
          </cell>
          <cell r="I2141">
            <v>0.57777777777777783</v>
          </cell>
          <cell r="J2141">
            <v>31.306666666666665</v>
          </cell>
        </row>
        <row r="2142">
          <cell r="B2142">
            <v>47.92</v>
          </cell>
          <cell r="C2142">
            <v>95.48</v>
          </cell>
          <cell r="D2142">
            <v>16.3</v>
          </cell>
          <cell r="E2142">
            <v>8.76</v>
          </cell>
          <cell r="H2142">
            <v>45381</v>
          </cell>
          <cell r="I2142">
            <v>0.57000000000000006</v>
          </cell>
          <cell r="J2142">
            <v>30.240000000000002</v>
          </cell>
        </row>
        <row r="2143">
          <cell r="B2143">
            <v>54.13</v>
          </cell>
          <cell r="C2143">
            <v>102.98</v>
          </cell>
          <cell r="D2143">
            <v>16.07</v>
          </cell>
          <cell r="E2143">
            <v>11.26</v>
          </cell>
          <cell r="H2143">
            <v>45381</v>
          </cell>
          <cell r="I2143">
            <v>0.57000000000000006</v>
          </cell>
          <cell r="J2143">
            <v>29.468888888888891</v>
          </cell>
        </row>
        <row r="2144">
          <cell r="B2144">
            <v>56.9</v>
          </cell>
          <cell r="C2144">
            <v>101.01</v>
          </cell>
          <cell r="D2144">
            <v>16.399999999999999</v>
          </cell>
          <cell r="E2144">
            <v>8.3800000000000008</v>
          </cell>
          <cell r="H2144">
            <v>45381</v>
          </cell>
          <cell r="I2144">
            <v>0.57999999999999996</v>
          </cell>
          <cell r="J2144">
            <v>29.393333333333334</v>
          </cell>
        </row>
        <row r="2145">
          <cell r="B2145">
            <v>64.8</v>
          </cell>
          <cell r="C2145">
            <v>112.45</v>
          </cell>
          <cell r="D2145">
            <v>16.62</v>
          </cell>
          <cell r="E2145">
            <v>8.8000000000000007</v>
          </cell>
          <cell r="H2145">
            <v>45381</v>
          </cell>
          <cell r="I2145">
            <v>0.58444444444444443</v>
          </cell>
          <cell r="J2145">
            <v>29.502222222222226</v>
          </cell>
        </row>
        <row r="2146">
          <cell r="B2146">
            <v>55.68</v>
          </cell>
          <cell r="C2146">
            <v>114.49</v>
          </cell>
          <cell r="D2146">
            <v>16.71</v>
          </cell>
          <cell r="E2146">
            <v>8.64</v>
          </cell>
          <cell r="H2146">
            <v>45381</v>
          </cell>
          <cell r="I2146">
            <v>0.57999999999999985</v>
          </cell>
          <cell r="J2146">
            <v>28.874444444444446</v>
          </cell>
        </row>
        <row r="2147">
          <cell r="B2147">
            <v>46.81</v>
          </cell>
          <cell r="C2147">
            <v>100.86</v>
          </cell>
          <cell r="D2147">
            <v>16.93</v>
          </cell>
          <cell r="E2147">
            <v>8.4</v>
          </cell>
          <cell r="H2147">
            <v>45381</v>
          </cell>
          <cell r="I2147">
            <v>0.56888888888888889</v>
          </cell>
          <cell r="J2147">
            <v>28.325555555555557</v>
          </cell>
        </row>
        <row r="2148">
          <cell r="B2148">
            <v>41.13</v>
          </cell>
          <cell r="C2148">
            <v>90.05</v>
          </cell>
          <cell r="D2148">
            <v>17.37</v>
          </cell>
          <cell r="E2148">
            <v>8.3699999999999992</v>
          </cell>
          <cell r="H2148">
            <v>45381</v>
          </cell>
          <cell r="I2148">
            <v>0.56000000000000005</v>
          </cell>
          <cell r="J2148">
            <v>29.524444444444448</v>
          </cell>
        </row>
        <row r="2149">
          <cell r="B2149">
            <v>39.71</v>
          </cell>
          <cell r="C2149">
            <v>84.32</v>
          </cell>
          <cell r="D2149">
            <v>17.670000000000002</v>
          </cell>
          <cell r="E2149">
            <v>8.41</v>
          </cell>
          <cell r="H2149">
            <v>45381</v>
          </cell>
          <cell r="I2149">
            <v>0.56222222222222218</v>
          </cell>
          <cell r="J2149">
            <v>30.89222222222222</v>
          </cell>
        </row>
        <row r="2150">
          <cell r="B2150">
            <v>36.840000000000003</v>
          </cell>
          <cell r="C2150">
            <v>81.97</v>
          </cell>
          <cell r="D2150">
            <v>17.59</v>
          </cell>
          <cell r="E2150">
            <v>8.23</v>
          </cell>
          <cell r="H2150">
            <v>45381</v>
          </cell>
          <cell r="I2150">
            <v>0.55555555555555558</v>
          </cell>
          <cell r="J2150">
            <v>32.63666666666667</v>
          </cell>
        </row>
        <row r="2151">
          <cell r="B2151">
            <v>34.450000000000003</v>
          </cell>
          <cell r="C2151">
            <v>77.52</v>
          </cell>
          <cell r="D2151">
            <v>17.21</v>
          </cell>
          <cell r="E2151">
            <v>7.97</v>
          </cell>
          <cell r="H2151">
            <v>45381</v>
          </cell>
          <cell r="I2151">
            <v>0.5444444444444444</v>
          </cell>
          <cell r="J2151">
            <v>34.092222222222219</v>
          </cell>
        </row>
        <row r="2152">
          <cell r="B2152">
            <v>38.83</v>
          </cell>
          <cell r="C2152">
            <v>82.58</v>
          </cell>
          <cell r="D2152">
            <v>17.45</v>
          </cell>
          <cell r="E2152">
            <v>7.86</v>
          </cell>
          <cell r="H2152">
            <v>45381</v>
          </cell>
          <cell r="I2152">
            <v>0.53333333333333333</v>
          </cell>
          <cell r="J2152">
            <v>35.332222222222221</v>
          </cell>
        </row>
        <row r="2153">
          <cell r="B2153">
            <v>34.659999999999997</v>
          </cell>
          <cell r="C2153">
            <v>79.89</v>
          </cell>
          <cell r="D2153">
            <v>18.649999999999999</v>
          </cell>
          <cell r="E2153">
            <v>8.1</v>
          </cell>
          <cell r="H2153">
            <v>45381</v>
          </cell>
          <cell r="I2153">
            <v>0.51222222222222213</v>
          </cell>
          <cell r="J2153">
            <v>36.725555555555559</v>
          </cell>
        </row>
        <row r="2154">
          <cell r="B2154">
            <v>34.28</v>
          </cell>
          <cell r="C2154">
            <v>83.45</v>
          </cell>
          <cell r="D2154">
            <v>18.809999999999999</v>
          </cell>
          <cell r="E2154">
            <v>7.95</v>
          </cell>
          <cell r="H2154">
            <v>45381</v>
          </cell>
          <cell r="I2154">
            <v>0.50777777777777777</v>
          </cell>
          <cell r="J2154">
            <v>37.99111111111111</v>
          </cell>
        </row>
        <row r="2155">
          <cell r="B2155">
            <v>34.07</v>
          </cell>
          <cell r="C2155">
            <v>79.459999999999994</v>
          </cell>
          <cell r="D2155">
            <v>17.36</v>
          </cell>
          <cell r="E2155">
            <v>8.32</v>
          </cell>
          <cell r="H2155">
            <v>45381</v>
          </cell>
          <cell r="I2155">
            <v>0.51222222222222225</v>
          </cell>
          <cell r="J2155">
            <v>38.983333333333327</v>
          </cell>
        </row>
        <row r="2156">
          <cell r="B2156">
            <v>35.61</v>
          </cell>
          <cell r="C2156">
            <v>78.92</v>
          </cell>
          <cell r="D2156">
            <v>17.38</v>
          </cell>
          <cell r="E2156">
            <v>7.97</v>
          </cell>
          <cell r="H2156">
            <v>45381</v>
          </cell>
          <cell r="I2156">
            <v>0.52</v>
          </cell>
          <cell r="J2156">
            <v>39.246666666666663</v>
          </cell>
        </row>
        <row r="2157">
          <cell r="B2157">
            <v>37.409999999999997</v>
          </cell>
          <cell r="C2157">
            <v>85.56</v>
          </cell>
          <cell r="D2157">
            <v>18.43</v>
          </cell>
          <cell r="E2157">
            <v>8.3000000000000007</v>
          </cell>
          <cell r="H2157">
            <v>45381</v>
          </cell>
          <cell r="I2157">
            <v>0.53333333333333344</v>
          </cell>
          <cell r="J2157">
            <v>38.343333333333334</v>
          </cell>
        </row>
        <row r="2158">
          <cell r="B2158">
            <v>40.74</v>
          </cell>
          <cell r="C2158">
            <v>94.24</v>
          </cell>
          <cell r="D2158">
            <v>17.61</v>
          </cell>
          <cell r="E2158">
            <v>8.18</v>
          </cell>
          <cell r="H2158">
            <v>45381</v>
          </cell>
          <cell r="I2158">
            <v>0.53777777777777769</v>
          </cell>
          <cell r="J2158">
            <v>37.468888888888891</v>
          </cell>
        </row>
        <row r="2159">
          <cell r="B2159">
            <v>42.72</v>
          </cell>
          <cell r="C2159">
            <v>96.82</v>
          </cell>
          <cell r="D2159">
            <v>18.940000000000001</v>
          </cell>
          <cell r="E2159">
            <v>7.51</v>
          </cell>
          <cell r="H2159">
            <v>45381</v>
          </cell>
          <cell r="I2159">
            <v>0.5411111111111111</v>
          </cell>
          <cell r="J2159">
            <v>36.034444444444446</v>
          </cell>
        </row>
        <row r="2160">
          <cell r="B2160">
            <v>43.82</v>
          </cell>
          <cell r="C2160">
            <v>96.57</v>
          </cell>
          <cell r="D2160">
            <v>18.53</v>
          </cell>
          <cell r="E2160">
            <v>7.91</v>
          </cell>
          <cell r="H2160">
            <v>45381</v>
          </cell>
          <cell r="I2160">
            <v>0.55000000000000004</v>
          </cell>
          <cell r="J2160">
            <v>34.668888888888887</v>
          </cell>
        </row>
        <row r="2161">
          <cell r="B2161">
            <v>45.66</v>
          </cell>
          <cell r="C2161">
            <v>96.41</v>
          </cell>
          <cell r="D2161">
            <v>19.2</v>
          </cell>
          <cell r="E2161">
            <v>8.49</v>
          </cell>
          <cell r="H2161">
            <v>45381</v>
          </cell>
          <cell r="I2161">
            <v>0.56333333333333335</v>
          </cell>
          <cell r="J2161">
            <v>33.716666666666669</v>
          </cell>
        </row>
        <row r="2162">
          <cell r="B2162">
            <v>46.26</v>
          </cell>
          <cell r="C2162">
            <v>101.69</v>
          </cell>
          <cell r="D2162">
            <v>17.98</v>
          </cell>
          <cell r="E2162">
            <v>9.61</v>
          </cell>
          <cell r="H2162">
            <v>45382</v>
          </cell>
          <cell r="I2162">
            <v>0.56777777777777794</v>
          </cell>
          <cell r="J2162">
            <v>32.773333333333333</v>
          </cell>
        </row>
        <row r="2163">
          <cell r="B2163">
            <v>50.03</v>
          </cell>
          <cell r="C2163">
            <v>108</v>
          </cell>
          <cell r="D2163">
            <v>18.14</v>
          </cell>
          <cell r="E2163">
            <v>10.44</v>
          </cell>
          <cell r="H2163">
            <v>45382</v>
          </cell>
          <cell r="I2163">
            <v>0.56666666666666665</v>
          </cell>
          <cell r="J2163">
            <v>31.964444444444446</v>
          </cell>
        </row>
        <row r="2164">
          <cell r="B2164">
            <v>53.21</v>
          </cell>
          <cell r="C2164">
            <v>111.4</v>
          </cell>
          <cell r="D2164">
            <v>18.690000000000001</v>
          </cell>
          <cell r="E2164">
            <v>10.62</v>
          </cell>
          <cell r="H2164">
            <v>45382</v>
          </cell>
          <cell r="I2164">
            <v>0.56222222222222218</v>
          </cell>
          <cell r="J2164">
            <v>31.444444444444443</v>
          </cell>
        </row>
        <row r="2165">
          <cell r="B2165">
            <v>56.82</v>
          </cell>
          <cell r="C2165">
            <v>117.85</v>
          </cell>
          <cell r="D2165">
            <v>18.43</v>
          </cell>
          <cell r="E2165">
            <v>11.59</v>
          </cell>
          <cell r="H2165">
            <v>45382</v>
          </cell>
          <cell r="I2165">
            <v>0.54999999999999993</v>
          </cell>
          <cell r="J2165">
            <v>31.459999999999997</v>
          </cell>
        </row>
        <row r="2166">
          <cell r="B2166">
            <v>55.87</v>
          </cell>
          <cell r="C2166">
            <v>113.32</v>
          </cell>
          <cell r="D2166">
            <v>16.670000000000002</v>
          </cell>
          <cell r="E2166">
            <v>11.88</v>
          </cell>
          <cell r="H2166">
            <v>45382</v>
          </cell>
          <cell r="I2166">
            <v>0.52777777777777779</v>
          </cell>
          <cell r="J2166">
            <v>31.22666666666667</v>
          </cell>
        </row>
        <row r="2167">
          <cell r="B2167">
            <v>53.41</v>
          </cell>
          <cell r="C2167">
            <v>104.8</v>
          </cell>
          <cell r="D2167">
            <v>16.77</v>
          </cell>
          <cell r="E2167">
            <v>11.31</v>
          </cell>
          <cell r="H2167">
            <v>45382</v>
          </cell>
          <cell r="I2167">
            <v>0.51222222222222225</v>
          </cell>
          <cell r="J2167">
            <v>30.514444444444443</v>
          </cell>
        </row>
        <row r="2168">
          <cell r="B2168">
            <v>51.5</v>
          </cell>
          <cell r="C2168">
            <v>105.02</v>
          </cell>
          <cell r="D2168">
            <v>16.98</v>
          </cell>
          <cell r="E2168">
            <v>9.5299999999999994</v>
          </cell>
          <cell r="H2168">
            <v>45382</v>
          </cell>
          <cell r="I2168">
            <v>0.5377777777777778</v>
          </cell>
          <cell r="J2168">
            <v>30.276666666666667</v>
          </cell>
        </row>
        <row r="2169">
          <cell r="B2169">
            <v>50.15</v>
          </cell>
          <cell r="C2169">
            <v>102.42</v>
          </cell>
          <cell r="D2169">
            <v>16.82</v>
          </cell>
          <cell r="E2169">
            <v>8.49</v>
          </cell>
          <cell r="H2169">
            <v>45382</v>
          </cell>
          <cell r="I2169">
            <v>0.54333333333333333</v>
          </cell>
          <cell r="J2169">
            <v>30.552222222222227</v>
          </cell>
        </row>
        <row r="2170">
          <cell r="B2170">
            <v>45.71</v>
          </cell>
          <cell r="C2170">
            <v>102.79</v>
          </cell>
          <cell r="D2170">
            <v>16.47</v>
          </cell>
          <cell r="E2170">
            <v>8.31</v>
          </cell>
          <cell r="H2170">
            <v>45382</v>
          </cell>
          <cell r="I2170">
            <v>0.5411111111111111</v>
          </cell>
          <cell r="J2170">
            <v>30.912222222222226</v>
          </cell>
        </row>
        <row r="2171">
          <cell r="B2171">
            <v>40.69</v>
          </cell>
          <cell r="C2171">
            <v>89.93</v>
          </cell>
          <cell r="D2171">
            <v>16.95</v>
          </cell>
          <cell r="E2171">
            <v>8.91</v>
          </cell>
          <cell r="H2171">
            <v>45382</v>
          </cell>
          <cell r="I2171">
            <v>0.54</v>
          </cell>
          <cell r="J2171">
            <v>31.404444444444451</v>
          </cell>
        </row>
        <row r="2172">
          <cell r="B2172">
            <v>34.99</v>
          </cell>
          <cell r="C2172">
            <v>76.489999999999995</v>
          </cell>
          <cell r="D2172">
            <v>16.88</v>
          </cell>
          <cell r="E2172">
            <v>8.81</v>
          </cell>
          <cell r="H2172">
            <v>45382</v>
          </cell>
          <cell r="I2172">
            <v>0.53999999999999992</v>
          </cell>
          <cell r="J2172">
            <v>31.767777777777781</v>
          </cell>
        </row>
        <row r="2173">
          <cell r="B2173">
            <v>29.13</v>
          </cell>
          <cell r="C2173">
            <v>63.43</v>
          </cell>
          <cell r="D2173">
            <v>17.05</v>
          </cell>
          <cell r="E2173">
            <v>8.76</v>
          </cell>
          <cell r="H2173">
            <v>45382</v>
          </cell>
          <cell r="I2173">
            <v>0.53666666666666663</v>
          </cell>
          <cell r="J2173">
            <v>32.44444444444445</v>
          </cell>
        </row>
        <row r="2174">
          <cell r="B2174">
            <v>29.77</v>
          </cell>
          <cell r="C2174">
            <v>56.23</v>
          </cell>
          <cell r="D2174">
            <v>16.940000000000001</v>
          </cell>
          <cell r="E2174">
            <v>8.35</v>
          </cell>
          <cell r="H2174">
            <v>45382</v>
          </cell>
          <cell r="I2174">
            <v>0.53555555555555556</v>
          </cell>
          <cell r="J2174">
            <v>32.677777777777777</v>
          </cell>
        </row>
        <row r="2175">
          <cell r="B2175">
            <v>29.27</v>
          </cell>
          <cell r="C2175">
            <v>56.52</v>
          </cell>
          <cell r="D2175">
            <v>17.8</v>
          </cell>
          <cell r="E2175">
            <v>7.99</v>
          </cell>
          <cell r="H2175">
            <v>45382</v>
          </cell>
          <cell r="I2175">
            <v>0.53888888888888886</v>
          </cell>
          <cell r="J2175">
            <v>33.518888888888888</v>
          </cell>
        </row>
        <row r="2176">
          <cell r="B2176">
            <v>31.38</v>
          </cell>
          <cell r="C2176">
            <v>58.61</v>
          </cell>
          <cell r="D2176">
            <v>18.559999999999999</v>
          </cell>
          <cell r="E2176">
            <v>7.87</v>
          </cell>
          <cell r="H2176">
            <v>45382</v>
          </cell>
          <cell r="I2176">
            <v>0.53888888888888897</v>
          </cell>
          <cell r="J2176">
            <v>34.842222222222219</v>
          </cell>
        </row>
        <row r="2177">
          <cell r="B2177">
            <v>36.86</v>
          </cell>
          <cell r="C2177">
            <v>68.11</v>
          </cell>
          <cell r="D2177">
            <v>17.510000000000002</v>
          </cell>
          <cell r="E2177">
            <v>8.8699999999999992</v>
          </cell>
          <cell r="H2177">
            <v>45382</v>
          </cell>
          <cell r="I2177">
            <v>0.50777777777777777</v>
          </cell>
          <cell r="J2177">
            <v>36.225555555555559</v>
          </cell>
        </row>
        <row r="2178">
          <cell r="B2178">
            <v>43.36</v>
          </cell>
          <cell r="C2178">
            <v>90.72</v>
          </cell>
          <cell r="D2178">
            <v>17.399999999999999</v>
          </cell>
          <cell r="E2178">
            <v>9.14</v>
          </cell>
          <cell r="H2178">
            <v>45382</v>
          </cell>
          <cell r="I2178">
            <v>0.51555555555555566</v>
          </cell>
          <cell r="J2178">
            <v>37.72</v>
          </cell>
        </row>
        <row r="2179">
          <cell r="B2179">
            <v>36.32</v>
          </cell>
          <cell r="C2179">
            <v>76.53</v>
          </cell>
          <cell r="D2179">
            <v>17.010000000000002</v>
          </cell>
          <cell r="E2179">
            <v>8.76</v>
          </cell>
          <cell r="H2179">
            <v>45382</v>
          </cell>
          <cell r="I2179">
            <v>0.51111111111111107</v>
          </cell>
          <cell r="J2179">
            <v>38.643333333333331</v>
          </cell>
        </row>
        <row r="2180">
          <cell r="B2180">
            <v>35.14</v>
          </cell>
          <cell r="C2180">
            <v>73.959999999999994</v>
          </cell>
          <cell r="D2180">
            <v>19.04</v>
          </cell>
          <cell r="E2180">
            <v>8.23</v>
          </cell>
          <cell r="H2180">
            <v>45382</v>
          </cell>
          <cell r="I2180">
            <v>0.52555555555555555</v>
          </cell>
          <cell r="J2180">
            <v>38.533333333333331</v>
          </cell>
        </row>
        <row r="2181">
          <cell r="B2181">
            <v>41.08</v>
          </cell>
          <cell r="C2181">
            <v>92.08</v>
          </cell>
          <cell r="D2181">
            <v>20.34</v>
          </cell>
          <cell r="E2181">
            <v>8.08</v>
          </cell>
          <cell r="H2181">
            <v>45382</v>
          </cell>
          <cell r="I2181">
            <v>0.5855555555555555</v>
          </cell>
          <cell r="J2181">
            <v>37.712222222222216</v>
          </cell>
        </row>
        <row r="2182">
          <cell r="B2182">
            <v>46.86</v>
          </cell>
          <cell r="C2182">
            <v>99.45</v>
          </cell>
          <cell r="D2182">
            <v>20.63</v>
          </cell>
          <cell r="E2182">
            <v>7.83</v>
          </cell>
          <cell r="H2182">
            <v>45382</v>
          </cell>
          <cell r="I2182">
            <v>0.59555555555555562</v>
          </cell>
          <cell r="J2182">
            <v>36.114444444444445</v>
          </cell>
        </row>
        <row r="2183">
          <cell r="B2183">
            <v>53.64</v>
          </cell>
          <cell r="C2183">
            <v>115.14</v>
          </cell>
          <cell r="D2183">
            <v>20.97</v>
          </cell>
          <cell r="E2183">
            <v>7.63</v>
          </cell>
          <cell r="H2183">
            <v>45382</v>
          </cell>
          <cell r="I2183">
            <v>0.61333333333333351</v>
          </cell>
          <cell r="J2183">
            <v>34.935555555555553</v>
          </cell>
        </row>
        <row r="2184">
          <cell r="B2184">
            <v>53.45</v>
          </cell>
          <cell r="C2184">
            <v>119.24</v>
          </cell>
          <cell r="D2184">
            <v>19.75</v>
          </cell>
          <cell r="E2184">
            <v>7.99</v>
          </cell>
          <cell r="H2184">
            <v>45382</v>
          </cell>
          <cell r="I2184">
            <v>0.63111111111111129</v>
          </cell>
          <cell r="J2184">
            <v>34.337777777777781</v>
          </cell>
        </row>
        <row r="2185">
          <cell r="B2185">
            <v>50.67</v>
          </cell>
          <cell r="C2185">
            <v>105.45</v>
          </cell>
          <cell r="D2185">
            <v>18.440000000000001</v>
          </cell>
          <cell r="E2185">
            <v>7.75</v>
          </cell>
          <cell r="H2185">
            <v>45382</v>
          </cell>
          <cell r="I2185">
            <v>0.64111111111111119</v>
          </cell>
          <cell r="J2185">
            <v>33.270000000000003</v>
          </cell>
        </row>
        <row r="2186">
          <cell r="B2186">
            <v>41.87</v>
          </cell>
          <cell r="C2186">
            <v>85.55</v>
          </cell>
          <cell r="D2186">
            <v>17.59</v>
          </cell>
          <cell r="E2186">
            <v>7.4</v>
          </cell>
          <cell r="H2186">
            <v>45383</v>
          </cell>
          <cell r="I2186">
            <v>0.64444444444444449</v>
          </cell>
          <cell r="J2186">
            <v>32.181111111111107</v>
          </cell>
        </row>
        <row r="2187">
          <cell r="B2187">
            <v>37.630000000000003</v>
          </cell>
          <cell r="C2187">
            <v>75.2</v>
          </cell>
          <cell r="D2187">
            <v>16.91</v>
          </cell>
          <cell r="E2187">
            <v>7.82</v>
          </cell>
          <cell r="H2187">
            <v>45383</v>
          </cell>
          <cell r="I2187">
            <v>0.62444444444444458</v>
          </cell>
          <cell r="J2187">
            <v>30.659999999999993</v>
          </cell>
        </row>
        <row r="2188">
          <cell r="B2188">
            <v>41.93</v>
          </cell>
          <cell r="C2188">
            <v>73.39</v>
          </cell>
          <cell r="D2188">
            <v>16.87</v>
          </cell>
          <cell r="E2188">
            <v>8.32</v>
          </cell>
          <cell r="H2188">
            <v>45383</v>
          </cell>
          <cell r="I2188">
            <v>0.62333333333333329</v>
          </cell>
          <cell r="J2188">
            <v>29.321111111111108</v>
          </cell>
        </row>
        <row r="2189">
          <cell r="B2189">
            <v>37.950000000000003</v>
          </cell>
          <cell r="C2189">
            <v>73.209999999999994</v>
          </cell>
          <cell r="D2189">
            <v>15.66</v>
          </cell>
          <cell r="E2189">
            <v>9.01</v>
          </cell>
          <cell r="H2189">
            <v>45383</v>
          </cell>
          <cell r="I2189">
            <v>0.60333333333333328</v>
          </cell>
          <cell r="J2189">
            <v>28.504444444444442</v>
          </cell>
        </row>
        <row r="2190">
          <cell r="B2190">
            <v>34.85</v>
          </cell>
          <cell r="C2190">
            <v>75.28</v>
          </cell>
          <cell r="D2190">
            <v>16.54</v>
          </cell>
          <cell r="E2190">
            <v>8.15</v>
          </cell>
          <cell r="H2190">
            <v>45383</v>
          </cell>
          <cell r="I2190">
            <v>0.54222222222222216</v>
          </cell>
          <cell r="J2190">
            <v>28.22111111111111</v>
          </cell>
        </row>
        <row r="2191">
          <cell r="B2191">
            <v>32.78</v>
          </cell>
          <cell r="C2191">
            <v>70.12</v>
          </cell>
          <cell r="D2191">
            <v>16.440000000000001</v>
          </cell>
          <cell r="E2191">
            <v>8.4499999999999993</v>
          </cell>
          <cell r="H2191">
            <v>45383</v>
          </cell>
          <cell r="I2191">
            <v>0.53111111111111109</v>
          </cell>
          <cell r="J2191">
            <v>28.264444444444443</v>
          </cell>
        </row>
        <row r="2192">
          <cell r="B2192">
            <v>33.24</v>
          </cell>
          <cell r="C2192">
            <v>70.11</v>
          </cell>
          <cell r="D2192">
            <v>16.46</v>
          </cell>
          <cell r="E2192">
            <v>8.7200000000000006</v>
          </cell>
          <cell r="H2192">
            <v>45383</v>
          </cell>
          <cell r="I2192">
            <v>0.50888888888888895</v>
          </cell>
          <cell r="J2192">
            <v>28.209999999999997</v>
          </cell>
        </row>
        <row r="2193">
          <cell r="B2193">
            <v>34.450000000000003</v>
          </cell>
          <cell r="C2193">
            <v>73.56</v>
          </cell>
          <cell r="D2193">
            <v>17.18</v>
          </cell>
          <cell r="E2193">
            <v>8.08</v>
          </cell>
          <cell r="H2193">
            <v>45383</v>
          </cell>
          <cell r="I2193">
            <v>0.48666666666666664</v>
          </cell>
          <cell r="J2193">
            <v>27.428888888888892</v>
          </cell>
        </row>
        <row r="2194">
          <cell r="B2194">
            <v>37.729999999999997</v>
          </cell>
          <cell r="C2194">
            <v>75.42</v>
          </cell>
          <cell r="D2194">
            <v>16.96</v>
          </cell>
          <cell r="E2194">
            <v>8.07</v>
          </cell>
          <cell r="H2194">
            <v>45383</v>
          </cell>
          <cell r="I2194">
            <v>0.4811111111111111</v>
          </cell>
          <cell r="J2194">
            <v>27.24111111111111</v>
          </cell>
        </row>
        <row r="2195">
          <cell r="B2195">
            <v>32.409999999999997</v>
          </cell>
          <cell r="C2195">
            <v>73.150000000000006</v>
          </cell>
          <cell r="D2195">
            <v>16.66</v>
          </cell>
          <cell r="E2195">
            <v>8.6199999999999992</v>
          </cell>
          <cell r="H2195">
            <v>45383</v>
          </cell>
          <cell r="I2195">
            <v>0.47777777777777786</v>
          </cell>
          <cell r="J2195">
            <v>27.356666666666669</v>
          </cell>
        </row>
        <row r="2196">
          <cell r="B2196">
            <v>33.76</v>
          </cell>
          <cell r="C2196">
            <v>71.16</v>
          </cell>
          <cell r="D2196">
            <v>17.59</v>
          </cell>
          <cell r="E2196">
            <v>8.8000000000000007</v>
          </cell>
          <cell r="H2196">
            <v>45383</v>
          </cell>
          <cell r="I2196">
            <v>0.47555555555555556</v>
          </cell>
          <cell r="J2196">
            <v>27.956666666666663</v>
          </cell>
        </row>
        <row r="2197">
          <cell r="B2197">
            <v>30.62</v>
          </cell>
          <cell r="C2197">
            <v>66.010000000000005</v>
          </cell>
          <cell r="D2197">
            <v>18.14</v>
          </cell>
          <cell r="E2197">
            <v>7.65</v>
          </cell>
          <cell r="H2197">
            <v>45383</v>
          </cell>
          <cell r="I2197">
            <v>0.48222222222222222</v>
          </cell>
          <cell r="J2197">
            <v>29.061111111111106</v>
          </cell>
        </row>
        <row r="2198">
          <cell r="B2198">
            <v>27.34</v>
          </cell>
          <cell r="C2198">
            <v>63.71</v>
          </cell>
          <cell r="D2198">
            <v>18.899999999999999</v>
          </cell>
          <cell r="E2198">
            <v>7.26</v>
          </cell>
          <cell r="H2198">
            <v>45383</v>
          </cell>
          <cell r="I2198">
            <v>0.49555555555555547</v>
          </cell>
          <cell r="J2198">
            <v>30.991111111111106</v>
          </cell>
        </row>
        <row r="2199">
          <cell r="B2199">
            <v>29.76</v>
          </cell>
          <cell r="C2199">
            <v>65.61</v>
          </cell>
          <cell r="D2199">
            <v>19.239999999999998</v>
          </cell>
          <cell r="E2199">
            <v>7.33</v>
          </cell>
          <cell r="H2199">
            <v>45383</v>
          </cell>
          <cell r="I2199">
            <v>0.5033333333333333</v>
          </cell>
          <cell r="J2199">
            <v>33.647777777777776</v>
          </cell>
        </row>
        <row r="2200">
          <cell r="B2200">
            <v>34.92</v>
          </cell>
          <cell r="C2200">
            <v>66.47</v>
          </cell>
          <cell r="D2200">
            <v>19.73</v>
          </cell>
          <cell r="E2200">
            <v>7.19</v>
          </cell>
          <cell r="H2200">
            <v>45383</v>
          </cell>
          <cell r="I2200">
            <v>0.50555555555555565</v>
          </cell>
          <cell r="J2200">
            <v>36.226666666666659</v>
          </cell>
        </row>
        <row r="2201">
          <cell r="B2201">
            <v>34</v>
          </cell>
          <cell r="C2201">
            <v>65.180000000000007</v>
          </cell>
          <cell r="D2201">
            <v>19.670000000000002</v>
          </cell>
          <cell r="E2201">
            <v>7.68</v>
          </cell>
          <cell r="H2201">
            <v>45383</v>
          </cell>
          <cell r="I2201">
            <v>0.51</v>
          </cell>
          <cell r="J2201">
            <v>39.196666666666665</v>
          </cell>
        </row>
        <row r="2202">
          <cell r="B2202">
            <v>36.869999999999997</v>
          </cell>
          <cell r="C2202">
            <v>71.25</v>
          </cell>
          <cell r="D2202">
            <v>19.82</v>
          </cell>
          <cell r="E2202">
            <v>7.92</v>
          </cell>
          <cell r="H2202">
            <v>45383</v>
          </cell>
          <cell r="I2202">
            <v>0.52</v>
          </cell>
          <cell r="J2202">
            <v>42.62555555555555</v>
          </cell>
        </row>
        <row r="2203">
          <cell r="B2203">
            <v>35.36</v>
          </cell>
          <cell r="C2203">
            <v>74.92</v>
          </cell>
          <cell r="D2203">
            <v>18.52</v>
          </cell>
          <cell r="E2203">
            <v>7.39</v>
          </cell>
          <cell r="H2203">
            <v>45383</v>
          </cell>
          <cell r="I2203">
            <v>0.52888888888888896</v>
          </cell>
          <cell r="J2203">
            <v>45.093333333333327</v>
          </cell>
        </row>
        <row r="2204">
          <cell r="B2204">
            <v>41.01</v>
          </cell>
          <cell r="C2204">
            <v>107.72</v>
          </cell>
          <cell r="D2204">
            <v>19.14</v>
          </cell>
          <cell r="E2204">
            <v>7.43</v>
          </cell>
          <cell r="H2204">
            <v>45383</v>
          </cell>
          <cell r="I2204">
            <v>0.55000000000000004</v>
          </cell>
          <cell r="J2204">
            <v>46.18888888888889</v>
          </cell>
        </row>
        <row r="2205">
          <cell r="B2205">
            <v>60.72</v>
          </cell>
          <cell r="C2205">
            <v>121.99</v>
          </cell>
          <cell r="D2205">
            <v>25.14</v>
          </cell>
          <cell r="E2205">
            <v>7.74</v>
          </cell>
          <cell r="H2205">
            <v>45383</v>
          </cell>
          <cell r="I2205">
            <v>0.6166666666666667</v>
          </cell>
          <cell r="J2205">
            <v>45.431111111111107</v>
          </cell>
        </row>
        <row r="2206">
          <cell r="B2206">
            <v>53.78</v>
          </cell>
          <cell r="C2206">
            <v>160.80000000000001</v>
          </cell>
          <cell r="D2206">
            <v>27.68</v>
          </cell>
          <cell r="E2206">
            <v>7.9</v>
          </cell>
          <cell r="H2206">
            <v>45383</v>
          </cell>
          <cell r="I2206">
            <v>0.67222222222222228</v>
          </cell>
          <cell r="J2206">
            <v>44.536666666666662</v>
          </cell>
        </row>
        <row r="2207">
          <cell r="B2207">
            <v>61.96</v>
          </cell>
          <cell r="C2207">
            <v>181.07</v>
          </cell>
          <cell r="D2207">
            <v>23.38</v>
          </cell>
          <cell r="E2207">
            <v>7.46</v>
          </cell>
          <cell r="H2207">
            <v>45383</v>
          </cell>
          <cell r="I2207">
            <v>0.67555555555555569</v>
          </cell>
          <cell r="J2207">
            <v>42.791111111111114</v>
          </cell>
        </row>
        <row r="2208">
          <cell r="B2208">
            <v>57.66</v>
          </cell>
          <cell r="C2208">
            <v>136.12</v>
          </cell>
          <cell r="D2208">
            <v>21.28</v>
          </cell>
          <cell r="E2208">
            <v>6.95</v>
          </cell>
          <cell r="H2208">
            <v>45383</v>
          </cell>
          <cell r="I2208">
            <v>0.66555555555555557</v>
          </cell>
          <cell r="J2208">
            <v>40.081111111111113</v>
          </cell>
        </row>
        <row r="2209">
          <cell r="B2209">
            <v>45.75</v>
          </cell>
          <cell r="C2209">
            <v>97.33</v>
          </cell>
          <cell r="D2209">
            <v>17.93</v>
          </cell>
          <cell r="E2209">
            <v>9.94</v>
          </cell>
          <cell r="H2209">
            <v>45383</v>
          </cell>
          <cell r="I2209">
            <v>0.65888888888888886</v>
          </cell>
          <cell r="J2209">
            <v>37.505555555555553</v>
          </cell>
        </row>
        <row r="2210">
          <cell r="B2210">
            <v>45.69</v>
          </cell>
          <cell r="C2210">
            <v>79.97</v>
          </cell>
          <cell r="D2210">
            <v>17.22</v>
          </cell>
          <cell r="E2210">
            <v>9.92</v>
          </cell>
          <cell r="H2210">
            <v>45384</v>
          </cell>
          <cell r="I2210">
            <v>0.64444444444444438</v>
          </cell>
          <cell r="J2210">
            <v>35.407777777777774</v>
          </cell>
        </row>
        <row r="2211">
          <cell r="B2211">
            <v>37.17</v>
          </cell>
          <cell r="C2211">
            <v>69.23</v>
          </cell>
          <cell r="D2211">
            <v>17.05</v>
          </cell>
          <cell r="E2211">
            <v>7.9</v>
          </cell>
          <cell r="H2211">
            <v>45384</v>
          </cell>
          <cell r="I2211">
            <v>0.63222222222222224</v>
          </cell>
          <cell r="J2211">
            <v>32.793333333333329</v>
          </cell>
        </row>
        <row r="2212">
          <cell r="B2212">
            <v>36.4</v>
          </cell>
          <cell r="C2212">
            <v>71.7</v>
          </cell>
          <cell r="D2212">
            <v>16.88</v>
          </cell>
          <cell r="E2212">
            <v>7.73</v>
          </cell>
          <cell r="H2212">
            <v>45384</v>
          </cell>
          <cell r="I2212">
            <v>0.62222222222222223</v>
          </cell>
          <cell r="J2212">
            <v>30.534444444444446</v>
          </cell>
        </row>
        <row r="2213">
          <cell r="B2213">
            <v>40.22</v>
          </cell>
          <cell r="C2213">
            <v>78.3</v>
          </cell>
          <cell r="D2213">
            <v>17.23</v>
          </cell>
          <cell r="E2213">
            <v>8</v>
          </cell>
          <cell r="H2213">
            <v>45384</v>
          </cell>
          <cell r="I2213">
            <v>0.5988888888888888</v>
          </cell>
          <cell r="J2213">
            <v>29.018888888888892</v>
          </cell>
        </row>
        <row r="2214">
          <cell r="B2214">
            <v>37.57</v>
          </cell>
          <cell r="C2214">
            <v>89.09</v>
          </cell>
          <cell r="D2214">
            <v>17.670000000000002</v>
          </cell>
          <cell r="E2214">
            <v>8.07</v>
          </cell>
          <cell r="H2214">
            <v>45384</v>
          </cell>
          <cell r="I2214">
            <v>0.53111111111111109</v>
          </cell>
          <cell r="J2214">
            <v>28.86</v>
          </cell>
        </row>
        <row r="2215">
          <cell r="B2215">
            <v>38.15</v>
          </cell>
          <cell r="C2215">
            <v>88.7</v>
          </cell>
          <cell r="D2215">
            <v>16.850000000000001</v>
          </cell>
          <cell r="E2215">
            <v>7.43</v>
          </cell>
          <cell r="H2215">
            <v>45384</v>
          </cell>
          <cell r="I2215">
            <v>0.46777777777777779</v>
          </cell>
          <cell r="J2215">
            <v>28.382222222222222</v>
          </cell>
        </row>
        <row r="2216">
          <cell r="B2216">
            <v>42.93</v>
          </cell>
          <cell r="C2216">
            <v>89.26</v>
          </cell>
          <cell r="D2216">
            <v>16.46</v>
          </cell>
          <cell r="E2216">
            <v>7.13</v>
          </cell>
          <cell r="H2216">
            <v>45384</v>
          </cell>
          <cell r="I2216">
            <v>0.45333333333333337</v>
          </cell>
          <cell r="J2216">
            <v>28.135555555555555</v>
          </cell>
        </row>
        <row r="2217">
          <cell r="B2217">
            <v>45.98</v>
          </cell>
          <cell r="C2217">
            <v>105.11</v>
          </cell>
          <cell r="D2217">
            <v>16.559999999999999</v>
          </cell>
          <cell r="E2217">
            <v>6.96</v>
          </cell>
          <cell r="H2217">
            <v>45384</v>
          </cell>
          <cell r="I2217">
            <v>0.45222222222222225</v>
          </cell>
          <cell r="J2217">
            <v>28.286666666666665</v>
          </cell>
        </row>
        <row r="2218">
          <cell r="B2218">
            <v>43.86</v>
          </cell>
          <cell r="C2218">
            <v>117.18</v>
          </cell>
          <cell r="D2218">
            <v>16.59</v>
          </cell>
          <cell r="E2218">
            <v>6.85</v>
          </cell>
          <cell r="H2218">
            <v>45384</v>
          </cell>
          <cell r="I2218">
            <v>0.45888888888888896</v>
          </cell>
          <cell r="J2218">
            <v>28.732222222222227</v>
          </cell>
        </row>
        <row r="2219">
          <cell r="B2219">
            <v>32.979999999999997</v>
          </cell>
          <cell r="C2219">
            <v>97.23</v>
          </cell>
          <cell r="D2219">
            <v>17.46</v>
          </cell>
          <cell r="E2219">
            <v>7.29</v>
          </cell>
          <cell r="H2219">
            <v>45384</v>
          </cell>
          <cell r="I2219">
            <v>0.47666666666666679</v>
          </cell>
          <cell r="J2219">
            <v>28.616666666666667</v>
          </cell>
        </row>
        <row r="2220">
          <cell r="B2220">
            <v>40.840000000000003</v>
          </cell>
          <cell r="C2220">
            <v>85.31</v>
          </cell>
          <cell r="D2220">
            <v>17.45</v>
          </cell>
          <cell r="E2220">
            <v>7.3</v>
          </cell>
          <cell r="H2220">
            <v>45384</v>
          </cell>
          <cell r="I2220">
            <v>0.48555555555555557</v>
          </cell>
          <cell r="J2220">
            <v>28.968888888888891</v>
          </cell>
        </row>
        <row r="2221">
          <cell r="B2221">
            <v>38.86</v>
          </cell>
          <cell r="C2221">
            <v>88.75</v>
          </cell>
          <cell r="D2221">
            <v>17.89</v>
          </cell>
          <cell r="E2221">
            <v>7.32</v>
          </cell>
          <cell r="H2221">
            <v>45384</v>
          </cell>
          <cell r="I2221">
            <v>0.49111111111111122</v>
          </cell>
          <cell r="J2221">
            <v>30.323333333333338</v>
          </cell>
        </row>
        <row r="2222">
          <cell r="B2222">
            <v>37.700000000000003</v>
          </cell>
          <cell r="C2222">
            <v>79.099999999999994</v>
          </cell>
          <cell r="D2222">
            <v>18.649999999999999</v>
          </cell>
          <cell r="E2222">
            <v>6.95</v>
          </cell>
          <cell r="H2222">
            <v>45384</v>
          </cell>
          <cell r="I2222">
            <v>0.49777777777777782</v>
          </cell>
          <cell r="J2222">
            <v>32.108888888888892</v>
          </cell>
        </row>
        <row r="2223">
          <cell r="B2223">
            <v>39.83</v>
          </cell>
          <cell r="C2223">
            <v>82.52</v>
          </cell>
          <cell r="D2223">
            <v>18.059999999999999</v>
          </cell>
          <cell r="E2223">
            <v>7</v>
          </cell>
          <cell r="H2223">
            <v>45384</v>
          </cell>
          <cell r="I2223">
            <v>0.50444444444444458</v>
          </cell>
          <cell r="J2223">
            <v>34.378888888888895</v>
          </cell>
        </row>
        <row r="2224">
          <cell r="B2224">
            <v>39.28</v>
          </cell>
          <cell r="C2224">
            <v>84.08</v>
          </cell>
          <cell r="D2224">
            <v>18.43</v>
          </cell>
          <cell r="E2224">
            <v>7.34</v>
          </cell>
          <cell r="H2224">
            <v>45384</v>
          </cell>
          <cell r="I2224">
            <v>0.50333333333333341</v>
          </cell>
          <cell r="J2224">
            <v>36.304444444444442</v>
          </cell>
        </row>
        <row r="2225">
          <cell r="B2225">
            <v>39.49</v>
          </cell>
          <cell r="C2225">
            <v>74.239999999999995</v>
          </cell>
          <cell r="D2225">
            <v>18.37</v>
          </cell>
          <cell r="E2225">
            <v>7.74</v>
          </cell>
          <cell r="H2225">
            <v>45384</v>
          </cell>
          <cell r="I2225">
            <v>0.5066666666666666</v>
          </cell>
          <cell r="J2225">
            <v>37.792222222222222</v>
          </cell>
        </row>
        <row r="2226">
          <cell r="B2226">
            <v>35.729999999999997</v>
          </cell>
          <cell r="C2226">
            <v>72.22</v>
          </cell>
          <cell r="D2226">
            <v>18.27</v>
          </cell>
          <cell r="E2226">
            <v>7.23</v>
          </cell>
          <cell r="H2226">
            <v>45384</v>
          </cell>
          <cell r="I2226">
            <v>0.50888888888888895</v>
          </cell>
          <cell r="J2226">
            <v>39.117777777777775</v>
          </cell>
        </row>
        <row r="2227">
          <cell r="B2227">
            <v>33.04</v>
          </cell>
          <cell r="C2227">
            <v>70.290000000000006</v>
          </cell>
          <cell r="D2227">
            <v>18.29</v>
          </cell>
          <cell r="E2227">
            <v>7.48</v>
          </cell>
          <cell r="H2227">
            <v>45384</v>
          </cell>
          <cell r="I2227">
            <v>0.51555555555555554</v>
          </cell>
          <cell r="J2227">
            <v>39.668888888888894</v>
          </cell>
        </row>
        <row r="2228">
          <cell r="B2228">
            <v>34.880000000000003</v>
          </cell>
          <cell r="C2228">
            <v>73.349999999999994</v>
          </cell>
          <cell r="D2228">
            <v>19.34</v>
          </cell>
          <cell r="E2228">
            <v>7.98</v>
          </cell>
          <cell r="H2228">
            <v>45384</v>
          </cell>
          <cell r="I2228">
            <v>0.53111111111111109</v>
          </cell>
          <cell r="J2228">
            <v>39.365555555555559</v>
          </cell>
        </row>
        <row r="2229">
          <cell r="B2229">
            <v>38.61</v>
          </cell>
          <cell r="C2229">
            <v>85.81</v>
          </cell>
          <cell r="D2229">
            <v>20.65</v>
          </cell>
          <cell r="E2229">
            <v>8.1</v>
          </cell>
          <cell r="H2229">
            <v>45384</v>
          </cell>
          <cell r="I2229">
            <v>0.55111111111111122</v>
          </cell>
          <cell r="J2229">
            <v>38.31111111111111</v>
          </cell>
        </row>
        <row r="2230">
          <cell r="B2230">
            <v>45.63</v>
          </cell>
          <cell r="C2230">
            <v>96.72</v>
          </cell>
          <cell r="D2230">
            <v>20.2</v>
          </cell>
          <cell r="E2230">
            <v>7.52</v>
          </cell>
          <cell r="H2230">
            <v>45384</v>
          </cell>
          <cell r="I2230">
            <v>0.56111111111111112</v>
          </cell>
          <cell r="J2230">
            <v>37.046666666666667</v>
          </cell>
        </row>
        <row r="2231">
          <cell r="B2231">
            <v>39.67</v>
          </cell>
          <cell r="C2231">
            <v>90.14</v>
          </cell>
          <cell r="D2231">
            <v>18.61</v>
          </cell>
          <cell r="E2231">
            <v>7.36</v>
          </cell>
          <cell r="H2231">
            <v>45384</v>
          </cell>
          <cell r="I2231">
            <v>0.55999999999999994</v>
          </cell>
          <cell r="J2231">
            <v>36.00888888888889</v>
          </cell>
        </row>
        <row r="2232">
          <cell r="B2232">
            <v>38.19</v>
          </cell>
          <cell r="C2232">
            <v>77.38</v>
          </cell>
          <cell r="D2232">
            <v>18.23</v>
          </cell>
          <cell r="E2232">
            <v>7.35</v>
          </cell>
          <cell r="H2232">
            <v>45384</v>
          </cell>
          <cell r="I2232">
            <v>0.55777777777777771</v>
          </cell>
          <cell r="J2232">
            <v>34.26</v>
          </cell>
        </row>
        <row r="2233">
          <cell r="B2233">
            <v>35.200000000000003</v>
          </cell>
          <cell r="C2233">
            <v>76.290000000000006</v>
          </cell>
          <cell r="D2233">
            <v>17.96</v>
          </cell>
          <cell r="E2233">
            <v>7.35</v>
          </cell>
          <cell r="H2233">
            <v>45384</v>
          </cell>
          <cell r="I2233">
            <v>0.55888888888888888</v>
          </cell>
          <cell r="J2233">
            <v>32.934444444444438</v>
          </cell>
        </row>
        <row r="2234">
          <cell r="B2234">
            <v>32</v>
          </cell>
          <cell r="C2234">
            <v>73.7</v>
          </cell>
          <cell r="D2234">
            <v>16.97</v>
          </cell>
          <cell r="E2234">
            <v>7.32</v>
          </cell>
          <cell r="H2234">
            <v>45385</v>
          </cell>
          <cell r="I2234">
            <v>0.55222222222222228</v>
          </cell>
          <cell r="J2234">
            <v>31.762222222222217</v>
          </cell>
        </row>
        <row r="2235">
          <cell r="B2235">
            <v>31.63</v>
          </cell>
          <cell r="C2235">
            <v>68.489999999999995</v>
          </cell>
          <cell r="D2235">
            <v>16.71</v>
          </cell>
          <cell r="E2235">
            <v>8.31</v>
          </cell>
          <cell r="H2235">
            <v>45385</v>
          </cell>
          <cell r="I2235">
            <v>0.55222222222222228</v>
          </cell>
          <cell r="J2235">
            <v>30.364444444444441</v>
          </cell>
        </row>
        <row r="2236">
          <cell r="B2236">
            <v>35.479999999999997</v>
          </cell>
          <cell r="C2236">
            <v>73.650000000000006</v>
          </cell>
          <cell r="D2236">
            <v>16.23</v>
          </cell>
          <cell r="E2236">
            <v>8.94</v>
          </cell>
          <cell r="H2236">
            <v>45385</v>
          </cell>
          <cell r="I2236">
            <v>0.54666666666666675</v>
          </cell>
          <cell r="J2236">
            <v>29.401111111111113</v>
          </cell>
        </row>
        <row r="2237">
          <cell r="B2237">
            <v>37.25</v>
          </cell>
          <cell r="C2237">
            <v>80.599999999999994</v>
          </cell>
          <cell r="D2237">
            <v>16.43</v>
          </cell>
          <cell r="E2237">
            <v>8.5399999999999991</v>
          </cell>
          <cell r="H2237">
            <v>45385</v>
          </cell>
          <cell r="I2237">
            <v>0.52444444444444449</v>
          </cell>
          <cell r="J2237">
            <v>28.684444444444441</v>
          </cell>
        </row>
        <row r="2238">
          <cell r="B2238">
            <v>39.65</v>
          </cell>
          <cell r="C2238">
            <v>83.65</v>
          </cell>
          <cell r="D2238">
            <v>16.11</v>
          </cell>
          <cell r="E2238">
            <v>7.9</v>
          </cell>
          <cell r="H2238">
            <v>45385</v>
          </cell>
          <cell r="I2238">
            <v>0.50222222222222224</v>
          </cell>
          <cell r="J2238">
            <v>28.411111111111111</v>
          </cell>
        </row>
        <row r="2239">
          <cell r="B2239">
            <v>41.03</v>
          </cell>
          <cell r="C2239">
            <v>89.51</v>
          </cell>
          <cell r="D2239">
            <v>16.309999999999999</v>
          </cell>
          <cell r="E2239">
            <v>7.88</v>
          </cell>
          <cell r="H2239">
            <v>45385</v>
          </cell>
          <cell r="I2239">
            <v>0.48666666666666675</v>
          </cell>
          <cell r="J2239">
            <v>27.75</v>
          </cell>
        </row>
        <row r="2240">
          <cell r="B2240">
            <v>44.46</v>
          </cell>
          <cell r="C2240">
            <v>93.62</v>
          </cell>
          <cell r="D2240">
            <v>16.12</v>
          </cell>
          <cell r="E2240">
            <v>7.79</v>
          </cell>
          <cell r="H2240">
            <v>45385</v>
          </cell>
          <cell r="I2240">
            <v>0.48222222222222222</v>
          </cell>
          <cell r="J2240">
            <v>26.806666666666665</v>
          </cell>
        </row>
        <row r="2241">
          <cell r="B2241">
            <v>47.53</v>
          </cell>
          <cell r="C2241">
            <v>96.81</v>
          </cell>
          <cell r="D2241">
            <v>16.48</v>
          </cell>
          <cell r="E2241">
            <v>8.09</v>
          </cell>
          <cell r="H2241">
            <v>45385</v>
          </cell>
          <cell r="I2241">
            <v>0.48222222222222222</v>
          </cell>
          <cell r="J2241">
            <v>26.23555555555556</v>
          </cell>
        </row>
        <row r="2242">
          <cell r="B2242">
            <v>38.840000000000003</v>
          </cell>
          <cell r="C2242">
            <v>95.75</v>
          </cell>
          <cell r="D2242">
            <v>16.37</v>
          </cell>
          <cell r="E2242">
            <v>8.08</v>
          </cell>
          <cell r="H2242">
            <v>45385</v>
          </cell>
          <cell r="I2242">
            <v>0.48333333333333328</v>
          </cell>
          <cell r="J2242">
            <v>25.688888888888886</v>
          </cell>
        </row>
        <row r="2243">
          <cell r="B2243">
            <v>37.840000000000003</v>
          </cell>
          <cell r="C2243">
            <v>94.02</v>
          </cell>
          <cell r="D2243">
            <v>16.75</v>
          </cell>
          <cell r="E2243">
            <v>8.69</v>
          </cell>
          <cell r="H2243">
            <v>45385</v>
          </cell>
          <cell r="I2243">
            <v>0.49111111111111111</v>
          </cell>
          <cell r="J2243">
            <v>26.042222222222222</v>
          </cell>
        </row>
        <row r="2244">
          <cell r="B2244">
            <v>31.55</v>
          </cell>
          <cell r="C2244">
            <v>76.97</v>
          </cell>
          <cell r="D2244">
            <v>17.2</v>
          </cell>
          <cell r="E2244">
            <v>8.7100000000000009</v>
          </cell>
          <cell r="H2244">
            <v>45385</v>
          </cell>
          <cell r="I2244">
            <v>0.49222222222222217</v>
          </cell>
          <cell r="J2244">
            <v>26.752222222222219</v>
          </cell>
        </row>
        <row r="2245">
          <cell r="B2245">
            <v>30.76</v>
          </cell>
          <cell r="C2245">
            <v>70.19</v>
          </cell>
          <cell r="D2245">
            <v>17.5</v>
          </cell>
          <cell r="E2245">
            <v>8.2100000000000009</v>
          </cell>
          <cell r="H2245">
            <v>45385</v>
          </cell>
          <cell r="I2245">
            <v>0.49444444444444446</v>
          </cell>
          <cell r="J2245">
            <v>27.824444444444442</v>
          </cell>
        </row>
        <row r="2246">
          <cell r="B2246">
            <v>32.56</v>
          </cell>
          <cell r="C2246">
            <v>71.19</v>
          </cell>
          <cell r="D2246">
            <v>17.89</v>
          </cell>
          <cell r="E2246">
            <v>8.19</v>
          </cell>
          <cell r="H2246">
            <v>45385</v>
          </cell>
          <cell r="I2246">
            <v>0.49777777777777782</v>
          </cell>
          <cell r="J2246">
            <v>29.315555555555552</v>
          </cell>
        </row>
        <row r="2247">
          <cell r="B2247">
            <v>31.64</v>
          </cell>
          <cell r="C2247">
            <v>71.150000000000006</v>
          </cell>
          <cell r="D2247">
            <v>17.8</v>
          </cell>
          <cell r="E2247">
            <v>8.3800000000000008</v>
          </cell>
          <cell r="H2247">
            <v>45385</v>
          </cell>
          <cell r="I2247">
            <v>0.49888888888888894</v>
          </cell>
          <cell r="J2247">
            <v>31.276666666666667</v>
          </cell>
        </row>
        <row r="2248">
          <cell r="B2248">
            <v>37.950000000000003</v>
          </cell>
          <cell r="C2248">
            <v>77.11</v>
          </cell>
          <cell r="D2248">
            <v>17.59</v>
          </cell>
          <cell r="E2248">
            <v>8.52</v>
          </cell>
          <cell r="H2248">
            <v>45385</v>
          </cell>
          <cell r="I2248">
            <v>0.49777777777777771</v>
          </cell>
          <cell r="J2248">
            <v>33.395555555555553</v>
          </cell>
        </row>
        <row r="2249">
          <cell r="B2249">
            <v>36.770000000000003</v>
          </cell>
          <cell r="C2249">
            <v>77.2</v>
          </cell>
          <cell r="D2249">
            <v>17.89</v>
          </cell>
          <cell r="E2249">
            <v>8.98</v>
          </cell>
          <cell r="H2249">
            <v>45385</v>
          </cell>
          <cell r="I2249">
            <v>0.5</v>
          </cell>
          <cell r="J2249">
            <v>34.870000000000005</v>
          </cell>
        </row>
        <row r="2250">
          <cell r="B2250">
            <v>36.89</v>
          </cell>
          <cell r="C2250">
            <v>77.02</v>
          </cell>
          <cell r="D2250">
            <v>17.170000000000002</v>
          </cell>
          <cell r="E2250">
            <v>9.15</v>
          </cell>
          <cell r="H2250">
            <v>45385</v>
          </cell>
          <cell r="I2250">
            <v>0.5</v>
          </cell>
          <cell r="J2250">
            <v>36.349999999999994</v>
          </cell>
        </row>
        <row r="2251">
          <cell r="B2251">
            <v>37.89</v>
          </cell>
          <cell r="C2251">
            <v>75.099999999999994</v>
          </cell>
          <cell r="D2251">
            <v>17.39</v>
          </cell>
          <cell r="E2251">
            <v>9.76</v>
          </cell>
          <cell r="H2251">
            <v>45385</v>
          </cell>
          <cell r="I2251">
            <v>0.51</v>
          </cell>
          <cell r="J2251">
            <v>37.297777777777775</v>
          </cell>
        </row>
        <row r="2252">
          <cell r="B2252">
            <v>34.840000000000003</v>
          </cell>
          <cell r="C2252">
            <v>78.099999999999994</v>
          </cell>
          <cell r="D2252">
            <v>30.63</v>
          </cell>
          <cell r="E2252">
            <v>9.08</v>
          </cell>
          <cell r="H2252">
            <v>45385</v>
          </cell>
          <cell r="I2252">
            <v>0.52777777777777768</v>
          </cell>
          <cell r="J2252">
            <v>37.084444444444443</v>
          </cell>
        </row>
        <row r="2253">
          <cell r="B2253">
            <v>39.42</v>
          </cell>
          <cell r="C2253">
            <v>89.42</v>
          </cell>
          <cell r="D2253">
            <v>21.99</v>
          </cell>
          <cell r="E2253">
            <v>8.4700000000000006</v>
          </cell>
          <cell r="H2253">
            <v>45385</v>
          </cell>
          <cell r="I2253">
            <v>0.56000000000000005</v>
          </cell>
          <cell r="J2253">
            <v>36.431111111111107</v>
          </cell>
        </row>
        <row r="2254">
          <cell r="B2254">
            <v>40.82</v>
          </cell>
          <cell r="C2254">
            <v>96.66</v>
          </cell>
          <cell r="D2254">
            <v>19.53</v>
          </cell>
          <cell r="E2254">
            <v>8.35</v>
          </cell>
          <cell r="H2254">
            <v>45385</v>
          </cell>
          <cell r="I2254">
            <v>0.58111111111111102</v>
          </cell>
          <cell r="J2254">
            <v>35.554444444444442</v>
          </cell>
        </row>
        <row r="2255">
          <cell r="B2255">
            <v>41.67</v>
          </cell>
          <cell r="C2255">
            <v>95.27</v>
          </cell>
          <cell r="D2255">
            <v>18.64</v>
          </cell>
          <cell r="E2255">
            <v>7.95</v>
          </cell>
          <cell r="H2255">
            <v>45385</v>
          </cell>
          <cell r="I2255">
            <v>0.59111111111111114</v>
          </cell>
          <cell r="J2255">
            <v>34.68666666666666</v>
          </cell>
        </row>
        <row r="2256">
          <cell r="B2256">
            <v>36.79</v>
          </cell>
          <cell r="C2256">
            <v>84.07</v>
          </cell>
          <cell r="D2256">
            <v>18.46</v>
          </cell>
          <cell r="E2256">
            <v>8</v>
          </cell>
          <cell r="H2256">
            <v>45385</v>
          </cell>
          <cell r="I2256">
            <v>0.59444444444444455</v>
          </cell>
          <cell r="J2256">
            <v>33.059999999999995</v>
          </cell>
        </row>
        <row r="2257">
          <cell r="B2257">
            <v>35.21</v>
          </cell>
          <cell r="C2257">
            <v>76.33</v>
          </cell>
          <cell r="D2257">
            <v>17.899999999999999</v>
          </cell>
          <cell r="E2257">
            <v>7.59</v>
          </cell>
          <cell r="H2257">
            <v>45385</v>
          </cell>
          <cell r="I2257">
            <v>0.59777777777777774</v>
          </cell>
          <cell r="J2257">
            <v>30.932222222222222</v>
          </cell>
        </row>
        <row r="2258">
          <cell r="B2258">
            <v>65.94</v>
          </cell>
          <cell r="C2258">
            <v>99.33</v>
          </cell>
          <cell r="D2258">
            <v>17.37</v>
          </cell>
          <cell r="E2258">
            <v>7.52</v>
          </cell>
          <cell r="H2258">
            <v>45386</v>
          </cell>
          <cell r="I2258">
            <v>0.59777777777777774</v>
          </cell>
          <cell r="J2258">
            <v>29.691111111111113</v>
          </cell>
        </row>
        <row r="2259">
          <cell r="B2259">
            <v>55.28</v>
          </cell>
          <cell r="C2259">
            <v>69.2</v>
          </cell>
          <cell r="D2259">
            <v>16.78</v>
          </cell>
          <cell r="E2259">
            <v>7.58</v>
          </cell>
          <cell r="H2259">
            <v>45386</v>
          </cell>
          <cell r="I2259">
            <v>0.60000000000000009</v>
          </cell>
          <cell r="J2259">
            <v>28.638888888888889</v>
          </cell>
        </row>
        <row r="2260">
          <cell r="B2260">
            <v>33.520000000000003</v>
          </cell>
          <cell r="C2260">
            <v>71.03</v>
          </cell>
          <cell r="D2260">
            <v>16.47</v>
          </cell>
          <cell r="E2260">
            <v>8.1</v>
          </cell>
          <cell r="H2260">
            <v>45386</v>
          </cell>
          <cell r="I2260">
            <v>0.59333333333333338</v>
          </cell>
          <cell r="J2260">
            <v>28.078888888888891</v>
          </cell>
        </row>
        <row r="2261">
          <cell r="B2261">
            <v>32.65</v>
          </cell>
          <cell r="C2261">
            <v>67.08</v>
          </cell>
          <cell r="D2261">
            <v>16.5</v>
          </cell>
          <cell r="E2261">
            <v>8.1199999999999992</v>
          </cell>
          <cell r="H2261">
            <v>45386</v>
          </cell>
          <cell r="I2261">
            <v>0.57444444444444454</v>
          </cell>
          <cell r="J2261">
            <v>28.030000000000005</v>
          </cell>
        </row>
        <row r="2262">
          <cell r="B2262">
            <v>32.25</v>
          </cell>
          <cell r="C2262">
            <v>62.06</v>
          </cell>
          <cell r="D2262">
            <v>17.010000000000002</v>
          </cell>
          <cell r="E2262">
            <v>8.39</v>
          </cell>
          <cell r="H2262">
            <v>45386</v>
          </cell>
          <cell r="I2262">
            <v>0.54444444444444451</v>
          </cell>
          <cell r="J2262">
            <v>28.185555555555553</v>
          </cell>
        </row>
        <row r="2263">
          <cell r="B2263">
            <v>28</v>
          </cell>
          <cell r="C2263">
            <v>62.56</v>
          </cell>
          <cell r="D2263">
            <v>16.66</v>
          </cell>
          <cell r="E2263">
            <v>7.65</v>
          </cell>
          <cell r="H2263">
            <v>45386</v>
          </cell>
          <cell r="I2263">
            <v>0.52888888888888885</v>
          </cell>
          <cell r="J2263">
            <v>28.051111111111112</v>
          </cell>
        </row>
        <row r="2264">
          <cell r="B2264">
            <v>36.36</v>
          </cell>
          <cell r="C2264">
            <v>69.02</v>
          </cell>
          <cell r="D2264">
            <v>16.600000000000001</v>
          </cell>
          <cell r="E2264">
            <v>7.19</v>
          </cell>
          <cell r="H2264">
            <v>45386</v>
          </cell>
          <cell r="I2264">
            <v>0.52555555555555555</v>
          </cell>
          <cell r="J2264">
            <v>27.804444444444446</v>
          </cell>
        </row>
        <row r="2265">
          <cell r="B2265">
            <v>36.5</v>
          </cell>
          <cell r="C2265">
            <v>80.099999999999994</v>
          </cell>
          <cell r="D2265">
            <v>16.78</v>
          </cell>
          <cell r="E2265">
            <v>7.66</v>
          </cell>
          <cell r="H2265">
            <v>45386</v>
          </cell>
          <cell r="I2265">
            <v>0.52666666666666662</v>
          </cell>
          <cell r="J2265">
            <v>27.788888888888884</v>
          </cell>
        </row>
        <row r="2266">
          <cell r="B2266">
            <v>43.26</v>
          </cell>
          <cell r="C2266">
            <v>86.5</v>
          </cell>
          <cell r="D2266">
            <v>16.510000000000002</v>
          </cell>
          <cell r="E2266">
            <v>7.71</v>
          </cell>
          <cell r="H2266">
            <v>45386</v>
          </cell>
          <cell r="I2266">
            <v>0.53</v>
          </cell>
          <cell r="J2266">
            <v>28.374444444444446</v>
          </cell>
        </row>
        <row r="2267">
          <cell r="B2267">
            <v>36.380000000000003</v>
          </cell>
          <cell r="C2267">
            <v>81.59</v>
          </cell>
          <cell r="D2267">
            <v>16.600000000000001</v>
          </cell>
          <cell r="E2267">
            <v>7.45</v>
          </cell>
          <cell r="H2267">
            <v>45386</v>
          </cell>
          <cell r="I2267">
            <v>0.53555555555555556</v>
          </cell>
          <cell r="J2267">
            <v>29.037777777777777</v>
          </cell>
        </row>
        <row r="2268">
          <cell r="B2268">
            <v>34.5</v>
          </cell>
          <cell r="C2268">
            <v>72.319999999999993</v>
          </cell>
          <cell r="D2268">
            <v>15.88</v>
          </cell>
          <cell r="E2268">
            <v>7.65</v>
          </cell>
          <cell r="H2268">
            <v>45386</v>
          </cell>
          <cell r="I2268">
            <v>0.53999999999999992</v>
          </cell>
          <cell r="J2268">
            <v>29.24666666666667</v>
          </cell>
        </row>
        <row r="2269">
          <cell r="B2269">
            <v>29.01</v>
          </cell>
          <cell r="C2269">
            <v>69.19</v>
          </cell>
          <cell r="D2269">
            <v>16.149999999999999</v>
          </cell>
          <cell r="E2269">
            <v>8.1199999999999992</v>
          </cell>
          <cell r="H2269">
            <v>45386</v>
          </cell>
          <cell r="I2269">
            <v>0.54333333333333345</v>
          </cell>
          <cell r="J2269">
            <v>29.737777777777776</v>
          </cell>
        </row>
        <row r="2270">
          <cell r="B2270">
            <v>26.99</v>
          </cell>
          <cell r="C2270">
            <v>67.37</v>
          </cell>
          <cell r="D2270">
            <v>16.649999999999999</v>
          </cell>
          <cell r="E2270">
            <v>7.77</v>
          </cell>
          <cell r="H2270">
            <v>45386</v>
          </cell>
          <cell r="I2270">
            <v>0.54333333333333333</v>
          </cell>
          <cell r="J2270">
            <v>30.197777777777773</v>
          </cell>
        </row>
        <row r="2271">
          <cell r="B2271">
            <v>28.13</v>
          </cell>
          <cell r="C2271">
            <v>69.709999999999994</v>
          </cell>
          <cell r="D2271">
            <v>19.149999999999999</v>
          </cell>
          <cell r="E2271">
            <v>7.78</v>
          </cell>
          <cell r="H2271">
            <v>45386</v>
          </cell>
          <cell r="I2271">
            <v>0.5411111111111111</v>
          </cell>
          <cell r="J2271">
            <v>30.666666666666668</v>
          </cell>
        </row>
        <row r="2272">
          <cell r="B2272">
            <v>29.23</v>
          </cell>
          <cell r="C2272">
            <v>89.05</v>
          </cell>
          <cell r="D2272">
            <v>19.82</v>
          </cell>
          <cell r="E2272">
            <v>8.26</v>
          </cell>
          <cell r="H2272">
            <v>45386</v>
          </cell>
          <cell r="I2272">
            <v>0.53444444444444439</v>
          </cell>
          <cell r="J2272">
            <v>31.902222222222221</v>
          </cell>
        </row>
        <row r="2273">
          <cell r="B2273">
            <v>29.99</v>
          </cell>
          <cell r="C2273">
            <v>66.790000000000006</v>
          </cell>
          <cell r="D2273">
            <v>20.73</v>
          </cell>
          <cell r="E2273">
            <v>8.33</v>
          </cell>
          <cell r="H2273">
            <v>45386</v>
          </cell>
          <cell r="I2273">
            <v>0.52444444444444438</v>
          </cell>
          <cell r="J2273">
            <v>32.948888888888888</v>
          </cell>
        </row>
        <row r="2274">
          <cell r="B2274">
            <v>22.26</v>
          </cell>
          <cell r="C2274">
            <v>61.92</v>
          </cell>
          <cell r="D2274">
            <v>17.55</v>
          </cell>
          <cell r="E2274">
            <v>9.18</v>
          </cell>
          <cell r="H2274">
            <v>45386</v>
          </cell>
          <cell r="I2274">
            <v>0.52555555555555555</v>
          </cell>
          <cell r="J2274">
            <v>34.354444444444454</v>
          </cell>
        </row>
        <row r="2275">
          <cell r="B2275">
            <v>24.56</v>
          </cell>
          <cell r="C2275">
            <v>66.900000000000006</v>
          </cell>
          <cell r="D2275">
            <v>16.68</v>
          </cell>
          <cell r="E2275">
            <v>9.2799999999999994</v>
          </cell>
          <cell r="H2275">
            <v>45386</v>
          </cell>
          <cell r="I2275">
            <v>0.52777777777777779</v>
          </cell>
          <cell r="J2275">
            <v>34.898888888888891</v>
          </cell>
        </row>
        <row r="2276">
          <cell r="B2276">
            <v>29.87</v>
          </cell>
          <cell r="C2276">
            <v>78.78</v>
          </cell>
          <cell r="D2276">
            <v>17.23</v>
          </cell>
          <cell r="E2276">
            <v>10.09</v>
          </cell>
          <cell r="H2276">
            <v>45386</v>
          </cell>
          <cell r="I2276">
            <v>0.55222222222222206</v>
          </cell>
          <cell r="J2276">
            <v>34.217777777777776</v>
          </cell>
        </row>
        <row r="2277">
          <cell r="B2277">
            <v>31.71</v>
          </cell>
          <cell r="C2277">
            <v>87.11</v>
          </cell>
          <cell r="D2277">
            <v>18.010000000000002</v>
          </cell>
          <cell r="E2277">
            <v>9.85</v>
          </cell>
          <cell r="H2277">
            <v>45386</v>
          </cell>
          <cell r="I2277">
            <v>0.58000000000000007</v>
          </cell>
          <cell r="J2277">
            <v>33.577777777777776</v>
          </cell>
        </row>
        <row r="2278">
          <cell r="B2278">
            <v>34.520000000000003</v>
          </cell>
          <cell r="C2278">
            <v>89.96</v>
          </cell>
          <cell r="D2278">
            <v>19.86</v>
          </cell>
          <cell r="E2278">
            <v>9.4499999999999993</v>
          </cell>
          <cell r="H2278">
            <v>45386</v>
          </cell>
          <cell r="I2278">
            <v>0.60444444444444445</v>
          </cell>
          <cell r="J2278">
            <v>32.50888888888889</v>
          </cell>
        </row>
        <row r="2279">
          <cell r="B2279">
            <v>35.450000000000003</v>
          </cell>
          <cell r="C2279">
            <v>96.01</v>
          </cell>
          <cell r="D2279">
            <v>17.48</v>
          </cell>
          <cell r="E2279">
            <v>7.13</v>
          </cell>
          <cell r="H2279">
            <v>45386</v>
          </cell>
          <cell r="I2279">
            <v>0.62000000000000011</v>
          </cell>
          <cell r="J2279">
            <v>31.764444444444443</v>
          </cell>
        </row>
        <row r="2280">
          <cell r="B2280">
            <v>33.619999999999997</v>
          </cell>
          <cell r="C2280">
            <v>80.34</v>
          </cell>
          <cell r="D2280">
            <v>16.649999999999999</v>
          </cell>
          <cell r="E2280">
            <v>6.67</v>
          </cell>
          <cell r="H2280">
            <v>45386</v>
          </cell>
          <cell r="I2280">
            <v>0.62333333333333352</v>
          </cell>
          <cell r="J2280">
            <v>31.434444444444441</v>
          </cell>
        </row>
        <row r="2281">
          <cell r="B2281">
            <v>29.48</v>
          </cell>
          <cell r="C2281">
            <v>69.510000000000005</v>
          </cell>
          <cell r="D2281">
            <v>15.87</v>
          </cell>
          <cell r="E2281">
            <v>6.88</v>
          </cell>
          <cell r="H2281">
            <v>45386</v>
          </cell>
          <cell r="I2281">
            <v>0.62222222222222223</v>
          </cell>
          <cell r="J2281">
            <v>30.20888888888889</v>
          </cell>
        </row>
        <row r="2282">
          <cell r="B2282">
            <v>29.3</v>
          </cell>
          <cell r="C2282">
            <v>63.6</v>
          </cell>
          <cell r="D2282">
            <v>16.3</v>
          </cell>
          <cell r="E2282">
            <v>7.45</v>
          </cell>
          <cell r="H2282">
            <v>45387</v>
          </cell>
          <cell r="I2282">
            <v>0.62555555555555564</v>
          </cell>
          <cell r="J2282">
            <v>29.068888888888882</v>
          </cell>
        </row>
        <row r="2283">
          <cell r="B2283">
            <v>32.659999999999997</v>
          </cell>
          <cell r="C2283">
            <v>63.7</v>
          </cell>
          <cell r="D2283">
            <v>15.82</v>
          </cell>
          <cell r="E2283">
            <v>8.69</v>
          </cell>
          <cell r="H2283">
            <v>45387</v>
          </cell>
          <cell r="I2283">
            <v>0.62111111111111106</v>
          </cell>
          <cell r="J2283">
            <v>27.398888888888887</v>
          </cell>
        </row>
        <row r="2284">
          <cell r="B2284">
            <v>36.18</v>
          </cell>
          <cell r="C2284">
            <v>66.62</v>
          </cell>
          <cell r="D2284">
            <v>15.67</v>
          </cell>
          <cell r="E2284">
            <v>9.59</v>
          </cell>
          <cell r="H2284">
            <v>45387</v>
          </cell>
          <cell r="I2284">
            <v>0.62222222222222223</v>
          </cell>
          <cell r="J2284">
            <v>26.225555555555555</v>
          </cell>
        </row>
        <row r="2285">
          <cell r="B2285">
            <v>33.65</v>
          </cell>
          <cell r="C2285">
            <v>66.44</v>
          </cell>
          <cell r="D2285">
            <v>15.34</v>
          </cell>
          <cell r="E2285">
            <v>9.6199999999999992</v>
          </cell>
          <cell r="H2285">
            <v>45387</v>
          </cell>
          <cell r="I2285">
            <v>0.59444444444444444</v>
          </cell>
          <cell r="J2285">
            <v>25.855555555555558</v>
          </cell>
        </row>
        <row r="2286">
          <cell r="B2286">
            <v>32.799999999999997</v>
          </cell>
          <cell r="C2286">
            <v>64.97</v>
          </cell>
          <cell r="D2286">
            <v>15.48</v>
          </cell>
          <cell r="E2286">
            <v>9.19</v>
          </cell>
          <cell r="H2286">
            <v>45387</v>
          </cell>
          <cell r="I2286">
            <v>0.5644444444444443</v>
          </cell>
          <cell r="J2286">
            <v>25.436666666666667</v>
          </cell>
        </row>
        <row r="2287">
          <cell r="B2287">
            <v>38.340000000000003</v>
          </cell>
          <cell r="C2287">
            <v>68.98</v>
          </cell>
          <cell r="D2287">
            <v>15.07</v>
          </cell>
          <cell r="E2287">
            <v>8.67</v>
          </cell>
          <cell r="H2287">
            <v>45387</v>
          </cell>
          <cell r="I2287">
            <v>0.53888888888888886</v>
          </cell>
          <cell r="J2287">
            <v>25.021111111111111</v>
          </cell>
        </row>
        <row r="2288">
          <cell r="B2288">
            <v>49.47</v>
          </cell>
          <cell r="C2288">
            <v>84.68</v>
          </cell>
          <cell r="D2288">
            <v>15.63</v>
          </cell>
          <cell r="E2288">
            <v>8.5399999999999991</v>
          </cell>
          <cell r="H2288">
            <v>45387</v>
          </cell>
          <cell r="I2288">
            <v>0.53</v>
          </cell>
          <cell r="J2288">
            <v>24.166666666666668</v>
          </cell>
        </row>
        <row r="2289">
          <cell r="B2289">
            <v>48.9</v>
          </cell>
          <cell r="C2289">
            <v>97.75</v>
          </cell>
          <cell r="D2289">
            <v>15.81</v>
          </cell>
          <cell r="E2289">
            <v>8.93</v>
          </cell>
          <cell r="H2289">
            <v>45387</v>
          </cell>
          <cell r="I2289">
            <v>0.53222222222222226</v>
          </cell>
          <cell r="J2289">
            <v>23.244444444444447</v>
          </cell>
        </row>
        <row r="2290">
          <cell r="B2290">
            <v>49.93</v>
          </cell>
          <cell r="C2290">
            <v>101.8</v>
          </cell>
          <cell r="D2290">
            <v>15.58</v>
          </cell>
          <cell r="E2290">
            <v>8.77</v>
          </cell>
          <cell r="H2290">
            <v>45387</v>
          </cell>
          <cell r="I2290">
            <v>0.5377777777777778</v>
          </cell>
          <cell r="J2290">
            <v>23.124444444444443</v>
          </cell>
        </row>
        <row r="2291">
          <cell r="B2291">
            <v>38.130000000000003</v>
          </cell>
          <cell r="C2291">
            <v>94.56</v>
          </cell>
          <cell r="D2291">
            <v>15.92</v>
          </cell>
          <cell r="E2291">
            <v>8.89</v>
          </cell>
          <cell r="H2291">
            <v>45387</v>
          </cell>
          <cell r="I2291">
            <v>0.53888888888888886</v>
          </cell>
          <cell r="J2291">
            <v>23.77</v>
          </cell>
        </row>
        <row r="2292">
          <cell r="B2292">
            <v>31.99</v>
          </cell>
          <cell r="C2292">
            <v>83.18</v>
          </cell>
          <cell r="D2292">
            <v>16.34</v>
          </cell>
          <cell r="E2292">
            <v>9.15</v>
          </cell>
          <cell r="H2292">
            <v>45387</v>
          </cell>
          <cell r="I2292">
            <v>0.54333333333333333</v>
          </cell>
          <cell r="J2292">
            <v>24.96777777777778</v>
          </cell>
        </row>
        <row r="2293">
          <cell r="B2293">
            <v>30.24</v>
          </cell>
          <cell r="C2293">
            <v>76.47</v>
          </cell>
          <cell r="D2293">
            <v>16.48</v>
          </cell>
          <cell r="E2293">
            <v>9.14</v>
          </cell>
          <cell r="H2293">
            <v>45387</v>
          </cell>
          <cell r="I2293">
            <v>0.5411111111111111</v>
          </cell>
          <cell r="J2293">
            <v>26.535555555555554</v>
          </cell>
        </row>
        <row r="2294">
          <cell r="B2294">
            <v>28.76</v>
          </cell>
          <cell r="C2294">
            <v>73.95</v>
          </cell>
          <cell r="D2294">
            <v>17.28</v>
          </cell>
          <cell r="E2294">
            <v>8.69</v>
          </cell>
          <cell r="H2294">
            <v>45387</v>
          </cell>
          <cell r="I2294">
            <v>0.54222222222222216</v>
          </cell>
          <cell r="J2294">
            <v>28.656666666666663</v>
          </cell>
        </row>
        <row r="2295">
          <cell r="B2295">
            <v>31.19</v>
          </cell>
          <cell r="C2295">
            <v>74.75</v>
          </cell>
          <cell r="D2295">
            <v>18.739999999999998</v>
          </cell>
          <cell r="E2295">
            <v>8.9499999999999993</v>
          </cell>
          <cell r="H2295">
            <v>45387</v>
          </cell>
          <cell r="I2295">
            <v>0.53888888888888897</v>
          </cell>
          <cell r="J2295">
            <v>30.910000000000007</v>
          </cell>
        </row>
        <row r="2296">
          <cell r="B2296">
            <v>31.83</v>
          </cell>
          <cell r="C2296">
            <v>66.23</v>
          </cell>
          <cell r="D2296">
            <v>18.170000000000002</v>
          </cell>
          <cell r="E2296">
            <v>8.2799999999999994</v>
          </cell>
          <cell r="H2296">
            <v>45387</v>
          </cell>
          <cell r="I2296">
            <v>0.53333333333333333</v>
          </cell>
          <cell r="J2296">
            <v>33.44222222222222</v>
          </cell>
        </row>
        <row r="2297">
          <cell r="B2297">
            <v>35.380000000000003</v>
          </cell>
          <cell r="C2297">
            <v>70.89</v>
          </cell>
          <cell r="D2297">
            <v>17.920000000000002</v>
          </cell>
          <cell r="E2297">
            <v>8.2100000000000009</v>
          </cell>
          <cell r="H2297">
            <v>45387</v>
          </cell>
          <cell r="I2297">
            <v>0.52222222222222225</v>
          </cell>
          <cell r="J2297">
            <v>35.971111111111114</v>
          </cell>
        </row>
        <row r="2298">
          <cell r="B2298">
            <v>31.9</v>
          </cell>
          <cell r="C2298">
            <v>76.06</v>
          </cell>
          <cell r="D2298">
            <v>17.12</v>
          </cell>
          <cell r="E2298">
            <v>7.54</v>
          </cell>
          <cell r="H2298">
            <v>45387</v>
          </cell>
          <cell r="I2298">
            <v>0.51666666666666661</v>
          </cell>
          <cell r="J2298">
            <v>38.090000000000003</v>
          </cell>
        </row>
        <row r="2299">
          <cell r="B2299">
            <v>34.130000000000003</v>
          </cell>
          <cell r="C2299">
            <v>91.12</v>
          </cell>
          <cell r="D2299">
            <v>17.489999999999998</v>
          </cell>
          <cell r="E2299">
            <v>7.72</v>
          </cell>
          <cell r="H2299">
            <v>45387</v>
          </cell>
          <cell r="I2299">
            <v>0.51444444444444448</v>
          </cell>
          <cell r="J2299">
            <v>39.535555555555554</v>
          </cell>
        </row>
        <row r="2300">
          <cell r="B2300">
            <v>32.31</v>
          </cell>
          <cell r="C2300">
            <v>72.180000000000007</v>
          </cell>
          <cell r="D2300">
            <v>18.3</v>
          </cell>
          <cell r="E2300">
            <v>7.87</v>
          </cell>
          <cell r="H2300">
            <v>45387</v>
          </cell>
          <cell r="I2300">
            <v>0.53111111111111109</v>
          </cell>
          <cell r="J2300">
            <v>40.476666666666667</v>
          </cell>
        </row>
        <row r="2301">
          <cell r="B2301">
            <v>34.47</v>
          </cell>
          <cell r="C2301">
            <v>81.77</v>
          </cell>
          <cell r="D2301">
            <v>19.47</v>
          </cell>
          <cell r="E2301">
            <v>7.4</v>
          </cell>
          <cell r="H2301">
            <v>45387</v>
          </cell>
          <cell r="I2301">
            <v>0.55111111111111122</v>
          </cell>
          <cell r="J2301">
            <v>40.302222222222227</v>
          </cell>
        </row>
        <row r="2302">
          <cell r="B2302">
            <v>42.45</v>
          </cell>
          <cell r="C2302">
            <v>92.88</v>
          </cell>
          <cell r="D2302">
            <v>19.41</v>
          </cell>
          <cell r="E2302">
            <v>7.58</v>
          </cell>
          <cell r="H2302">
            <v>45387</v>
          </cell>
          <cell r="I2302">
            <v>0.57777777777777783</v>
          </cell>
          <cell r="J2302">
            <v>39.49666666666667</v>
          </cell>
        </row>
        <row r="2303">
          <cell r="B2303">
            <v>38.24</v>
          </cell>
          <cell r="C2303">
            <v>96.93</v>
          </cell>
          <cell r="D2303">
            <v>19.07</v>
          </cell>
          <cell r="E2303">
            <v>7.49</v>
          </cell>
          <cell r="H2303">
            <v>45387</v>
          </cell>
          <cell r="I2303">
            <v>0.59222222222222221</v>
          </cell>
          <cell r="J2303">
            <v>38.11</v>
          </cell>
        </row>
        <row r="2304">
          <cell r="B2304">
            <v>41.52</v>
          </cell>
          <cell r="C2304">
            <v>91.65</v>
          </cell>
          <cell r="D2304">
            <v>19.690000000000001</v>
          </cell>
          <cell r="E2304">
            <v>6.85</v>
          </cell>
          <cell r="H2304">
            <v>45387</v>
          </cell>
          <cell r="I2304">
            <v>0.60333333333333339</v>
          </cell>
          <cell r="J2304">
            <v>36.542222222222222</v>
          </cell>
        </row>
        <row r="2305">
          <cell r="B2305">
            <v>71.78</v>
          </cell>
          <cell r="C2305">
            <v>102.52</v>
          </cell>
          <cell r="D2305">
            <v>18.899999999999999</v>
          </cell>
          <cell r="E2305">
            <v>6.41</v>
          </cell>
          <cell r="H2305">
            <v>45387</v>
          </cell>
          <cell r="I2305">
            <v>0.60555555555555562</v>
          </cell>
          <cell r="J2305">
            <v>35.115555555555559</v>
          </cell>
        </row>
        <row r="2306">
          <cell r="B2306">
            <v>61.19</v>
          </cell>
          <cell r="C2306">
            <v>106.85</v>
          </cell>
          <cell r="D2306">
            <v>19.100000000000001</v>
          </cell>
          <cell r="E2306">
            <v>6.48</v>
          </cell>
          <cell r="H2306">
            <v>45388</v>
          </cell>
          <cell r="I2306">
            <v>0.61222222222222233</v>
          </cell>
          <cell r="J2306">
            <v>34.106666666666662</v>
          </cell>
        </row>
        <row r="2307">
          <cell r="B2307">
            <v>39.229999999999997</v>
          </cell>
          <cell r="C2307">
            <v>84.58</v>
          </cell>
          <cell r="D2307">
            <v>19.64</v>
          </cell>
          <cell r="E2307">
            <v>6.98</v>
          </cell>
          <cell r="H2307">
            <v>45388</v>
          </cell>
          <cell r="I2307">
            <v>0.61888888888888893</v>
          </cell>
          <cell r="J2307">
            <v>32.737777777777779</v>
          </cell>
        </row>
        <row r="2308">
          <cell r="B2308">
            <v>43.28</v>
          </cell>
          <cell r="C2308">
            <v>85.1</v>
          </cell>
          <cell r="D2308">
            <v>18.809999999999999</v>
          </cell>
          <cell r="E2308">
            <v>7.57</v>
          </cell>
          <cell r="H2308">
            <v>45388</v>
          </cell>
          <cell r="I2308">
            <v>0.62333333333333352</v>
          </cell>
          <cell r="J2308">
            <v>31.929999999999993</v>
          </cell>
        </row>
        <row r="2309">
          <cell r="B2309">
            <v>42.18</v>
          </cell>
          <cell r="C2309">
            <v>84.04</v>
          </cell>
          <cell r="D2309">
            <v>18.14</v>
          </cell>
          <cell r="E2309">
            <v>7.94</v>
          </cell>
          <cell r="H2309">
            <v>45388</v>
          </cell>
          <cell r="I2309">
            <v>0.61444444444444457</v>
          </cell>
          <cell r="J2309">
            <v>30.764444444444443</v>
          </cell>
        </row>
        <row r="2310">
          <cell r="B2310">
            <v>45.14</v>
          </cell>
          <cell r="C2310">
            <v>89.58</v>
          </cell>
          <cell r="D2310">
            <v>17.61</v>
          </cell>
          <cell r="E2310">
            <v>8.58</v>
          </cell>
          <cell r="H2310">
            <v>45388</v>
          </cell>
          <cell r="I2310">
            <v>0.59777777777777774</v>
          </cell>
          <cell r="J2310">
            <v>29.997777777777781</v>
          </cell>
        </row>
        <row r="2311">
          <cell r="B2311">
            <v>45.97</v>
          </cell>
          <cell r="C2311">
            <v>92.41</v>
          </cell>
          <cell r="D2311">
            <v>16.8</v>
          </cell>
          <cell r="E2311">
            <v>8.59</v>
          </cell>
          <cell r="H2311">
            <v>45388</v>
          </cell>
          <cell r="I2311">
            <v>0.57888888888888901</v>
          </cell>
          <cell r="J2311">
            <v>29.365555555555552</v>
          </cell>
        </row>
        <row r="2312">
          <cell r="B2312">
            <v>50.52</v>
          </cell>
          <cell r="C2312">
            <v>93.9</v>
          </cell>
          <cell r="D2312">
            <v>17.329999999999998</v>
          </cell>
          <cell r="E2312">
            <v>8.0399999999999991</v>
          </cell>
          <cell r="H2312">
            <v>45388</v>
          </cell>
          <cell r="I2312">
            <v>0.57666666666666666</v>
          </cell>
          <cell r="J2312">
            <v>28.182222222222222</v>
          </cell>
        </row>
        <row r="2313">
          <cell r="B2313">
            <v>50.24</v>
          </cell>
          <cell r="C2313">
            <v>104.41</v>
          </cell>
          <cell r="D2313">
            <v>17.7</v>
          </cell>
          <cell r="E2313">
            <v>7.82</v>
          </cell>
          <cell r="H2313">
            <v>45388</v>
          </cell>
          <cell r="I2313">
            <v>0.57999999999999996</v>
          </cell>
          <cell r="J2313">
            <v>27.63111111111111</v>
          </cell>
        </row>
        <row r="2314">
          <cell r="B2314">
            <v>51.66</v>
          </cell>
          <cell r="C2314">
            <v>117.51</v>
          </cell>
          <cell r="D2314">
            <v>17.559999999999999</v>
          </cell>
          <cell r="E2314">
            <v>8.0399999999999991</v>
          </cell>
          <cell r="H2314">
            <v>45388</v>
          </cell>
          <cell r="I2314">
            <v>0.58444444444444443</v>
          </cell>
          <cell r="J2314">
            <v>27.672222222222224</v>
          </cell>
        </row>
        <row r="2315">
          <cell r="B2315">
            <v>43.68</v>
          </cell>
          <cell r="C2315">
            <v>97.62</v>
          </cell>
          <cell r="D2315">
            <v>18.36</v>
          </cell>
          <cell r="E2315">
            <v>7.7</v>
          </cell>
          <cell r="H2315">
            <v>45388</v>
          </cell>
          <cell r="I2315">
            <v>0.58666666666666667</v>
          </cell>
          <cell r="J2315">
            <v>29.203333333333337</v>
          </cell>
        </row>
        <row r="2316">
          <cell r="B2316">
            <v>37.92</v>
          </cell>
          <cell r="C2316">
            <v>85.77</v>
          </cell>
          <cell r="D2316">
            <v>19.059999999999999</v>
          </cell>
          <cell r="E2316">
            <v>7.59</v>
          </cell>
          <cell r="H2316">
            <v>45388</v>
          </cell>
          <cell r="I2316">
            <v>0.59444444444444444</v>
          </cell>
          <cell r="J2316">
            <v>32.017777777777781</v>
          </cell>
        </row>
        <row r="2317">
          <cell r="B2317">
            <v>47.52</v>
          </cell>
          <cell r="C2317">
            <v>109.37</v>
          </cell>
          <cell r="D2317">
            <v>18.73</v>
          </cell>
          <cell r="E2317">
            <v>8.1</v>
          </cell>
          <cell r="H2317">
            <v>45388</v>
          </cell>
          <cell r="I2317">
            <v>0.60444444444444445</v>
          </cell>
          <cell r="J2317">
            <v>33.556666666666665</v>
          </cell>
        </row>
        <row r="2318">
          <cell r="B2318">
            <v>31.82</v>
          </cell>
          <cell r="C2318">
            <v>76.290000000000006</v>
          </cell>
          <cell r="D2318">
            <v>18.62</v>
          </cell>
          <cell r="E2318">
            <v>8.01</v>
          </cell>
          <cell r="H2318">
            <v>45388</v>
          </cell>
          <cell r="I2318">
            <v>0.60666666666666669</v>
          </cell>
          <cell r="J2318">
            <v>36.552222222222227</v>
          </cell>
        </row>
        <row r="2319">
          <cell r="B2319">
            <v>37.4</v>
          </cell>
          <cell r="C2319">
            <v>85.7</v>
          </cell>
          <cell r="D2319">
            <v>19.68</v>
          </cell>
          <cell r="E2319">
            <v>8.35</v>
          </cell>
          <cell r="H2319">
            <v>45388</v>
          </cell>
          <cell r="I2319">
            <v>0.60555555555555562</v>
          </cell>
          <cell r="J2319">
            <v>39.409999999999997</v>
          </cell>
        </row>
        <row r="2320">
          <cell r="B2320">
            <v>43.06</v>
          </cell>
          <cell r="C2320">
            <v>84.47</v>
          </cell>
          <cell r="D2320">
            <v>18.79</v>
          </cell>
          <cell r="E2320">
            <v>8.0299999999999994</v>
          </cell>
          <cell r="H2320">
            <v>45388</v>
          </cell>
          <cell r="I2320">
            <v>0.59666666666666679</v>
          </cell>
          <cell r="J2320">
            <v>41.684444444444445</v>
          </cell>
        </row>
        <row r="2321">
          <cell r="B2321">
            <v>45.91</v>
          </cell>
          <cell r="C2321">
            <v>85.32</v>
          </cell>
          <cell r="D2321">
            <v>18.5</v>
          </cell>
          <cell r="E2321">
            <v>8.48</v>
          </cell>
          <cell r="H2321">
            <v>45388</v>
          </cell>
          <cell r="I2321">
            <v>0.59000000000000008</v>
          </cell>
          <cell r="J2321">
            <v>44.775555555555556</v>
          </cell>
        </row>
        <row r="2322">
          <cell r="B2322">
            <v>48.21</v>
          </cell>
          <cell r="C2322">
            <v>89.48</v>
          </cell>
          <cell r="D2322">
            <v>18.489999999999998</v>
          </cell>
          <cell r="E2322">
            <v>8.9499999999999993</v>
          </cell>
          <cell r="H2322">
            <v>45388</v>
          </cell>
          <cell r="I2322">
            <v>0.58444444444444443</v>
          </cell>
          <cell r="J2322">
            <v>47.331111111111113</v>
          </cell>
        </row>
        <row r="2323">
          <cell r="B2323">
            <v>42.45</v>
          </cell>
          <cell r="C2323">
            <v>90.01</v>
          </cell>
          <cell r="D2323">
            <v>17.329999999999998</v>
          </cell>
          <cell r="E2323">
            <v>9.39</v>
          </cell>
          <cell r="H2323">
            <v>45388</v>
          </cell>
          <cell r="I2323">
            <v>0.58888888888888891</v>
          </cell>
          <cell r="J2323">
            <v>49.043333333333329</v>
          </cell>
        </row>
        <row r="2324">
          <cell r="B2324">
            <v>41.51</v>
          </cell>
          <cell r="C2324">
            <v>88.56</v>
          </cell>
          <cell r="D2324">
            <v>18.36</v>
          </cell>
          <cell r="E2324">
            <v>9.33</v>
          </cell>
          <cell r="H2324">
            <v>45388</v>
          </cell>
          <cell r="I2324">
            <v>0.60444444444444434</v>
          </cell>
          <cell r="J2324">
            <v>47.71</v>
          </cell>
        </row>
        <row r="2325">
          <cell r="B2325">
            <v>39.24</v>
          </cell>
          <cell r="C2325">
            <v>92.2</v>
          </cell>
          <cell r="D2325">
            <v>18.989999999999998</v>
          </cell>
          <cell r="E2325">
            <v>8.2100000000000009</v>
          </cell>
          <cell r="H2325">
            <v>45388</v>
          </cell>
          <cell r="I2325">
            <v>0.61555555555555541</v>
          </cell>
          <cell r="J2325">
            <v>44.968888888888884</v>
          </cell>
        </row>
        <row r="2326">
          <cell r="B2326">
            <v>37.42</v>
          </cell>
          <cell r="C2326">
            <v>95.26</v>
          </cell>
          <cell r="D2326">
            <v>19.510000000000002</v>
          </cell>
          <cell r="E2326">
            <v>7.4</v>
          </cell>
          <cell r="H2326">
            <v>45388</v>
          </cell>
          <cell r="I2326">
            <v>0.62777777777777777</v>
          </cell>
          <cell r="J2326">
            <v>42.814444444444447</v>
          </cell>
        </row>
        <row r="2327">
          <cell r="B2327">
            <v>41.76</v>
          </cell>
          <cell r="C2327">
            <v>92.91</v>
          </cell>
          <cell r="D2327">
            <v>19.8</v>
          </cell>
          <cell r="E2327">
            <v>7.26</v>
          </cell>
          <cell r="H2327">
            <v>45388</v>
          </cell>
          <cell r="I2327">
            <v>0.64000000000000012</v>
          </cell>
          <cell r="J2327">
            <v>39.771111111111111</v>
          </cell>
        </row>
        <row r="2328">
          <cell r="B2328">
            <v>37.99</v>
          </cell>
          <cell r="C2328">
            <v>86.36</v>
          </cell>
          <cell r="D2328">
            <v>18.559999999999999</v>
          </cell>
          <cell r="E2328">
            <v>7.31</v>
          </cell>
          <cell r="H2328">
            <v>45388</v>
          </cell>
          <cell r="I2328">
            <v>0.65</v>
          </cell>
          <cell r="J2328">
            <v>37.215555555555554</v>
          </cell>
        </row>
        <row r="2329">
          <cell r="B2329">
            <v>36.840000000000003</v>
          </cell>
          <cell r="C2329">
            <v>85.86</v>
          </cell>
          <cell r="D2329">
            <v>18.32</v>
          </cell>
          <cell r="E2329">
            <v>6.92</v>
          </cell>
          <cell r="H2329">
            <v>45388</v>
          </cell>
          <cell r="I2329">
            <v>0.6544444444444445</v>
          </cell>
          <cell r="J2329">
            <v>35.417777777777786</v>
          </cell>
        </row>
        <row r="2330">
          <cell r="B2330">
            <v>33.28</v>
          </cell>
          <cell r="C2330">
            <v>86.06</v>
          </cell>
          <cell r="D2330">
            <v>18.34</v>
          </cell>
          <cell r="E2330">
            <v>7.04</v>
          </cell>
          <cell r="H2330">
            <v>45389</v>
          </cell>
          <cell r="I2330">
            <v>0.65555555555555556</v>
          </cell>
          <cell r="J2330">
            <v>33.44</v>
          </cell>
        </row>
        <row r="2331">
          <cell r="B2331">
            <v>32.79</v>
          </cell>
          <cell r="C2331">
            <v>76.88</v>
          </cell>
          <cell r="D2331">
            <v>18.25</v>
          </cell>
          <cell r="E2331">
            <v>7.64</v>
          </cell>
          <cell r="H2331">
            <v>45389</v>
          </cell>
          <cell r="I2331">
            <v>0.65666666666666673</v>
          </cell>
          <cell r="J2331">
            <v>31.877777777777776</v>
          </cell>
        </row>
        <row r="2332">
          <cell r="B2332">
            <v>32.07</v>
          </cell>
          <cell r="C2332">
            <v>74.040000000000006</v>
          </cell>
          <cell r="D2332">
            <v>17.440000000000001</v>
          </cell>
          <cell r="E2332">
            <v>7.86</v>
          </cell>
          <cell r="H2332">
            <v>45389</v>
          </cell>
          <cell r="I2332">
            <v>0.65666666666666662</v>
          </cell>
          <cell r="J2332">
            <v>30.318888888888889</v>
          </cell>
        </row>
        <row r="2333">
          <cell r="B2333">
            <v>37.409999999999997</v>
          </cell>
          <cell r="C2333">
            <v>71.88</v>
          </cell>
          <cell r="D2333">
            <v>16.82</v>
          </cell>
          <cell r="E2333">
            <v>8.27</v>
          </cell>
          <cell r="H2333">
            <v>45389</v>
          </cell>
          <cell r="I2333">
            <v>0.64333333333333331</v>
          </cell>
          <cell r="J2333">
            <v>29.953333333333333</v>
          </cell>
        </row>
        <row r="2334">
          <cell r="B2334">
            <v>35.159999999999997</v>
          </cell>
          <cell r="C2334">
            <v>78.31</v>
          </cell>
          <cell r="D2334">
            <v>16.649999999999999</v>
          </cell>
          <cell r="E2334">
            <v>7.99</v>
          </cell>
          <cell r="H2334">
            <v>45389</v>
          </cell>
          <cell r="I2334">
            <v>0.62333333333333329</v>
          </cell>
          <cell r="J2334">
            <v>30.157777777777781</v>
          </cell>
        </row>
        <row r="2335">
          <cell r="B2335">
            <v>42.06</v>
          </cell>
          <cell r="C2335">
            <v>83.72</v>
          </cell>
          <cell r="D2335">
            <v>16.829999999999998</v>
          </cell>
          <cell r="E2335">
            <v>7.61</v>
          </cell>
          <cell r="H2335">
            <v>45389</v>
          </cell>
          <cell r="I2335">
            <v>0.5988888888888888</v>
          </cell>
          <cell r="J2335">
            <v>30.524444444444441</v>
          </cell>
        </row>
        <row r="2336">
          <cell r="B2336">
            <v>53.61</v>
          </cell>
          <cell r="C2336">
            <v>88.06</v>
          </cell>
          <cell r="D2336">
            <v>16.61</v>
          </cell>
          <cell r="E2336">
            <v>7.5</v>
          </cell>
          <cell r="H2336">
            <v>45389</v>
          </cell>
          <cell r="I2336">
            <v>0.58333333333333337</v>
          </cell>
          <cell r="J2336">
            <v>30.641111111111108</v>
          </cell>
        </row>
        <row r="2337">
          <cell r="B2337">
            <v>47.49</v>
          </cell>
          <cell r="C2337">
            <v>93.3</v>
          </cell>
          <cell r="D2337">
            <v>16.7</v>
          </cell>
          <cell r="E2337">
            <v>7.77</v>
          </cell>
          <cell r="H2337">
            <v>45389</v>
          </cell>
          <cell r="I2337">
            <v>0.5722222222222223</v>
          </cell>
          <cell r="J2337">
            <v>30.565555555555552</v>
          </cell>
        </row>
        <row r="2338">
          <cell r="B2338">
            <v>40.74</v>
          </cell>
          <cell r="C2338">
            <v>84.09</v>
          </cell>
          <cell r="D2338">
            <v>16.739999999999998</v>
          </cell>
          <cell r="E2338">
            <v>7.66</v>
          </cell>
          <cell r="H2338">
            <v>45389</v>
          </cell>
          <cell r="I2338">
            <v>0.5722222222222223</v>
          </cell>
          <cell r="J2338">
            <v>30.712222222222223</v>
          </cell>
        </row>
        <row r="2339">
          <cell r="B2339">
            <v>30.74</v>
          </cell>
          <cell r="C2339">
            <v>73.75</v>
          </cell>
          <cell r="D2339">
            <v>16.829999999999998</v>
          </cell>
          <cell r="E2339">
            <v>7.5</v>
          </cell>
          <cell r="H2339">
            <v>45389</v>
          </cell>
          <cell r="I2339">
            <v>0.57000000000000006</v>
          </cell>
          <cell r="J2339">
            <v>31.353333333333335</v>
          </cell>
        </row>
        <row r="2340">
          <cell r="B2340">
            <v>28.07</v>
          </cell>
          <cell r="C2340">
            <v>64.23</v>
          </cell>
          <cell r="D2340">
            <v>16.96</v>
          </cell>
          <cell r="E2340">
            <v>7.48</v>
          </cell>
          <cell r="H2340">
            <v>45389</v>
          </cell>
          <cell r="I2340">
            <v>0.56777777777777783</v>
          </cell>
          <cell r="J2340">
            <v>31.714444444444446</v>
          </cell>
        </row>
        <row r="2341">
          <cell r="B2341">
            <v>24.49</v>
          </cell>
          <cell r="C2341">
            <v>61.76</v>
          </cell>
          <cell r="D2341">
            <v>17.2</v>
          </cell>
          <cell r="E2341">
            <v>7.39</v>
          </cell>
          <cell r="H2341">
            <v>45389</v>
          </cell>
          <cell r="I2341">
            <v>0.56666666666666665</v>
          </cell>
          <cell r="J2341">
            <v>32.958888888888886</v>
          </cell>
        </row>
        <row r="2342">
          <cell r="B2342">
            <v>23.54</v>
          </cell>
          <cell r="C2342">
            <v>52.84</v>
          </cell>
          <cell r="D2342">
            <v>17.739999999999998</v>
          </cell>
          <cell r="E2342">
            <v>7.4</v>
          </cell>
          <cell r="H2342">
            <v>45389</v>
          </cell>
          <cell r="I2342">
            <v>0.56999999999999995</v>
          </cell>
          <cell r="J2342">
            <v>34.062222222222225</v>
          </cell>
        </row>
        <row r="2343">
          <cell r="B2343">
            <v>24.48</v>
          </cell>
          <cell r="C2343">
            <v>55.28</v>
          </cell>
          <cell r="D2343">
            <v>17.8</v>
          </cell>
          <cell r="E2343">
            <v>8.09</v>
          </cell>
          <cell r="H2343">
            <v>45389</v>
          </cell>
          <cell r="I2343">
            <v>0.57555555555555549</v>
          </cell>
          <cell r="J2343">
            <v>35.714444444444453</v>
          </cell>
        </row>
        <row r="2344">
          <cell r="B2344">
            <v>32.69</v>
          </cell>
          <cell r="C2344">
            <v>55.85</v>
          </cell>
          <cell r="D2344">
            <v>17.11</v>
          </cell>
          <cell r="E2344">
            <v>7.95</v>
          </cell>
          <cell r="H2344">
            <v>45389</v>
          </cell>
          <cell r="I2344">
            <v>0.57888888888888879</v>
          </cell>
          <cell r="J2344">
            <v>38.409999999999997</v>
          </cell>
        </row>
        <row r="2345">
          <cell r="B2345">
            <v>31.88</v>
          </cell>
          <cell r="C2345">
            <v>53.91</v>
          </cell>
          <cell r="D2345">
            <v>17.78</v>
          </cell>
          <cell r="E2345">
            <v>7.4</v>
          </cell>
          <cell r="H2345">
            <v>45389</v>
          </cell>
          <cell r="I2345">
            <v>0.57888888888888879</v>
          </cell>
          <cell r="J2345">
            <v>40.88333333333334</v>
          </cell>
        </row>
        <row r="2346">
          <cell r="B2346">
            <v>27.27</v>
          </cell>
          <cell r="C2346">
            <v>54.43</v>
          </cell>
          <cell r="D2346">
            <v>17.850000000000001</v>
          </cell>
          <cell r="E2346">
            <v>7.52</v>
          </cell>
          <cell r="H2346">
            <v>45389</v>
          </cell>
          <cell r="I2346">
            <v>0.57888888888888901</v>
          </cell>
          <cell r="J2346">
            <v>43.080000000000005</v>
          </cell>
        </row>
        <row r="2347">
          <cell r="B2347">
            <v>24.87</v>
          </cell>
          <cell r="C2347">
            <v>53.94</v>
          </cell>
          <cell r="D2347">
            <v>16.899999999999999</v>
          </cell>
          <cell r="E2347">
            <v>7.56</v>
          </cell>
          <cell r="H2347">
            <v>45389</v>
          </cell>
          <cell r="I2347">
            <v>0.5822222222222222</v>
          </cell>
          <cell r="J2347">
            <v>45.278888888888893</v>
          </cell>
        </row>
        <row r="2348">
          <cell r="B2348">
            <v>29.53</v>
          </cell>
          <cell r="C2348">
            <v>56.59</v>
          </cell>
          <cell r="D2348">
            <v>17.420000000000002</v>
          </cell>
          <cell r="E2348">
            <v>7.38</v>
          </cell>
          <cell r="H2348">
            <v>45389</v>
          </cell>
          <cell r="I2348">
            <v>0.59777777777777774</v>
          </cell>
          <cell r="J2348">
            <v>45.69444444444445</v>
          </cell>
        </row>
        <row r="2349">
          <cell r="B2349">
            <v>30.96</v>
          </cell>
          <cell r="C2349">
            <v>74.489999999999995</v>
          </cell>
          <cell r="D2349">
            <v>20.07</v>
          </cell>
          <cell r="E2349">
            <v>7.6</v>
          </cell>
          <cell r="H2349">
            <v>45389</v>
          </cell>
          <cell r="I2349">
            <v>0.62555555555555553</v>
          </cell>
          <cell r="J2349">
            <v>45.412222222222226</v>
          </cell>
        </row>
        <row r="2350">
          <cell r="B2350">
            <v>38.450000000000003</v>
          </cell>
          <cell r="C2350">
            <v>88.29</v>
          </cell>
          <cell r="D2350">
            <v>20.64</v>
          </cell>
          <cell r="E2350">
            <v>7.55</v>
          </cell>
          <cell r="H2350">
            <v>45389</v>
          </cell>
          <cell r="I2350">
            <v>0.64999999999999991</v>
          </cell>
          <cell r="J2350">
            <v>44.638888888888886</v>
          </cell>
        </row>
        <row r="2351">
          <cell r="B2351">
            <v>62</v>
          </cell>
          <cell r="C2351">
            <v>105.06</v>
          </cell>
          <cell r="D2351">
            <v>18.47</v>
          </cell>
          <cell r="E2351">
            <v>7.24</v>
          </cell>
          <cell r="H2351">
            <v>45389</v>
          </cell>
          <cell r="I2351">
            <v>0.65222222222222226</v>
          </cell>
          <cell r="J2351">
            <v>44.053333333333335</v>
          </cell>
        </row>
        <row r="2352">
          <cell r="B2352">
            <v>78.41</v>
          </cell>
          <cell r="C2352">
            <v>120.99</v>
          </cell>
          <cell r="D2352">
            <v>17.89</v>
          </cell>
          <cell r="E2352">
            <v>7.05</v>
          </cell>
          <cell r="H2352">
            <v>45389</v>
          </cell>
          <cell r="I2352">
            <v>0.65</v>
          </cell>
          <cell r="J2352">
            <v>42.568888888888893</v>
          </cell>
        </row>
        <row r="2353">
          <cell r="B2353">
            <v>32.65</v>
          </cell>
          <cell r="C2353">
            <v>75.2</v>
          </cell>
          <cell r="D2353">
            <v>15.91</v>
          </cell>
          <cell r="E2353">
            <v>6.36</v>
          </cell>
          <cell r="H2353">
            <v>45389</v>
          </cell>
          <cell r="I2353">
            <v>0.64444444444444449</v>
          </cell>
          <cell r="J2353">
            <v>40.492222222222225</v>
          </cell>
        </row>
        <row r="2354">
          <cell r="B2354">
            <v>31.06</v>
          </cell>
          <cell r="C2354">
            <v>72.87</v>
          </cell>
          <cell r="D2354">
            <v>15.49</v>
          </cell>
          <cell r="E2354">
            <v>7.3</v>
          </cell>
          <cell r="H2354">
            <v>45390</v>
          </cell>
          <cell r="I2354">
            <v>0.64111111111111119</v>
          </cell>
          <cell r="J2354">
            <v>38.537777777777784</v>
          </cell>
        </row>
        <row r="2355">
          <cell r="B2355">
            <v>40.299999999999997</v>
          </cell>
          <cell r="C2355">
            <v>75.790000000000006</v>
          </cell>
          <cell r="D2355">
            <v>15.48</v>
          </cell>
          <cell r="E2355">
            <v>7.84</v>
          </cell>
          <cell r="H2355">
            <v>45390</v>
          </cell>
          <cell r="I2355">
            <v>0.63777777777777789</v>
          </cell>
          <cell r="J2355">
            <v>36.502222222222223</v>
          </cell>
        </row>
        <row r="2356">
          <cell r="B2356">
            <v>45.33</v>
          </cell>
          <cell r="C2356">
            <v>79.17</v>
          </cell>
          <cell r="D2356">
            <v>15.32</v>
          </cell>
          <cell r="E2356">
            <v>7.79</v>
          </cell>
          <cell r="H2356">
            <v>45390</v>
          </cell>
          <cell r="I2356">
            <v>0.62888888888888894</v>
          </cell>
          <cell r="J2356">
            <v>33.909999999999997</v>
          </cell>
        </row>
        <row r="2357">
          <cell r="B2357">
            <v>51.32</v>
          </cell>
          <cell r="C2357">
            <v>80.66</v>
          </cell>
          <cell r="D2357">
            <v>15.09</v>
          </cell>
          <cell r="E2357">
            <v>7.79</v>
          </cell>
          <cell r="H2357">
            <v>45390</v>
          </cell>
          <cell r="I2357">
            <v>0.6066666666666668</v>
          </cell>
          <cell r="J2357">
            <v>32.457777777777778</v>
          </cell>
        </row>
        <row r="2358">
          <cell r="B2358">
            <v>46.49</v>
          </cell>
          <cell r="C2358">
            <v>78.569999999999993</v>
          </cell>
          <cell r="D2358">
            <v>14.96</v>
          </cell>
          <cell r="E2358">
            <v>7.62</v>
          </cell>
          <cell r="H2358">
            <v>45390</v>
          </cell>
          <cell r="I2358">
            <v>0.5722222222222223</v>
          </cell>
          <cell r="J2358">
            <v>31.821111111111115</v>
          </cell>
        </row>
        <row r="2359">
          <cell r="B2359">
            <v>44.65</v>
          </cell>
          <cell r="C2359">
            <v>76.25</v>
          </cell>
          <cell r="D2359">
            <v>14.08</v>
          </cell>
          <cell r="E2359">
            <v>7.49</v>
          </cell>
          <cell r="H2359">
            <v>45390</v>
          </cell>
          <cell r="I2359">
            <v>0.5377777777777778</v>
          </cell>
          <cell r="J2359">
            <v>30.214444444444446</v>
          </cell>
        </row>
        <row r="2360">
          <cell r="B2360">
            <v>40.450000000000003</v>
          </cell>
          <cell r="C2360">
            <v>78.31</v>
          </cell>
          <cell r="D2360">
            <v>14.28</v>
          </cell>
          <cell r="E2360">
            <v>7.42</v>
          </cell>
          <cell r="H2360">
            <v>45390</v>
          </cell>
          <cell r="I2360">
            <v>0.53</v>
          </cell>
          <cell r="J2360">
            <v>29.035555555555554</v>
          </cell>
        </row>
        <row r="2361">
          <cell r="B2361">
            <v>35.86</v>
          </cell>
          <cell r="C2361">
            <v>82.43</v>
          </cell>
          <cell r="D2361">
            <v>14.8</v>
          </cell>
          <cell r="E2361">
            <v>7.7</v>
          </cell>
          <cell r="H2361">
            <v>45390</v>
          </cell>
          <cell r="I2361">
            <v>0.53666666666666663</v>
          </cell>
          <cell r="J2361">
            <v>28.445555555555554</v>
          </cell>
        </row>
        <row r="2362">
          <cell r="B2362">
            <v>32.69</v>
          </cell>
          <cell r="C2362">
            <v>74.989999999999995</v>
          </cell>
          <cell r="D2362">
            <v>14.8</v>
          </cell>
          <cell r="E2362">
            <v>7.8</v>
          </cell>
          <cell r="H2362">
            <v>45390</v>
          </cell>
          <cell r="I2362">
            <v>0.53999999999999992</v>
          </cell>
          <cell r="J2362">
            <v>27.824444444444445</v>
          </cell>
        </row>
        <row r="2363">
          <cell r="B2363">
            <v>31.15</v>
          </cell>
          <cell r="C2363">
            <v>70.77</v>
          </cell>
          <cell r="D2363">
            <v>14.79</v>
          </cell>
          <cell r="E2363">
            <v>7.94</v>
          </cell>
          <cell r="H2363">
            <v>45390</v>
          </cell>
          <cell r="I2363">
            <v>0.54333333333333345</v>
          </cell>
          <cell r="J2363">
            <v>28.492222222222225</v>
          </cell>
        </row>
        <row r="2364">
          <cell r="B2364">
            <v>28.11</v>
          </cell>
          <cell r="C2364">
            <v>60.17</v>
          </cell>
          <cell r="D2364">
            <v>17.12</v>
          </cell>
          <cell r="E2364">
            <v>8.39</v>
          </cell>
          <cell r="H2364">
            <v>45390</v>
          </cell>
          <cell r="I2364">
            <v>0.54555555555555546</v>
          </cell>
          <cell r="J2364">
            <v>29.758888888888887</v>
          </cell>
        </row>
        <row r="2365">
          <cell r="B2365">
            <v>28.96</v>
          </cell>
          <cell r="C2365">
            <v>54.41</v>
          </cell>
          <cell r="D2365">
            <v>17.57</v>
          </cell>
          <cell r="E2365">
            <v>8.25</v>
          </cell>
          <cell r="H2365">
            <v>45390</v>
          </cell>
          <cell r="I2365">
            <v>0.55555555555555569</v>
          </cell>
          <cell r="J2365">
            <v>31.675555555555562</v>
          </cell>
        </row>
        <row r="2366">
          <cell r="B2366">
            <v>30.74</v>
          </cell>
          <cell r="C2366">
            <v>61.03</v>
          </cell>
          <cell r="D2366">
            <v>17.329999999999998</v>
          </cell>
          <cell r="E2366">
            <v>9.06</v>
          </cell>
          <cell r="H2366">
            <v>45390</v>
          </cell>
          <cell r="I2366">
            <v>0.56666666666666676</v>
          </cell>
          <cell r="J2366">
            <v>33.640000000000008</v>
          </cell>
        </row>
        <row r="2367">
          <cell r="B2367">
            <v>32.9</v>
          </cell>
          <cell r="C2367">
            <v>65.03</v>
          </cell>
          <cell r="D2367">
            <v>17.23</v>
          </cell>
          <cell r="E2367">
            <v>9.18</v>
          </cell>
          <cell r="H2367">
            <v>45390</v>
          </cell>
          <cell r="I2367">
            <v>0.58444444444444443</v>
          </cell>
          <cell r="J2367">
            <v>35.825555555555553</v>
          </cell>
        </row>
        <row r="2368">
          <cell r="B2368">
            <v>37.409999999999997</v>
          </cell>
          <cell r="C2368">
            <v>67.790000000000006</v>
          </cell>
          <cell r="D2368">
            <v>15.59</v>
          </cell>
          <cell r="E2368">
            <v>9.23</v>
          </cell>
          <cell r="H2368">
            <v>45390</v>
          </cell>
          <cell r="I2368">
            <v>0.59666666666666668</v>
          </cell>
          <cell r="J2368">
            <v>37.982222222222227</v>
          </cell>
        </row>
        <row r="2369">
          <cell r="B2369">
            <v>36.42</v>
          </cell>
          <cell r="C2369">
            <v>72.47</v>
          </cell>
          <cell r="D2369">
            <v>15.8</v>
          </cell>
          <cell r="E2369">
            <v>9.2799999999999994</v>
          </cell>
          <cell r="H2369">
            <v>45390</v>
          </cell>
          <cell r="I2369">
            <v>0.60555555555555562</v>
          </cell>
          <cell r="J2369">
            <v>40.155555555555559</v>
          </cell>
        </row>
        <row r="2370">
          <cell r="B2370">
            <v>31.11</v>
          </cell>
          <cell r="C2370">
            <v>81.239999999999995</v>
          </cell>
          <cell r="D2370">
            <v>15.48</v>
          </cell>
          <cell r="E2370">
            <v>9.14</v>
          </cell>
          <cell r="H2370">
            <v>45390</v>
          </cell>
          <cell r="I2370">
            <v>0.59888888888888892</v>
          </cell>
          <cell r="J2370">
            <v>42.256666666666668</v>
          </cell>
        </row>
        <row r="2371">
          <cell r="B2371">
            <v>34.26</v>
          </cell>
          <cell r="C2371">
            <v>68.989999999999995</v>
          </cell>
          <cell r="D2371">
            <v>15.82</v>
          </cell>
          <cell r="E2371">
            <v>8.7200000000000006</v>
          </cell>
          <cell r="H2371">
            <v>45390</v>
          </cell>
          <cell r="I2371">
            <v>0.60111111111111115</v>
          </cell>
          <cell r="J2371">
            <v>43.882222222222225</v>
          </cell>
        </row>
        <row r="2372">
          <cell r="B2372">
            <v>36.49</v>
          </cell>
          <cell r="C2372">
            <v>81.42</v>
          </cell>
          <cell r="D2372">
            <v>16.399999999999999</v>
          </cell>
          <cell r="E2372">
            <v>8.61</v>
          </cell>
          <cell r="H2372">
            <v>45390</v>
          </cell>
          <cell r="I2372">
            <v>0.60888888888888881</v>
          </cell>
          <cell r="J2372">
            <v>43.578888888888883</v>
          </cell>
        </row>
        <row r="2373">
          <cell r="B2373">
            <v>36.75</v>
          </cell>
          <cell r="C2373">
            <v>88.37</v>
          </cell>
          <cell r="D2373">
            <v>17.95</v>
          </cell>
          <cell r="E2373">
            <v>8.93</v>
          </cell>
          <cell r="H2373">
            <v>45390</v>
          </cell>
          <cell r="I2373">
            <v>0.61888888888888882</v>
          </cell>
          <cell r="J2373">
            <v>42.66</v>
          </cell>
        </row>
        <row r="2374">
          <cell r="B2374">
            <v>36.08</v>
          </cell>
          <cell r="C2374">
            <v>89.32</v>
          </cell>
          <cell r="D2374">
            <v>17.5</v>
          </cell>
          <cell r="E2374">
            <v>8.75</v>
          </cell>
          <cell r="H2374">
            <v>45390</v>
          </cell>
          <cell r="I2374">
            <v>0.62222222222222223</v>
          </cell>
          <cell r="J2374">
            <v>41.411111111111104</v>
          </cell>
        </row>
        <row r="2375">
          <cell r="B2375">
            <v>35.86</v>
          </cell>
          <cell r="C2375">
            <v>87.63</v>
          </cell>
          <cell r="D2375">
            <v>16.72</v>
          </cell>
          <cell r="E2375">
            <v>10.46</v>
          </cell>
          <cell r="H2375">
            <v>45390</v>
          </cell>
          <cell r="I2375">
            <v>0.61999999999999988</v>
          </cell>
          <cell r="J2375">
            <v>40.50555555555556</v>
          </cell>
        </row>
        <row r="2376">
          <cell r="B2376">
            <v>43.27</v>
          </cell>
          <cell r="C2376">
            <v>95.26</v>
          </cell>
          <cell r="D2376">
            <v>15.15</v>
          </cell>
          <cell r="E2376">
            <v>10.79</v>
          </cell>
          <cell r="H2376">
            <v>45390</v>
          </cell>
          <cell r="I2376">
            <v>0.60333333333333328</v>
          </cell>
          <cell r="J2376">
            <v>39.413333333333327</v>
          </cell>
        </row>
        <row r="2377">
          <cell r="B2377">
            <v>43.93</v>
          </cell>
          <cell r="C2377">
            <v>85.01</v>
          </cell>
          <cell r="D2377">
            <v>14.82</v>
          </cell>
          <cell r="E2377">
            <v>8.9700000000000006</v>
          </cell>
          <cell r="H2377">
            <v>45390</v>
          </cell>
          <cell r="I2377">
            <v>0.59000000000000008</v>
          </cell>
          <cell r="J2377">
            <v>38.869999999999997</v>
          </cell>
        </row>
        <row r="2378">
          <cell r="B2378">
            <v>42.14</v>
          </cell>
          <cell r="C2378">
            <v>79.97</v>
          </cell>
          <cell r="D2378">
            <v>13.22</v>
          </cell>
          <cell r="E2378">
            <v>8.4600000000000009</v>
          </cell>
          <cell r="H2378">
            <v>45391</v>
          </cell>
          <cell r="I2378">
            <v>0.57333333333333336</v>
          </cell>
          <cell r="J2378">
            <v>37.922222222222217</v>
          </cell>
        </row>
        <row r="2379">
          <cell r="B2379">
            <v>36.36</v>
          </cell>
          <cell r="C2379">
            <v>71.09</v>
          </cell>
          <cell r="D2379">
            <v>13.35</v>
          </cell>
          <cell r="E2379">
            <v>8.56</v>
          </cell>
          <cell r="H2379">
            <v>45391</v>
          </cell>
          <cell r="I2379">
            <v>0.56000000000000005</v>
          </cell>
          <cell r="J2379">
            <v>36.89</v>
          </cell>
        </row>
        <row r="2380">
          <cell r="B2380">
            <v>34.4</v>
          </cell>
          <cell r="C2380">
            <v>62.62</v>
          </cell>
          <cell r="D2380">
            <v>13.3</v>
          </cell>
          <cell r="E2380">
            <v>9.1</v>
          </cell>
          <cell r="H2380">
            <v>45391</v>
          </cell>
          <cell r="I2380">
            <v>0.5477777777777777</v>
          </cell>
          <cell r="J2380">
            <v>36.04</v>
          </cell>
        </row>
        <row r="2381">
          <cell r="B2381">
            <v>32.159999999999997</v>
          </cell>
          <cell r="C2381">
            <v>55.08</v>
          </cell>
          <cell r="D2381">
            <v>14.58</v>
          </cell>
          <cell r="E2381">
            <v>13.84</v>
          </cell>
          <cell r="H2381">
            <v>45391</v>
          </cell>
          <cell r="I2381">
            <v>0.53555555555555556</v>
          </cell>
          <cell r="J2381">
            <v>35.738888888888901</v>
          </cell>
        </row>
        <row r="2382">
          <cell r="B2382">
            <v>26.89</v>
          </cell>
          <cell r="C2382">
            <v>49.14</v>
          </cell>
          <cell r="D2382">
            <v>15.06</v>
          </cell>
          <cell r="E2382">
            <v>14.11</v>
          </cell>
          <cell r="H2382">
            <v>45391</v>
          </cell>
          <cell r="I2382">
            <v>0.52555555555555555</v>
          </cell>
          <cell r="J2382">
            <v>35.647777777777783</v>
          </cell>
        </row>
        <row r="2383">
          <cell r="B2383">
            <v>29.59</v>
          </cell>
          <cell r="C2383">
            <v>51</v>
          </cell>
          <cell r="D2383">
            <v>15.72</v>
          </cell>
          <cell r="E2383">
            <v>13.2</v>
          </cell>
          <cell r="H2383">
            <v>45391</v>
          </cell>
          <cell r="I2383">
            <v>0.51555555555555554</v>
          </cell>
          <cell r="J2383">
            <v>35.401111111111113</v>
          </cell>
        </row>
        <row r="2384">
          <cell r="B2384">
            <v>32.78</v>
          </cell>
          <cell r="C2384">
            <v>56.49</v>
          </cell>
          <cell r="D2384">
            <v>14.95</v>
          </cell>
          <cell r="E2384">
            <v>11.49</v>
          </cell>
          <cell r="H2384">
            <v>45391</v>
          </cell>
          <cell r="I2384">
            <v>0.5066666666666666</v>
          </cell>
          <cell r="J2384">
            <v>35.045555555555552</v>
          </cell>
        </row>
        <row r="2385">
          <cell r="B2385">
            <v>35.909999999999997</v>
          </cell>
          <cell r="C2385">
            <v>79.95</v>
          </cell>
          <cell r="D2385">
            <v>14.36</v>
          </cell>
          <cell r="E2385">
            <v>10.52</v>
          </cell>
          <cell r="H2385">
            <v>45391</v>
          </cell>
          <cell r="I2385">
            <v>0.5033333333333333</v>
          </cell>
          <cell r="J2385">
            <v>34.645555555555546</v>
          </cell>
        </row>
        <row r="2386">
          <cell r="B2386">
            <v>43.36</v>
          </cell>
          <cell r="C2386">
            <v>96.4</v>
          </cell>
          <cell r="D2386">
            <v>15.66</v>
          </cell>
          <cell r="E2386">
            <v>10.35</v>
          </cell>
          <cell r="H2386">
            <v>45391</v>
          </cell>
          <cell r="I2386">
            <v>0.50555555555555554</v>
          </cell>
          <cell r="J2386">
            <v>34.035555555555554</v>
          </cell>
        </row>
        <row r="2387">
          <cell r="B2387">
            <v>40.840000000000003</v>
          </cell>
          <cell r="C2387">
            <v>91.92</v>
          </cell>
          <cell r="D2387">
            <v>15.91</v>
          </cell>
          <cell r="E2387">
            <v>10.74</v>
          </cell>
          <cell r="H2387">
            <v>45391</v>
          </cell>
          <cell r="I2387">
            <v>0.51111111111111107</v>
          </cell>
          <cell r="J2387">
            <v>33.821111111111108</v>
          </cell>
        </row>
        <row r="2388">
          <cell r="B2388">
            <v>41.44</v>
          </cell>
          <cell r="C2388">
            <v>89.48</v>
          </cell>
          <cell r="D2388">
            <v>15.97</v>
          </cell>
          <cell r="E2388">
            <v>11.79</v>
          </cell>
          <cell r="H2388">
            <v>45391</v>
          </cell>
          <cell r="I2388">
            <v>0.52222222222222214</v>
          </cell>
          <cell r="J2388">
            <v>33.893333333333331</v>
          </cell>
        </row>
        <row r="2389">
          <cell r="B2389">
            <v>41.46</v>
          </cell>
          <cell r="C2389">
            <v>83.76</v>
          </cell>
          <cell r="D2389">
            <v>17.579999999999998</v>
          </cell>
          <cell r="E2389">
            <v>10.94</v>
          </cell>
          <cell r="H2389">
            <v>45391</v>
          </cell>
          <cell r="I2389">
            <v>0.53555555555555556</v>
          </cell>
          <cell r="J2389">
            <v>34.156666666666666</v>
          </cell>
        </row>
        <row r="2390">
          <cell r="B2390">
            <v>42.27</v>
          </cell>
          <cell r="C2390">
            <v>88.52</v>
          </cell>
          <cell r="D2390">
            <v>17.829999999999998</v>
          </cell>
          <cell r="E2390">
            <v>10.48</v>
          </cell>
          <cell r="H2390">
            <v>45391</v>
          </cell>
          <cell r="I2390">
            <v>0.54111111111111121</v>
          </cell>
          <cell r="J2390">
            <v>35.56111111111111</v>
          </cell>
        </row>
        <row r="2391">
          <cell r="B2391">
            <v>38.53</v>
          </cell>
          <cell r="C2391">
            <v>82.6</v>
          </cell>
          <cell r="D2391">
            <v>17.72</v>
          </cell>
          <cell r="E2391">
            <v>9.16</v>
          </cell>
          <cell r="H2391">
            <v>45391</v>
          </cell>
          <cell r="I2391">
            <v>0.54444444444444451</v>
          </cell>
          <cell r="J2391">
            <v>37.001111111111108</v>
          </cell>
        </row>
        <row r="2392">
          <cell r="B2392">
            <v>41.84</v>
          </cell>
          <cell r="C2392">
            <v>76.069999999999993</v>
          </cell>
          <cell r="D2392">
            <v>18.18</v>
          </cell>
          <cell r="E2392">
            <v>8.94</v>
          </cell>
          <cell r="H2392">
            <v>45391</v>
          </cell>
          <cell r="I2392">
            <v>0.54222222222222216</v>
          </cell>
          <cell r="J2392">
            <v>38.184444444444438</v>
          </cell>
        </row>
        <row r="2393">
          <cell r="B2393">
            <v>36.78</v>
          </cell>
          <cell r="C2393">
            <v>68.569999999999993</v>
          </cell>
          <cell r="D2393">
            <v>17.02</v>
          </cell>
          <cell r="E2393">
            <v>8.36</v>
          </cell>
          <cell r="H2393">
            <v>45391</v>
          </cell>
          <cell r="I2393">
            <v>0.54555555555555557</v>
          </cell>
          <cell r="J2393">
            <v>38.781111111111109</v>
          </cell>
        </row>
        <row r="2394">
          <cell r="B2394">
            <v>33.61</v>
          </cell>
          <cell r="C2394">
            <v>67.400000000000006</v>
          </cell>
          <cell r="D2394">
            <v>17.420000000000002</v>
          </cell>
          <cell r="E2394">
            <v>8.06</v>
          </cell>
          <cell r="H2394">
            <v>45391</v>
          </cell>
          <cell r="I2394">
            <v>0.55000000000000004</v>
          </cell>
          <cell r="J2394">
            <v>39.651111111111113</v>
          </cell>
        </row>
        <row r="2395">
          <cell r="B2395">
            <v>34.92</v>
          </cell>
          <cell r="C2395">
            <v>70.37</v>
          </cell>
          <cell r="D2395">
            <v>16.87</v>
          </cell>
          <cell r="E2395">
            <v>7.96</v>
          </cell>
          <cell r="H2395">
            <v>45391</v>
          </cell>
          <cell r="I2395">
            <v>0.55666666666666675</v>
          </cell>
          <cell r="J2395">
            <v>40.584444444444451</v>
          </cell>
        </row>
        <row r="2396">
          <cell r="B2396">
            <v>37.29</v>
          </cell>
          <cell r="C2396">
            <v>71.73</v>
          </cell>
          <cell r="D2396">
            <v>17.59</v>
          </cell>
          <cell r="E2396">
            <v>8</v>
          </cell>
          <cell r="H2396">
            <v>45391</v>
          </cell>
          <cell r="I2396">
            <v>0.56777777777777783</v>
          </cell>
          <cell r="J2396">
            <v>41.067777777777778</v>
          </cell>
        </row>
        <row r="2397">
          <cell r="B2397">
            <v>39.24</v>
          </cell>
          <cell r="C2397">
            <v>78.400000000000006</v>
          </cell>
          <cell r="D2397">
            <v>16.87</v>
          </cell>
          <cell r="E2397">
            <v>7.46</v>
          </cell>
          <cell r="H2397">
            <v>45391</v>
          </cell>
          <cell r="I2397">
            <v>0.57555555555555549</v>
          </cell>
          <cell r="J2397">
            <v>41.314444444444447</v>
          </cell>
        </row>
        <row r="2398">
          <cell r="B2398">
            <v>41.48</v>
          </cell>
          <cell r="C2398">
            <v>82.24</v>
          </cell>
          <cell r="D2398">
            <v>16.52</v>
          </cell>
          <cell r="E2398">
            <v>7.07</v>
          </cell>
          <cell r="H2398">
            <v>45391</v>
          </cell>
          <cell r="I2398">
            <v>0.57555555555555549</v>
          </cell>
          <cell r="J2398">
            <v>40.925555555555562</v>
          </cell>
        </row>
        <row r="2399">
          <cell r="B2399">
            <v>42.17</v>
          </cell>
          <cell r="C2399">
            <v>80.61</v>
          </cell>
          <cell r="D2399">
            <v>16.39</v>
          </cell>
          <cell r="E2399">
            <v>7.15</v>
          </cell>
          <cell r="H2399">
            <v>45391</v>
          </cell>
          <cell r="I2399">
            <v>0.57666666666666666</v>
          </cell>
          <cell r="J2399">
            <v>39.631111111111117</v>
          </cell>
        </row>
        <row r="2400">
          <cell r="B2400">
            <v>42.19</v>
          </cell>
          <cell r="C2400">
            <v>79.97</v>
          </cell>
          <cell r="D2400">
            <v>16.329999999999998</v>
          </cell>
          <cell r="E2400">
            <v>7.34</v>
          </cell>
          <cell r="H2400">
            <v>45391</v>
          </cell>
          <cell r="I2400">
            <v>0.57000000000000006</v>
          </cell>
          <cell r="J2400">
            <v>38.36333333333333</v>
          </cell>
        </row>
        <row r="2401">
          <cell r="B2401">
            <v>40.83</v>
          </cell>
          <cell r="C2401">
            <v>76.94</v>
          </cell>
          <cell r="D2401">
            <v>15.3</v>
          </cell>
          <cell r="E2401">
            <v>7.82</v>
          </cell>
          <cell r="H2401">
            <v>45391</v>
          </cell>
          <cell r="I2401">
            <v>0.56666666666666665</v>
          </cell>
          <cell r="J2401">
            <v>37.450000000000003</v>
          </cell>
        </row>
        <row r="2402">
          <cell r="B2402">
            <v>41</v>
          </cell>
          <cell r="C2402">
            <v>76.08</v>
          </cell>
          <cell r="D2402">
            <v>15.61</v>
          </cell>
          <cell r="E2402">
            <v>8.06</v>
          </cell>
          <cell r="H2402">
            <v>45392</v>
          </cell>
          <cell r="I2402">
            <v>0.56333333333333324</v>
          </cell>
          <cell r="J2402">
            <v>36.931111111111107</v>
          </cell>
        </row>
        <row r="2403">
          <cell r="B2403">
            <v>45.38</v>
          </cell>
          <cell r="C2403">
            <v>76.819999999999993</v>
          </cell>
          <cell r="D2403">
            <v>15.61</v>
          </cell>
          <cell r="E2403">
            <v>7.77</v>
          </cell>
          <cell r="H2403">
            <v>45392</v>
          </cell>
          <cell r="I2403">
            <v>0.56333333333333324</v>
          </cell>
          <cell r="J2403">
            <v>35.882222222222225</v>
          </cell>
        </row>
        <row r="2404">
          <cell r="B2404">
            <v>43.42</v>
          </cell>
          <cell r="C2404">
            <v>78.37</v>
          </cell>
          <cell r="D2404">
            <v>15.49</v>
          </cell>
          <cell r="E2404">
            <v>7.85</v>
          </cell>
          <cell r="H2404">
            <v>45392</v>
          </cell>
          <cell r="I2404">
            <v>0.56000000000000005</v>
          </cell>
          <cell r="J2404">
            <v>34.896666666666668</v>
          </cell>
        </row>
        <row r="2405">
          <cell r="B2405">
            <v>45.76</v>
          </cell>
          <cell r="C2405">
            <v>78.709999999999994</v>
          </cell>
          <cell r="D2405">
            <v>15.15</v>
          </cell>
          <cell r="E2405">
            <v>7.92</v>
          </cell>
          <cell r="H2405">
            <v>45392</v>
          </cell>
          <cell r="I2405">
            <v>0.55222222222222228</v>
          </cell>
          <cell r="J2405">
            <v>34.049999999999997</v>
          </cell>
        </row>
        <row r="2406">
          <cell r="B2406">
            <v>57.04</v>
          </cell>
          <cell r="C2406">
            <v>88.61</v>
          </cell>
          <cell r="D2406">
            <v>15.9</v>
          </cell>
          <cell r="E2406">
            <v>9.06</v>
          </cell>
          <cell r="H2406">
            <v>45392</v>
          </cell>
          <cell r="I2406">
            <v>0.54666666666666663</v>
          </cell>
          <cell r="J2406">
            <v>32.976666666666667</v>
          </cell>
        </row>
        <row r="2407">
          <cell r="B2407">
            <v>60.68</v>
          </cell>
          <cell r="C2407">
            <v>96.28</v>
          </cell>
          <cell r="D2407">
            <v>16.71</v>
          </cell>
          <cell r="E2407">
            <v>9.26</v>
          </cell>
          <cell r="H2407">
            <v>45392</v>
          </cell>
          <cell r="I2407">
            <v>0.5477777777777777</v>
          </cell>
          <cell r="J2407">
            <v>32.373333333333335</v>
          </cell>
        </row>
        <row r="2408">
          <cell r="B2408">
            <v>62.41</v>
          </cell>
          <cell r="C2408">
            <v>100.55</v>
          </cell>
          <cell r="D2408">
            <v>16.75</v>
          </cell>
          <cell r="E2408">
            <v>9.36</v>
          </cell>
          <cell r="H2408">
            <v>45392</v>
          </cell>
          <cell r="I2408">
            <v>0.55000000000000004</v>
          </cell>
          <cell r="J2408">
            <v>31.751111111111111</v>
          </cell>
        </row>
        <row r="2409">
          <cell r="B2409">
            <v>62.67</v>
          </cell>
          <cell r="C2409">
            <v>107.96</v>
          </cell>
          <cell r="D2409">
            <v>16.86</v>
          </cell>
          <cell r="E2409">
            <v>9.98</v>
          </cell>
          <cell r="H2409">
            <v>45392</v>
          </cell>
          <cell r="I2409">
            <v>0.56111111111111112</v>
          </cell>
          <cell r="J2409">
            <v>31.362222222222222</v>
          </cell>
        </row>
        <row r="2410">
          <cell r="B2410">
            <v>54.85</v>
          </cell>
          <cell r="C2410">
            <v>105.96</v>
          </cell>
          <cell r="D2410">
            <v>17.39</v>
          </cell>
          <cell r="E2410">
            <v>10.33</v>
          </cell>
          <cell r="H2410">
            <v>45392</v>
          </cell>
          <cell r="I2410">
            <v>0.57333333333333347</v>
          </cell>
          <cell r="J2410">
            <v>31.386666666666663</v>
          </cell>
        </row>
        <row r="2411">
          <cell r="B2411">
            <v>50.81</v>
          </cell>
          <cell r="C2411">
            <v>102.26</v>
          </cell>
          <cell r="D2411">
            <v>17.190000000000001</v>
          </cell>
          <cell r="E2411">
            <v>9.75</v>
          </cell>
          <cell r="H2411">
            <v>45392</v>
          </cell>
          <cell r="I2411">
            <v>0.58888888888888902</v>
          </cell>
          <cell r="J2411">
            <v>32.125555555555557</v>
          </cell>
        </row>
        <row r="2412">
          <cell r="B2412">
            <v>46.46</v>
          </cell>
          <cell r="C2412">
            <v>104.1</v>
          </cell>
          <cell r="D2412">
            <v>17.86</v>
          </cell>
          <cell r="E2412">
            <v>8.11</v>
          </cell>
          <cell r="H2412">
            <v>45392</v>
          </cell>
          <cell r="I2412">
            <v>0.60111111111111126</v>
          </cell>
          <cell r="J2412">
            <v>33.75333333333333</v>
          </cell>
        </row>
        <row r="2413">
          <cell r="B2413">
            <v>41.96</v>
          </cell>
          <cell r="C2413">
            <v>92.72</v>
          </cell>
          <cell r="D2413">
            <v>17.46</v>
          </cell>
          <cell r="E2413">
            <v>8.27</v>
          </cell>
          <cell r="H2413">
            <v>45392</v>
          </cell>
          <cell r="I2413">
            <v>0.60555555555555562</v>
          </cell>
          <cell r="J2413">
            <v>35.726666666666667</v>
          </cell>
        </row>
        <row r="2414">
          <cell r="B2414">
            <v>39.020000000000003</v>
          </cell>
          <cell r="C2414">
            <v>80.13</v>
          </cell>
          <cell r="D2414">
            <v>18.260000000000002</v>
          </cell>
          <cell r="E2414">
            <v>8.2799999999999994</v>
          </cell>
          <cell r="H2414">
            <v>45392</v>
          </cell>
          <cell r="I2414">
            <v>0.6</v>
          </cell>
          <cell r="J2414">
            <v>37.104444444444439</v>
          </cell>
        </row>
        <row r="2415">
          <cell r="B2415">
            <v>37.64</v>
          </cell>
          <cell r="C2415">
            <v>75.42</v>
          </cell>
          <cell r="D2415">
            <v>16.55</v>
          </cell>
          <cell r="E2415">
            <v>8.35</v>
          </cell>
          <cell r="H2415">
            <v>45392</v>
          </cell>
          <cell r="I2415">
            <v>0.58777777777777773</v>
          </cell>
          <cell r="J2415">
            <v>38.854444444444439</v>
          </cell>
        </row>
        <row r="2416">
          <cell r="B2416">
            <v>38.369999999999997</v>
          </cell>
          <cell r="C2416">
            <v>72.010000000000005</v>
          </cell>
          <cell r="D2416">
            <v>16.57</v>
          </cell>
          <cell r="E2416">
            <v>8.6199999999999992</v>
          </cell>
          <cell r="H2416">
            <v>45392</v>
          </cell>
          <cell r="I2416">
            <v>0.57111111111111112</v>
          </cell>
          <cell r="J2416">
            <v>40.321111111111108</v>
          </cell>
        </row>
        <row r="2417">
          <cell r="B2417">
            <v>34.65</v>
          </cell>
          <cell r="C2417">
            <v>69.19</v>
          </cell>
          <cell r="D2417">
            <v>16.53</v>
          </cell>
          <cell r="E2417">
            <v>8.2899999999999991</v>
          </cell>
          <cell r="H2417">
            <v>45392</v>
          </cell>
          <cell r="I2417">
            <v>0.56222222222222229</v>
          </cell>
          <cell r="J2417">
            <v>41.962222222222223</v>
          </cell>
        </row>
        <row r="2418">
          <cell r="B2418">
            <v>32.67</v>
          </cell>
          <cell r="C2418">
            <v>65.73</v>
          </cell>
          <cell r="D2418">
            <v>16.54</v>
          </cell>
          <cell r="E2418">
            <v>8.5</v>
          </cell>
          <cell r="H2418">
            <v>45392</v>
          </cell>
          <cell r="I2418">
            <v>0.5477777777777777</v>
          </cell>
          <cell r="J2418">
            <v>43.263333333333335</v>
          </cell>
        </row>
        <row r="2419">
          <cell r="B2419">
            <v>33.29</v>
          </cell>
          <cell r="C2419">
            <v>65.42</v>
          </cell>
          <cell r="D2419">
            <v>15.47</v>
          </cell>
          <cell r="E2419">
            <v>8.14</v>
          </cell>
          <cell r="H2419">
            <v>45392</v>
          </cell>
          <cell r="I2419">
            <v>0.53111111111111109</v>
          </cell>
          <cell r="J2419">
            <v>43.921111111111109</v>
          </cell>
        </row>
        <row r="2420">
          <cell r="B2420">
            <v>34.54</v>
          </cell>
          <cell r="C2420">
            <v>72.209999999999994</v>
          </cell>
          <cell r="D2420">
            <v>15.81</v>
          </cell>
          <cell r="E2420">
            <v>7.74</v>
          </cell>
          <cell r="H2420">
            <v>45392</v>
          </cell>
          <cell r="I2420">
            <v>0.51444444444444448</v>
          </cell>
          <cell r="J2420">
            <v>43.86888888888889</v>
          </cell>
        </row>
        <row r="2421">
          <cell r="B2421">
            <v>38.46</v>
          </cell>
          <cell r="C2421">
            <v>76.62</v>
          </cell>
          <cell r="D2421">
            <v>15.62</v>
          </cell>
          <cell r="E2421">
            <v>8.06</v>
          </cell>
          <cell r="H2421">
            <v>45392</v>
          </cell>
          <cell r="I2421">
            <v>0.50111111111111106</v>
          </cell>
          <cell r="J2421">
            <v>42.918888888888887</v>
          </cell>
        </row>
        <row r="2422">
          <cell r="B2422">
            <v>36.35</v>
          </cell>
          <cell r="C2422">
            <v>77.900000000000006</v>
          </cell>
          <cell r="D2422">
            <v>15.67</v>
          </cell>
          <cell r="E2422">
            <v>7.82</v>
          </cell>
          <cell r="H2422">
            <v>45392</v>
          </cell>
          <cell r="I2422">
            <v>0.49222222222222217</v>
          </cell>
          <cell r="J2422">
            <v>41.321111111111101</v>
          </cell>
        </row>
        <row r="2423">
          <cell r="B2423">
            <v>32.85</v>
          </cell>
          <cell r="C2423">
            <v>75.22</v>
          </cell>
          <cell r="D2423">
            <v>15.65</v>
          </cell>
          <cell r="E2423">
            <v>8.2899999999999991</v>
          </cell>
          <cell r="H2423">
            <v>45392</v>
          </cell>
          <cell r="I2423">
            <v>0.49</v>
          </cell>
          <cell r="J2423">
            <v>40.22999999999999</v>
          </cell>
        </row>
        <row r="2424">
          <cell r="B2424">
            <v>31.99</v>
          </cell>
          <cell r="C2424">
            <v>67.459999999999994</v>
          </cell>
          <cell r="D2424">
            <v>14.99</v>
          </cell>
          <cell r="E2424">
            <v>8.01</v>
          </cell>
          <cell r="H2424">
            <v>45392</v>
          </cell>
          <cell r="I2424">
            <v>0.48777777777777787</v>
          </cell>
          <cell r="J2424">
            <v>39.016666666666666</v>
          </cell>
        </row>
        <row r="2425">
          <cell r="B2425">
            <v>32.29</v>
          </cell>
          <cell r="C2425">
            <v>66.010000000000005</v>
          </cell>
          <cell r="D2425">
            <v>14.77</v>
          </cell>
          <cell r="E2425">
            <v>7.58</v>
          </cell>
          <cell r="H2425">
            <v>45392</v>
          </cell>
          <cell r="I2425">
            <v>0.48444444444444446</v>
          </cell>
          <cell r="J2425">
            <v>38.123333333333328</v>
          </cell>
        </row>
        <row r="2426">
          <cell r="B2426">
            <v>37.14</v>
          </cell>
          <cell r="C2426">
            <v>66.44</v>
          </cell>
          <cell r="D2426">
            <v>15.2</v>
          </cell>
          <cell r="E2426">
            <v>8.07</v>
          </cell>
          <cell r="H2426">
            <v>45393</v>
          </cell>
          <cell r="I2426">
            <v>0.47222222222222221</v>
          </cell>
          <cell r="J2426">
            <v>37.128888888888895</v>
          </cell>
        </row>
        <row r="2427">
          <cell r="B2427">
            <v>38.39</v>
          </cell>
          <cell r="C2427">
            <v>67.48</v>
          </cell>
          <cell r="D2427">
            <v>14.66</v>
          </cell>
          <cell r="E2427">
            <v>7.34</v>
          </cell>
          <cell r="H2427">
            <v>45393</v>
          </cell>
          <cell r="I2427">
            <v>0.46666666666666667</v>
          </cell>
          <cell r="J2427">
            <v>36.101111111111116</v>
          </cell>
        </row>
        <row r="2428">
          <cell r="B2428">
            <v>39.549999999999997</v>
          </cell>
          <cell r="C2428">
            <v>67.849999999999994</v>
          </cell>
          <cell r="D2428">
            <v>14.87</v>
          </cell>
          <cell r="E2428">
            <v>7.56</v>
          </cell>
          <cell r="H2428">
            <v>45393</v>
          </cell>
          <cell r="I2428">
            <v>0.46666666666666667</v>
          </cell>
          <cell r="J2428">
            <v>35.198888888888888</v>
          </cell>
        </row>
        <row r="2429">
          <cell r="B2429">
            <v>37.869999999999997</v>
          </cell>
          <cell r="C2429">
            <v>65.02</v>
          </cell>
          <cell r="D2429">
            <v>14.53</v>
          </cell>
          <cell r="E2429">
            <v>7.5</v>
          </cell>
          <cell r="H2429">
            <v>45393</v>
          </cell>
          <cell r="I2429">
            <v>0.46111111111111114</v>
          </cell>
          <cell r="J2429">
            <v>34.234444444444449</v>
          </cell>
        </row>
        <row r="2430">
          <cell r="B2430">
            <v>34.450000000000003</v>
          </cell>
          <cell r="C2430">
            <v>63.95</v>
          </cell>
          <cell r="D2430">
            <v>14.8</v>
          </cell>
          <cell r="E2430">
            <v>7.7</v>
          </cell>
          <cell r="H2430">
            <v>45393</v>
          </cell>
          <cell r="I2430">
            <v>0.45444444444444443</v>
          </cell>
          <cell r="J2430">
            <v>33.629999999999995</v>
          </cell>
        </row>
        <row r="2431">
          <cell r="B2431">
            <v>33.799999999999997</v>
          </cell>
          <cell r="C2431">
            <v>65.260000000000005</v>
          </cell>
          <cell r="D2431">
            <v>15.99</v>
          </cell>
          <cell r="E2431">
            <v>7.78</v>
          </cell>
          <cell r="H2431">
            <v>45393</v>
          </cell>
          <cell r="I2431">
            <v>0.4588888888888889</v>
          </cell>
          <cell r="J2431">
            <v>33.806666666666665</v>
          </cell>
        </row>
        <row r="2432">
          <cell r="B2432">
            <v>32.07</v>
          </cell>
          <cell r="C2432">
            <v>65.319999999999993</v>
          </cell>
          <cell r="D2432">
            <v>14.98</v>
          </cell>
          <cell r="E2432">
            <v>8.25</v>
          </cell>
          <cell r="H2432">
            <v>45393</v>
          </cell>
          <cell r="I2432">
            <v>0.46555555555555561</v>
          </cell>
          <cell r="J2432">
            <v>32.914444444444449</v>
          </cell>
        </row>
        <row r="2433">
          <cell r="B2433">
            <v>31.91</v>
          </cell>
          <cell r="C2433">
            <v>71.75</v>
          </cell>
          <cell r="D2433">
            <v>13.89</v>
          </cell>
          <cell r="E2433">
            <v>7.82</v>
          </cell>
          <cell r="H2433">
            <v>45393</v>
          </cell>
          <cell r="I2433">
            <v>0.47555555555555556</v>
          </cell>
          <cell r="J2433">
            <v>32.074444444444431</v>
          </cell>
        </row>
        <row r="2434">
          <cell r="B2434">
            <v>33.97</v>
          </cell>
          <cell r="C2434">
            <v>77.14</v>
          </cell>
          <cell r="D2434">
            <v>14.48</v>
          </cell>
          <cell r="E2434">
            <v>8.34</v>
          </cell>
          <cell r="H2434">
            <v>45393</v>
          </cell>
          <cell r="I2434">
            <v>0.47888888888888892</v>
          </cell>
          <cell r="J2434">
            <v>31.941111111111109</v>
          </cell>
        </row>
        <row r="2435">
          <cell r="B2435">
            <v>36.369999999999997</v>
          </cell>
          <cell r="C2435">
            <v>75.290000000000006</v>
          </cell>
          <cell r="D2435">
            <v>13.68</v>
          </cell>
          <cell r="E2435">
            <v>8.31</v>
          </cell>
          <cell r="H2435">
            <v>45393</v>
          </cell>
          <cell r="I2435">
            <v>0.48666666666666675</v>
          </cell>
          <cell r="J2435">
            <v>31.245555555555558</v>
          </cell>
        </row>
        <row r="2436">
          <cell r="B2436">
            <v>31.19</v>
          </cell>
          <cell r="C2436">
            <v>67.47</v>
          </cell>
          <cell r="D2436">
            <v>14.07</v>
          </cell>
          <cell r="E2436">
            <v>8.1999999999999993</v>
          </cell>
          <cell r="H2436">
            <v>45393</v>
          </cell>
          <cell r="I2436">
            <v>0.48555555555555557</v>
          </cell>
          <cell r="J2436">
            <v>31.148888888888891</v>
          </cell>
        </row>
        <row r="2437">
          <cell r="B2437">
            <v>28.32</v>
          </cell>
          <cell r="C2437">
            <v>67.22</v>
          </cell>
          <cell r="D2437">
            <v>14.02</v>
          </cell>
          <cell r="E2437">
            <v>8.67</v>
          </cell>
          <cell r="H2437">
            <v>45393</v>
          </cell>
          <cell r="I2437">
            <v>0.48666666666666664</v>
          </cell>
          <cell r="J2437">
            <v>31.346666666666668</v>
          </cell>
        </row>
        <row r="2438">
          <cell r="B2438">
            <v>25.22</v>
          </cell>
          <cell r="C2438">
            <v>60.32</v>
          </cell>
          <cell r="D2438">
            <v>15.23</v>
          </cell>
          <cell r="E2438">
            <v>8.5299999999999994</v>
          </cell>
          <cell r="H2438">
            <v>45393</v>
          </cell>
          <cell r="I2438">
            <v>0.49111111111111122</v>
          </cell>
          <cell r="J2438">
            <v>31.903333333333332</v>
          </cell>
        </row>
        <row r="2439">
          <cell r="B2439">
            <v>21.98</v>
          </cell>
          <cell r="C2439">
            <v>52.99</v>
          </cell>
          <cell r="D2439">
            <v>16.02</v>
          </cell>
          <cell r="E2439">
            <v>7.5</v>
          </cell>
          <cell r="H2439">
            <v>45393</v>
          </cell>
          <cell r="I2439">
            <v>0.4933333333333334</v>
          </cell>
          <cell r="J2439">
            <v>32.624444444444443</v>
          </cell>
        </row>
        <row r="2440">
          <cell r="B2440">
            <v>22.85</v>
          </cell>
          <cell r="C2440">
            <v>48.11</v>
          </cell>
          <cell r="D2440">
            <v>16.38</v>
          </cell>
          <cell r="E2440">
            <v>7.6</v>
          </cell>
          <cell r="H2440">
            <v>45393</v>
          </cell>
          <cell r="I2440">
            <v>0.48666666666666675</v>
          </cell>
          <cell r="J2440">
            <v>33.568888888888893</v>
          </cell>
        </row>
        <row r="2441">
          <cell r="B2441">
            <v>21.89</v>
          </cell>
          <cell r="C2441">
            <v>48.69</v>
          </cell>
          <cell r="D2441">
            <v>16.22</v>
          </cell>
          <cell r="E2441">
            <v>8.2100000000000009</v>
          </cell>
          <cell r="H2441">
            <v>45393</v>
          </cell>
          <cell r="I2441">
            <v>0.47555555555555556</v>
          </cell>
          <cell r="J2441">
            <v>34.981111111111112</v>
          </cell>
        </row>
        <row r="2442">
          <cell r="B2442">
            <v>27.17</v>
          </cell>
          <cell r="C2442">
            <v>55.04</v>
          </cell>
          <cell r="D2442">
            <v>15.67</v>
          </cell>
          <cell r="E2442">
            <v>8.32</v>
          </cell>
          <cell r="H2442">
            <v>45393</v>
          </cell>
          <cell r="I2442">
            <v>0.46777777777777779</v>
          </cell>
          <cell r="J2442">
            <v>36.234444444444449</v>
          </cell>
        </row>
        <row r="2443">
          <cell r="B2443">
            <v>27.03</v>
          </cell>
          <cell r="C2443">
            <v>64.2</v>
          </cell>
          <cell r="D2443">
            <v>14.65</v>
          </cell>
          <cell r="E2443">
            <v>7.72</v>
          </cell>
          <cell r="H2443">
            <v>45393</v>
          </cell>
          <cell r="I2443">
            <v>0.47111111111111115</v>
          </cell>
          <cell r="J2443">
            <v>36.68888888888889</v>
          </cell>
        </row>
        <row r="2444">
          <cell r="B2444">
            <v>23.87</v>
          </cell>
          <cell r="C2444">
            <v>66.27</v>
          </cell>
          <cell r="D2444">
            <v>15.36</v>
          </cell>
          <cell r="E2444">
            <v>7.45</v>
          </cell>
          <cell r="H2444">
            <v>45393</v>
          </cell>
          <cell r="I2444">
            <v>0.47555555555555556</v>
          </cell>
          <cell r="J2444">
            <v>37.504444444444438</v>
          </cell>
        </row>
        <row r="2445">
          <cell r="B2445">
            <v>26.94</v>
          </cell>
          <cell r="C2445">
            <v>72.709999999999994</v>
          </cell>
          <cell r="D2445">
            <v>17.100000000000001</v>
          </cell>
          <cell r="E2445">
            <v>9.1</v>
          </cell>
          <cell r="H2445">
            <v>45393</v>
          </cell>
          <cell r="I2445">
            <v>0.5</v>
          </cell>
          <cell r="J2445">
            <v>37.69</v>
          </cell>
        </row>
        <row r="2446">
          <cell r="B2446">
            <v>29.17</v>
          </cell>
          <cell r="C2446">
            <v>75.06</v>
          </cell>
          <cell r="D2446">
            <v>17.149999999999999</v>
          </cell>
          <cell r="E2446">
            <v>7.61</v>
          </cell>
          <cell r="H2446">
            <v>45393</v>
          </cell>
          <cell r="I2446">
            <v>0.51444444444444448</v>
          </cell>
          <cell r="J2446">
            <v>37.754444444444445</v>
          </cell>
        </row>
        <row r="2447">
          <cell r="B2447">
            <v>29.75</v>
          </cell>
          <cell r="C2447">
            <v>75.11</v>
          </cell>
          <cell r="D2447">
            <v>15.52</v>
          </cell>
          <cell r="E2447">
            <v>7.68</v>
          </cell>
          <cell r="H2447">
            <v>45393</v>
          </cell>
          <cell r="I2447">
            <v>0.5133333333333332</v>
          </cell>
          <cell r="J2447">
            <v>37.755555555555553</v>
          </cell>
        </row>
        <row r="2448">
          <cell r="B2448">
            <v>26.86</v>
          </cell>
          <cell r="C2448">
            <v>68.22</v>
          </cell>
          <cell r="D2448">
            <v>14.72</v>
          </cell>
          <cell r="E2448">
            <v>8.02</v>
          </cell>
          <cell r="H2448">
            <v>45393</v>
          </cell>
          <cell r="I2448">
            <v>0.50777777777777777</v>
          </cell>
          <cell r="J2448">
            <v>37.535555555555561</v>
          </cell>
        </row>
        <row r="2449">
          <cell r="B2449">
            <v>28.28</v>
          </cell>
          <cell r="C2449">
            <v>65.260000000000005</v>
          </cell>
          <cell r="D2449">
            <v>14.81</v>
          </cell>
          <cell r="E2449">
            <v>8.19</v>
          </cell>
          <cell r="H2449">
            <v>45393</v>
          </cell>
          <cell r="I2449">
            <v>0.50333333333333341</v>
          </cell>
          <cell r="J2449">
            <v>36.64777777777779</v>
          </cell>
        </row>
        <row r="2450">
          <cell r="B2450">
            <v>28.48</v>
          </cell>
          <cell r="C2450">
            <v>63.13</v>
          </cell>
          <cell r="D2450">
            <v>14.72</v>
          </cell>
          <cell r="E2450">
            <v>6.68</v>
          </cell>
          <cell r="H2450">
            <v>45394</v>
          </cell>
          <cell r="I2450">
            <v>0.50333333333333341</v>
          </cell>
          <cell r="J2450">
            <v>36.599999999999994</v>
          </cell>
        </row>
        <row r="2451">
          <cell r="B2451">
            <v>31.4</v>
          </cell>
          <cell r="C2451">
            <v>63.01</v>
          </cell>
          <cell r="D2451">
            <v>14.38</v>
          </cell>
          <cell r="E2451">
            <v>6.24</v>
          </cell>
          <cell r="H2451">
            <v>45394</v>
          </cell>
          <cell r="I2451">
            <v>0.5033333333333333</v>
          </cell>
          <cell r="J2451">
            <v>36.12222222222222</v>
          </cell>
        </row>
        <row r="2452">
          <cell r="B2452">
            <v>33.32</v>
          </cell>
          <cell r="C2452">
            <v>54.3</v>
          </cell>
          <cell r="D2452">
            <v>12.4</v>
          </cell>
          <cell r="E2452">
            <v>5.7</v>
          </cell>
          <cell r="H2452">
            <v>45394</v>
          </cell>
          <cell r="I2452">
            <v>0.50111111111111106</v>
          </cell>
          <cell r="J2452">
            <v>34.707777777777785</v>
          </cell>
        </row>
        <row r="2453">
          <cell r="B2453">
            <v>28.24</v>
          </cell>
          <cell r="C2453">
            <v>48.11</v>
          </cell>
          <cell r="D2453">
            <v>12.54</v>
          </cell>
          <cell r="E2453">
            <v>6.78</v>
          </cell>
          <cell r="H2453">
            <v>45394</v>
          </cell>
          <cell r="I2453">
            <v>0.49444444444444446</v>
          </cell>
          <cell r="J2453">
            <v>33.303333333333335</v>
          </cell>
        </row>
        <row r="2454">
          <cell r="B2454">
            <v>22.4</v>
          </cell>
          <cell r="C2454">
            <v>43.21</v>
          </cell>
          <cell r="D2454">
            <v>12.1</v>
          </cell>
          <cell r="E2454">
            <v>6.6</v>
          </cell>
          <cell r="H2454">
            <v>45394</v>
          </cell>
          <cell r="I2454">
            <v>0.47444444444444439</v>
          </cell>
          <cell r="J2454">
            <v>32.356666666666669</v>
          </cell>
        </row>
        <row r="2455">
          <cell r="B2455">
            <v>18.96</v>
          </cell>
          <cell r="C2455">
            <v>40.200000000000003</v>
          </cell>
          <cell r="D2455">
            <v>11.54</v>
          </cell>
          <cell r="E2455">
            <v>8.1300000000000008</v>
          </cell>
          <cell r="H2455">
            <v>45394</v>
          </cell>
          <cell r="I2455">
            <v>0.46333333333333332</v>
          </cell>
          <cell r="J2455">
            <v>31.401111111111106</v>
          </cell>
        </row>
        <row r="2456">
          <cell r="B2456">
            <v>18.46</v>
          </cell>
          <cell r="C2456">
            <v>38.07</v>
          </cell>
          <cell r="D2456">
            <v>12.39</v>
          </cell>
          <cell r="E2456">
            <v>8.74</v>
          </cell>
          <cell r="H2456">
            <v>45394</v>
          </cell>
          <cell r="I2456">
            <v>0.46777777777777785</v>
          </cell>
          <cell r="J2456">
            <v>30.347777777777779</v>
          </cell>
        </row>
        <row r="2457">
          <cell r="B2457">
            <v>19.77</v>
          </cell>
          <cell r="C2457">
            <v>42.19</v>
          </cell>
          <cell r="D2457">
            <v>12.65</v>
          </cell>
          <cell r="E2457">
            <v>8.67</v>
          </cell>
          <cell r="H2457">
            <v>45394</v>
          </cell>
          <cell r="I2457">
            <v>0.47222222222222221</v>
          </cell>
          <cell r="J2457">
            <v>29.356666666666666</v>
          </cell>
        </row>
        <row r="2458">
          <cell r="B2458">
            <v>23.1</v>
          </cell>
          <cell r="C2458">
            <v>53.36</v>
          </cell>
          <cell r="D2458">
            <v>12.69</v>
          </cell>
          <cell r="E2458">
            <v>8.27</v>
          </cell>
          <cell r="H2458">
            <v>45394</v>
          </cell>
          <cell r="I2458">
            <v>0.47999999999999993</v>
          </cell>
          <cell r="J2458">
            <v>28.243333333333336</v>
          </cell>
        </row>
        <row r="2459">
          <cell r="B2459">
            <v>21.27</v>
          </cell>
          <cell r="C2459">
            <v>52.48</v>
          </cell>
          <cell r="D2459">
            <v>13.67</v>
          </cell>
          <cell r="E2459">
            <v>7.09</v>
          </cell>
          <cell r="H2459">
            <v>45394</v>
          </cell>
          <cell r="I2459">
            <v>0.48333333333333328</v>
          </cell>
          <cell r="J2459">
            <v>27.048888888888897</v>
          </cell>
        </row>
        <row r="2460">
          <cell r="B2460">
            <v>19.89</v>
          </cell>
          <cell r="C2460">
            <v>53.94</v>
          </cell>
          <cell r="D2460">
            <v>14.11</v>
          </cell>
          <cell r="E2460">
            <v>6.41</v>
          </cell>
          <cell r="H2460">
            <v>45394</v>
          </cell>
          <cell r="I2460">
            <v>0.48555555555555557</v>
          </cell>
          <cell r="J2460">
            <v>26.697777777777777</v>
          </cell>
        </row>
        <row r="2461">
          <cell r="B2461">
            <v>18.510000000000002</v>
          </cell>
          <cell r="C2461">
            <v>52.6</v>
          </cell>
          <cell r="D2461">
            <v>15.18</v>
          </cell>
          <cell r="E2461">
            <v>6.41</v>
          </cell>
          <cell r="H2461">
            <v>45394</v>
          </cell>
          <cell r="I2461">
            <v>0.491111111111111</v>
          </cell>
          <cell r="J2461">
            <v>27.87</v>
          </cell>
        </row>
        <row r="2462">
          <cell r="B2462">
            <v>19.829999999999998</v>
          </cell>
          <cell r="C2462">
            <v>57.85</v>
          </cell>
          <cell r="D2462">
            <v>15.8</v>
          </cell>
          <cell r="E2462">
            <v>7.04</v>
          </cell>
          <cell r="H2462">
            <v>45394</v>
          </cell>
          <cell r="I2462">
            <v>0.50111111111111106</v>
          </cell>
          <cell r="J2462">
            <v>28.987777777777776</v>
          </cell>
        </row>
        <row r="2463">
          <cell r="B2463">
            <v>30.13</v>
          </cell>
          <cell r="C2463">
            <v>55.84</v>
          </cell>
          <cell r="D2463">
            <v>17.22</v>
          </cell>
          <cell r="E2463">
            <v>7.24</v>
          </cell>
          <cell r="H2463">
            <v>45394</v>
          </cell>
          <cell r="I2463">
            <v>0.50888888888888884</v>
          </cell>
          <cell r="J2463">
            <v>30.331111111111113</v>
          </cell>
        </row>
        <row r="2464">
          <cell r="B2464">
            <v>32.85</v>
          </cell>
          <cell r="C2464">
            <v>61.34</v>
          </cell>
          <cell r="D2464">
            <v>16.2</v>
          </cell>
          <cell r="E2464">
            <v>6.99</v>
          </cell>
          <cell r="H2464">
            <v>45394</v>
          </cell>
          <cell r="I2464">
            <v>0.50666666666666671</v>
          </cell>
          <cell r="J2464">
            <v>31.191111111111113</v>
          </cell>
        </row>
        <row r="2465">
          <cell r="B2465">
            <v>30.88</v>
          </cell>
          <cell r="C2465">
            <v>53.47</v>
          </cell>
          <cell r="D2465">
            <v>16.5</v>
          </cell>
          <cell r="E2465">
            <v>7.08</v>
          </cell>
          <cell r="H2465">
            <v>45394</v>
          </cell>
          <cell r="I2465">
            <v>0.49999999999999989</v>
          </cell>
          <cell r="J2465">
            <v>33.071111111111108</v>
          </cell>
        </row>
        <row r="2466">
          <cell r="B2466">
            <v>28.51</v>
          </cell>
          <cell r="C2466">
            <v>55.63</v>
          </cell>
          <cell r="D2466">
            <v>15.96</v>
          </cell>
          <cell r="E2466">
            <v>7.16</v>
          </cell>
          <cell r="H2466">
            <v>45394</v>
          </cell>
          <cell r="I2466">
            <v>0.50222222222222224</v>
          </cell>
          <cell r="J2466">
            <v>33.162222222222226</v>
          </cell>
        </row>
        <row r="2467">
          <cell r="B2467">
            <v>27.36</v>
          </cell>
          <cell r="C2467">
            <v>56.44</v>
          </cell>
          <cell r="D2467">
            <v>15.92</v>
          </cell>
          <cell r="E2467">
            <v>7</v>
          </cell>
          <cell r="H2467">
            <v>45394</v>
          </cell>
          <cell r="I2467">
            <v>0.50444444444444447</v>
          </cell>
          <cell r="J2467">
            <v>33.213333333333331</v>
          </cell>
        </row>
        <row r="2468">
          <cell r="B2468">
            <v>25.94</v>
          </cell>
          <cell r="C2468">
            <v>63.58</v>
          </cell>
          <cell r="D2468">
            <v>15.15</v>
          </cell>
          <cell r="E2468">
            <v>7.78</v>
          </cell>
          <cell r="H2468">
            <v>45394</v>
          </cell>
          <cell r="I2468">
            <v>0.5066666666666666</v>
          </cell>
          <cell r="J2468">
            <v>33.138888888888886</v>
          </cell>
        </row>
        <row r="2469">
          <cell r="B2469">
            <v>27.32</v>
          </cell>
          <cell r="C2469">
            <v>66.09</v>
          </cell>
          <cell r="D2469">
            <v>15.39</v>
          </cell>
          <cell r="E2469">
            <v>7.97</v>
          </cell>
          <cell r="H2469">
            <v>45394</v>
          </cell>
          <cell r="I2469">
            <v>0.51111111111111118</v>
          </cell>
          <cell r="J2469">
            <v>32.723333333333336</v>
          </cell>
        </row>
        <row r="2470">
          <cell r="B2470">
            <v>29.43</v>
          </cell>
          <cell r="C2470">
            <v>68.540000000000006</v>
          </cell>
          <cell r="D2470">
            <v>15.67</v>
          </cell>
          <cell r="E2470">
            <v>9.18</v>
          </cell>
          <cell r="H2470">
            <v>45394</v>
          </cell>
          <cell r="I2470">
            <v>0.51111111111111118</v>
          </cell>
          <cell r="J2470">
            <v>31.606666666666666</v>
          </cell>
        </row>
        <row r="2471">
          <cell r="B2471">
            <v>26.04</v>
          </cell>
          <cell r="C2471">
            <v>64.510000000000005</v>
          </cell>
          <cell r="D2471">
            <v>15.02</v>
          </cell>
          <cell r="E2471">
            <v>9.5500000000000007</v>
          </cell>
          <cell r="H2471">
            <v>45394</v>
          </cell>
          <cell r="I2471">
            <v>0.50444444444444447</v>
          </cell>
          <cell r="J2471">
            <v>30.551111111111108</v>
          </cell>
        </row>
        <row r="2472">
          <cell r="B2472">
            <v>26.3</v>
          </cell>
          <cell r="C2472">
            <v>62.48</v>
          </cell>
          <cell r="D2472">
            <v>14.75</v>
          </cell>
          <cell r="E2472">
            <v>8.66</v>
          </cell>
          <cell r="H2472">
            <v>45394</v>
          </cell>
          <cell r="I2472">
            <v>0.49444444444444446</v>
          </cell>
          <cell r="J2472">
            <v>28.891111111111108</v>
          </cell>
        </row>
        <row r="2473">
          <cell r="B2473">
            <v>24.56</v>
          </cell>
          <cell r="C2473">
            <v>62.57</v>
          </cell>
          <cell r="D2473">
            <v>14.53</v>
          </cell>
          <cell r="E2473">
            <v>8.0399999999999991</v>
          </cell>
          <cell r="H2473">
            <v>45394</v>
          </cell>
          <cell r="I2473">
            <v>0.48777777777777787</v>
          </cell>
          <cell r="J2473">
            <v>27.59333333333333</v>
          </cell>
        </row>
        <row r="2474">
          <cell r="B2474">
            <v>25.66</v>
          </cell>
          <cell r="C2474">
            <v>56.16</v>
          </cell>
          <cell r="D2474">
            <v>14.2</v>
          </cell>
          <cell r="E2474">
            <v>8.15</v>
          </cell>
          <cell r="H2474">
            <v>45395</v>
          </cell>
          <cell r="I2474">
            <v>0.48000000000000004</v>
          </cell>
          <cell r="J2474">
            <v>25.204444444444444</v>
          </cell>
        </row>
        <row r="2475">
          <cell r="B2475">
            <v>23.83</v>
          </cell>
          <cell r="C2475">
            <v>47</v>
          </cell>
          <cell r="D2475">
            <v>14.08</v>
          </cell>
          <cell r="E2475">
            <v>7.03</v>
          </cell>
          <cell r="H2475">
            <v>45395</v>
          </cell>
          <cell r="I2475">
            <v>0.46777777777777785</v>
          </cell>
          <cell r="J2475">
            <v>24.498888888888889</v>
          </cell>
        </row>
        <row r="2476">
          <cell r="B2476">
            <v>18.28</v>
          </cell>
          <cell r="C2476">
            <v>39.729999999999997</v>
          </cell>
          <cell r="D2476">
            <v>14.23</v>
          </cell>
          <cell r="E2476">
            <v>6.56</v>
          </cell>
          <cell r="H2476">
            <v>45395</v>
          </cell>
          <cell r="I2476">
            <v>0.45333333333333342</v>
          </cell>
          <cell r="J2476">
            <v>24.004444444444445</v>
          </cell>
        </row>
        <row r="2477">
          <cell r="B2477">
            <v>20.75</v>
          </cell>
          <cell r="C2477">
            <v>43.24</v>
          </cell>
          <cell r="D2477">
            <v>13.78</v>
          </cell>
          <cell r="E2477">
            <v>7.51</v>
          </cell>
          <cell r="H2477">
            <v>45395</v>
          </cell>
          <cell r="I2477">
            <v>0.44111111111111112</v>
          </cell>
          <cell r="J2477">
            <v>23.524444444444448</v>
          </cell>
        </row>
        <row r="2478">
          <cell r="B2478">
            <v>22.53</v>
          </cell>
          <cell r="C2478">
            <v>53.61</v>
          </cell>
          <cell r="D2478">
            <v>14.21</v>
          </cell>
          <cell r="E2478">
            <v>8.01</v>
          </cell>
          <cell r="H2478">
            <v>45395</v>
          </cell>
          <cell r="I2478">
            <v>0.43333333333333335</v>
          </cell>
          <cell r="J2478">
            <v>22.878888888888891</v>
          </cell>
        </row>
        <row r="2479">
          <cell r="B2479">
            <v>25.08</v>
          </cell>
          <cell r="C2479">
            <v>62.72</v>
          </cell>
          <cell r="D2479">
            <v>14.04</v>
          </cell>
          <cell r="E2479">
            <v>9.35</v>
          </cell>
          <cell r="H2479">
            <v>45395</v>
          </cell>
          <cell r="I2479">
            <v>0.42666666666666669</v>
          </cell>
          <cell r="J2479">
            <v>22.371111111111112</v>
          </cell>
        </row>
        <row r="2480">
          <cell r="B2480">
            <v>25.43</v>
          </cell>
          <cell r="C2480">
            <v>60.26</v>
          </cell>
          <cell r="D2480">
            <v>14.61</v>
          </cell>
          <cell r="E2480">
            <v>9.3800000000000008</v>
          </cell>
          <cell r="H2480">
            <v>45395</v>
          </cell>
          <cell r="I2480">
            <v>0.42555555555555558</v>
          </cell>
          <cell r="J2480">
            <v>21.916666666666668</v>
          </cell>
        </row>
        <row r="2481">
          <cell r="B2481">
            <v>27.38</v>
          </cell>
          <cell r="C2481">
            <v>59.97</v>
          </cell>
          <cell r="D2481">
            <v>14.39</v>
          </cell>
          <cell r="E2481">
            <v>9.34</v>
          </cell>
          <cell r="H2481">
            <v>45395</v>
          </cell>
          <cell r="I2481">
            <v>0.42666666666666669</v>
          </cell>
          <cell r="J2481">
            <v>21.675555555555555</v>
          </cell>
        </row>
        <row r="2482">
          <cell r="B2482">
            <v>26.29</v>
          </cell>
          <cell r="C2482">
            <v>60.14</v>
          </cell>
          <cell r="D2482">
            <v>14.68</v>
          </cell>
          <cell r="E2482">
            <v>8.34</v>
          </cell>
          <cell r="H2482">
            <v>45395</v>
          </cell>
          <cell r="I2482">
            <v>0.42777777777777781</v>
          </cell>
          <cell r="J2482">
            <v>21.698888888888888</v>
          </cell>
        </row>
        <row r="2483">
          <cell r="B2483">
            <v>24.73</v>
          </cell>
          <cell r="C2483">
            <v>58.67</v>
          </cell>
          <cell r="D2483">
            <v>14.76</v>
          </cell>
          <cell r="E2483">
            <v>8.8699999999999992</v>
          </cell>
          <cell r="H2483">
            <v>45395</v>
          </cell>
          <cell r="I2483">
            <v>0.43333333333333335</v>
          </cell>
          <cell r="J2483">
            <v>22.018888888888885</v>
          </cell>
        </row>
        <row r="2484">
          <cell r="B2484">
            <v>24.45</v>
          </cell>
          <cell r="C2484">
            <v>54.21</v>
          </cell>
          <cell r="D2484">
            <v>15.36</v>
          </cell>
          <cell r="E2484">
            <v>8.4499999999999993</v>
          </cell>
          <cell r="H2484">
            <v>45395</v>
          </cell>
          <cell r="I2484">
            <v>0.43777777777777777</v>
          </cell>
          <cell r="J2484">
            <v>22.506666666666664</v>
          </cell>
        </row>
        <row r="2485">
          <cell r="B2485">
            <v>26.8</v>
          </cell>
          <cell r="C2485">
            <v>57.28</v>
          </cell>
          <cell r="D2485">
            <v>15.52</v>
          </cell>
          <cell r="E2485">
            <v>8.9</v>
          </cell>
          <cell r="H2485">
            <v>45395</v>
          </cell>
          <cell r="I2485">
            <v>0.44777777777777783</v>
          </cell>
          <cell r="J2485">
            <v>23.604444444444443</v>
          </cell>
        </row>
        <row r="2486">
          <cell r="B2486">
            <v>29.45</v>
          </cell>
          <cell r="C2486">
            <v>58.58</v>
          </cell>
          <cell r="D2486">
            <v>16.41</v>
          </cell>
          <cell r="E2486">
            <v>8.82</v>
          </cell>
          <cell r="H2486">
            <v>45395</v>
          </cell>
          <cell r="I2486">
            <v>0.45666666666666672</v>
          </cell>
          <cell r="J2486">
            <v>25.115555555555552</v>
          </cell>
        </row>
        <row r="2487">
          <cell r="B2487">
            <v>34.94</v>
          </cell>
          <cell r="C2487">
            <v>63.53</v>
          </cell>
          <cell r="D2487">
            <v>15.98</v>
          </cell>
          <cell r="E2487">
            <v>9.1300000000000008</v>
          </cell>
          <cell r="H2487">
            <v>45395</v>
          </cell>
          <cell r="I2487">
            <v>0.45666666666666661</v>
          </cell>
          <cell r="J2487">
            <v>26.86</v>
          </cell>
        </row>
        <row r="2488">
          <cell r="B2488">
            <v>37.82</v>
          </cell>
          <cell r="C2488">
            <v>63.51</v>
          </cell>
          <cell r="D2488">
            <v>16.79</v>
          </cell>
          <cell r="E2488">
            <v>8.9700000000000006</v>
          </cell>
          <cell r="H2488">
            <v>45395</v>
          </cell>
          <cell r="I2488">
            <v>0.45888888888888879</v>
          </cell>
          <cell r="J2488">
            <v>28.301111111111108</v>
          </cell>
        </row>
        <row r="2489">
          <cell r="B2489">
            <v>37.93</v>
          </cell>
          <cell r="C2489">
            <v>62.37</v>
          </cell>
          <cell r="D2489">
            <v>16.100000000000001</v>
          </cell>
          <cell r="E2489">
            <v>8.7100000000000009</v>
          </cell>
          <cell r="H2489">
            <v>45395</v>
          </cell>
          <cell r="I2489">
            <v>0.45777777777777767</v>
          </cell>
          <cell r="J2489">
            <v>29.52</v>
          </cell>
        </row>
        <row r="2490">
          <cell r="B2490">
            <v>36.49</v>
          </cell>
          <cell r="C2490">
            <v>63.99</v>
          </cell>
          <cell r="D2490">
            <v>16.05</v>
          </cell>
          <cell r="E2490">
            <v>8.2200000000000006</v>
          </cell>
          <cell r="H2490">
            <v>45395</v>
          </cell>
          <cell r="I2490">
            <v>0.45888888888888879</v>
          </cell>
          <cell r="J2490">
            <v>30.66333333333333</v>
          </cell>
        </row>
        <row r="2491">
          <cell r="B2491">
            <v>34.229999999999997</v>
          </cell>
          <cell r="C2491">
            <v>65.53</v>
          </cell>
          <cell r="D2491">
            <v>15.39</v>
          </cell>
          <cell r="E2491">
            <v>7.79</v>
          </cell>
          <cell r="H2491">
            <v>45395</v>
          </cell>
          <cell r="I2491">
            <v>0.46333333333333321</v>
          </cell>
          <cell r="J2491">
            <v>31.672222222222224</v>
          </cell>
        </row>
        <row r="2492">
          <cell r="B2492">
            <v>35.549999999999997</v>
          </cell>
          <cell r="C2492">
            <v>70.92</v>
          </cell>
          <cell r="D2492">
            <v>15.5</v>
          </cell>
          <cell r="E2492">
            <v>7.88</v>
          </cell>
          <cell r="H2492">
            <v>45395</v>
          </cell>
          <cell r="I2492">
            <v>0.46777777777777768</v>
          </cell>
          <cell r="J2492">
            <v>32.323333333333331</v>
          </cell>
        </row>
        <row r="2493">
          <cell r="B2493">
            <v>34.47</v>
          </cell>
          <cell r="C2493">
            <v>71.47</v>
          </cell>
          <cell r="D2493">
            <v>15.93</v>
          </cell>
          <cell r="E2493">
            <v>7.3</v>
          </cell>
          <cell r="H2493">
            <v>45395</v>
          </cell>
          <cell r="I2493">
            <v>0.47333333333333333</v>
          </cell>
          <cell r="J2493">
            <v>32.693333333333335</v>
          </cell>
        </row>
        <row r="2494">
          <cell r="B2494">
            <v>29.72</v>
          </cell>
          <cell r="C2494">
            <v>65.7</v>
          </cell>
          <cell r="D2494">
            <v>16.329999999999998</v>
          </cell>
          <cell r="E2494">
            <v>7.04</v>
          </cell>
          <cell r="H2494">
            <v>45395</v>
          </cell>
          <cell r="I2494">
            <v>0.47333333333333333</v>
          </cell>
          <cell r="J2494">
            <v>32.266666666666666</v>
          </cell>
        </row>
        <row r="2495">
          <cell r="B2495">
            <v>31.08</v>
          </cell>
          <cell r="C2495">
            <v>67.260000000000005</v>
          </cell>
          <cell r="D2495">
            <v>15.65</v>
          </cell>
          <cell r="E2495">
            <v>7.88</v>
          </cell>
          <cell r="H2495">
            <v>45395</v>
          </cell>
          <cell r="I2495">
            <v>0.47333333333333333</v>
          </cell>
          <cell r="J2495">
            <v>31.377777777777776</v>
          </cell>
        </row>
        <row r="2496">
          <cell r="B2496">
            <v>31.13</v>
          </cell>
          <cell r="C2496">
            <v>67.61</v>
          </cell>
          <cell r="D2496">
            <v>15.23</v>
          </cell>
          <cell r="E2496">
            <v>6.94</v>
          </cell>
          <cell r="H2496">
            <v>45395</v>
          </cell>
          <cell r="I2496">
            <v>0.47444444444444439</v>
          </cell>
          <cell r="J2496">
            <v>30.406666666666663</v>
          </cell>
        </row>
        <row r="2497">
          <cell r="B2497">
            <v>31.38</v>
          </cell>
          <cell r="C2497">
            <v>61.96</v>
          </cell>
          <cell r="D2497">
            <v>14.52</v>
          </cell>
          <cell r="E2497">
            <v>7.05</v>
          </cell>
          <cell r="H2497">
            <v>45395</v>
          </cell>
          <cell r="I2497">
            <v>0.47111111111111115</v>
          </cell>
          <cell r="J2497">
            <v>29.734444444444438</v>
          </cell>
        </row>
        <row r="2498">
          <cell r="B2498">
            <v>30.77</v>
          </cell>
          <cell r="C2498">
            <v>60.09</v>
          </cell>
          <cell r="D2498">
            <v>14.32</v>
          </cell>
          <cell r="E2498">
            <v>7.14</v>
          </cell>
          <cell r="H2498">
            <v>45396</v>
          </cell>
          <cell r="I2498">
            <v>0.46444444444444433</v>
          </cell>
          <cell r="J2498">
            <v>29.179999999999993</v>
          </cell>
        </row>
        <row r="2499">
          <cell r="B2499">
            <v>28.68</v>
          </cell>
          <cell r="C2499">
            <v>54.47</v>
          </cell>
          <cell r="D2499">
            <v>14.29</v>
          </cell>
          <cell r="E2499">
            <v>7.7</v>
          </cell>
          <cell r="H2499">
            <v>45396</v>
          </cell>
          <cell r="I2499">
            <v>0.45777777777777767</v>
          </cell>
          <cell r="J2499">
            <v>28.647777777777776</v>
          </cell>
        </row>
        <row r="2500">
          <cell r="B2500">
            <v>28.11</v>
          </cell>
          <cell r="C2500">
            <v>55.61</v>
          </cell>
          <cell r="D2500">
            <v>14.1</v>
          </cell>
          <cell r="E2500">
            <v>7.5</v>
          </cell>
          <cell r="H2500">
            <v>45396</v>
          </cell>
          <cell r="I2500">
            <v>0.45333333333333337</v>
          </cell>
          <cell r="J2500">
            <v>28.046666666666667</v>
          </cell>
        </row>
        <row r="2501">
          <cell r="B2501">
            <v>35.79</v>
          </cell>
          <cell r="C2501">
            <v>66.34</v>
          </cell>
          <cell r="D2501">
            <v>14.5</v>
          </cell>
          <cell r="E2501">
            <v>7.91</v>
          </cell>
          <cell r="H2501">
            <v>45396</v>
          </cell>
          <cell r="I2501">
            <v>0.448888888888889</v>
          </cell>
          <cell r="J2501">
            <v>27.587777777777774</v>
          </cell>
        </row>
        <row r="2502">
          <cell r="B2502">
            <v>30.45</v>
          </cell>
          <cell r="C2502">
            <v>52.16</v>
          </cell>
          <cell r="D2502">
            <v>14.46</v>
          </cell>
          <cell r="E2502">
            <v>8.23</v>
          </cell>
          <cell r="H2502">
            <v>45396</v>
          </cell>
          <cell r="I2502">
            <v>0.44555555555555554</v>
          </cell>
          <cell r="J2502">
            <v>27.08</v>
          </cell>
        </row>
        <row r="2503">
          <cell r="B2503">
            <v>26.81</v>
          </cell>
          <cell r="C2503">
            <v>50.42</v>
          </cell>
          <cell r="D2503">
            <v>14.53</v>
          </cell>
          <cell r="E2503">
            <v>8.2200000000000006</v>
          </cell>
          <cell r="H2503">
            <v>45396</v>
          </cell>
          <cell r="I2503">
            <v>0.44111111111111112</v>
          </cell>
          <cell r="J2503">
            <v>26.648888888888891</v>
          </cell>
        </row>
        <row r="2504">
          <cell r="B2504">
            <v>26.77</v>
          </cell>
          <cell r="C2504">
            <v>54.57</v>
          </cell>
          <cell r="D2504">
            <v>14.66</v>
          </cell>
          <cell r="E2504">
            <v>7.83</v>
          </cell>
          <cell r="H2504">
            <v>45396</v>
          </cell>
          <cell r="I2504">
            <v>0.44111111111111106</v>
          </cell>
          <cell r="J2504">
            <v>26.304444444444442</v>
          </cell>
        </row>
        <row r="2505">
          <cell r="B2505">
            <v>27.05</v>
          </cell>
          <cell r="C2505">
            <v>65.680000000000007</v>
          </cell>
          <cell r="D2505">
            <v>14.83</v>
          </cell>
          <cell r="E2505">
            <v>7.37</v>
          </cell>
          <cell r="H2505">
            <v>45396</v>
          </cell>
          <cell r="I2505">
            <v>0.44333333333333336</v>
          </cell>
          <cell r="J2505">
            <v>26.108888888888888</v>
          </cell>
        </row>
        <row r="2506">
          <cell r="B2506">
            <v>30.47</v>
          </cell>
          <cell r="C2506">
            <v>84.41</v>
          </cell>
          <cell r="D2506">
            <v>13.64</v>
          </cell>
          <cell r="E2506">
            <v>7.16</v>
          </cell>
          <cell r="H2506">
            <v>45396</v>
          </cell>
          <cell r="I2506">
            <v>0.44666666666666671</v>
          </cell>
          <cell r="J2506">
            <v>26.200000000000003</v>
          </cell>
        </row>
        <row r="2507">
          <cell r="B2507">
            <v>29.08</v>
          </cell>
          <cell r="C2507">
            <v>62.71</v>
          </cell>
          <cell r="D2507">
            <v>14.03</v>
          </cell>
          <cell r="E2507">
            <v>7.91</v>
          </cell>
          <cell r="H2507">
            <v>45396</v>
          </cell>
          <cell r="I2507">
            <v>0.45000000000000007</v>
          </cell>
          <cell r="J2507">
            <v>26.842222222222219</v>
          </cell>
        </row>
        <row r="2508">
          <cell r="B2508">
            <v>30.11</v>
          </cell>
          <cell r="C2508">
            <v>65.040000000000006</v>
          </cell>
          <cell r="D2508">
            <v>14.76</v>
          </cell>
          <cell r="E2508">
            <v>7.79</v>
          </cell>
          <cell r="H2508">
            <v>45396</v>
          </cell>
          <cell r="I2508">
            <v>0.45222222222222225</v>
          </cell>
          <cell r="J2508">
            <v>28.044444444444444</v>
          </cell>
        </row>
        <row r="2509">
          <cell r="B2509">
            <v>29.56</v>
          </cell>
          <cell r="C2509">
            <v>68.83</v>
          </cell>
          <cell r="D2509">
            <v>15.88</v>
          </cell>
          <cell r="E2509">
            <v>8.02</v>
          </cell>
          <cell r="H2509">
            <v>45396</v>
          </cell>
          <cell r="I2509">
            <v>0.45444444444444443</v>
          </cell>
          <cell r="J2509">
            <v>29.54111111111111</v>
          </cell>
        </row>
        <row r="2510">
          <cell r="B2510">
            <v>30.87</v>
          </cell>
          <cell r="C2510">
            <v>71.14</v>
          </cell>
          <cell r="D2510">
            <v>15.97</v>
          </cell>
          <cell r="E2510">
            <v>8.15</v>
          </cell>
          <cell r="H2510">
            <v>45396</v>
          </cell>
          <cell r="I2510">
            <v>0.45444444444444454</v>
          </cell>
          <cell r="J2510">
            <v>31.533333333333335</v>
          </cell>
        </row>
        <row r="2511">
          <cell r="B2511">
            <v>31.49</v>
          </cell>
          <cell r="C2511">
            <v>67.75</v>
          </cell>
          <cell r="D2511">
            <v>15.89</v>
          </cell>
          <cell r="E2511">
            <v>7.76</v>
          </cell>
          <cell r="H2511">
            <v>45396</v>
          </cell>
          <cell r="I2511">
            <v>0.4555555555555556</v>
          </cell>
          <cell r="J2511">
            <v>33.03</v>
          </cell>
        </row>
        <row r="2512">
          <cell r="B2512">
            <v>33.93</v>
          </cell>
          <cell r="C2512">
            <v>67.260000000000005</v>
          </cell>
          <cell r="D2512">
            <v>15.99</v>
          </cell>
          <cell r="E2512">
            <v>7.87</v>
          </cell>
          <cell r="H2512">
            <v>45396</v>
          </cell>
          <cell r="I2512">
            <v>0.45777777777777778</v>
          </cell>
          <cell r="J2512">
            <v>34.44</v>
          </cell>
        </row>
        <row r="2513">
          <cell r="B2513">
            <v>32.76</v>
          </cell>
          <cell r="C2513">
            <v>64.44</v>
          </cell>
          <cell r="D2513">
            <v>16.03</v>
          </cell>
          <cell r="E2513">
            <v>7.84</v>
          </cell>
          <cell r="H2513">
            <v>45396</v>
          </cell>
          <cell r="I2513">
            <v>0.4655555555555555</v>
          </cell>
          <cell r="J2513">
            <v>35.757777777777775</v>
          </cell>
        </row>
        <row r="2514">
          <cell r="B2514">
            <v>31.43</v>
          </cell>
          <cell r="C2514">
            <v>57.41</v>
          </cell>
          <cell r="D2514">
            <v>15.28</v>
          </cell>
          <cell r="E2514">
            <v>8.3000000000000007</v>
          </cell>
          <cell r="H2514">
            <v>45396</v>
          </cell>
          <cell r="I2514">
            <v>0.47222222222222221</v>
          </cell>
          <cell r="J2514">
            <v>36.992222222222225</v>
          </cell>
        </row>
        <row r="2515">
          <cell r="B2515">
            <v>29.88</v>
          </cell>
          <cell r="C2515">
            <v>56.32</v>
          </cell>
          <cell r="D2515">
            <v>15.23</v>
          </cell>
          <cell r="E2515">
            <v>8.61</v>
          </cell>
          <cell r="H2515">
            <v>45396</v>
          </cell>
          <cell r="I2515">
            <v>0.4811111111111111</v>
          </cell>
          <cell r="J2515">
            <v>38.04666666666666</v>
          </cell>
        </row>
        <row r="2516">
          <cell r="B2516">
            <v>30.57</v>
          </cell>
          <cell r="C2516">
            <v>62.53</v>
          </cell>
          <cell r="D2516">
            <v>15.52</v>
          </cell>
          <cell r="E2516">
            <v>7.46</v>
          </cell>
          <cell r="H2516">
            <v>45396</v>
          </cell>
          <cell r="I2516">
            <v>0.48222222222222222</v>
          </cell>
          <cell r="J2516">
            <v>38.495555555555555</v>
          </cell>
        </row>
        <row r="2517">
          <cell r="B2517">
            <v>32.520000000000003</v>
          </cell>
          <cell r="C2517">
            <v>70</v>
          </cell>
          <cell r="D2517">
            <v>15.01</v>
          </cell>
          <cell r="E2517">
            <v>8.34</v>
          </cell>
          <cell r="H2517">
            <v>45396</v>
          </cell>
          <cell r="I2517">
            <v>0.49111111111111111</v>
          </cell>
          <cell r="J2517">
            <v>38.249999999999993</v>
          </cell>
        </row>
        <row r="2518">
          <cell r="B2518">
            <v>34.630000000000003</v>
          </cell>
          <cell r="C2518">
            <v>69.37</v>
          </cell>
          <cell r="D2518">
            <v>15.95</v>
          </cell>
          <cell r="E2518">
            <v>8.39</v>
          </cell>
          <cell r="H2518">
            <v>45396</v>
          </cell>
          <cell r="I2518">
            <v>0.49777777777777771</v>
          </cell>
          <cell r="J2518">
            <v>37.793333333333329</v>
          </cell>
        </row>
        <row r="2519">
          <cell r="B2519">
            <v>36.79</v>
          </cell>
          <cell r="C2519">
            <v>73.760000000000005</v>
          </cell>
          <cell r="D2519">
            <v>15.69</v>
          </cell>
          <cell r="E2519">
            <v>8.24</v>
          </cell>
          <cell r="H2519">
            <v>45396</v>
          </cell>
          <cell r="I2519">
            <v>0.50111111111111106</v>
          </cell>
          <cell r="J2519">
            <v>36.652222222222221</v>
          </cell>
        </row>
        <row r="2520">
          <cell r="B2520">
            <v>37.51</v>
          </cell>
          <cell r="C2520">
            <v>75.88</v>
          </cell>
          <cell r="D2520">
            <v>15.28</v>
          </cell>
          <cell r="E2520">
            <v>7.45</v>
          </cell>
          <cell r="H2520">
            <v>45396</v>
          </cell>
          <cell r="I2520">
            <v>0.49888888888888894</v>
          </cell>
          <cell r="J2520">
            <v>35.846666666666664</v>
          </cell>
        </row>
        <row r="2521">
          <cell r="B2521">
            <v>34.229999999999997</v>
          </cell>
          <cell r="C2521">
            <v>71.12</v>
          </cell>
          <cell r="D2521">
            <v>14.34</v>
          </cell>
          <cell r="E2521">
            <v>7.68</v>
          </cell>
          <cell r="H2521">
            <v>45396</v>
          </cell>
          <cell r="I2521">
            <v>0.4933333333333334</v>
          </cell>
          <cell r="J2521">
            <v>35.062222222222225</v>
          </cell>
        </row>
        <row r="2522">
          <cell r="B2522">
            <v>34.409999999999997</v>
          </cell>
          <cell r="C2522">
            <v>66.430000000000007</v>
          </cell>
          <cell r="D2522">
            <v>13.83</v>
          </cell>
          <cell r="E2522">
            <v>7.46</v>
          </cell>
          <cell r="H2522">
            <v>45397</v>
          </cell>
          <cell r="I2522">
            <v>0.47888888888888886</v>
          </cell>
          <cell r="J2522">
            <v>34.188888888888897</v>
          </cell>
        </row>
        <row r="2523">
          <cell r="B2523">
            <v>34.450000000000003</v>
          </cell>
          <cell r="C2523">
            <v>61.44</v>
          </cell>
          <cell r="D2523">
            <v>13.87</v>
          </cell>
          <cell r="E2523">
            <v>7.6</v>
          </cell>
          <cell r="H2523">
            <v>45397</v>
          </cell>
          <cell r="I2523">
            <v>0.46444444444444449</v>
          </cell>
          <cell r="J2523">
            <v>33.172222222222217</v>
          </cell>
        </row>
        <row r="2524">
          <cell r="B2524">
            <v>31.17</v>
          </cell>
          <cell r="C2524">
            <v>59.57</v>
          </cell>
          <cell r="D2524">
            <v>15.68</v>
          </cell>
          <cell r="E2524">
            <v>6.27</v>
          </cell>
          <cell r="H2524">
            <v>45397</v>
          </cell>
          <cell r="I2524">
            <v>0.45111111111111107</v>
          </cell>
          <cell r="J2524">
            <v>31.98555555555555</v>
          </cell>
        </row>
        <row r="2525">
          <cell r="B2525">
            <v>28.06</v>
          </cell>
          <cell r="C2525">
            <v>53.77</v>
          </cell>
          <cell r="D2525">
            <v>13.39</v>
          </cell>
          <cell r="E2525">
            <v>9.9499999999999993</v>
          </cell>
          <cell r="H2525">
            <v>45397</v>
          </cell>
          <cell r="I2525">
            <v>0.44666666666666671</v>
          </cell>
          <cell r="J2525">
            <v>30.954444444444441</v>
          </cell>
        </row>
        <row r="2526">
          <cell r="B2526">
            <v>28.72</v>
          </cell>
          <cell r="C2526">
            <v>52.29</v>
          </cell>
          <cell r="D2526">
            <v>13.69</v>
          </cell>
          <cell r="E2526">
            <v>9.98</v>
          </cell>
          <cell r="H2526">
            <v>45397</v>
          </cell>
          <cell r="I2526">
            <v>0.43888888888888888</v>
          </cell>
          <cell r="J2526">
            <v>29.88111111111111</v>
          </cell>
        </row>
        <row r="2527">
          <cell r="B2527">
            <v>28.29</v>
          </cell>
          <cell r="C2527">
            <v>52.11</v>
          </cell>
          <cell r="D2527">
            <v>14.23</v>
          </cell>
          <cell r="E2527">
            <v>11.14</v>
          </cell>
          <cell r="H2527">
            <v>45397</v>
          </cell>
          <cell r="I2527">
            <v>0.43777777777777777</v>
          </cell>
          <cell r="J2527">
            <v>28.625555555555554</v>
          </cell>
        </row>
        <row r="2528">
          <cell r="B2528">
            <v>27.6</v>
          </cell>
          <cell r="C2528">
            <v>53.97</v>
          </cell>
          <cell r="D2528">
            <v>14.79</v>
          </cell>
          <cell r="E2528">
            <v>12.31</v>
          </cell>
          <cell r="H2528">
            <v>45397</v>
          </cell>
          <cell r="I2528">
            <v>0.44111111111111112</v>
          </cell>
          <cell r="J2528">
            <v>27.367777777777778</v>
          </cell>
        </row>
        <row r="2529">
          <cell r="B2529">
            <v>27.23</v>
          </cell>
          <cell r="C2529">
            <v>62.28</v>
          </cell>
          <cell r="D2529">
            <v>14.72</v>
          </cell>
          <cell r="E2529">
            <v>11.42</v>
          </cell>
          <cell r="H2529">
            <v>45397</v>
          </cell>
          <cell r="I2529">
            <v>0.44999999999999996</v>
          </cell>
          <cell r="J2529">
            <v>26.523333333333333</v>
          </cell>
        </row>
        <row r="2530">
          <cell r="B2530">
            <v>29.8</v>
          </cell>
          <cell r="C2530">
            <v>67.91</v>
          </cell>
          <cell r="D2530">
            <v>14.29</v>
          </cell>
          <cell r="E2530">
            <v>10.72</v>
          </cell>
          <cell r="H2530">
            <v>45397</v>
          </cell>
          <cell r="I2530">
            <v>0.4588888888888889</v>
          </cell>
          <cell r="J2530">
            <v>26.133333333333336</v>
          </cell>
        </row>
        <row r="2531">
          <cell r="B2531">
            <v>31.9</v>
          </cell>
          <cell r="C2531">
            <v>70.03</v>
          </cell>
          <cell r="D2531">
            <v>14.28</v>
          </cell>
          <cell r="E2531">
            <v>10.77</v>
          </cell>
          <cell r="H2531">
            <v>45397</v>
          </cell>
          <cell r="I2531">
            <v>0.46111111111111114</v>
          </cell>
          <cell r="J2531">
            <v>26.271111111111111</v>
          </cell>
        </row>
        <row r="2532">
          <cell r="B2532">
            <v>25.38</v>
          </cell>
          <cell r="C2532">
            <v>57.43</v>
          </cell>
          <cell r="D2532">
            <v>16.649999999999999</v>
          </cell>
          <cell r="E2532">
            <v>10.49</v>
          </cell>
          <cell r="H2532">
            <v>45397</v>
          </cell>
          <cell r="I2532">
            <v>0.46222222222222226</v>
          </cell>
          <cell r="J2532">
            <v>26.764444444444447</v>
          </cell>
        </row>
        <row r="2533">
          <cell r="B2533">
            <v>26.39</v>
          </cell>
          <cell r="C2533">
            <v>58.85</v>
          </cell>
          <cell r="D2533">
            <v>15.29</v>
          </cell>
          <cell r="E2533">
            <v>10.220000000000001</v>
          </cell>
          <cell r="H2533">
            <v>45397</v>
          </cell>
          <cell r="I2533">
            <v>0.46666666666666667</v>
          </cell>
          <cell r="J2533">
            <v>27.674444444444447</v>
          </cell>
        </row>
        <row r="2534">
          <cell r="B2534">
            <v>30.17</v>
          </cell>
          <cell r="C2534">
            <v>66.62</v>
          </cell>
          <cell r="D2534">
            <v>16.2</v>
          </cell>
          <cell r="E2534">
            <v>10.26</v>
          </cell>
          <cell r="H2534">
            <v>45397</v>
          </cell>
          <cell r="I2534">
            <v>0.46888888888888886</v>
          </cell>
          <cell r="J2534">
            <v>28.870000000000005</v>
          </cell>
        </row>
        <row r="2535">
          <cell r="B2535">
            <v>29.79</v>
          </cell>
          <cell r="C2535">
            <v>65.11</v>
          </cell>
          <cell r="D2535">
            <v>16.54</v>
          </cell>
          <cell r="E2535">
            <v>10.49</v>
          </cell>
          <cell r="H2535">
            <v>45397</v>
          </cell>
          <cell r="I2535">
            <v>0.46888888888888897</v>
          </cell>
          <cell r="J2535">
            <v>30.313333333333333</v>
          </cell>
        </row>
        <row r="2536">
          <cell r="B2536">
            <v>31.34</v>
          </cell>
          <cell r="C2536">
            <v>65.010000000000005</v>
          </cell>
          <cell r="D2536">
            <v>16.39</v>
          </cell>
          <cell r="E2536">
            <v>10.64</v>
          </cell>
          <cell r="H2536">
            <v>45397</v>
          </cell>
          <cell r="I2536">
            <v>0.46111111111111103</v>
          </cell>
          <cell r="J2536">
            <v>31.887777777777778</v>
          </cell>
        </row>
        <row r="2537">
          <cell r="B2537">
            <v>30.73</v>
          </cell>
          <cell r="C2537">
            <v>63.61</v>
          </cell>
          <cell r="D2537">
            <v>16.11</v>
          </cell>
          <cell r="E2537">
            <v>10.49</v>
          </cell>
          <cell r="H2537">
            <v>45397</v>
          </cell>
          <cell r="I2537">
            <v>0.45555555555555549</v>
          </cell>
          <cell r="J2537">
            <v>33.434444444444438</v>
          </cell>
        </row>
        <row r="2538">
          <cell r="B2538">
            <v>29.85</v>
          </cell>
          <cell r="C2538">
            <v>64.400000000000006</v>
          </cell>
          <cell r="D2538">
            <v>15.52</v>
          </cell>
          <cell r="E2538">
            <v>10.62</v>
          </cell>
          <cell r="H2538">
            <v>45397</v>
          </cell>
          <cell r="I2538">
            <v>0.44999999999999996</v>
          </cell>
          <cell r="J2538">
            <v>34.976666666666667</v>
          </cell>
        </row>
        <row r="2539">
          <cell r="B2539">
            <v>29.51</v>
          </cell>
          <cell r="C2539">
            <v>65.430000000000007</v>
          </cell>
          <cell r="D2539">
            <v>14.68</v>
          </cell>
          <cell r="E2539">
            <v>10.76</v>
          </cell>
          <cell r="H2539">
            <v>45397</v>
          </cell>
          <cell r="I2539">
            <v>0.45222222222222225</v>
          </cell>
          <cell r="J2539">
            <v>36.031111111111116</v>
          </cell>
        </row>
        <row r="2540">
          <cell r="B2540">
            <v>29.9</v>
          </cell>
          <cell r="C2540">
            <v>69.88</v>
          </cell>
          <cell r="D2540">
            <v>15.74</v>
          </cell>
          <cell r="E2540">
            <v>10.63</v>
          </cell>
          <cell r="H2540">
            <v>45397</v>
          </cell>
          <cell r="I2540">
            <v>0.46000000000000008</v>
          </cell>
          <cell r="J2540">
            <v>36.712222222222223</v>
          </cell>
        </row>
        <row r="2541">
          <cell r="B2541">
            <v>30.01</v>
          </cell>
          <cell r="C2541">
            <v>73.23</v>
          </cell>
          <cell r="D2541">
            <v>15.46</v>
          </cell>
          <cell r="E2541">
            <v>11.66</v>
          </cell>
          <cell r="H2541">
            <v>45397</v>
          </cell>
          <cell r="I2541">
            <v>0.47</v>
          </cell>
          <cell r="J2541">
            <v>36.436666666666667</v>
          </cell>
        </row>
        <row r="2542">
          <cell r="B2542">
            <v>28.72</v>
          </cell>
          <cell r="C2542">
            <v>84.08</v>
          </cell>
          <cell r="D2542">
            <v>15.17</v>
          </cell>
          <cell r="E2542">
            <v>11.52</v>
          </cell>
          <cell r="H2542">
            <v>45397</v>
          </cell>
          <cell r="I2542">
            <v>0.47444444444444439</v>
          </cell>
          <cell r="J2542">
            <v>35.452222222222225</v>
          </cell>
        </row>
        <row r="2543">
          <cell r="B2543">
            <v>28.04</v>
          </cell>
          <cell r="C2543">
            <v>76.58</v>
          </cell>
          <cell r="D2543">
            <v>15.15</v>
          </cell>
          <cell r="E2543">
            <v>11.58</v>
          </cell>
          <cell r="H2543">
            <v>45397</v>
          </cell>
          <cell r="I2543">
            <v>0.48333333333333328</v>
          </cell>
          <cell r="J2543">
            <v>34.282222222222224</v>
          </cell>
        </row>
        <row r="2544">
          <cell r="B2544">
            <v>26.38</v>
          </cell>
          <cell r="C2544">
            <v>58.18</v>
          </cell>
          <cell r="D2544">
            <v>14.88</v>
          </cell>
          <cell r="E2544">
            <v>10.47</v>
          </cell>
          <cell r="H2544">
            <v>45397</v>
          </cell>
          <cell r="I2544">
            <v>0.48666666666666664</v>
          </cell>
          <cell r="J2544">
            <v>33.092222222222219</v>
          </cell>
        </row>
        <row r="2545">
          <cell r="B2545">
            <v>28.72</v>
          </cell>
          <cell r="C2545">
            <v>59.79</v>
          </cell>
          <cell r="D2545">
            <v>13.99</v>
          </cell>
          <cell r="E2545">
            <v>9.99</v>
          </cell>
          <cell r="H2545">
            <v>45397</v>
          </cell>
          <cell r="I2545">
            <v>0.48555555555555546</v>
          </cell>
          <cell r="J2545">
            <v>31.842222222222219</v>
          </cell>
        </row>
        <row r="2546">
          <cell r="B2546">
            <v>28.33</v>
          </cell>
          <cell r="C2546">
            <v>57.67</v>
          </cell>
          <cell r="D2546">
            <v>13.28</v>
          </cell>
          <cell r="E2546">
            <v>9.8699999999999992</v>
          </cell>
          <cell r="H2546">
            <v>45398</v>
          </cell>
          <cell r="I2546">
            <v>0.48111111111111104</v>
          </cell>
          <cell r="J2546">
            <v>30.664444444444442</v>
          </cell>
        </row>
        <row r="2547">
          <cell r="B2547">
            <v>27.4</v>
          </cell>
          <cell r="C2547">
            <v>53.34</v>
          </cell>
          <cell r="D2547">
            <v>13.47</v>
          </cell>
          <cell r="E2547">
            <v>8.2200000000000006</v>
          </cell>
          <cell r="H2547">
            <v>45398</v>
          </cell>
          <cell r="I2547">
            <v>0.47333333333333333</v>
          </cell>
          <cell r="J2547">
            <v>29.354444444444443</v>
          </cell>
        </row>
        <row r="2548">
          <cell r="B2548">
            <v>24.36</v>
          </cell>
          <cell r="C2548">
            <v>47.75</v>
          </cell>
          <cell r="D2548">
            <v>12.97</v>
          </cell>
          <cell r="E2548">
            <v>7.8</v>
          </cell>
          <cell r="H2548">
            <v>45398</v>
          </cell>
          <cell r="I2548">
            <v>0.4588888888888889</v>
          </cell>
          <cell r="J2548">
            <v>28.446666666666665</v>
          </cell>
        </row>
        <row r="2549">
          <cell r="B2549">
            <v>23.07</v>
          </cell>
          <cell r="C2549">
            <v>43.05</v>
          </cell>
          <cell r="D2549">
            <v>13.1</v>
          </cell>
          <cell r="E2549">
            <v>8.07</v>
          </cell>
          <cell r="H2549">
            <v>45398</v>
          </cell>
          <cell r="I2549">
            <v>0.44777777777777783</v>
          </cell>
          <cell r="J2549">
            <v>27.583333333333332</v>
          </cell>
        </row>
        <row r="2550">
          <cell r="B2550">
            <v>24.22</v>
          </cell>
          <cell r="C2550">
            <v>43.09</v>
          </cell>
          <cell r="D2550">
            <v>13.78</v>
          </cell>
          <cell r="E2550">
            <v>8</v>
          </cell>
          <cell r="H2550">
            <v>45398</v>
          </cell>
          <cell r="I2550">
            <v>0.43888888888888888</v>
          </cell>
          <cell r="J2550">
            <v>27.234444444444442</v>
          </cell>
        </row>
        <row r="2551">
          <cell r="B2551">
            <v>23.08</v>
          </cell>
          <cell r="C2551">
            <v>46.69</v>
          </cell>
          <cell r="D2551">
            <v>15.29</v>
          </cell>
          <cell r="E2551">
            <v>7.46</v>
          </cell>
          <cell r="H2551">
            <v>45398</v>
          </cell>
          <cell r="I2551">
            <v>0.43888888888888888</v>
          </cell>
          <cell r="J2551">
            <v>26.956666666666663</v>
          </cell>
        </row>
        <row r="2552">
          <cell r="B2552">
            <v>25.08</v>
          </cell>
          <cell r="C2552">
            <v>56.94</v>
          </cell>
          <cell r="D2552">
            <v>15.5</v>
          </cell>
          <cell r="E2552">
            <v>7.84</v>
          </cell>
          <cell r="H2552">
            <v>45398</v>
          </cell>
          <cell r="I2552">
            <v>0.43999999999999995</v>
          </cell>
          <cell r="J2552">
            <v>26.383333333333333</v>
          </cell>
        </row>
        <row r="2553">
          <cell r="B2553">
            <v>33.64</v>
          </cell>
          <cell r="C2553">
            <v>80.69</v>
          </cell>
          <cell r="D2553">
            <v>15.59</v>
          </cell>
          <cell r="E2553">
            <v>8.99</v>
          </cell>
          <cell r="H2553">
            <v>45398</v>
          </cell>
          <cell r="I2553">
            <v>0.44777777777777772</v>
          </cell>
          <cell r="J2553">
            <v>26.146666666666668</v>
          </cell>
        </row>
        <row r="2554">
          <cell r="B2554">
            <v>42.39</v>
          </cell>
          <cell r="C2554">
            <v>101.27</v>
          </cell>
          <cell r="D2554">
            <v>15.69</v>
          </cell>
          <cell r="E2554">
            <v>8.59</v>
          </cell>
          <cell r="H2554">
            <v>45398</v>
          </cell>
          <cell r="I2554">
            <v>0.45666666666666661</v>
          </cell>
          <cell r="J2554">
            <v>26.334444444444443</v>
          </cell>
        </row>
        <row r="2555">
          <cell r="B2555">
            <v>36.58</v>
          </cell>
          <cell r="C2555">
            <v>90.14</v>
          </cell>
          <cell r="D2555">
            <v>16.12</v>
          </cell>
          <cell r="E2555">
            <v>8.49</v>
          </cell>
          <cell r="H2555">
            <v>45398</v>
          </cell>
          <cell r="I2555">
            <v>0.46444444444444444</v>
          </cell>
          <cell r="J2555">
            <v>27.063333333333333</v>
          </cell>
        </row>
        <row r="2556">
          <cell r="B2556">
            <v>25.77</v>
          </cell>
          <cell r="C2556">
            <v>59.93</v>
          </cell>
          <cell r="D2556">
            <v>16.59</v>
          </cell>
          <cell r="E2556">
            <v>8.4499999999999993</v>
          </cell>
          <cell r="H2556">
            <v>45398</v>
          </cell>
          <cell r="I2556">
            <v>0.47222222222222221</v>
          </cell>
          <cell r="J2556">
            <v>28.455555555555559</v>
          </cell>
        </row>
        <row r="2557">
          <cell r="B2557">
            <v>25.65</v>
          </cell>
          <cell r="C2557">
            <v>55.69</v>
          </cell>
          <cell r="D2557">
            <v>17.09</v>
          </cell>
          <cell r="E2557">
            <v>8.2799999999999994</v>
          </cell>
          <cell r="H2557">
            <v>45398</v>
          </cell>
          <cell r="I2557">
            <v>0.47888888888888892</v>
          </cell>
          <cell r="J2557">
            <v>30.490000000000002</v>
          </cell>
        </row>
        <row r="2558">
          <cell r="B2558">
            <v>28.68</v>
          </cell>
          <cell r="C2558">
            <v>67.680000000000007</v>
          </cell>
          <cell r="D2558">
            <v>15.94</v>
          </cell>
          <cell r="E2558">
            <v>7.83</v>
          </cell>
          <cell r="H2558">
            <v>45398</v>
          </cell>
          <cell r="I2558">
            <v>0.48444444444444446</v>
          </cell>
          <cell r="J2558">
            <v>32.301111111111112</v>
          </cell>
        </row>
        <row r="2559">
          <cell r="B2559">
            <v>29.4</v>
          </cell>
          <cell r="C2559">
            <v>71</v>
          </cell>
          <cell r="D2559">
            <v>15.46</v>
          </cell>
          <cell r="E2559">
            <v>8.08</v>
          </cell>
          <cell r="H2559">
            <v>45398</v>
          </cell>
          <cell r="I2559">
            <v>0.48666666666666675</v>
          </cell>
          <cell r="J2559">
            <v>34.543333333333329</v>
          </cell>
        </row>
        <row r="2560">
          <cell r="B2560">
            <v>26.4</v>
          </cell>
          <cell r="C2560">
            <v>58.39</v>
          </cell>
          <cell r="D2560">
            <v>16.07</v>
          </cell>
          <cell r="E2560">
            <v>8</v>
          </cell>
          <cell r="H2560">
            <v>45398</v>
          </cell>
          <cell r="I2560">
            <v>0.48222222222222222</v>
          </cell>
          <cell r="J2560">
            <v>36.88333333333334</v>
          </cell>
        </row>
        <row r="2561">
          <cell r="B2561">
            <v>27.98</v>
          </cell>
          <cell r="C2561">
            <v>59.18</v>
          </cell>
          <cell r="D2561">
            <v>16.010000000000002</v>
          </cell>
          <cell r="E2561">
            <v>6.92</v>
          </cell>
          <cell r="H2561">
            <v>45398</v>
          </cell>
          <cell r="I2561">
            <v>0.47333333333333338</v>
          </cell>
          <cell r="J2561">
            <v>38.871111111111112</v>
          </cell>
        </row>
        <row r="2562">
          <cell r="B2562">
            <v>29.77</v>
          </cell>
          <cell r="C2562">
            <v>62.97</v>
          </cell>
          <cell r="D2562">
            <v>15.82</v>
          </cell>
          <cell r="E2562">
            <v>6.87</v>
          </cell>
          <cell r="H2562">
            <v>45398</v>
          </cell>
          <cell r="I2562">
            <v>0.46555555555555561</v>
          </cell>
          <cell r="J2562">
            <v>40.501111111111115</v>
          </cell>
        </row>
        <row r="2563">
          <cell r="B2563">
            <v>32.909999999999997</v>
          </cell>
          <cell r="C2563">
            <v>72.790000000000006</v>
          </cell>
          <cell r="D2563">
            <v>21.95</v>
          </cell>
          <cell r="E2563">
            <v>7.17</v>
          </cell>
          <cell r="H2563">
            <v>45398</v>
          </cell>
          <cell r="I2563">
            <v>0.46000000000000008</v>
          </cell>
          <cell r="J2563">
            <v>41.843333333333334</v>
          </cell>
        </row>
        <row r="2564">
          <cell r="B2564">
            <v>34.22</v>
          </cell>
          <cell r="C2564">
            <v>86.28</v>
          </cell>
          <cell r="D2564">
            <v>14.88</v>
          </cell>
          <cell r="E2564">
            <v>7.82</v>
          </cell>
          <cell r="H2564">
            <v>45398</v>
          </cell>
          <cell r="I2564">
            <v>0.46222222222222226</v>
          </cell>
          <cell r="J2564">
            <v>42.331111111111113</v>
          </cell>
        </row>
        <row r="2565">
          <cell r="B2565">
            <v>35.700000000000003</v>
          </cell>
          <cell r="C2565">
            <v>90.72</v>
          </cell>
          <cell r="D2565">
            <v>16.260000000000002</v>
          </cell>
          <cell r="E2565">
            <v>7.91</v>
          </cell>
          <cell r="H2565">
            <v>45398</v>
          </cell>
          <cell r="I2565">
            <v>0.47000000000000003</v>
          </cell>
          <cell r="J2565">
            <v>41.599999999999994</v>
          </cell>
        </row>
        <row r="2566">
          <cell r="B2566">
            <v>33.840000000000003</v>
          </cell>
          <cell r="C2566">
            <v>81.599999999999994</v>
          </cell>
          <cell r="D2566">
            <v>16.71</v>
          </cell>
          <cell r="E2566">
            <v>7.75</v>
          </cell>
          <cell r="H2566">
            <v>45398</v>
          </cell>
          <cell r="I2566">
            <v>0.47777777777777786</v>
          </cell>
          <cell r="J2566">
            <v>39.861111111111114</v>
          </cell>
        </row>
        <row r="2567">
          <cell r="B2567">
            <v>34.409999999999997</v>
          </cell>
          <cell r="C2567">
            <v>84.69</v>
          </cell>
          <cell r="D2567">
            <v>15.07</v>
          </cell>
          <cell r="E2567">
            <v>7.66</v>
          </cell>
          <cell r="H2567">
            <v>45398</v>
          </cell>
          <cell r="I2567">
            <v>0.48222222222222222</v>
          </cell>
          <cell r="J2567">
            <v>38.418888888888887</v>
          </cell>
        </row>
        <row r="2568">
          <cell r="B2568">
            <v>60.68</v>
          </cell>
          <cell r="C2568">
            <v>102.08</v>
          </cell>
          <cell r="D2568">
            <v>13.93</v>
          </cell>
          <cell r="E2568">
            <v>9.18</v>
          </cell>
          <cell r="H2568">
            <v>45398</v>
          </cell>
          <cell r="I2568">
            <v>0.4811111111111111</v>
          </cell>
          <cell r="J2568">
            <v>36.599999999999994</v>
          </cell>
        </row>
        <row r="2569">
          <cell r="B2569">
            <v>85.34</v>
          </cell>
          <cell r="C2569">
            <v>127.51</v>
          </cell>
          <cell r="D2569">
            <v>12.99</v>
          </cell>
          <cell r="E2569">
            <v>11.09</v>
          </cell>
          <cell r="H2569">
            <v>45398</v>
          </cell>
          <cell r="I2569">
            <v>0.4744444444444445</v>
          </cell>
          <cell r="J2569">
            <v>35.024444444444441</v>
          </cell>
        </row>
        <row r="2570">
          <cell r="B2570">
            <v>50.52</v>
          </cell>
          <cell r="C2570">
            <v>96.01</v>
          </cell>
          <cell r="D2570">
            <v>12.76</v>
          </cell>
          <cell r="E2570">
            <v>10.44</v>
          </cell>
          <cell r="H2570">
            <v>45399</v>
          </cell>
          <cell r="I2570">
            <v>0.47000000000000003</v>
          </cell>
          <cell r="J2570">
            <v>34.025555555555549</v>
          </cell>
        </row>
        <row r="2571">
          <cell r="B2571">
            <v>46.05</v>
          </cell>
          <cell r="C2571">
            <v>98.06</v>
          </cell>
          <cell r="D2571">
            <v>12.36</v>
          </cell>
          <cell r="E2571">
            <v>9.17</v>
          </cell>
          <cell r="H2571">
            <v>45399</v>
          </cell>
          <cell r="I2571">
            <v>0.46111111111111114</v>
          </cell>
          <cell r="J2571">
            <v>32.961111111111109</v>
          </cell>
        </row>
        <row r="2572">
          <cell r="B2572">
            <v>41.52</v>
          </cell>
          <cell r="C2572">
            <v>94.43</v>
          </cell>
          <cell r="D2572">
            <v>12.16</v>
          </cell>
          <cell r="E2572">
            <v>8.65</v>
          </cell>
          <cell r="H2572">
            <v>45399</v>
          </cell>
          <cell r="I2572">
            <v>0.45444444444444443</v>
          </cell>
          <cell r="J2572">
            <v>31.671111111111113</v>
          </cell>
        </row>
        <row r="2573">
          <cell r="B2573">
            <v>58.51</v>
          </cell>
          <cell r="C2573">
            <v>143.4</v>
          </cell>
          <cell r="D2573">
            <v>12.07</v>
          </cell>
          <cell r="E2573">
            <v>8.7200000000000006</v>
          </cell>
          <cell r="H2573">
            <v>45399</v>
          </cell>
          <cell r="I2573">
            <v>0.44444444444444442</v>
          </cell>
          <cell r="J2573">
            <v>30.616666666666667</v>
          </cell>
        </row>
        <row r="2574">
          <cell r="B2574">
            <v>42.84</v>
          </cell>
          <cell r="C2574">
            <v>95.05</v>
          </cell>
          <cell r="D2574">
            <v>12.16</v>
          </cell>
          <cell r="E2574">
            <v>8.59</v>
          </cell>
          <cell r="H2574">
            <v>45399</v>
          </cell>
          <cell r="I2574">
            <v>0.43111111111111117</v>
          </cell>
          <cell r="J2574">
            <v>30.04111111111111</v>
          </cell>
        </row>
        <row r="2575">
          <cell r="B2575">
            <v>44.01</v>
          </cell>
          <cell r="C2575">
            <v>116.32</v>
          </cell>
          <cell r="D2575">
            <v>12.6</v>
          </cell>
          <cell r="E2575">
            <v>8.69</v>
          </cell>
          <cell r="H2575">
            <v>45399</v>
          </cell>
          <cell r="I2575">
            <v>0.42555555555555558</v>
          </cell>
          <cell r="J2575">
            <v>29.352222222222224</v>
          </cell>
        </row>
        <row r="2576">
          <cell r="B2576">
            <v>48.54</v>
          </cell>
          <cell r="C2576">
            <v>85.64</v>
          </cell>
          <cell r="D2576">
            <v>12.78</v>
          </cell>
          <cell r="E2576">
            <v>8.27</v>
          </cell>
          <cell r="H2576">
            <v>45399</v>
          </cell>
          <cell r="I2576">
            <v>0.4244444444444444</v>
          </cell>
          <cell r="J2576">
            <v>28.462222222222223</v>
          </cell>
        </row>
        <row r="2577">
          <cell r="B2577">
            <v>42.42</v>
          </cell>
          <cell r="C2577">
            <v>96.21</v>
          </cell>
          <cell r="D2577">
            <v>12.81</v>
          </cell>
          <cell r="E2577">
            <v>7.89</v>
          </cell>
          <cell r="H2577">
            <v>45399</v>
          </cell>
          <cell r="I2577">
            <v>0.42888888888888893</v>
          </cell>
          <cell r="J2577">
            <v>27.706666666666663</v>
          </cell>
        </row>
        <row r="2578">
          <cell r="B2578">
            <v>39.19</v>
          </cell>
          <cell r="C2578">
            <v>91.94</v>
          </cell>
          <cell r="D2578">
            <v>12.79</v>
          </cell>
          <cell r="E2578">
            <v>7.61</v>
          </cell>
          <cell r="H2578">
            <v>45399</v>
          </cell>
          <cell r="I2578">
            <v>0.4366666666666667</v>
          </cell>
          <cell r="J2578">
            <v>27.042222222222222</v>
          </cell>
        </row>
        <row r="2579">
          <cell r="B2579">
            <v>37.119999999999997</v>
          </cell>
          <cell r="C2579">
            <v>72.91</v>
          </cell>
          <cell r="D2579">
            <v>12.76</v>
          </cell>
          <cell r="E2579">
            <v>7.82</v>
          </cell>
          <cell r="H2579">
            <v>45399</v>
          </cell>
          <cell r="I2579">
            <v>0.44222222222222224</v>
          </cell>
          <cell r="J2579">
            <v>27.008888888888887</v>
          </cell>
        </row>
        <row r="2580">
          <cell r="B2580">
            <v>31.8</v>
          </cell>
          <cell r="C2580">
            <v>71.47</v>
          </cell>
          <cell r="D2580">
            <v>13.13</v>
          </cell>
          <cell r="E2580">
            <v>7.82</v>
          </cell>
          <cell r="H2580">
            <v>45399</v>
          </cell>
          <cell r="I2580">
            <v>0.44666666666666671</v>
          </cell>
          <cell r="J2580">
            <v>27.202222222222222</v>
          </cell>
        </row>
        <row r="2581">
          <cell r="B2581">
            <v>35.950000000000003</v>
          </cell>
          <cell r="C2581">
            <v>76.41</v>
          </cell>
          <cell r="D2581">
            <v>16.440000000000001</v>
          </cell>
          <cell r="E2581">
            <v>7.83</v>
          </cell>
          <cell r="H2581">
            <v>45399</v>
          </cell>
          <cell r="I2581">
            <v>0.4588888888888889</v>
          </cell>
          <cell r="J2581">
            <v>27.58</v>
          </cell>
        </row>
        <row r="2582">
          <cell r="B2582">
            <v>42.23</v>
          </cell>
          <cell r="C2582">
            <v>89.54</v>
          </cell>
          <cell r="D2582">
            <v>17.489999999999998</v>
          </cell>
          <cell r="E2582">
            <v>7.29</v>
          </cell>
          <cell r="H2582">
            <v>45399</v>
          </cell>
          <cell r="I2582">
            <v>0.47111111111111115</v>
          </cell>
          <cell r="J2582">
            <v>29.61333333333333</v>
          </cell>
        </row>
        <row r="2583">
          <cell r="B2583">
            <v>40.29</v>
          </cell>
          <cell r="C2583">
            <v>93.28</v>
          </cell>
          <cell r="D2583">
            <v>13.56</v>
          </cell>
          <cell r="E2583">
            <v>7.93</v>
          </cell>
          <cell r="H2583">
            <v>45399</v>
          </cell>
          <cell r="I2583">
            <v>0.48777777777777787</v>
          </cell>
          <cell r="J2583">
            <v>31.726666666666663</v>
          </cell>
        </row>
        <row r="2584">
          <cell r="B2584">
            <v>67.17</v>
          </cell>
          <cell r="C2584">
            <v>82.83</v>
          </cell>
          <cell r="D2584">
            <v>12.87</v>
          </cell>
          <cell r="E2584">
            <v>8.65</v>
          </cell>
          <cell r="H2584">
            <v>45399</v>
          </cell>
          <cell r="I2584">
            <v>0.50222222222222213</v>
          </cell>
          <cell r="J2584">
            <v>33.224444444444444</v>
          </cell>
        </row>
        <row r="2585">
          <cell r="B2585">
            <v>41.17</v>
          </cell>
          <cell r="C2585">
            <v>81.290000000000006</v>
          </cell>
          <cell r="D2585">
            <v>13.33</v>
          </cell>
          <cell r="E2585">
            <v>7.91</v>
          </cell>
          <cell r="H2585">
            <v>45399</v>
          </cell>
          <cell r="I2585">
            <v>0.50888888888888884</v>
          </cell>
          <cell r="J2585">
            <v>34.785555555555554</v>
          </cell>
        </row>
        <row r="2586">
          <cell r="B2586">
            <v>34.64</v>
          </cell>
          <cell r="C2586">
            <v>81.53</v>
          </cell>
          <cell r="D2586">
            <v>13.12</v>
          </cell>
          <cell r="E2586">
            <v>6.95</v>
          </cell>
          <cell r="H2586">
            <v>45399</v>
          </cell>
          <cell r="I2586">
            <v>0.51555555555555554</v>
          </cell>
          <cell r="J2586">
            <v>36.395555555555553</v>
          </cell>
        </row>
        <row r="2587">
          <cell r="B2587">
            <v>39.43</v>
          </cell>
          <cell r="C2587">
            <v>90.75</v>
          </cell>
          <cell r="D2587">
            <v>13.25</v>
          </cell>
          <cell r="E2587">
            <v>6.57</v>
          </cell>
          <cell r="H2587">
            <v>45399</v>
          </cell>
          <cell r="I2587">
            <v>0.52555555555555555</v>
          </cell>
          <cell r="J2587">
            <v>37.484444444444449</v>
          </cell>
        </row>
        <row r="2588">
          <cell r="B2588">
            <v>46.9</v>
          </cell>
          <cell r="C2588">
            <v>105.35</v>
          </cell>
          <cell r="D2588">
            <v>15.11</v>
          </cell>
          <cell r="E2588">
            <v>7.24</v>
          </cell>
          <cell r="H2588">
            <v>45399</v>
          </cell>
          <cell r="I2588">
            <v>0.54888888888888898</v>
          </cell>
          <cell r="J2588">
            <v>37.708888888888886</v>
          </cell>
        </row>
        <row r="2589">
          <cell r="B2589">
            <v>49.31</v>
          </cell>
          <cell r="C2589">
            <v>130.81</v>
          </cell>
          <cell r="D2589">
            <v>17.57</v>
          </cell>
          <cell r="E2589">
            <v>7.7</v>
          </cell>
          <cell r="H2589">
            <v>45399</v>
          </cell>
          <cell r="I2589">
            <v>0.58888888888888891</v>
          </cell>
          <cell r="J2589">
            <v>37.256666666666668</v>
          </cell>
        </row>
        <row r="2590">
          <cell r="B2590">
            <v>50.7</v>
          </cell>
          <cell r="C2590">
            <v>132.16</v>
          </cell>
          <cell r="D2590">
            <v>18.46</v>
          </cell>
          <cell r="E2590">
            <v>7.26</v>
          </cell>
          <cell r="H2590">
            <v>45399</v>
          </cell>
          <cell r="I2590">
            <v>0.64333333333333331</v>
          </cell>
          <cell r="J2590">
            <v>36.427777777777777</v>
          </cell>
        </row>
        <row r="2591">
          <cell r="B2591">
            <v>63.57</v>
          </cell>
          <cell r="C2591">
            <v>119.01</v>
          </cell>
          <cell r="D2591">
            <v>17.010000000000002</v>
          </cell>
          <cell r="E2591">
            <v>6.98</v>
          </cell>
          <cell r="H2591">
            <v>45399</v>
          </cell>
          <cell r="I2591">
            <v>0.66555555555555546</v>
          </cell>
          <cell r="J2591">
            <v>34.258888888888897</v>
          </cell>
        </row>
        <row r="2592">
          <cell r="B2592">
            <v>58.18</v>
          </cell>
          <cell r="C2592">
            <v>131.38999999999999</v>
          </cell>
          <cell r="D2592">
            <v>14.3</v>
          </cell>
          <cell r="E2592">
            <v>7.17</v>
          </cell>
          <cell r="H2592">
            <v>45399</v>
          </cell>
          <cell r="I2592">
            <v>0.6644444444444445</v>
          </cell>
          <cell r="J2592">
            <v>32.200000000000003</v>
          </cell>
        </row>
        <row r="2593">
          <cell r="B2593">
            <v>52.52</v>
          </cell>
          <cell r="C2593">
            <v>103.27</v>
          </cell>
          <cell r="D2593">
            <v>13.91</v>
          </cell>
          <cell r="E2593">
            <v>7.54</v>
          </cell>
          <cell r="H2593">
            <v>45399</v>
          </cell>
          <cell r="I2593">
            <v>0.65555555555555556</v>
          </cell>
          <cell r="J2593">
            <v>31.103333333333328</v>
          </cell>
        </row>
        <row r="2594">
          <cell r="B2594">
            <v>45.41</v>
          </cell>
          <cell r="C2594">
            <v>93.96</v>
          </cell>
          <cell r="D2594">
            <v>12.42</v>
          </cell>
          <cell r="E2594">
            <v>6.95</v>
          </cell>
          <cell r="H2594">
            <v>45400</v>
          </cell>
          <cell r="I2594">
            <v>0.6433333333333332</v>
          </cell>
          <cell r="J2594">
            <v>29.841111111111111</v>
          </cell>
        </row>
        <row r="2595">
          <cell r="B2595">
            <v>52.06</v>
          </cell>
          <cell r="C2595">
            <v>107.85</v>
          </cell>
          <cell r="D2595">
            <v>12.1</v>
          </cell>
          <cell r="E2595">
            <v>7.16</v>
          </cell>
          <cell r="H2595">
            <v>45400</v>
          </cell>
          <cell r="I2595">
            <v>0.63555555555555543</v>
          </cell>
          <cell r="J2595">
            <v>28.024444444444441</v>
          </cell>
        </row>
        <row r="2596">
          <cell r="B2596">
            <v>51.3</v>
          </cell>
          <cell r="C2596">
            <v>108.03</v>
          </cell>
          <cell r="D2596">
            <v>11.79</v>
          </cell>
          <cell r="E2596">
            <v>7.07</v>
          </cell>
          <cell r="H2596">
            <v>45400</v>
          </cell>
          <cell r="I2596">
            <v>0.61888888888888893</v>
          </cell>
          <cell r="J2596">
            <v>26.577777777777779</v>
          </cell>
        </row>
        <row r="2597">
          <cell r="B2597">
            <v>39.67</v>
          </cell>
          <cell r="C2597">
            <v>86.09</v>
          </cell>
          <cell r="D2597">
            <v>12.05</v>
          </cell>
          <cell r="E2597">
            <v>7.25</v>
          </cell>
          <cell r="H2597">
            <v>45400</v>
          </cell>
          <cell r="I2597">
            <v>0.59111111111111114</v>
          </cell>
          <cell r="J2597">
            <v>25.304444444444446</v>
          </cell>
        </row>
        <row r="2598">
          <cell r="B2598">
            <v>33.909999999999997</v>
          </cell>
          <cell r="C2598">
            <v>100.74</v>
          </cell>
          <cell r="D2598">
            <v>12.68</v>
          </cell>
          <cell r="E2598">
            <v>7.1</v>
          </cell>
          <cell r="H2598">
            <v>45400</v>
          </cell>
          <cell r="I2598">
            <v>0.55444444444444452</v>
          </cell>
          <cell r="J2598">
            <v>24.52</v>
          </cell>
        </row>
        <row r="2599">
          <cell r="B2599">
            <v>47.99</v>
          </cell>
          <cell r="C2599">
            <v>87.49</v>
          </cell>
          <cell r="D2599">
            <v>12.71</v>
          </cell>
          <cell r="E2599">
            <v>7.07</v>
          </cell>
          <cell r="H2599">
            <v>45400</v>
          </cell>
          <cell r="I2599">
            <v>0.49777777777777782</v>
          </cell>
          <cell r="J2599">
            <v>24.15111111111111</v>
          </cell>
        </row>
        <row r="2600">
          <cell r="B2600">
            <v>32.909999999999997</v>
          </cell>
          <cell r="C2600">
            <v>76.92</v>
          </cell>
          <cell r="D2600">
            <v>13.48</v>
          </cell>
          <cell r="E2600">
            <v>7.48</v>
          </cell>
          <cell r="H2600">
            <v>45400</v>
          </cell>
          <cell r="I2600">
            <v>0.47888888888888892</v>
          </cell>
          <cell r="J2600">
            <v>23.588888888888889</v>
          </cell>
        </row>
        <row r="2601">
          <cell r="B2601">
            <v>33.950000000000003</v>
          </cell>
          <cell r="C2601">
            <v>98.88</v>
          </cell>
          <cell r="D2601">
            <v>13.56</v>
          </cell>
          <cell r="E2601">
            <v>7.9</v>
          </cell>
          <cell r="H2601">
            <v>45400</v>
          </cell>
          <cell r="I2601">
            <v>0.4811111111111111</v>
          </cell>
          <cell r="J2601">
            <v>23.032222222222217</v>
          </cell>
        </row>
        <row r="2602">
          <cell r="B2602">
            <v>37.729999999999997</v>
          </cell>
          <cell r="C2602">
            <v>84.01</v>
          </cell>
          <cell r="D2602">
            <v>14.3</v>
          </cell>
          <cell r="E2602">
            <v>7.49</v>
          </cell>
          <cell r="H2602">
            <v>45400</v>
          </cell>
          <cell r="I2602">
            <v>0.4844444444444444</v>
          </cell>
          <cell r="J2602">
            <v>22.633333333333333</v>
          </cell>
        </row>
        <row r="2603">
          <cell r="B2603">
            <v>37.31</v>
          </cell>
          <cell r="C2603">
            <v>81.59</v>
          </cell>
          <cell r="D2603">
            <v>15.44</v>
          </cell>
          <cell r="E2603">
            <v>7.1</v>
          </cell>
          <cell r="H2603">
            <v>45400</v>
          </cell>
          <cell r="I2603">
            <v>0.49888888888888894</v>
          </cell>
          <cell r="J2603">
            <v>22.616666666666664</v>
          </cell>
        </row>
        <row r="2604">
          <cell r="B2604">
            <v>37</v>
          </cell>
          <cell r="C2604">
            <v>80.36</v>
          </cell>
          <cell r="D2604">
            <v>15.61</v>
          </cell>
          <cell r="E2604">
            <v>7.01</v>
          </cell>
          <cell r="H2604">
            <v>45400</v>
          </cell>
          <cell r="I2604">
            <v>0.5066666666666666</v>
          </cell>
          <cell r="J2604">
            <v>23.415555555555557</v>
          </cell>
        </row>
        <row r="2605">
          <cell r="B2605">
            <v>40.229999999999997</v>
          </cell>
          <cell r="C2605">
            <v>82.67</v>
          </cell>
          <cell r="D2605">
            <v>16.41</v>
          </cell>
          <cell r="E2605">
            <v>7.35</v>
          </cell>
          <cell r="H2605">
            <v>45400</v>
          </cell>
          <cell r="I2605">
            <v>0.5277777777777779</v>
          </cell>
          <cell r="J2605">
            <v>24.764444444444443</v>
          </cell>
        </row>
        <row r="2606">
          <cell r="B2606">
            <v>47.84</v>
          </cell>
          <cell r="C2606">
            <v>89.28</v>
          </cell>
          <cell r="D2606">
            <v>16.579999999999998</v>
          </cell>
          <cell r="E2606">
            <v>7.78</v>
          </cell>
          <cell r="H2606">
            <v>45400</v>
          </cell>
          <cell r="I2606">
            <v>0.54555555555555568</v>
          </cell>
          <cell r="J2606">
            <v>26.373333333333328</v>
          </cell>
        </row>
        <row r="2607">
          <cell r="B2607">
            <v>40.75</v>
          </cell>
          <cell r="C2607">
            <v>89.62</v>
          </cell>
          <cell r="D2607">
            <v>15.01</v>
          </cell>
          <cell r="E2607">
            <v>8.51</v>
          </cell>
          <cell r="H2607">
            <v>45400</v>
          </cell>
          <cell r="I2607">
            <v>0.55444444444444452</v>
          </cell>
          <cell r="J2607">
            <v>28.117777777777771</v>
          </cell>
        </row>
        <row r="2608">
          <cell r="B2608">
            <v>47.4</v>
          </cell>
          <cell r="C2608">
            <v>92.06</v>
          </cell>
          <cell r="D2608">
            <v>15.09</v>
          </cell>
          <cell r="E2608">
            <v>8.33</v>
          </cell>
          <cell r="H2608">
            <v>45400</v>
          </cell>
          <cell r="I2608">
            <v>0.56111111111111112</v>
          </cell>
          <cell r="J2608">
            <v>29.387777777777771</v>
          </cell>
        </row>
        <row r="2609">
          <cell r="B2609">
            <v>47.06</v>
          </cell>
          <cell r="C2609">
            <v>88.7</v>
          </cell>
          <cell r="D2609">
            <v>13.73</v>
          </cell>
          <cell r="E2609">
            <v>8.1199999999999992</v>
          </cell>
          <cell r="H2609">
            <v>45400</v>
          </cell>
          <cell r="I2609">
            <v>0.56111111111111112</v>
          </cell>
          <cell r="J2609">
            <v>30.578888888888887</v>
          </cell>
        </row>
        <row r="2610">
          <cell r="B2610">
            <v>39.83</v>
          </cell>
          <cell r="C2610">
            <v>86.12</v>
          </cell>
          <cell r="D2610">
            <v>13.93</v>
          </cell>
          <cell r="E2610">
            <v>8.3000000000000007</v>
          </cell>
          <cell r="H2610">
            <v>45400</v>
          </cell>
          <cell r="I2610">
            <v>0.55555555555555558</v>
          </cell>
          <cell r="J2610">
            <v>32.156666666666666</v>
          </cell>
        </row>
        <row r="2611">
          <cell r="B2611">
            <v>42.7</v>
          </cell>
          <cell r="C2611">
            <v>87.94</v>
          </cell>
          <cell r="D2611">
            <v>14.3</v>
          </cell>
          <cell r="E2611">
            <v>7.89</v>
          </cell>
          <cell r="H2611">
            <v>45400</v>
          </cell>
          <cell r="I2611">
            <v>0.55333333333333334</v>
          </cell>
          <cell r="J2611">
            <v>33.135555555555555</v>
          </cell>
        </row>
        <row r="2612">
          <cell r="B2612">
            <v>45.04</v>
          </cell>
          <cell r="C2612">
            <v>99.23</v>
          </cell>
          <cell r="D2612">
            <v>16.23</v>
          </cell>
          <cell r="E2612">
            <v>8.39</v>
          </cell>
          <cell r="H2612">
            <v>45400</v>
          </cell>
          <cell r="I2612">
            <v>0.56000000000000005</v>
          </cell>
          <cell r="J2612">
            <v>33.767777777777781</v>
          </cell>
        </row>
        <row r="2613">
          <cell r="B2613">
            <v>46.5</v>
          </cell>
          <cell r="C2613">
            <v>100.47</v>
          </cell>
          <cell r="D2613">
            <v>16.87</v>
          </cell>
          <cell r="E2613">
            <v>7.87</v>
          </cell>
          <cell r="H2613">
            <v>45400</v>
          </cell>
          <cell r="I2613">
            <v>0.57555555555555549</v>
          </cell>
          <cell r="J2613">
            <v>33.791111111111114</v>
          </cell>
        </row>
        <row r="2614">
          <cell r="B2614">
            <v>44.17</v>
          </cell>
          <cell r="C2614">
            <v>102.44</v>
          </cell>
          <cell r="D2614">
            <v>17.670000000000002</v>
          </cell>
          <cell r="E2614">
            <v>7.28</v>
          </cell>
          <cell r="H2614">
            <v>45400</v>
          </cell>
          <cell r="I2614">
            <v>0.58777777777777773</v>
          </cell>
          <cell r="J2614">
            <v>33.156666666666666</v>
          </cell>
        </row>
        <row r="2615">
          <cell r="B2615">
            <v>48.59</v>
          </cell>
          <cell r="C2615">
            <v>106.64</v>
          </cell>
          <cell r="D2615">
            <v>15.74</v>
          </cell>
          <cell r="E2615">
            <v>6.91</v>
          </cell>
          <cell r="H2615">
            <v>45400</v>
          </cell>
          <cell r="I2615">
            <v>0.59</v>
          </cell>
          <cell r="J2615">
            <v>32.268888888888881</v>
          </cell>
        </row>
        <row r="2616">
          <cell r="B2616">
            <v>46.53</v>
          </cell>
          <cell r="C2616">
            <v>101.56</v>
          </cell>
          <cell r="D2616">
            <v>13.12</v>
          </cell>
          <cell r="E2616">
            <v>6.8</v>
          </cell>
          <cell r="H2616">
            <v>45400</v>
          </cell>
          <cell r="I2616">
            <v>0.58777777777777784</v>
          </cell>
          <cell r="J2616">
            <v>31.284444444444439</v>
          </cell>
        </row>
        <row r="2617">
          <cell r="B2617">
            <v>76.56</v>
          </cell>
          <cell r="C2617">
            <v>115.87</v>
          </cell>
          <cell r="D2617">
            <v>12.75</v>
          </cell>
          <cell r="E2617">
            <v>6.7</v>
          </cell>
          <cell r="H2617">
            <v>45400</v>
          </cell>
          <cell r="I2617">
            <v>0.58111111111111113</v>
          </cell>
          <cell r="J2617">
            <v>30.544444444444441</v>
          </cell>
        </row>
        <row r="2618">
          <cell r="B2618">
            <v>95.53</v>
          </cell>
          <cell r="C2618">
            <v>79.59</v>
          </cell>
          <cell r="D2618">
            <v>12.2</v>
          </cell>
          <cell r="E2618">
            <v>6.3</v>
          </cell>
          <cell r="H2618">
            <v>45401</v>
          </cell>
          <cell r="I2618">
            <v>0.57444444444444442</v>
          </cell>
          <cell r="J2618">
            <v>29.705555555555559</v>
          </cell>
        </row>
        <row r="2619">
          <cell r="B2619">
            <v>40.6</v>
          </cell>
          <cell r="C2619">
            <v>71.7</v>
          </cell>
          <cell r="D2619">
            <v>12</v>
          </cell>
          <cell r="E2619">
            <v>6.7</v>
          </cell>
          <cell r="H2619">
            <v>45401</v>
          </cell>
          <cell r="I2619">
            <v>0.56888888888888878</v>
          </cell>
          <cell r="J2619">
            <v>28.353333333333335</v>
          </cell>
        </row>
        <row r="2620">
          <cell r="B2620">
            <v>33.35</v>
          </cell>
          <cell r="C2620">
            <v>63.54</v>
          </cell>
          <cell r="D2620">
            <v>11.61</v>
          </cell>
          <cell r="E2620">
            <v>6.51</v>
          </cell>
          <cell r="H2620">
            <v>45401</v>
          </cell>
          <cell r="I2620">
            <v>0.56000000000000005</v>
          </cell>
          <cell r="J2620">
            <v>27.311111111111114</v>
          </cell>
        </row>
        <row r="2621">
          <cell r="B2621">
            <v>35.840000000000003</v>
          </cell>
          <cell r="C2621">
            <v>63.36</v>
          </cell>
          <cell r="D2621">
            <v>11.41</v>
          </cell>
          <cell r="E2621">
            <v>6.93</v>
          </cell>
          <cell r="H2621">
            <v>45401</v>
          </cell>
          <cell r="I2621">
            <v>0.54555555555555557</v>
          </cell>
          <cell r="J2621">
            <v>26.38</v>
          </cell>
        </row>
        <row r="2622">
          <cell r="B2622">
            <v>33.43</v>
          </cell>
          <cell r="C2622">
            <v>61.06</v>
          </cell>
          <cell r="D2622">
            <v>11.51</v>
          </cell>
          <cell r="E2622">
            <v>7.65</v>
          </cell>
          <cell r="H2622">
            <v>45401</v>
          </cell>
          <cell r="I2622">
            <v>0.52555555555555555</v>
          </cell>
          <cell r="J2622">
            <v>25.591111111111111</v>
          </cell>
        </row>
        <row r="2623">
          <cell r="B2623">
            <v>28.61</v>
          </cell>
          <cell r="C2623">
            <v>60.16</v>
          </cell>
          <cell r="D2623">
            <v>11.52</v>
          </cell>
          <cell r="E2623">
            <v>7.76</v>
          </cell>
          <cell r="H2623">
            <v>45401</v>
          </cell>
          <cell r="I2623">
            <v>0.50444444444444447</v>
          </cell>
          <cell r="J2623">
            <v>24.822222222222223</v>
          </cell>
        </row>
        <row r="2624">
          <cell r="B2624">
            <v>30.57</v>
          </cell>
          <cell r="C2624">
            <v>59.05</v>
          </cell>
          <cell r="D2624">
            <v>11.91</v>
          </cell>
          <cell r="E2624">
            <v>7.77</v>
          </cell>
          <cell r="H2624">
            <v>45401</v>
          </cell>
          <cell r="I2624">
            <v>0.49777777777777782</v>
          </cell>
          <cell r="J2624">
            <v>24.062222222222218</v>
          </cell>
        </row>
        <row r="2625">
          <cell r="B2625">
            <v>31.35</v>
          </cell>
          <cell r="C2625">
            <v>65.69</v>
          </cell>
          <cell r="D2625">
            <v>11.31</v>
          </cell>
          <cell r="E2625">
            <v>7.31</v>
          </cell>
          <cell r="H2625">
            <v>45401</v>
          </cell>
          <cell r="I2625">
            <v>0.49666666666666665</v>
          </cell>
          <cell r="J2625">
            <v>23.308888888888887</v>
          </cell>
        </row>
        <row r="2626">
          <cell r="B2626">
            <v>29.34</v>
          </cell>
          <cell r="C2626">
            <v>69.14</v>
          </cell>
          <cell r="D2626">
            <v>11.47</v>
          </cell>
          <cell r="E2626">
            <v>7.1</v>
          </cell>
          <cell r="H2626">
            <v>45401</v>
          </cell>
          <cell r="I2626">
            <v>0.49888888888888894</v>
          </cell>
          <cell r="J2626">
            <v>22.88111111111111</v>
          </cell>
        </row>
        <row r="2627">
          <cell r="B2627">
            <v>31.42</v>
          </cell>
          <cell r="C2627">
            <v>71.040000000000006</v>
          </cell>
          <cell r="D2627">
            <v>12.79</v>
          </cell>
          <cell r="E2627">
            <v>7.08</v>
          </cell>
          <cell r="H2627">
            <v>45401</v>
          </cell>
          <cell r="I2627">
            <v>0.50222222222222213</v>
          </cell>
          <cell r="J2627">
            <v>23.004444444444442</v>
          </cell>
        </row>
        <row r="2628">
          <cell r="B2628">
            <v>31.5</v>
          </cell>
          <cell r="C2628">
            <v>72.709999999999994</v>
          </cell>
          <cell r="D2628">
            <v>14.08</v>
          </cell>
          <cell r="E2628">
            <v>6.17</v>
          </cell>
          <cell r="H2628">
            <v>45401</v>
          </cell>
          <cell r="I2628">
            <v>0.50888888888888884</v>
          </cell>
          <cell r="J2628">
            <v>23.504444444444445</v>
          </cell>
        </row>
        <row r="2629">
          <cell r="B2629">
            <v>39.01</v>
          </cell>
          <cell r="C2629">
            <v>77.84</v>
          </cell>
          <cell r="D2629">
            <v>56.39</v>
          </cell>
          <cell r="E2629">
            <v>8.64</v>
          </cell>
          <cell r="H2629">
            <v>45401</v>
          </cell>
          <cell r="I2629">
            <v>0.51555555555555566</v>
          </cell>
          <cell r="J2629">
            <v>24.598888888888887</v>
          </cell>
        </row>
        <row r="2630">
          <cell r="B2630">
            <v>38.93</v>
          </cell>
          <cell r="C2630">
            <v>81.93</v>
          </cell>
          <cell r="D2630">
            <v>12.88</v>
          </cell>
          <cell r="E2630">
            <v>8.7799999999999994</v>
          </cell>
          <cell r="H2630">
            <v>45401</v>
          </cell>
          <cell r="I2630">
            <v>0.52</v>
          </cell>
          <cell r="J2630">
            <v>26.126666666666669</v>
          </cell>
        </row>
        <row r="2631">
          <cell r="B2631">
            <v>41.88</v>
          </cell>
          <cell r="C2631">
            <v>93.99</v>
          </cell>
          <cell r="D2631">
            <v>12.45</v>
          </cell>
          <cell r="E2631">
            <v>9.56</v>
          </cell>
          <cell r="H2631">
            <v>45401</v>
          </cell>
          <cell r="I2631">
            <v>0.52444444444444449</v>
          </cell>
          <cell r="J2631">
            <v>29.155555555555559</v>
          </cell>
        </row>
        <row r="2632">
          <cell r="B2632">
            <v>46.53</v>
          </cell>
          <cell r="C2632">
            <v>89.87</v>
          </cell>
          <cell r="D2632">
            <v>14.34</v>
          </cell>
          <cell r="E2632">
            <v>9.93</v>
          </cell>
          <cell r="H2632">
            <v>45401</v>
          </cell>
          <cell r="I2632">
            <v>0.52666666666666673</v>
          </cell>
          <cell r="J2632">
            <v>32.617777777777775</v>
          </cell>
        </row>
        <row r="2633">
          <cell r="B2633">
            <v>46.95</v>
          </cell>
          <cell r="C2633">
            <v>93.83</v>
          </cell>
          <cell r="D2633">
            <v>15.71</v>
          </cell>
          <cell r="E2633">
            <v>9.83</v>
          </cell>
          <cell r="H2633">
            <v>45401</v>
          </cell>
          <cell r="I2633">
            <v>0.52999999999999992</v>
          </cell>
          <cell r="J2633">
            <v>35.380000000000003</v>
          </cell>
        </row>
        <row r="2634">
          <cell r="B2634">
            <v>48.39</v>
          </cell>
          <cell r="C2634">
            <v>99.16</v>
          </cell>
          <cell r="D2634">
            <v>13.68</v>
          </cell>
          <cell r="E2634">
            <v>9.39</v>
          </cell>
          <cell r="H2634">
            <v>45401</v>
          </cell>
          <cell r="I2634">
            <v>0.53111111111111109</v>
          </cell>
          <cell r="J2634">
            <v>37.302222222222227</v>
          </cell>
        </row>
        <row r="2635">
          <cell r="B2635">
            <v>47.82</v>
          </cell>
          <cell r="C2635">
            <v>112.29</v>
          </cell>
          <cell r="D2635">
            <v>13.55</v>
          </cell>
          <cell r="E2635">
            <v>10.29</v>
          </cell>
          <cell r="H2635">
            <v>45401</v>
          </cell>
          <cell r="I2635">
            <v>0.51888888888888884</v>
          </cell>
          <cell r="J2635">
            <v>38.675555555555555</v>
          </cell>
        </row>
        <row r="2636">
          <cell r="B2636">
            <v>49.16</v>
          </cell>
          <cell r="C2636">
            <v>132.19999999999999</v>
          </cell>
          <cell r="D2636">
            <v>14.1</v>
          </cell>
          <cell r="E2636">
            <v>9.7799999999999994</v>
          </cell>
          <cell r="H2636">
            <v>45401</v>
          </cell>
          <cell r="I2636">
            <v>0.51888888888888884</v>
          </cell>
          <cell r="J2636">
            <v>39.24111111111111</v>
          </cell>
        </row>
        <row r="2637">
          <cell r="B2637">
            <v>48.23</v>
          </cell>
          <cell r="C2637">
            <v>117.95</v>
          </cell>
          <cell r="D2637">
            <v>16.48</v>
          </cell>
          <cell r="E2637">
            <v>10.27</v>
          </cell>
          <cell r="H2637">
            <v>45401</v>
          </cell>
          <cell r="I2637">
            <v>0.52888888888888896</v>
          </cell>
          <cell r="J2637">
            <v>39.163333333333334</v>
          </cell>
        </row>
        <row r="2638">
          <cell r="B2638">
            <v>48.21</v>
          </cell>
          <cell r="C2638">
            <v>115.31</v>
          </cell>
          <cell r="D2638">
            <v>16.68</v>
          </cell>
          <cell r="E2638">
            <v>9.8000000000000007</v>
          </cell>
          <cell r="H2638">
            <v>45401</v>
          </cell>
          <cell r="I2638">
            <v>0.55333333333333334</v>
          </cell>
          <cell r="J2638">
            <v>38.875555555555565</v>
          </cell>
        </row>
        <row r="2639">
          <cell r="B2639">
            <v>45.9</v>
          </cell>
          <cell r="C2639">
            <v>108.26</v>
          </cell>
          <cell r="D2639">
            <v>13.74</v>
          </cell>
          <cell r="E2639">
            <v>9.56</v>
          </cell>
          <cell r="H2639">
            <v>45401</v>
          </cell>
          <cell r="I2639">
            <v>0.55444444444444452</v>
          </cell>
          <cell r="J2639">
            <v>38.176666666666669</v>
          </cell>
        </row>
        <row r="2640">
          <cell r="B2640">
            <v>70.209999999999994</v>
          </cell>
          <cell r="C2640">
            <v>108.92</v>
          </cell>
          <cell r="D2640">
            <v>13.15</v>
          </cell>
          <cell r="E2640">
            <v>9.4600000000000009</v>
          </cell>
          <cell r="H2640">
            <v>45401</v>
          </cell>
          <cell r="I2640">
            <v>0.55333333333333323</v>
          </cell>
          <cell r="J2640">
            <v>35.928888888888892</v>
          </cell>
        </row>
        <row r="2641">
          <cell r="B2641">
            <v>97.48</v>
          </cell>
          <cell r="C2641">
            <v>91.99</v>
          </cell>
          <cell r="D2641">
            <v>12.41</v>
          </cell>
          <cell r="E2641">
            <v>9.6300000000000008</v>
          </cell>
          <cell r="H2641">
            <v>45401</v>
          </cell>
          <cell r="I2641">
            <v>0.54555555555555557</v>
          </cell>
          <cell r="J2641">
            <v>33.388888888888886</v>
          </cell>
        </row>
        <row r="2642">
          <cell r="B2642">
            <v>44.55</v>
          </cell>
          <cell r="C2642">
            <v>84.23</v>
          </cell>
          <cell r="D2642">
            <v>12.29</v>
          </cell>
          <cell r="E2642">
            <v>9.26</v>
          </cell>
          <cell r="H2642">
            <v>45402</v>
          </cell>
          <cell r="I2642">
            <v>0.53111111111111109</v>
          </cell>
          <cell r="J2642">
            <v>31.531111111111116</v>
          </cell>
        </row>
        <row r="2643">
          <cell r="B2643">
            <v>41.04</v>
          </cell>
          <cell r="C2643">
            <v>70.11</v>
          </cell>
          <cell r="D2643">
            <v>11.96</v>
          </cell>
          <cell r="E2643">
            <v>7.39</v>
          </cell>
          <cell r="H2643">
            <v>45402</v>
          </cell>
          <cell r="I2643">
            <v>0.52111111111111108</v>
          </cell>
          <cell r="J2643">
            <v>30.238888888888894</v>
          </cell>
        </row>
        <row r="2644">
          <cell r="B2644">
            <v>33.659999999999997</v>
          </cell>
          <cell r="C2644">
            <v>61.67</v>
          </cell>
          <cell r="D2644">
            <v>11.91</v>
          </cell>
          <cell r="E2644">
            <v>7.56</v>
          </cell>
          <cell r="H2644">
            <v>45402</v>
          </cell>
          <cell r="I2644">
            <v>0.52333333333333332</v>
          </cell>
          <cell r="J2644">
            <v>29.266666666666669</v>
          </cell>
        </row>
        <row r="2645">
          <cell r="B2645">
            <v>32.840000000000003</v>
          </cell>
          <cell r="C2645">
            <v>57.21</v>
          </cell>
          <cell r="D2645">
            <v>12.96</v>
          </cell>
          <cell r="E2645">
            <v>8.01</v>
          </cell>
          <cell r="H2645">
            <v>45402</v>
          </cell>
          <cell r="I2645">
            <v>0.52111111111111119</v>
          </cell>
          <cell r="J2645">
            <v>28.64</v>
          </cell>
        </row>
        <row r="2646">
          <cell r="B2646">
            <v>31.09</v>
          </cell>
          <cell r="C2646">
            <v>54.6</v>
          </cell>
          <cell r="D2646">
            <v>11.87</v>
          </cell>
          <cell r="E2646">
            <v>7.55</v>
          </cell>
          <cell r="H2646">
            <v>45402</v>
          </cell>
          <cell r="I2646">
            <v>0.50444444444444458</v>
          </cell>
          <cell r="J2646">
            <v>28.247777777777785</v>
          </cell>
        </row>
        <row r="2647">
          <cell r="B2647">
            <v>34.29</v>
          </cell>
          <cell r="C2647">
            <v>56.83</v>
          </cell>
          <cell r="D2647">
            <v>11.93</v>
          </cell>
          <cell r="E2647">
            <v>7.88</v>
          </cell>
          <cell r="H2647">
            <v>45402</v>
          </cell>
          <cell r="I2647">
            <v>0.47333333333333333</v>
          </cell>
          <cell r="J2647">
            <v>27.498888888888889</v>
          </cell>
        </row>
        <row r="2648">
          <cell r="B2648">
            <v>33.659999999999997</v>
          </cell>
          <cell r="C2648">
            <v>58.87</v>
          </cell>
          <cell r="D2648">
            <v>12.22</v>
          </cell>
          <cell r="E2648">
            <v>8.01</v>
          </cell>
          <cell r="H2648">
            <v>45402</v>
          </cell>
          <cell r="I2648">
            <v>0.46555555555555561</v>
          </cell>
          <cell r="J2648">
            <v>26.70888888888889</v>
          </cell>
        </row>
        <row r="2649">
          <cell r="B2649">
            <v>32.94</v>
          </cell>
          <cell r="C2649">
            <v>63.35</v>
          </cell>
          <cell r="D2649">
            <v>12.44</v>
          </cell>
          <cell r="E2649">
            <v>7.14</v>
          </cell>
          <cell r="H2649">
            <v>45402</v>
          </cell>
          <cell r="I2649">
            <v>0.46111111111111114</v>
          </cell>
          <cell r="J2649">
            <v>26.045555555555556</v>
          </cell>
        </row>
        <row r="2650">
          <cell r="B2650">
            <v>32.96</v>
          </cell>
          <cell r="C2650">
            <v>72.25</v>
          </cell>
          <cell r="D2650">
            <v>13.46</v>
          </cell>
          <cell r="E2650">
            <v>6.9</v>
          </cell>
          <cell r="H2650">
            <v>45402</v>
          </cell>
          <cell r="I2650">
            <v>0.46444444444444444</v>
          </cell>
          <cell r="J2650">
            <v>25.470000000000002</v>
          </cell>
        </row>
        <row r="2651">
          <cell r="B2651">
            <v>37</v>
          </cell>
          <cell r="C2651">
            <v>78.959999999999994</v>
          </cell>
          <cell r="D2651">
            <v>13.9</v>
          </cell>
          <cell r="E2651">
            <v>7.14</v>
          </cell>
          <cell r="H2651">
            <v>45402</v>
          </cell>
          <cell r="I2651">
            <v>0.47000000000000003</v>
          </cell>
          <cell r="J2651">
            <v>25.13111111111111</v>
          </cell>
        </row>
        <row r="2652">
          <cell r="B2652">
            <v>34.68</v>
          </cell>
          <cell r="C2652">
            <v>74.73</v>
          </cell>
          <cell r="D2652">
            <v>13.28</v>
          </cell>
          <cell r="E2652">
            <v>7.32</v>
          </cell>
          <cell r="H2652">
            <v>45402</v>
          </cell>
          <cell r="I2652">
            <v>0.47777777777777763</v>
          </cell>
          <cell r="J2652">
            <v>25.114444444444445</v>
          </cell>
        </row>
        <row r="2653">
          <cell r="B2653">
            <v>35.92</v>
          </cell>
          <cell r="C2653">
            <v>74.290000000000006</v>
          </cell>
          <cell r="D2653">
            <v>14.23</v>
          </cell>
          <cell r="E2653">
            <v>9.4600000000000009</v>
          </cell>
          <cell r="H2653">
            <v>45402</v>
          </cell>
          <cell r="I2653">
            <v>0.48444444444444446</v>
          </cell>
          <cell r="J2653">
            <v>25.362222222222222</v>
          </cell>
        </row>
        <row r="2654">
          <cell r="B2654">
            <v>38.83</v>
          </cell>
          <cell r="C2654">
            <v>83.05</v>
          </cell>
          <cell r="D2654">
            <v>14.27</v>
          </cell>
          <cell r="E2654">
            <v>9.3699999999999992</v>
          </cell>
          <cell r="H2654">
            <v>45402</v>
          </cell>
          <cell r="I2654">
            <v>0.4811111111111111</v>
          </cell>
          <cell r="J2654">
            <v>26.346666666666668</v>
          </cell>
        </row>
        <row r="2655">
          <cell r="B2655">
            <v>37.93</v>
          </cell>
          <cell r="C2655">
            <v>76.489999999999995</v>
          </cell>
          <cell r="D2655">
            <v>16.350000000000001</v>
          </cell>
          <cell r="E2655">
            <v>9.99</v>
          </cell>
          <cell r="H2655">
            <v>45402</v>
          </cell>
          <cell r="I2655">
            <v>0.47888888888888886</v>
          </cell>
          <cell r="J2655">
            <v>27.766666666666666</v>
          </cell>
        </row>
        <row r="2656">
          <cell r="B2656">
            <v>38.700000000000003</v>
          </cell>
          <cell r="C2656">
            <v>79.25</v>
          </cell>
          <cell r="D2656">
            <v>14.8</v>
          </cell>
          <cell r="E2656">
            <v>10.130000000000001</v>
          </cell>
          <cell r="H2656">
            <v>45402</v>
          </cell>
          <cell r="I2656">
            <v>0.48111111111111104</v>
          </cell>
          <cell r="J2656">
            <v>29.647777777777776</v>
          </cell>
        </row>
        <row r="2657">
          <cell r="B2657">
            <v>44.05</v>
          </cell>
          <cell r="C2657">
            <v>94.02</v>
          </cell>
          <cell r="D2657">
            <v>12.49</v>
          </cell>
          <cell r="E2657">
            <v>10.47</v>
          </cell>
          <cell r="H2657">
            <v>45402</v>
          </cell>
          <cell r="I2657">
            <v>0.47777777777777775</v>
          </cell>
          <cell r="J2657">
            <v>30.655555555555551</v>
          </cell>
        </row>
        <row r="2658">
          <cell r="B2658">
            <v>49.02</v>
          </cell>
          <cell r="C2658">
            <v>111.61</v>
          </cell>
          <cell r="D2658">
            <v>18.07</v>
          </cell>
          <cell r="E2658">
            <v>9.25</v>
          </cell>
          <cell r="H2658">
            <v>45402</v>
          </cell>
          <cell r="I2658">
            <v>0.48555555555555546</v>
          </cell>
          <cell r="J2658">
            <v>31.073333333333338</v>
          </cell>
        </row>
        <row r="2659">
          <cell r="B2659">
            <v>52.43</v>
          </cell>
          <cell r="C2659">
            <v>120.94</v>
          </cell>
          <cell r="D2659">
            <v>18.03</v>
          </cell>
          <cell r="E2659">
            <v>9.02</v>
          </cell>
          <cell r="H2659">
            <v>45402</v>
          </cell>
          <cell r="I2659">
            <v>0.49999999999999989</v>
          </cell>
          <cell r="J2659">
            <v>31.197777777777773</v>
          </cell>
        </row>
        <row r="2660">
          <cell r="B2660">
            <v>52.26</v>
          </cell>
          <cell r="C2660">
            <v>130.1</v>
          </cell>
          <cell r="D2660">
            <v>15.2</v>
          </cell>
          <cell r="E2660">
            <v>10.29</v>
          </cell>
          <cell r="H2660">
            <v>45402</v>
          </cell>
          <cell r="I2660">
            <v>0.51</v>
          </cell>
          <cell r="J2660">
            <v>31.113333333333337</v>
          </cell>
        </row>
        <row r="2661">
          <cell r="B2661">
            <v>49.69</v>
          </cell>
          <cell r="C2661">
            <v>112.2</v>
          </cell>
          <cell r="D2661">
            <v>15.01</v>
          </cell>
          <cell r="E2661">
            <v>10.5</v>
          </cell>
          <cell r="H2661">
            <v>45402</v>
          </cell>
          <cell r="I2661">
            <v>0.52111111111111108</v>
          </cell>
          <cell r="J2661">
            <v>30.867777777777778</v>
          </cell>
        </row>
        <row r="2662">
          <cell r="B2662">
            <v>46.83</v>
          </cell>
          <cell r="C2662">
            <v>107.89</v>
          </cell>
          <cell r="D2662">
            <v>16.649999999999999</v>
          </cell>
          <cell r="E2662">
            <v>9.5399999999999991</v>
          </cell>
          <cell r="H2662">
            <v>45402</v>
          </cell>
          <cell r="I2662">
            <v>0.5444444444444444</v>
          </cell>
          <cell r="J2662">
            <v>30.163333333333338</v>
          </cell>
        </row>
        <row r="2663">
          <cell r="B2663">
            <v>52.96</v>
          </cell>
          <cell r="C2663">
            <v>110.6</v>
          </cell>
          <cell r="D2663">
            <v>16.86</v>
          </cell>
          <cell r="E2663">
            <v>9.7799999999999994</v>
          </cell>
          <cell r="H2663">
            <v>45402</v>
          </cell>
          <cell r="I2663">
            <v>0.56999999999999995</v>
          </cell>
          <cell r="J2663">
            <v>28.782222222222217</v>
          </cell>
        </row>
        <row r="2664">
          <cell r="B2664">
            <v>49.22</v>
          </cell>
          <cell r="C2664">
            <v>111.2</v>
          </cell>
          <cell r="D2664">
            <v>15.08</v>
          </cell>
          <cell r="E2664">
            <v>9.5399999999999991</v>
          </cell>
          <cell r="H2664">
            <v>45402</v>
          </cell>
          <cell r="I2664">
            <v>0.58777777777777773</v>
          </cell>
          <cell r="J2664">
            <v>27.358888888888892</v>
          </cell>
        </row>
        <row r="2665">
          <cell r="B2665">
            <v>40.549999999999997</v>
          </cell>
          <cell r="C2665">
            <v>98.64</v>
          </cell>
          <cell r="D2665">
            <v>13.44</v>
          </cell>
          <cell r="E2665">
            <v>9.9</v>
          </cell>
          <cell r="H2665">
            <v>45402</v>
          </cell>
          <cell r="I2665">
            <v>0.59222222222222221</v>
          </cell>
          <cell r="J2665">
            <v>25.65666666666667</v>
          </cell>
        </row>
        <row r="2666">
          <cell r="B2666">
            <v>43.21</v>
          </cell>
          <cell r="C2666">
            <v>83.28</v>
          </cell>
          <cell r="D2666">
            <v>12.5</v>
          </cell>
          <cell r="E2666">
            <v>9.48</v>
          </cell>
          <cell r="H2666">
            <v>45403</v>
          </cell>
          <cell r="I2666">
            <v>0.59333333333333327</v>
          </cell>
          <cell r="J2666">
            <v>24.687777777777782</v>
          </cell>
        </row>
        <row r="2667">
          <cell r="B2667">
            <v>43.96</v>
          </cell>
          <cell r="C2667">
            <v>80.55</v>
          </cell>
          <cell r="D2667">
            <v>12.45</v>
          </cell>
          <cell r="E2667">
            <v>7.54</v>
          </cell>
          <cell r="H2667">
            <v>45403</v>
          </cell>
          <cell r="I2667">
            <v>0.57888888888888901</v>
          </cell>
          <cell r="J2667">
            <v>24.385555555555555</v>
          </cell>
        </row>
        <row r="2668">
          <cell r="B2668">
            <v>44.74</v>
          </cell>
          <cell r="C2668">
            <v>88.08</v>
          </cell>
          <cell r="D2668">
            <v>12.25</v>
          </cell>
          <cell r="E2668">
            <v>6.89</v>
          </cell>
          <cell r="H2668">
            <v>45403</v>
          </cell>
          <cell r="I2668">
            <v>0.55222222222222228</v>
          </cell>
          <cell r="J2668">
            <v>24.200000000000003</v>
          </cell>
        </row>
        <row r="2669">
          <cell r="B2669">
            <v>47.3</v>
          </cell>
          <cell r="C2669">
            <v>85.1</v>
          </cell>
          <cell r="D2669">
            <v>13.06</v>
          </cell>
          <cell r="E2669">
            <v>7.21</v>
          </cell>
          <cell r="H2669">
            <v>45403</v>
          </cell>
          <cell r="I2669">
            <v>0.53333333333333355</v>
          </cell>
          <cell r="J2669">
            <v>23.867777777777778</v>
          </cell>
        </row>
        <row r="2670">
          <cell r="B2670">
            <v>45.06</v>
          </cell>
          <cell r="C2670">
            <v>83.42</v>
          </cell>
          <cell r="D2670">
            <v>13.39</v>
          </cell>
          <cell r="E2670">
            <v>7</v>
          </cell>
          <cell r="H2670">
            <v>45403</v>
          </cell>
          <cell r="I2670">
            <v>0.51444444444444448</v>
          </cell>
          <cell r="J2670">
            <v>23.482222222222223</v>
          </cell>
        </row>
        <row r="2671">
          <cell r="B2671">
            <v>38.340000000000003</v>
          </cell>
          <cell r="C2671">
            <v>75.58</v>
          </cell>
          <cell r="D2671">
            <v>14.2</v>
          </cell>
          <cell r="E2671">
            <v>7.28</v>
          </cell>
          <cell r="H2671">
            <v>45403</v>
          </cell>
          <cell r="I2671">
            <v>0.49333333333333329</v>
          </cell>
          <cell r="J2671">
            <v>23.38111111111111</v>
          </cell>
        </row>
        <row r="2672">
          <cell r="B2672">
            <v>41.75</v>
          </cell>
          <cell r="C2672">
            <v>88.38</v>
          </cell>
          <cell r="D2672">
            <v>14.5</v>
          </cell>
          <cell r="E2672">
            <v>7.63</v>
          </cell>
          <cell r="H2672">
            <v>45403</v>
          </cell>
          <cell r="I2672">
            <v>0.47555555555555556</v>
          </cell>
          <cell r="J2672">
            <v>23.407777777777778</v>
          </cell>
        </row>
        <row r="2673">
          <cell r="B2673">
            <v>42.1</v>
          </cell>
          <cell r="C2673">
            <v>99.47</v>
          </cell>
          <cell r="D2673">
            <v>14.49</v>
          </cell>
          <cell r="E2673">
            <v>7.34</v>
          </cell>
          <cell r="H2673">
            <v>45403</v>
          </cell>
          <cell r="I2673">
            <v>0.46555555555555561</v>
          </cell>
          <cell r="J2673">
            <v>23.333333333333329</v>
          </cell>
        </row>
        <row r="2674">
          <cell r="B2674">
            <v>40.68</v>
          </cell>
          <cell r="C2674">
            <v>97.18</v>
          </cell>
          <cell r="D2674">
            <v>12.14</v>
          </cell>
          <cell r="E2674">
            <v>7.12</v>
          </cell>
          <cell r="H2674">
            <v>45403</v>
          </cell>
          <cell r="I2674">
            <v>0.46222222222222226</v>
          </cell>
          <cell r="J2674">
            <v>23.295555555555556</v>
          </cell>
        </row>
        <row r="2675">
          <cell r="B2675">
            <v>44.36</v>
          </cell>
          <cell r="C2675">
            <v>92.39</v>
          </cell>
          <cell r="D2675">
            <v>15.04</v>
          </cell>
          <cell r="E2675">
            <v>7.23</v>
          </cell>
          <cell r="H2675">
            <v>45403</v>
          </cell>
          <cell r="I2675">
            <v>0.46555555555555561</v>
          </cell>
          <cell r="J2675">
            <v>23.795555555555559</v>
          </cell>
        </row>
        <row r="2676">
          <cell r="B2676">
            <v>42.47</v>
          </cell>
          <cell r="C2676">
            <v>93.21</v>
          </cell>
          <cell r="D2676">
            <v>16.89</v>
          </cell>
          <cell r="E2676">
            <v>7.31</v>
          </cell>
          <cell r="H2676">
            <v>45403</v>
          </cell>
          <cell r="I2676">
            <v>0.46888888888888886</v>
          </cell>
          <cell r="J2676">
            <v>25.143333333333334</v>
          </cell>
        </row>
        <row r="2677">
          <cell r="B2677">
            <v>38.549999999999997</v>
          </cell>
          <cell r="C2677">
            <v>88.34</v>
          </cell>
          <cell r="D2677">
            <v>17.920000000000002</v>
          </cell>
          <cell r="E2677">
            <v>8.32</v>
          </cell>
          <cell r="H2677">
            <v>45403</v>
          </cell>
          <cell r="I2677">
            <v>0.48444444444444446</v>
          </cell>
          <cell r="J2677">
            <v>27.214444444444446</v>
          </cell>
        </row>
        <row r="2678">
          <cell r="B2678">
            <v>43.59</v>
          </cell>
          <cell r="C2678">
            <v>96.35</v>
          </cell>
          <cell r="D2678">
            <v>18.11</v>
          </cell>
          <cell r="E2678">
            <v>8.26</v>
          </cell>
          <cell r="H2678">
            <v>45403</v>
          </cell>
          <cell r="I2678">
            <v>0.49777777777777782</v>
          </cell>
          <cell r="J2678">
            <v>29.535555555555561</v>
          </cell>
        </row>
        <row r="2679">
          <cell r="B2679">
            <v>36.22</v>
          </cell>
          <cell r="C2679">
            <v>73.47</v>
          </cell>
          <cell r="D2679">
            <v>17.46</v>
          </cell>
          <cell r="E2679">
            <v>7.97</v>
          </cell>
          <cell r="H2679">
            <v>45403</v>
          </cell>
          <cell r="I2679">
            <v>0.50555555555555565</v>
          </cell>
          <cell r="J2679">
            <v>32.025555555555556</v>
          </cell>
        </row>
        <row r="2680">
          <cell r="B2680">
            <v>33.909999999999997</v>
          </cell>
          <cell r="C2680">
            <v>68</v>
          </cell>
          <cell r="D2680">
            <v>17.809999999999999</v>
          </cell>
          <cell r="E2680">
            <v>7.45</v>
          </cell>
          <cell r="H2680">
            <v>45403</v>
          </cell>
          <cell r="I2680">
            <v>0.50777777777777777</v>
          </cell>
          <cell r="J2680">
            <v>34.424444444444447</v>
          </cell>
        </row>
        <row r="2681">
          <cell r="B2681">
            <v>38.909999999999997</v>
          </cell>
          <cell r="C2681">
            <v>80.23</v>
          </cell>
          <cell r="D2681">
            <v>15.4</v>
          </cell>
          <cell r="E2681">
            <v>7.14</v>
          </cell>
          <cell r="H2681">
            <v>45403</v>
          </cell>
          <cell r="I2681">
            <v>0.49555555555555553</v>
          </cell>
          <cell r="J2681">
            <v>36.75333333333333</v>
          </cell>
        </row>
        <row r="2682">
          <cell r="B2682">
            <v>54.79</v>
          </cell>
          <cell r="C2682">
            <v>113.81</v>
          </cell>
          <cell r="D2682">
            <v>15.2</v>
          </cell>
          <cell r="E2682">
            <v>7.75</v>
          </cell>
          <cell r="H2682">
            <v>45403</v>
          </cell>
          <cell r="I2682">
            <v>0.48555555555555557</v>
          </cell>
          <cell r="J2682">
            <v>38.956666666666663</v>
          </cell>
        </row>
        <row r="2683">
          <cell r="B2683">
            <v>128.38</v>
          </cell>
          <cell r="C2683">
            <v>74.31</v>
          </cell>
          <cell r="D2683">
            <v>15.38</v>
          </cell>
          <cell r="E2683">
            <v>8.27</v>
          </cell>
          <cell r="H2683">
            <v>45403</v>
          </cell>
          <cell r="I2683">
            <v>0.47888888888888886</v>
          </cell>
          <cell r="J2683">
            <v>40.913333333333327</v>
          </cell>
        </row>
        <row r="2684">
          <cell r="B2684">
            <v>142.47</v>
          </cell>
          <cell r="C2684">
            <v>81.319999999999993</v>
          </cell>
          <cell r="D2684">
            <v>15.09</v>
          </cell>
          <cell r="E2684">
            <v>7.78</v>
          </cell>
          <cell r="H2684">
            <v>45403</v>
          </cell>
          <cell r="I2684">
            <v>0.47555555555555556</v>
          </cell>
          <cell r="J2684">
            <v>42.155555555555551</v>
          </cell>
        </row>
        <row r="2685">
          <cell r="B2685">
            <v>115.94</v>
          </cell>
          <cell r="C2685">
            <v>90.91</v>
          </cell>
          <cell r="D2685">
            <v>14.59</v>
          </cell>
          <cell r="E2685">
            <v>7.55</v>
          </cell>
          <cell r="H2685">
            <v>45403</v>
          </cell>
          <cell r="I2685">
            <v>0.47555555555555556</v>
          </cell>
          <cell r="J2685">
            <v>42.239999999999995</v>
          </cell>
        </row>
        <row r="2686">
          <cell r="B2686">
            <v>36.97</v>
          </cell>
          <cell r="C2686">
            <v>87.72</v>
          </cell>
          <cell r="D2686">
            <v>14.66</v>
          </cell>
          <cell r="E2686">
            <v>6.95</v>
          </cell>
          <cell r="H2686">
            <v>45403</v>
          </cell>
          <cell r="I2686">
            <v>0.46777777777777779</v>
          </cell>
          <cell r="J2686">
            <v>41.293333333333337</v>
          </cell>
        </row>
        <row r="2687">
          <cell r="B2687">
            <v>39.090000000000003</v>
          </cell>
          <cell r="C2687">
            <v>82.14</v>
          </cell>
          <cell r="D2687">
            <v>15.06</v>
          </cell>
          <cell r="E2687">
            <v>7.91</v>
          </cell>
          <cell r="H2687">
            <v>45403</v>
          </cell>
          <cell r="I2687">
            <v>0.46333333333333332</v>
          </cell>
          <cell r="J2687">
            <v>40.043333333333337</v>
          </cell>
        </row>
        <row r="2688">
          <cell r="B2688">
            <v>40.54</v>
          </cell>
          <cell r="C2688">
            <v>76.150000000000006</v>
          </cell>
          <cell r="D2688">
            <v>14.77</v>
          </cell>
          <cell r="E2688">
            <v>7.78</v>
          </cell>
          <cell r="H2688">
            <v>45403</v>
          </cell>
          <cell r="I2688">
            <v>0.46111111111111103</v>
          </cell>
          <cell r="J2688">
            <v>38.638888888888886</v>
          </cell>
        </row>
        <row r="2689">
          <cell r="B2689">
            <v>36</v>
          </cell>
          <cell r="C2689">
            <v>70.91</v>
          </cell>
          <cell r="D2689">
            <v>14.28</v>
          </cell>
          <cell r="E2689">
            <v>7.76</v>
          </cell>
          <cell r="H2689">
            <v>45403</v>
          </cell>
          <cell r="I2689">
            <v>0.45444444444444443</v>
          </cell>
          <cell r="J2689">
            <v>37.275555555555556</v>
          </cell>
        </row>
        <row r="2690">
          <cell r="B2690">
            <v>36.92</v>
          </cell>
          <cell r="C2690">
            <v>68.959999999999994</v>
          </cell>
          <cell r="D2690">
            <v>13.21</v>
          </cell>
          <cell r="E2690">
            <v>7.24</v>
          </cell>
          <cell r="H2690">
            <v>45404</v>
          </cell>
          <cell r="I2690">
            <v>0.44999999999999996</v>
          </cell>
          <cell r="J2690">
            <v>35.828888888888883</v>
          </cell>
        </row>
        <row r="2691">
          <cell r="B2691">
            <v>36.17</v>
          </cell>
          <cell r="C2691">
            <v>69.349999999999994</v>
          </cell>
          <cell r="D2691">
            <v>13.51</v>
          </cell>
          <cell r="E2691">
            <v>7.95</v>
          </cell>
          <cell r="H2691">
            <v>45404</v>
          </cell>
          <cell r="I2691">
            <v>0.44555555555555565</v>
          </cell>
          <cell r="J2691">
            <v>34.134444444444448</v>
          </cell>
        </row>
        <row r="2692">
          <cell r="B2692">
            <v>36.869999999999997</v>
          </cell>
          <cell r="C2692">
            <v>70.680000000000007</v>
          </cell>
          <cell r="D2692">
            <v>12.92</v>
          </cell>
          <cell r="E2692">
            <v>7.81</v>
          </cell>
          <cell r="H2692">
            <v>45404</v>
          </cell>
          <cell r="I2692">
            <v>0.44</v>
          </cell>
          <cell r="J2692">
            <v>32.628888888888888</v>
          </cell>
        </row>
        <row r="2693">
          <cell r="B2693">
            <v>37.85</v>
          </cell>
          <cell r="C2693">
            <v>65.06</v>
          </cell>
          <cell r="D2693">
            <v>13.15</v>
          </cell>
          <cell r="E2693">
            <v>8.26</v>
          </cell>
          <cell r="H2693">
            <v>45404</v>
          </cell>
          <cell r="I2693">
            <v>0.43555555555555558</v>
          </cell>
          <cell r="J2693">
            <v>31.19777777777778</v>
          </cell>
        </row>
        <row r="2694">
          <cell r="B2694">
            <v>39.369999999999997</v>
          </cell>
          <cell r="C2694">
            <v>72.099999999999994</v>
          </cell>
          <cell r="D2694">
            <v>14.84</v>
          </cell>
          <cell r="E2694">
            <v>7.66</v>
          </cell>
          <cell r="H2694">
            <v>45404</v>
          </cell>
          <cell r="I2694">
            <v>0.43444444444444447</v>
          </cell>
          <cell r="J2694">
            <v>29.59</v>
          </cell>
        </row>
        <row r="2695">
          <cell r="B2695">
            <v>39.74</v>
          </cell>
          <cell r="C2695">
            <v>71.959999999999994</v>
          </cell>
          <cell r="D2695">
            <v>14.7</v>
          </cell>
          <cell r="E2695">
            <v>7.6</v>
          </cell>
          <cell r="H2695">
            <v>45404</v>
          </cell>
          <cell r="I2695">
            <v>0.43555555555555553</v>
          </cell>
          <cell r="J2695">
            <v>28.337777777777781</v>
          </cell>
        </row>
        <row r="2696">
          <cell r="B2696">
            <v>40.93</v>
          </cell>
          <cell r="C2696">
            <v>73.819999999999993</v>
          </cell>
          <cell r="D2696">
            <v>14.23</v>
          </cell>
          <cell r="E2696">
            <v>7.74</v>
          </cell>
          <cell r="H2696">
            <v>45404</v>
          </cell>
          <cell r="I2696">
            <v>0.43666666666666665</v>
          </cell>
          <cell r="J2696">
            <v>27.194444444444443</v>
          </cell>
        </row>
        <row r="2697">
          <cell r="B2697">
            <v>42.86</v>
          </cell>
          <cell r="C2697">
            <v>77.53</v>
          </cell>
          <cell r="D2697">
            <v>14.4</v>
          </cell>
          <cell r="E2697">
            <v>8</v>
          </cell>
          <cell r="H2697">
            <v>45404</v>
          </cell>
          <cell r="I2697">
            <v>0.44</v>
          </cell>
          <cell r="J2697">
            <v>26.294444444444444</v>
          </cell>
        </row>
        <row r="2698">
          <cell r="B2698">
            <v>40.630000000000003</v>
          </cell>
          <cell r="C2698">
            <v>76.69</v>
          </cell>
          <cell r="D2698">
            <v>15.6</v>
          </cell>
          <cell r="E2698">
            <v>7.98</v>
          </cell>
          <cell r="H2698">
            <v>45404</v>
          </cell>
          <cell r="I2698">
            <v>0.44999999999999996</v>
          </cell>
          <cell r="J2698">
            <v>25.81111111111111</v>
          </cell>
        </row>
        <row r="2699">
          <cell r="B2699">
            <v>36.770000000000003</v>
          </cell>
          <cell r="C2699">
            <v>72.709999999999994</v>
          </cell>
          <cell r="D2699">
            <v>15.71</v>
          </cell>
          <cell r="E2699">
            <v>7.51</v>
          </cell>
          <cell r="H2699">
            <v>45404</v>
          </cell>
          <cell r="I2699">
            <v>0.46111111111111114</v>
          </cell>
          <cell r="J2699">
            <v>25.788888888888888</v>
          </cell>
        </row>
        <row r="2700">
          <cell r="B2700">
            <v>38.96</v>
          </cell>
          <cell r="C2700">
            <v>68.63</v>
          </cell>
          <cell r="D2700">
            <v>15.33</v>
          </cell>
          <cell r="E2700">
            <v>7.45</v>
          </cell>
          <cell r="H2700">
            <v>45404</v>
          </cell>
          <cell r="I2700">
            <v>0.47111111111111115</v>
          </cell>
          <cell r="J2700">
            <v>26.425555555555555</v>
          </cell>
        </row>
        <row r="2701">
          <cell r="B2701">
            <v>36.299999999999997</v>
          </cell>
          <cell r="C2701">
            <v>65.11</v>
          </cell>
          <cell r="D2701">
            <v>17.18</v>
          </cell>
          <cell r="E2701">
            <v>8.3800000000000008</v>
          </cell>
          <cell r="H2701">
            <v>45404</v>
          </cell>
          <cell r="I2701">
            <v>0.4933333333333334</v>
          </cell>
          <cell r="J2701">
            <v>28.398888888888891</v>
          </cell>
        </row>
        <row r="2702">
          <cell r="B2702">
            <v>35.770000000000003</v>
          </cell>
          <cell r="C2702">
            <v>66.569999999999993</v>
          </cell>
          <cell r="D2702">
            <v>15.54</v>
          </cell>
          <cell r="E2702">
            <v>8.17</v>
          </cell>
          <cell r="H2702">
            <v>45404</v>
          </cell>
          <cell r="I2702">
            <v>0.51444444444444448</v>
          </cell>
          <cell r="J2702">
            <v>31.154444444444444</v>
          </cell>
        </row>
        <row r="2703">
          <cell r="B2703">
            <v>35.75</v>
          </cell>
          <cell r="C2703">
            <v>68.94</v>
          </cell>
          <cell r="D2703">
            <v>14.88</v>
          </cell>
          <cell r="E2703">
            <v>8.35</v>
          </cell>
          <cell r="H2703">
            <v>45404</v>
          </cell>
          <cell r="I2703">
            <v>0.52</v>
          </cell>
          <cell r="J2703">
            <v>34.671111111111109</v>
          </cell>
        </row>
        <row r="2704">
          <cell r="B2704">
            <v>33.47</v>
          </cell>
          <cell r="C2704">
            <v>65.900000000000006</v>
          </cell>
          <cell r="D2704">
            <v>15.77</v>
          </cell>
          <cell r="E2704">
            <v>8.2799999999999994</v>
          </cell>
          <cell r="H2704">
            <v>45404</v>
          </cell>
          <cell r="I2704">
            <v>0.52555555555555555</v>
          </cell>
          <cell r="J2704">
            <v>37.21</v>
          </cell>
        </row>
        <row r="2705">
          <cell r="B2705">
            <v>33.6</v>
          </cell>
          <cell r="C2705">
            <v>65.08</v>
          </cell>
          <cell r="D2705">
            <v>15.97</v>
          </cell>
          <cell r="E2705">
            <v>8.41</v>
          </cell>
          <cell r="H2705">
            <v>45404</v>
          </cell>
          <cell r="I2705">
            <v>0.5344444444444445</v>
          </cell>
          <cell r="J2705">
            <v>39.782222222222217</v>
          </cell>
        </row>
        <row r="2706">
          <cell r="B2706">
            <v>34.68</v>
          </cell>
          <cell r="C2706">
            <v>70.430000000000007</v>
          </cell>
          <cell r="D2706">
            <v>15.68</v>
          </cell>
          <cell r="E2706">
            <v>7.77</v>
          </cell>
          <cell r="H2706">
            <v>45404</v>
          </cell>
          <cell r="I2706">
            <v>0.54333333333333345</v>
          </cell>
          <cell r="J2706">
            <v>42.192222222222227</v>
          </cell>
        </row>
        <row r="2707">
          <cell r="B2707">
            <v>34.71</v>
          </cell>
          <cell r="C2707">
            <v>73.36</v>
          </cell>
          <cell r="D2707">
            <v>14.47</v>
          </cell>
          <cell r="E2707">
            <v>9.25</v>
          </cell>
          <cell r="H2707">
            <v>45404</v>
          </cell>
          <cell r="I2707">
            <v>0.54555555555555557</v>
          </cell>
          <cell r="J2707">
            <v>44.143333333333331</v>
          </cell>
        </row>
        <row r="2708">
          <cell r="B2708">
            <v>34.01</v>
          </cell>
          <cell r="C2708">
            <v>80.33</v>
          </cell>
          <cell r="D2708">
            <v>17.309999999999999</v>
          </cell>
          <cell r="E2708">
            <v>9.85</v>
          </cell>
          <cell r="H2708">
            <v>45404</v>
          </cell>
          <cell r="I2708">
            <v>0.56444444444444442</v>
          </cell>
          <cell r="J2708">
            <v>44.738888888888887</v>
          </cell>
        </row>
        <row r="2709">
          <cell r="B2709">
            <v>41.07</v>
          </cell>
          <cell r="C2709">
            <v>104.27</v>
          </cell>
          <cell r="D2709">
            <v>21.87</v>
          </cell>
          <cell r="E2709">
            <v>9.0500000000000007</v>
          </cell>
          <cell r="H2709">
            <v>45404</v>
          </cell>
          <cell r="I2709">
            <v>0.62444444444444447</v>
          </cell>
          <cell r="J2709">
            <v>43.97</v>
          </cell>
        </row>
        <row r="2710">
          <cell r="B2710">
            <v>46.61</v>
          </cell>
          <cell r="C2710">
            <v>112.14</v>
          </cell>
          <cell r="D2710">
            <v>19.91</v>
          </cell>
          <cell r="E2710">
            <v>9.49</v>
          </cell>
          <cell r="H2710">
            <v>45404</v>
          </cell>
          <cell r="I2710">
            <v>0.65555555555555545</v>
          </cell>
          <cell r="J2710">
            <v>42.493333333333339</v>
          </cell>
        </row>
        <row r="2711">
          <cell r="B2711">
            <v>75.900000000000006</v>
          </cell>
          <cell r="C2711">
            <v>121.12</v>
          </cell>
          <cell r="D2711">
            <v>16.03</v>
          </cell>
          <cell r="E2711">
            <v>9.5399999999999991</v>
          </cell>
          <cell r="H2711">
            <v>45404</v>
          </cell>
          <cell r="I2711">
            <v>0.64999999999999991</v>
          </cell>
          <cell r="J2711">
            <v>40.554444444444442</v>
          </cell>
        </row>
        <row r="2712">
          <cell r="B2712">
            <v>83.51</v>
          </cell>
          <cell r="C2712">
            <v>121.7</v>
          </cell>
          <cell r="D2712">
            <v>15.5</v>
          </cell>
          <cell r="E2712">
            <v>8.9600000000000009</v>
          </cell>
          <cell r="H2712">
            <v>45404</v>
          </cell>
          <cell r="I2712">
            <v>0.64888888888888885</v>
          </cell>
          <cell r="J2712">
            <v>38.213333333333338</v>
          </cell>
        </row>
        <row r="2713">
          <cell r="B2713">
            <v>40.57</v>
          </cell>
          <cell r="C2713">
            <v>80.22</v>
          </cell>
          <cell r="D2713">
            <v>14.81</v>
          </cell>
          <cell r="E2713">
            <v>8.51</v>
          </cell>
          <cell r="H2713">
            <v>45404</v>
          </cell>
          <cell r="I2713">
            <v>0.6433333333333332</v>
          </cell>
          <cell r="J2713">
            <v>36.901111111111113</v>
          </cell>
        </row>
        <row r="2714">
          <cell r="B2714">
            <v>40.619999999999997</v>
          </cell>
          <cell r="C2714">
            <v>77.11</v>
          </cell>
          <cell r="D2714">
            <v>14.37</v>
          </cell>
          <cell r="E2714">
            <v>8.69</v>
          </cell>
          <cell r="H2714">
            <v>45405</v>
          </cell>
          <cell r="I2714">
            <v>0.63888888888888895</v>
          </cell>
          <cell r="J2714">
            <v>35.428888888888885</v>
          </cell>
        </row>
        <row r="2715">
          <cell r="B2715">
            <v>42.94</v>
          </cell>
          <cell r="C2715">
            <v>76.459999999999994</v>
          </cell>
          <cell r="D2715">
            <v>14.35</v>
          </cell>
          <cell r="E2715">
            <v>7.35</v>
          </cell>
          <cell r="H2715">
            <v>45405</v>
          </cell>
          <cell r="I2715">
            <v>0.63000000000000012</v>
          </cell>
          <cell r="J2715">
            <v>33.852222222222217</v>
          </cell>
        </row>
        <row r="2716">
          <cell r="B2716">
            <v>40.270000000000003</v>
          </cell>
          <cell r="C2716">
            <v>73.22</v>
          </cell>
          <cell r="D2716">
            <v>14.32</v>
          </cell>
          <cell r="E2716">
            <v>6.89</v>
          </cell>
          <cell r="H2716">
            <v>45405</v>
          </cell>
          <cell r="I2716">
            <v>0.62333333333333341</v>
          </cell>
          <cell r="J2716">
            <v>32.362222222222229</v>
          </cell>
        </row>
        <row r="2717">
          <cell r="B2717">
            <v>39.369999999999997</v>
          </cell>
          <cell r="C2717">
            <v>70.48</v>
          </cell>
          <cell r="D2717">
            <v>13.72</v>
          </cell>
          <cell r="E2717">
            <v>7.32</v>
          </cell>
          <cell r="H2717">
            <v>45405</v>
          </cell>
          <cell r="I2717">
            <v>0.60333333333333328</v>
          </cell>
          <cell r="J2717">
            <v>31.725555555555552</v>
          </cell>
        </row>
        <row r="2718">
          <cell r="B2718">
            <v>38.58</v>
          </cell>
          <cell r="C2718">
            <v>68.900000000000006</v>
          </cell>
          <cell r="D2718">
            <v>13.87</v>
          </cell>
          <cell r="E2718">
            <v>7.54</v>
          </cell>
          <cell r="H2718">
            <v>45405</v>
          </cell>
          <cell r="I2718">
            <v>0.54444444444444451</v>
          </cell>
          <cell r="J2718">
            <v>32.001111111111108</v>
          </cell>
        </row>
        <row r="2719">
          <cell r="B2719">
            <v>35.17</v>
          </cell>
          <cell r="C2719">
            <v>70.41</v>
          </cell>
          <cell r="D2719">
            <v>14.52</v>
          </cell>
          <cell r="E2719">
            <v>7.6</v>
          </cell>
          <cell r="H2719">
            <v>45405</v>
          </cell>
          <cell r="I2719">
            <v>0.51000000000000012</v>
          </cell>
          <cell r="J2719">
            <v>31.427777777777774</v>
          </cell>
        </row>
        <row r="2720">
          <cell r="B2720">
            <v>35.520000000000003</v>
          </cell>
          <cell r="C2720">
            <v>70.290000000000006</v>
          </cell>
          <cell r="D2720">
            <v>15.28</v>
          </cell>
          <cell r="E2720">
            <v>7.71</v>
          </cell>
          <cell r="H2720">
            <v>45405</v>
          </cell>
          <cell r="I2720">
            <v>0.51222222222222225</v>
          </cell>
          <cell r="J2720">
            <v>30.77333333333333</v>
          </cell>
        </row>
        <row r="2721">
          <cell r="B2721">
            <v>35.520000000000003</v>
          </cell>
          <cell r="C2721">
            <v>74.760000000000005</v>
          </cell>
          <cell r="D2721">
            <v>15.34</v>
          </cell>
          <cell r="E2721">
            <v>7.54</v>
          </cell>
          <cell r="H2721">
            <v>45405</v>
          </cell>
          <cell r="I2721">
            <v>0.52222222222222225</v>
          </cell>
          <cell r="J2721">
            <v>30.581111111111113</v>
          </cell>
        </row>
        <row r="2722">
          <cell r="B2722">
            <v>37.6</v>
          </cell>
          <cell r="C2722">
            <v>80.06</v>
          </cell>
          <cell r="D2722">
            <v>15.16</v>
          </cell>
          <cell r="E2722">
            <v>7.56</v>
          </cell>
          <cell r="H2722">
            <v>45405</v>
          </cell>
          <cell r="I2722">
            <v>0.53333333333333333</v>
          </cell>
          <cell r="J2722">
            <v>30.638888888888889</v>
          </cell>
        </row>
        <row r="2723">
          <cell r="B2723">
            <v>37.479999999999997</v>
          </cell>
          <cell r="C2723">
            <v>78.16</v>
          </cell>
          <cell r="D2723">
            <v>13.93</v>
          </cell>
          <cell r="E2723">
            <v>7.42</v>
          </cell>
          <cell r="H2723">
            <v>45405</v>
          </cell>
          <cell r="I2723">
            <v>0.53111111111111109</v>
          </cell>
          <cell r="J2723">
            <v>31.568888888888889</v>
          </cell>
        </row>
        <row r="2724">
          <cell r="B2724">
            <v>38.840000000000003</v>
          </cell>
          <cell r="C2724">
            <v>80.98</v>
          </cell>
          <cell r="D2724">
            <v>14.69</v>
          </cell>
          <cell r="E2724">
            <v>7.81</v>
          </cell>
          <cell r="H2724">
            <v>45405</v>
          </cell>
          <cell r="I2724">
            <v>0.53111111111111109</v>
          </cell>
          <cell r="J2724">
            <v>33.101111111111116</v>
          </cell>
        </row>
        <row r="2725">
          <cell r="B2725">
            <v>36.94</v>
          </cell>
          <cell r="C2725">
            <v>78.17</v>
          </cell>
          <cell r="D2725">
            <v>14.33</v>
          </cell>
          <cell r="E2725">
            <v>8.4700000000000006</v>
          </cell>
          <cell r="H2725">
            <v>45405</v>
          </cell>
          <cell r="I2725">
            <v>0.53111111111111109</v>
          </cell>
          <cell r="J2725">
            <v>34.74666666666667</v>
          </cell>
        </row>
        <row r="2726">
          <cell r="B2726">
            <v>35.159999999999997</v>
          </cell>
          <cell r="C2726">
            <v>78.17</v>
          </cell>
          <cell r="D2726">
            <v>14.69</v>
          </cell>
          <cell r="E2726">
            <v>8.5</v>
          </cell>
          <cell r="H2726">
            <v>45405</v>
          </cell>
          <cell r="I2726">
            <v>0.52999999999999992</v>
          </cell>
          <cell r="J2726">
            <v>36.400000000000006</v>
          </cell>
        </row>
        <row r="2727">
          <cell r="B2727">
            <v>33.65</v>
          </cell>
          <cell r="C2727">
            <v>79.349999999999994</v>
          </cell>
          <cell r="D2727">
            <v>15.31</v>
          </cell>
          <cell r="E2727">
            <v>8.24</v>
          </cell>
          <cell r="H2727">
            <v>45405</v>
          </cell>
          <cell r="I2727">
            <v>0.53111111111111109</v>
          </cell>
          <cell r="J2727">
            <v>38.087777777777774</v>
          </cell>
        </row>
        <row r="2728">
          <cell r="B2728">
            <v>31.01</v>
          </cell>
          <cell r="C2728">
            <v>71.349999999999994</v>
          </cell>
          <cell r="D2728">
            <v>14.55</v>
          </cell>
          <cell r="E2728">
            <v>8.36</v>
          </cell>
          <cell r="H2728">
            <v>45405</v>
          </cell>
          <cell r="I2728">
            <v>0.52333333333333321</v>
          </cell>
          <cell r="J2728">
            <v>39.967777777777783</v>
          </cell>
        </row>
        <row r="2729">
          <cell r="B2729">
            <v>31.92</v>
          </cell>
          <cell r="C2729">
            <v>71.45</v>
          </cell>
          <cell r="D2729">
            <v>14.38</v>
          </cell>
          <cell r="E2729">
            <v>8.1</v>
          </cell>
          <cell r="H2729">
            <v>45405</v>
          </cell>
          <cell r="I2729">
            <v>0.50888888888888895</v>
          </cell>
          <cell r="J2729">
            <v>41.778888888888893</v>
          </cell>
        </row>
        <row r="2730">
          <cell r="B2730">
            <v>35.61</v>
          </cell>
          <cell r="C2730">
            <v>77.45</v>
          </cell>
          <cell r="D2730">
            <v>13.34</v>
          </cell>
          <cell r="E2730">
            <v>7.51</v>
          </cell>
          <cell r="H2730">
            <v>45405</v>
          </cell>
          <cell r="I2730">
            <v>0.49555555555555547</v>
          </cell>
          <cell r="J2730">
            <v>43.31</v>
          </cell>
        </row>
        <row r="2731">
          <cell r="B2731">
            <v>34.54</v>
          </cell>
          <cell r="C2731">
            <v>81.05</v>
          </cell>
          <cell r="D2731">
            <v>13.17</v>
          </cell>
          <cell r="E2731">
            <v>7.47</v>
          </cell>
          <cell r="H2731">
            <v>45405</v>
          </cell>
          <cell r="I2731">
            <v>0.4844444444444444</v>
          </cell>
          <cell r="J2731">
            <v>43.93888888888889</v>
          </cell>
        </row>
        <row r="2732">
          <cell r="B2732">
            <v>36.93</v>
          </cell>
          <cell r="C2732">
            <v>88.11</v>
          </cell>
          <cell r="D2732">
            <v>14.1</v>
          </cell>
          <cell r="E2732">
            <v>7.47</v>
          </cell>
          <cell r="H2732">
            <v>45405</v>
          </cell>
          <cell r="I2732">
            <v>0.48555555555555557</v>
          </cell>
          <cell r="J2732">
            <v>43.716666666666669</v>
          </cell>
        </row>
        <row r="2733">
          <cell r="B2733">
            <v>38.549999999999997</v>
          </cell>
          <cell r="C2733">
            <v>96.47</v>
          </cell>
          <cell r="D2733">
            <v>13.9</v>
          </cell>
          <cell r="E2733">
            <v>6.65</v>
          </cell>
          <cell r="H2733">
            <v>45405</v>
          </cell>
          <cell r="I2733">
            <v>0.48777777777777787</v>
          </cell>
          <cell r="J2733">
            <v>42.925555555555555</v>
          </cell>
        </row>
        <row r="2734">
          <cell r="B2734">
            <v>36.19</v>
          </cell>
          <cell r="C2734">
            <v>88.04</v>
          </cell>
          <cell r="D2734">
            <v>14.23</v>
          </cell>
          <cell r="E2734">
            <v>7.02</v>
          </cell>
          <cell r="H2734">
            <v>45405</v>
          </cell>
          <cell r="I2734">
            <v>0.49111111111111111</v>
          </cell>
          <cell r="J2734">
            <v>41.832222222222214</v>
          </cell>
        </row>
        <row r="2735">
          <cell r="B2735">
            <v>41.32</v>
          </cell>
          <cell r="C2735">
            <v>90.97</v>
          </cell>
          <cell r="D2735">
            <v>13.92</v>
          </cell>
          <cell r="E2735">
            <v>9.42</v>
          </cell>
          <cell r="H2735">
            <v>45405</v>
          </cell>
          <cell r="I2735">
            <v>0.49666666666666676</v>
          </cell>
          <cell r="J2735">
            <v>41.014444444444436</v>
          </cell>
        </row>
        <row r="2736">
          <cell r="B2736">
            <v>75.8</v>
          </cell>
          <cell r="C2736">
            <v>112.74</v>
          </cell>
          <cell r="D2736">
            <v>13.91</v>
          </cell>
          <cell r="E2736">
            <v>12.87</v>
          </cell>
          <cell r="H2736">
            <v>45405</v>
          </cell>
          <cell r="I2736">
            <v>0.49555555555555564</v>
          </cell>
          <cell r="J2736">
            <v>40.266666666666673</v>
          </cell>
        </row>
        <row r="2737">
          <cell r="B2737">
            <v>91.68</v>
          </cell>
          <cell r="C2737">
            <v>89.01</v>
          </cell>
          <cell r="D2737">
            <v>13.69</v>
          </cell>
          <cell r="E2737">
            <v>16.22</v>
          </cell>
          <cell r="H2737">
            <v>45405</v>
          </cell>
          <cell r="I2737">
            <v>0.49555555555555553</v>
          </cell>
          <cell r="J2737">
            <v>39.425555555555555</v>
          </cell>
        </row>
        <row r="2738">
          <cell r="B2738">
            <v>48.44</v>
          </cell>
          <cell r="C2738">
            <v>94.51</v>
          </cell>
          <cell r="D2738">
            <v>13.18</v>
          </cell>
          <cell r="E2738">
            <v>13.82</v>
          </cell>
          <cell r="H2738">
            <v>45406</v>
          </cell>
          <cell r="I2738">
            <v>0.49555555555555564</v>
          </cell>
          <cell r="J2738">
            <v>38.234444444444449</v>
          </cell>
        </row>
        <row r="2739">
          <cell r="B2739">
            <v>43.97</v>
          </cell>
          <cell r="C2739">
            <v>84.6</v>
          </cell>
          <cell r="D2739">
            <v>12.84</v>
          </cell>
          <cell r="E2739">
            <v>11.85</v>
          </cell>
          <cell r="H2739">
            <v>45406</v>
          </cell>
          <cell r="I2739">
            <v>0.49777777777777771</v>
          </cell>
          <cell r="J2739">
            <v>36.563333333333325</v>
          </cell>
        </row>
        <row r="2740">
          <cell r="B2740">
            <v>34.72</v>
          </cell>
          <cell r="C2740">
            <v>70.81</v>
          </cell>
          <cell r="D2740">
            <v>12.68</v>
          </cell>
          <cell r="E2740">
            <v>11.46</v>
          </cell>
          <cell r="H2740">
            <v>45406</v>
          </cell>
          <cell r="I2740">
            <v>0.48888888888888893</v>
          </cell>
          <cell r="J2740">
            <v>35.168888888888887</v>
          </cell>
        </row>
        <row r="2741">
          <cell r="B2741">
            <v>29</v>
          </cell>
          <cell r="C2741">
            <v>62.76</v>
          </cell>
          <cell r="D2741">
            <v>12.67</v>
          </cell>
          <cell r="E2741">
            <v>10.79</v>
          </cell>
          <cell r="H2741">
            <v>45406</v>
          </cell>
          <cell r="I2741">
            <v>0.47555555555555551</v>
          </cell>
          <cell r="J2741">
            <v>33.794444444444451</v>
          </cell>
        </row>
        <row r="2742">
          <cell r="B2742">
            <v>28.26</v>
          </cell>
          <cell r="C2742">
            <v>58.87</v>
          </cell>
          <cell r="D2742">
            <v>12.98</v>
          </cell>
          <cell r="E2742">
            <v>10.53</v>
          </cell>
          <cell r="H2742">
            <v>45406</v>
          </cell>
          <cell r="I2742">
            <v>0.45999999999999996</v>
          </cell>
          <cell r="J2742">
            <v>32.458888888888893</v>
          </cell>
        </row>
        <row r="2743">
          <cell r="B2743">
            <v>28.52</v>
          </cell>
          <cell r="C2743">
            <v>60.84</v>
          </cell>
          <cell r="D2743">
            <v>13.62</v>
          </cell>
          <cell r="E2743">
            <v>11.4</v>
          </cell>
          <cell r="H2743">
            <v>45406</v>
          </cell>
          <cell r="I2743">
            <v>0.45111111111111107</v>
          </cell>
          <cell r="J2743">
            <v>31.216666666666665</v>
          </cell>
        </row>
        <row r="2744">
          <cell r="B2744">
            <v>33.49</v>
          </cell>
          <cell r="C2744">
            <v>75.05</v>
          </cell>
          <cell r="D2744">
            <v>15.05</v>
          </cell>
          <cell r="E2744">
            <v>10.199999999999999</v>
          </cell>
          <cell r="H2744">
            <v>45406</v>
          </cell>
          <cell r="I2744">
            <v>0.44777777777777783</v>
          </cell>
          <cell r="J2744">
            <v>29.558888888888891</v>
          </cell>
        </row>
        <row r="2745">
          <cell r="B2745">
            <v>38.18</v>
          </cell>
          <cell r="C2745">
            <v>83.61</v>
          </cell>
          <cell r="D2745">
            <v>14.38</v>
          </cell>
          <cell r="E2745">
            <v>9.1</v>
          </cell>
          <cell r="H2745">
            <v>45406</v>
          </cell>
          <cell r="I2745">
            <v>0.44888888888888889</v>
          </cell>
          <cell r="J2745">
            <v>28.077777777777776</v>
          </cell>
        </row>
        <row r="2746">
          <cell r="B2746">
            <v>34.92</v>
          </cell>
          <cell r="C2746">
            <v>75.56</v>
          </cell>
          <cell r="D2746">
            <v>13.51</v>
          </cell>
          <cell r="E2746">
            <v>8.76</v>
          </cell>
          <cell r="H2746">
            <v>45406</v>
          </cell>
          <cell r="I2746">
            <v>0.45111111111111118</v>
          </cell>
          <cell r="J2746">
            <v>26.97</v>
          </cell>
        </row>
        <row r="2747">
          <cell r="B2747">
            <v>31.83</v>
          </cell>
          <cell r="C2747">
            <v>68.66</v>
          </cell>
          <cell r="D2747">
            <v>14.16</v>
          </cell>
          <cell r="E2747">
            <v>9.4600000000000009</v>
          </cell>
          <cell r="H2747">
            <v>45406</v>
          </cell>
          <cell r="I2747">
            <v>0.45666666666666672</v>
          </cell>
          <cell r="J2747">
            <v>26.900000000000002</v>
          </cell>
        </row>
        <row r="2748">
          <cell r="B2748">
            <v>33.18</v>
          </cell>
          <cell r="C2748">
            <v>71.64</v>
          </cell>
          <cell r="D2748">
            <v>14.06</v>
          </cell>
          <cell r="E2748">
            <v>9.81</v>
          </cell>
          <cell r="H2748">
            <v>45406</v>
          </cell>
          <cell r="I2748">
            <v>0.45777777777777778</v>
          </cell>
          <cell r="J2748">
            <v>27.787777777777777</v>
          </cell>
        </row>
        <row r="2749">
          <cell r="B2749">
            <v>33.79</v>
          </cell>
          <cell r="C2749">
            <v>81.02</v>
          </cell>
          <cell r="D2749">
            <v>15.62</v>
          </cell>
          <cell r="E2749">
            <v>9.42</v>
          </cell>
          <cell r="H2749">
            <v>45406</v>
          </cell>
          <cell r="I2749">
            <v>0.46555555555555561</v>
          </cell>
          <cell r="J2749">
            <v>29.169999999999998</v>
          </cell>
        </row>
        <row r="2750">
          <cell r="B2750">
            <v>37.07</v>
          </cell>
          <cell r="C2750">
            <v>97.24</v>
          </cell>
          <cell r="D2750">
            <v>14.08</v>
          </cell>
          <cell r="E2750">
            <v>9.4</v>
          </cell>
          <cell r="H2750">
            <v>45406</v>
          </cell>
          <cell r="I2750">
            <v>0.47444444444444439</v>
          </cell>
          <cell r="J2750">
            <v>31.001111111111111</v>
          </cell>
        </row>
        <row r="2751">
          <cell r="B2751">
            <v>42.3</v>
          </cell>
          <cell r="C2751">
            <v>102.06</v>
          </cell>
          <cell r="D2751">
            <v>14.51</v>
          </cell>
          <cell r="E2751">
            <v>9.2200000000000006</v>
          </cell>
          <cell r="H2751">
            <v>45406</v>
          </cell>
          <cell r="I2751">
            <v>0.48777777777777775</v>
          </cell>
          <cell r="J2751">
            <v>32.972222222222221</v>
          </cell>
        </row>
        <row r="2752">
          <cell r="B2752">
            <v>43.84</v>
          </cell>
          <cell r="C2752">
            <v>105.95</v>
          </cell>
          <cell r="D2752">
            <v>13.82</v>
          </cell>
          <cell r="E2752">
            <v>8.7899999999999991</v>
          </cell>
          <cell r="H2752">
            <v>45406</v>
          </cell>
          <cell r="I2752">
            <v>0.49111111111111111</v>
          </cell>
          <cell r="J2752">
            <v>34.922222222222224</v>
          </cell>
        </row>
        <row r="2753">
          <cell r="B2753">
            <v>37.01</v>
          </cell>
          <cell r="C2753">
            <v>88.14</v>
          </cell>
          <cell r="D2753">
            <v>13.81</v>
          </cell>
          <cell r="E2753">
            <v>8.25</v>
          </cell>
          <cell r="H2753">
            <v>45406</v>
          </cell>
          <cell r="I2753">
            <v>0.49</v>
          </cell>
          <cell r="J2753">
            <v>37.18</v>
          </cell>
        </row>
        <row r="2754">
          <cell r="B2754">
            <v>34.39</v>
          </cell>
          <cell r="C2754">
            <v>83.02</v>
          </cell>
          <cell r="D2754">
            <v>13.57</v>
          </cell>
          <cell r="E2754">
            <v>7.69</v>
          </cell>
          <cell r="H2754">
            <v>45406</v>
          </cell>
          <cell r="I2754">
            <v>0.48888888888888882</v>
          </cell>
          <cell r="J2754">
            <v>39.147777777777783</v>
          </cell>
        </row>
        <row r="2755">
          <cell r="B2755">
            <v>35.68</v>
          </cell>
          <cell r="C2755">
            <v>85.26</v>
          </cell>
          <cell r="D2755">
            <v>13.72</v>
          </cell>
          <cell r="E2755">
            <v>8.57</v>
          </cell>
          <cell r="H2755">
            <v>45406</v>
          </cell>
          <cell r="I2755">
            <v>0.49222222222222217</v>
          </cell>
          <cell r="J2755">
            <v>40.659999999999997</v>
          </cell>
        </row>
        <row r="2756">
          <cell r="B2756">
            <v>37.96</v>
          </cell>
          <cell r="C2756">
            <v>93.16</v>
          </cell>
          <cell r="D2756">
            <v>13.77</v>
          </cell>
          <cell r="E2756">
            <v>8.5500000000000007</v>
          </cell>
          <cell r="H2756">
            <v>45406</v>
          </cell>
          <cell r="I2756">
            <v>0.50111111111111106</v>
          </cell>
          <cell r="J2756">
            <v>41.277777777777779</v>
          </cell>
        </row>
        <row r="2757">
          <cell r="B2757">
            <v>40.22</v>
          </cell>
          <cell r="C2757">
            <v>100.49</v>
          </cell>
          <cell r="D2757">
            <v>16.36</v>
          </cell>
          <cell r="E2757">
            <v>8.24</v>
          </cell>
          <cell r="H2757">
            <v>45406</v>
          </cell>
          <cell r="I2757">
            <v>0.52333333333333332</v>
          </cell>
          <cell r="J2757">
            <v>40.214444444444446</v>
          </cell>
        </row>
        <row r="2758">
          <cell r="B2758">
            <v>45.02</v>
          </cell>
          <cell r="C2758">
            <v>102.54</v>
          </cell>
          <cell r="D2758">
            <v>17.18</v>
          </cell>
          <cell r="E2758">
            <v>8.6300000000000008</v>
          </cell>
          <cell r="H2758">
            <v>45406</v>
          </cell>
          <cell r="I2758">
            <v>0.55333333333333334</v>
          </cell>
          <cell r="J2758">
            <v>38.825555555555553</v>
          </cell>
        </row>
        <row r="2759">
          <cell r="B2759">
            <v>44.82</v>
          </cell>
          <cell r="C2759">
            <v>103.28</v>
          </cell>
          <cell r="D2759">
            <v>15.78</v>
          </cell>
          <cell r="E2759">
            <v>8.3800000000000008</v>
          </cell>
          <cell r="H2759">
            <v>45406</v>
          </cell>
          <cell r="I2759">
            <v>0.56444444444444442</v>
          </cell>
          <cell r="J2759">
            <v>37.676666666666662</v>
          </cell>
        </row>
        <row r="2760">
          <cell r="B2760">
            <v>42.99</v>
          </cell>
          <cell r="C2760">
            <v>98.83</v>
          </cell>
          <cell r="D2760">
            <v>15.73</v>
          </cell>
          <cell r="E2760">
            <v>8.59</v>
          </cell>
          <cell r="H2760">
            <v>45406</v>
          </cell>
          <cell r="I2760">
            <v>0.56555555555555559</v>
          </cell>
          <cell r="J2760">
            <v>36.228888888888889</v>
          </cell>
        </row>
        <row r="2761">
          <cell r="B2761">
            <v>41.95</v>
          </cell>
          <cell r="C2761">
            <v>92.63</v>
          </cell>
          <cell r="D2761">
            <v>14.61</v>
          </cell>
          <cell r="E2761">
            <v>8.8699999999999992</v>
          </cell>
          <cell r="H2761">
            <v>45406</v>
          </cell>
          <cell r="I2761">
            <v>0.56777777777777771</v>
          </cell>
          <cell r="J2761">
            <v>35.138888888888886</v>
          </cell>
        </row>
        <row r="2762">
          <cell r="B2762">
            <v>40.32</v>
          </cell>
          <cell r="C2762">
            <v>85.3</v>
          </cell>
          <cell r="D2762">
            <v>13.49</v>
          </cell>
          <cell r="E2762">
            <v>10.64</v>
          </cell>
          <cell r="H2762">
            <v>45407</v>
          </cell>
          <cell r="I2762">
            <v>0.55888888888888899</v>
          </cell>
          <cell r="J2762">
            <v>34.412222222222219</v>
          </cell>
        </row>
        <row r="2763">
          <cell r="B2763">
            <v>42.4</v>
          </cell>
          <cell r="C2763">
            <v>83.56</v>
          </cell>
          <cell r="D2763">
            <v>12.98</v>
          </cell>
          <cell r="E2763">
            <v>12.53</v>
          </cell>
          <cell r="H2763">
            <v>45407</v>
          </cell>
          <cell r="I2763">
            <v>0.55444444444444452</v>
          </cell>
          <cell r="J2763">
            <v>33.524444444444441</v>
          </cell>
        </row>
        <row r="2764">
          <cell r="B2764">
            <v>43.69</v>
          </cell>
          <cell r="C2764">
            <v>83.89</v>
          </cell>
          <cell r="D2764">
            <v>12.81</v>
          </cell>
          <cell r="E2764">
            <v>12.84</v>
          </cell>
          <cell r="H2764">
            <v>45407</v>
          </cell>
          <cell r="I2764">
            <v>0.54555555555555557</v>
          </cell>
          <cell r="J2764">
            <v>32.284444444444446</v>
          </cell>
        </row>
        <row r="2765">
          <cell r="B2765">
            <v>42.44</v>
          </cell>
          <cell r="C2765">
            <v>84.32</v>
          </cell>
          <cell r="D2765">
            <v>13.02</v>
          </cell>
          <cell r="E2765">
            <v>12.7</v>
          </cell>
          <cell r="H2765">
            <v>45407</v>
          </cell>
          <cell r="I2765">
            <v>0.52777777777777779</v>
          </cell>
          <cell r="J2765">
            <v>30.849999999999998</v>
          </cell>
        </row>
        <row r="2766">
          <cell r="B2766">
            <v>42.16</v>
          </cell>
          <cell r="C2766">
            <v>87.93</v>
          </cell>
          <cell r="D2766">
            <v>14.14</v>
          </cell>
          <cell r="E2766">
            <v>10.88</v>
          </cell>
          <cell r="H2766">
            <v>45407</v>
          </cell>
          <cell r="I2766">
            <v>0.5</v>
          </cell>
          <cell r="J2766">
            <v>30.436666666666667</v>
          </cell>
        </row>
        <row r="2767">
          <cell r="B2767">
            <v>39.74</v>
          </cell>
          <cell r="C2767">
            <v>85.76</v>
          </cell>
          <cell r="D2767">
            <v>15.46</v>
          </cell>
          <cell r="E2767">
            <v>9.2200000000000006</v>
          </cell>
          <cell r="H2767">
            <v>45407</v>
          </cell>
          <cell r="I2767">
            <v>0.47333333333333333</v>
          </cell>
          <cell r="J2767">
            <v>29.938888888888886</v>
          </cell>
        </row>
        <row r="2768">
          <cell r="B2768">
            <v>43.3</v>
          </cell>
          <cell r="C2768">
            <v>92.29</v>
          </cell>
          <cell r="D2768">
            <v>17.010000000000002</v>
          </cell>
          <cell r="E2768">
            <v>8.58</v>
          </cell>
          <cell r="H2768">
            <v>45407</v>
          </cell>
          <cell r="I2768">
            <v>0.47333333333333333</v>
          </cell>
          <cell r="J2768">
            <v>28.931111111111111</v>
          </cell>
        </row>
        <row r="2769">
          <cell r="B2769">
            <v>51.45</v>
          </cell>
          <cell r="C2769">
            <v>103.39</v>
          </cell>
          <cell r="D2769">
            <v>17.02</v>
          </cell>
          <cell r="E2769">
            <v>8.18</v>
          </cell>
          <cell r="H2769">
            <v>45407</v>
          </cell>
          <cell r="I2769">
            <v>0.50333333333333341</v>
          </cell>
          <cell r="J2769">
            <v>28.504444444444442</v>
          </cell>
        </row>
        <row r="2770">
          <cell r="B2770">
            <v>45.45</v>
          </cell>
          <cell r="C2770">
            <v>92.76</v>
          </cell>
          <cell r="D2770">
            <v>15.22</v>
          </cell>
          <cell r="E2770">
            <v>7.96</v>
          </cell>
          <cell r="H2770">
            <v>45407</v>
          </cell>
          <cell r="I2770">
            <v>0.51</v>
          </cell>
          <cell r="J2770">
            <v>28.223333333333333</v>
          </cell>
        </row>
        <row r="2771">
          <cell r="B2771">
            <v>39.31</v>
          </cell>
          <cell r="C2771">
            <v>85.46</v>
          </cell>
          <cell r="D2771">
            <v>15.17</v>
          </cell>
          <cell r="E2771">
            <v>8.19</v>
          </cell>
          <cell r="H2771">
            <v>45407</v>
          </cell>
          <cell r="I2771">
            <v>0.5377777777777778</v>
          </cell>
          <cell r="J2771">
            <v>28.512222222222224</v>
          </cell>
        </row>
        <row r="2772">
          <cell r="B2772">
            <v>39.99</v>
          </cell>
          <cell r="C2772">
            <v>88.05</v>
          </cell>
          <cell r="D2772">
            <v>14.94</v>
          </cell>
          <cell r="E2772">
            <v>9.0299999999999994</v>
          </cell>
          <cell r="H2772">
            <v>45407</v>
          </cell>
          <cell r="I2772">
            <v>0.56000000000000005</v>
          </cell>
          <cell r="J2772">
            <v>29.653333333333332</v>
          </cell>
        </row>
        <row r="2773">
          <cell r="B2773">
            <v>40.76</v>
          </cell>
          <cell r="C2773">
            <v>88.41</v>
          </cell>
          <cell r="D2773">
            <v>16.399999999999999</v>
          </cell>
          <cell r="E2773">
            <v>9.1999999999999993</v>
          </cell>
          <cell r="H2773">
            <v>45407</v>
          </cell>
          <cell r="I2773">
            <v>0.57555555555555549</v>
          </cell>
          <cell r="J2773">
            <v>31.051111111111108</v>
          </cell>
        </row>
        <row r="2774">
          <cell r="B2774">
            <v>39.81</v>
          </cell>
          <cell r="C2774">
            <v>87.78</v>
          </cell>
          <cell r="D2774">
            <v>13.77</v>
          </cell>
          <cell r="E2774">
            <v>8.76</v>
          </cell>
          <cell r="H2774">
            <v>45407</v>
          </cell>
          <cell r="I2774">
            <v>0.59777777777777774</v>
          </cell>
          <cell r="J2774">
            <v>33.367777777777775</v>
          </cell>
        </row>
        <row r="2775">
          <cell r="B2775">
            <v>36.68</v>
          </cell>
          <cell r="C2775">
            <v>85.02</v>
          </cell>
          <cell r="D2775">
            <v>14.06</v>
          </cell>
          <cell r="E2775">
            <v>8.85</v>
          </cell>
          <cell r="H2775">
            <v>45407</v>
          </cell>
          <cell r="I2775">
            <v>0.61</v>
          </cell>
          <cell r="J2775">
            <v>36.275555555555556</v>
          </cell>
        </row>
        <row r="2776">
          <cell r="B2776">
            <v>40.700000000000003</v>
          </cell>
          <cell r="C2776">
            <v>90.34</v>
          </cell>
          <cell r="D2776">
            <v>14.69</v>
          </cell>
          <cell r="E2776">
            <v>9.25</v>
          </cell>
          <cell r="H2776">
            <v>45407</v>
          </cell>
          <cell r="I2776">
            <v>0.62111111111111106</v>
          </cell>
          <cell r="J2776">
            <v>39.007777777777775</v>
          </cell>
        </row>
        <row r="2777">
          <cell r="B2777">
            <v>37.950000000000003</v>
          </cell>
          <cell r="C2777">
            <v>79.14</v>
          </cell>
          <cell r="D2777">
            <v>15.65</v>
          </cell>
          <cell r="E2777">
            <v>7.85</v>
          </cell>
          <cell r="H2777">
            <v>45407</v>
          </cell>
          <cell r="I2777">
            <v>0.62666666666666659</v>
          </cell>
          <cell r="J2777">
            <v>41.666666666666664</v>
          </cell>
        </row>
        <row r="2778">
          <cell r="B2778">
            <v>37.94</v>
          </cell>
          <cell r="C2778">
            <v>78.95</v>
          </cell>
          <cell r="D2778">
            <v>15.64</v>
          </cell>
          <cell r="E2778">
            <v>7.44</v>
          </cell>
          <cell r="H2778">
            <v>45407</v>
          </cell>
          <cell r="I2778">
            <v>0.61222222222222222</v>
          </cell>
          <cell r="J2778">
            <v>43.843333333333334</v>
          </cell>
        </row>
        <row r="2779">
          <cell r="B2779">
            <v>41.65</v>
          </cell>
          <cell r="C2779">
            <v>93.96</v>
          </cell>
          <cell r="D2779">
            <v>15.22</v>
          </cell>
          <cell r="E2779">
            <v>8.24</v>
          </cell>
          <cell r="H2779">
            <v>45407</v>
          </cell>
          <cell r="I2779">
            <v>0.62666666666666671</v>
          </cell>
          <cell r="J2779">
            <v>45.284444444444439</v>
          </cell>
        </row>
        <row r="2780">
          <cell r="B2780">
            <v>44.41</v>
          </cell>
          <cell r="C2780">
            <v>104.53</v>
          </cell>
          <cell r="D2780">
            <v>14.22</v>
          </cell>
          <cell r="E2780">
            <v>7.84</v>
          </cell>
          <cell r="H2780">
            <v>45407</v>
          </cell>
          <cell r="I2780">
            <v>0.63222222222222224</v>
          </cell>
          <cell r="J2780">
            <v>45.466666666666669</v>
          </cell>
        </row>
        <row r="2781">
          <cell r="B2781">
            <v>47.22</v>
          </cell>
          <cell r="C2781">
            <v>102.43</v>
          </cell>
          <cell r="D2781">
            <v>14.57</v>
          </cell>
          <cell r="E2781">
            <v>8.0399999999999991</v>
          </cell>
          <cell r="H2781">
            <v>45407</v>
          </cell>
          <cell r="I2781">
            <v>0.63444444444444448</v>
          </cell>
          <cell r="J2781">
            <v>44.634444444444441</v>
          </cell>
        </row>
        <row r="2782">
          <cell r="B2782">
            <v>51</v>
          </cell>
          <cell r="C2782">
            <v>101.26</v>
          </cell>
          <cell r="D2782">
            <v>14.94</v>
          </cell>
          <cell r="E2782">
            <v>7.66</v>
          </cell>
          <cell r="H2782">
            <v>45407</v>
          </cell>
          <cell r="I2782">
            <v>0.64</v>
          </cell>
          <cell r="J2782">
            <v>43.712222222222223</v>
          </cell>
        </row>
        <row r="2783">
          <cell r="B2783">
            <v>50.36</v>
          </cell>
          <cell r="C2783">
            <v>100.49</v>
          </cell>
          <cell r="D2783">
            <v>14.37</v>
          </cell>
          <cell r="E2783">
            <v>7.82</v>
          </cell>
          <cell r="H2783">
            <v>45407</v>
          </cell>
          <cell r="I2783">
            <v>0.64222222222222214</v>
          </cell>
          <cell r="J2783">
            <v>42.129999999999995</v>
          </cell>
        </row>
        <row r="2784">
          <cell r="B2784">
            <v>51.52</v>
          </cell>
          <cell r="C2784">
            <v>98.22</v>
          </cell>
          <cell r="D2784">
            <v>14.27</v>
          </cell>
          <cell r="E2784">
            <v>8.0299999999999994</v>
          </cell>
          <cell r="H2784">
            <v>45407</v>
          </cell>
          <cell r="I2784">
            <v>0.64222222222222236</v>
          </cell>
          <cell r="J2784">
            <v>40.031111111111109</v>
          </cell>
        </row>
        <row r="2785">
          <cell r="B2785">
            <v>53.84</v>
          </cell>
          <cell r="C2785">
            <v>101.56</v>
          </cell>
          <cell r="D2785">
            <v>13.73</v>
          </cell>
          <cell r="E2785">
            <v>9.9</v>
          </cell>
          <cell r="H2785">
            <v>45407</v>
          </cell>
          <cell r="I2785">
            <v>0.63222222222222213</v>
          </cell>
          <cell r="J2785">
            <v>38.55222222222222</v>
          </cell>
        </row>
        <row r="2786">
          <cell r="B2786">
            <v>58.49</v>
          </cell>
          <cell r="C2786">
            <v>109.31</v>
          </cell>
          <cell r="D2786">
            <v>14.08</v>
          </cell>
          <cell r="E2786">
            <v>9.93</v>
          </cell>
          <cell r="H2786">
            <v>45408</v>
          </cell>
          <cell r="I2786">
            <v>0.61444444444444435</v>
          </cell>
          <cell r="J2786">
            <v>37.018888888888888</v>
          </cell>
        </row>
        <row r="2787">
          <cell r="B2787">
            <v>53.83</v>
          </cell>
          <cell r="C2787">
            <v>102.55</v>
          </cell>
          <cell r="D2787">
            <v>13.58</v>
          </cell>
          <cell r="E2787">
            <v>8.9</v>
          </cell>
          <cell r="H2787">
            <v>45408</v>
          </cell>
          <cell r="I2787">
            <v>0.5888888888888888</v>
          </cell>
          <cell r="J2787">
            <v>35.229999999999997</v>
          </cell>
        </row>
        <row r="2788">
          <cell r="B2788">
            <v>48.64</v>
          </cell>
          <cell r="C2788">
            <v>90.43</v>
          </cell>
          <cell r="D2788">
            <v>13.67</v>
          </cell>
          <cell r="E2788">
            <v>8.73</v>
          </cell>
          <cell r="H2788">
            <v>45408</v>
          </cell>
          <cell r="I2788">
            <v>0.5644444444444443</v>
          </cell>
          <cell r="J2788">
            <v>33.544444444444444</v>
          </cell>
        </row>
        <row r="2789">
          <cell r="B2789">
            <v>48.3</v>
          </cell>
          <cell r="C2789">
            <v>95.97</v>
          </cell>
          <cell r="D2789">
            <v>13.61</v>
          </cell>
          <cell r="E2789">
            <v>9.76</v>
          </cell>
          <cell r="H2789">
            <v>45408</v>
          </cell>
          <cell r="I2789">
            <v>0.5477777777777777</v>
          </cell>
          <cell r="J2789">
            <v>31.93666666666666</v>
          </cell>
        </row>
        <row r="2790">
          <cell r="B2790">
            <v>51.43</v>
          </cell>
          <cell r="C2790">
            <v>98.13</v>
          </cell>
          <cell r="D2790">
            <v>13.27</v>
          </cell>
          <cell r="E2790">
            <v>9.91</v>
          </cell>
          <cell r="H2790">
            <v>45408</v>
          </cell>
          <cell r="I2790">
            <v>0.51888888888888884</v>
          </cell>
          <cell r="J2790">
            <v>30.528888888888886</v>
          </cell>
        </row>
        <row r="2791">
          <cell r="B2791">
            <v>48</v>
          </cell>
          <cell r="C2791">
            <v>91.2</v>
          </cell>
          <cell r="D2791">
            <v>13.93</v>
          </cell>
          <cell r="E2791">
            <v>9.41</v>
          </cell>
          <cell r="H2791">
            <v>45408</v>
          </cell>
          <cell r="I2791">
            <v>0.50666666666666671</v>
          </cell>
          <cell r="J2791">
            <v>29.446666666666673</v>
          </cell>
        </row>
        <row r="2792">
          <cell r="B2792">
            <v>52.57</v>
          </cell>
          <cell r="C2792">
            <v>96.07</v>
          </cell>
          <cell r="D2792">
            <v>14.39</v>
          </cell>
          <cell r="E2792">
            <v>9.52</v>
          </cell>
          <cell r="H2792">
            <v>45408</v>
          </cell>
          <cell r="I2792">
            <v>0.50777777777777777</v>
          </cell>
          <cell r="J2792">
            <v>28.540000000000003</v>
          </cell>
        </row>
        <row r="2793">
          <cell r="B2793">
            <v>55.28</v>
          </cell>
          <cell r="C2793">
            <v>105.74</v>
          </cell>
          <cell r="D2793">
            <v>13.88</v>
          </cell>
          <cell r="E2793">
            <v>8.61</v>
          </cell>
          <cell r="H2793">
            <v>45408</v>
          </cell>
          <cell r="I2793">
            <v>0.51111111111111107</v>
          </cell>
          <cell r="J2793">
            <v>27.985555555555557</v>
          </cell>
        </row>
        <row r="2794">
          <cell r="B2794">
            <v>46.89</v>
          </cell>
          <cell r="C2794">
            <v>87.58</v>
          </cell>
          <cell r="D2794">
            <v>13.53</v>
          </cell>
          <cell r="E2794">
            <v>7.81</v>
          </cell>
          <cell r="H2794">
            <v>45408</v>
          </cell>
          <cell r="I2794">
            <v>0.52333333333333332</v>
          </cell>
          <cell r="J2794">
            <v>27.722222222222221</v>
          </cell>
        </row>
        <row r="2795">
          <cell r="B2795">
            <v>41.48</v>
          </cell>
          <cell r="C2795">
            <v>84.76</v>
          </cell>
          <cell r="D2795">
            <v>14.54</v>
          </cell>
          <cell r="E2795">
            <v>8</v>
          </cell>
          <cell r="H2795">
            <v>45408</v>
          </cell>
          <cell r="I2795">
            <v>0.53333333333333321</v>
          </cell>
          <cell r="J2795">
            <v>28.685555555555553</v>
          </cell>
        </row>
        <row r="2796">
          <cell r="B2796">
            <v>41.36</v>
          </cell>
          <cell r="C2796">
            <v>86.89</v>
          </cell>
          <cell r="D2796">
            <v>15.31</v>
          </cell>
          <cell r="E2796">
            <v>8.7100000000000009</v>
          </cell>
          <cell r="H2796">
            <v>45408</v>
          </cell>
          <cell r="I2796">
            <v>0.5477777777777777</v>
          </cell>
          <cell r="J2796">
            <v>30.474444444444444</v>
          </cell>
        </row>
        <row r="2797">
          <cell r="B2797">
            <v>41.68</v>
          </cell>
          <cell r="C2797">
            <v>84.04</v>
          </cell>
          <cell r="D2797">
            <v>14.91</v>
          </cell>
          <cell r="E2797">
            <v>8.59</v>
          </cell>
          <cell r="H2797">
            <v>45408</v>
          </cell>
          <cell r="I2797">
            <v>0.55444444444444452</v>
          </cell>
          <cell r="J2797">
            <v>32.79</v>
          </cell>
        </row>
        <row r="2798">
          <cell r="B2798">
            <v>40.92</v>
          </cell>
          <cell r="C2798">
            <v>81.33</v>
          </cell>
          <cell r="D2798">
            <v>14.89</v>
          </cell>
          <cell r="E2798">
            <v>7.36</v>
          </cell>
          <cell r="H2798">
            <v>45408</v>
          </cell>
          <cell r="I2798">
            <v>0.55222222222222228</v>
          </cell>
          <cell r="J2798">
            <v>34.924444444444447</v>
          </cell>
        </row>
        <row r="2799">
          <cell r="B2799">
            <v>38.36</v>
          </cell>
          <cell r="C2799">
            <v>80.41</v>
          </cell>
          <cell r="D2799">
            <v>14.66</v>
          </cell>
          <cell r="E2799">
            <v>7.45</v>
          </cell>
          <cell r="H2799">
            <v>45408</v>
          </cell>
          <cell r="I2799">
            <v>0.56444444444444453</v>
          </cell>
          <cell r="J2799">
            <v>37.065555555555555</v>
          </cell>
        </row>
        <row r="2800">
          <cell r="B2800">
            <v>36.549999999999997</v>
          </cell>
          <cell r="C2800">
            <v>76.209999999999994</v>
          </cell>
          <cell r="D2800">
            <v>15.03</v>
          </cell>
          <cell r="E2800">
            <v>7.43</v>
          </cell>
          <cell r="H2800">
            <v>45408</v>
          </cell>
          <cell r="I2800">
            <v>0.56444444444444442</v>
          </cell>
          <cell r="J2800">
            <v>39.308888888888887</v>
          </cell>
        </row>
        <row r="2801">
          <cell r="B2801">
            <v>36.68</v>
          </cell>
          <cell r="C2801">
            <v>73.319999999999993</v>
          </cell>
          <cell r="D2801">
            <v>16.14</v>
          </cell>
          <cell r="E2801">
            <v>7.85</v>
          </cell>
          <cell r="H2801">
            <v>45408</v>
          </cell>
          <cell r="I2801">
            <v>0.54888888888888898</v>
          </cell>
          <cell r="J2801">
            <v>41.650000000000006</v>
          </cell>
        </row>
        <row r="2802">
          <cell r="B2802">
            <v>39.96</v>
          </cell>
          <cell r="C2802">
            <v>83.55</v>
          </cell>
          <cell r="D2802">
            <v>14.66</v>
          </cell>
          <cell r="E2802">
            <v>8.18</v>
          </cell>
          <cell r="H2802">
            <v>45408</v>
          </cell>
          <cell r="I2802">
            <v>0.54111111111111121</v>
          </cell>
          <cell r="J2802">
            <v>43.547777777777782</v>
          </cell>
        </row>
        <row r="2803">
          <cell r="B2803">
            <v>39.46</v>
          </cell>
          <cell r="C2803">
            <v>83.67</v>
          </cell>
          <cell r="D2803">
            <v>14.77</v>
          </cell>
          <cell r="E2803">
            <v>7.88</v>
          </cell>
          <cell r="H2803">
            <v>45408</v>
          </cell>
          <cell r="I2803">
            <v>0.53222222222222226</v>
          </cell>
          <cell r="J2803">
            <v>44.842222222222226</v>
          </cell>
        </row>
        <row r="2804">
          <cell r="B2804">
            <v>40.299999999999997</v>
          </cell>
          <cell r="C2804">
            <v>91.76</v>
          </cell>
          <cell r="D2804">
            <v>12.26</v>
          </cell>
          <cell r="E2804">
            <v>6.82</v>
          </cell>
          <cell r="H2804">
            <v>45408</v>
          </cell>
          <cell r="I2804">
            <v>0.53555555555555556</v>
          </cell>
          <cell r="J2804">
            <v>44.855555555555554</v>
          </cell>
        </row>
        <row r="2805">
          <cell r="B2805">
            <v>38.18</v>
          </cell>
          <cell r="C2805">
            <v>84.55</v>
          </cell>
          <cell r="D2805">
            <v>13.4</v>
          </cell>
          <cell r="E2805">
            <v>7.11</v>
          </cell>
          <cell r="H2805">
            <v>45408</v>
          </cell>
          <cell r="I2805">
            <v>0.54111111111111121</v>
          </cell>
          <cell r="J2805">
            <v>44.210000000000008</v>
          </cell>
        </row>
        <row r="2806">
          <cell r="B2806">
            <v>38.92</v>
          </cell>
          <cell r="C2806">
            <v>79.41</v>
          </cell>
          <cell r="D2806">
            <v>13.64</v>
          </cell>
          <cell r="E2806">
            <v>7.14</v>
          </cell>
          <cell r="H2806">
            <v>45408</v>
          </cell>
          <cell r="I2806">
            <v>0.55222222222222217</v>
          </cell>
          <cell r="J2806">
            <v>43.132222222222225</v>
          </cell>
        </row>
        <row r="2807">
          <cell r="B2807">
            <v>37.369999999999997</v>
          </cell>
          <cell r="C2807">
            <v>78.239999999999995</v>
          </cell>
          <cell r="D2807">
            <v>13.81</v>
          </cell>
          <cell r="E2807">
            <v>7.72</v>
          </cell>
          <cell r="H2807">
            <v>45408</v>
          </cell>
          <cell r="I2807">
            <v>0.56222222222222229</v>
          </cell>
          <cell r="J2807">
            <v>42.360000000000007</v>
          </cell>
        </row>
        <row r="2808">
          <cell r="B2808">
            <v>37.97</v>
          </cell>
          <cell r="C2808">
            <v>79.239999999999995</v>
          </cell>
          <cell r="D2808">
            <v>14.16</v>
          </cell>
          <cell r="E2808">
            <v>11.08</v>
          </cell>
          <cell r="H2808">
            <v>45408</v>
          </cell>
          <cell r="I2808">
            <v>0.56999999999999984</v>
          </cell>
          <cell r="J2808">
            <v>41.577777777777783</v>
          </cell>
        </row>
        <row r="2809">
          <cell r="B2809">
            <v>51.21</v>
          </cell>
          <cell r="C2809">
            <v>100.38</v>
          </cell>
          <cell r="D2809">
            <v>14.3</v>
          </cell>
          <cell r="E2809">
            <v>14.95</v>
          </cell>
          <cell r="H2809">
            <v>45408</v>
          </cell>
          <cell r="I2809">
            <v>0.57444444444444442</v>
          </cell>
          <cell r="J2809">
            <v>40.527777777777771</v>
          </cell>
        </row>
        <row r="2810">
          <cell r="B2810">
            <v>64.900000000000006</v>
          </cell>
          <cell r="C2810">
            <v>123.48</v>
          </cell>
          <cell r="D2810">
            <v>12.62</v>
          </cell>
          <cell r="E2810">
            <v>15.1</v>
          </cell>
          <cell r="H2810">
            <v>45409</v>
          </cell>
          <cell r="I2810">
            <v>0.57777777777777783</v>
          </cell>
          <cell r="J2810">
            <v>39.465555555555547</v>
          </cell>
        </row>
        <row r="2811">
          <cell r="B2811">
            <v>54.67</v>
          </cell>
          <cell r="C2811">
            <v>104.61</v>
          </cell>
          <cell r="D2811">
            <v>12.8</v>
          </cell>
          <cell r="E2811">
            <v>13.12</v>
          </cell>
          <cell r="H2811">
            <v>45409</v>
          </cell>
          <cell r="I2811">
            <v>0.5755555555555556</v>
          </cell>
          <cell r="J2811">
            <v>38.273333333333341</v>
          </cell>
        </row>
        <row r="2812">
          <cell r="B2812">
            <v>51.26</v>
          </cell>
          <cell r="C2812">
            <v>100.42</v>
          </cell>
          <cell r="D2812">
            <v>12.9</v>
          </cell>
          <cell r="E2812">
            <v>12.22</v>
          </cell>
          <cell r="H2812">
            <v>45409</v>
          </cell>
          <cell r="I2812">
            <v>0.5722222222222223</v>
          </cell>
          <cell r="J2812">
            <v>37.026666666666671</v>
          </cell>
        </row>
        <row r="2813">
          <cell r="B2813">
            <v>51.42</v>
          </cell>
          <cell r="C2813">
            <v>95.13</v>
          </cell>
          <cell r="D2813">
            <v>13.05</v>
          </cell>
          <cell r="E2813">
            <v>12.04</v>
          </cell>
          <cell r="H2813">
            <v>45409</v>
          </cell>
          <cell r="I2813">
            <v>0.55999999999999994</v>
          </cell>
          <cell r="J2813">
            <v>35.785555555555554</v>
          </cell>
        </row>
        <row r="2814">
          <cell r="B2814">
            <v>51.27</v>
          </cell>
          <cell r="C2814">
            <v>96.77</v>
          </cell>
          <cell r="D2814">
            <v>13.16</v>
          </cell>
          <cell r="E2814">
            <v>11.75</v>
          </cell>
          <cell r="H2814">
            <v>45409</v>
          </cell>
          <cell r="I2814">
            <v>0.54999999999999993</v>
          </cell>
          <cell r="J2814">
            <v>34.345555555555563</v>
          </cell>
        </row>
        <row r="2815">
          <cell r="B2815">
            <v>56.37</v>
          </cell>
          <cell r="C2815">
            <v>110.05</v>
          </cell>
          <cell r="D2815">
            <v>13.83</v>
          </cell>
          <cell r="E2815">
            <v>11.27</v>
          </cell>
          <cell r="H2815">
            <v>45409</v>
          </cell>
          <cell r="I2815">
            <v>0.54222222222222227</v>
          </cell>
          <cell r="J2815">
            <v>32.893333333333331</v>
          </cell>
        </row>
        <row r="2816">
          <cell r="B2816">
            <v>62.75</v>
          </cell>
          <cell r="C2816">
            <v>122.75</v>
          </cell>
          <cell r="D2816">
            <v>14.8</v>
          </cell>
          <cell r="E2816">
            <v>11.54</v>
          </cell>
          <cell r="H2816">
            <v>45409</v>
          </cell>
          <cell r="I2816">
            <v>0.54222222222222216</v>
          </cell>
          <cell r="J2816">
            <v>31.396666666666665</v>
          </cell>
        </row>
        <row r="2817">
          <cell r="B2817">
            <v>60.28</v>
          </cell>
          <cell r="C2817">
            <v>123.32</v>
          </cell>
          <cell r="D2817">
            <v>13.62</v>
          </cell>
          <cell r="E2817">
            <v>10.17</v>
          </cell>
          <cell r="H2817">
            <v>45409</v>
          </cell>
          <cell r="I2817">
            <v>0.54222222222222216</v>
          </cell>
          <cell r="J2817">
            <v>30.496666666666663</v>
          </cell>
        </row>
        <row r="2818">
          <cell r="B2818">
            <v>86.04</v>
          </cell>
          <cell r="C2818">
            <v>128.44</v>
          </cell>
          <cell r="D2818">
            <v>13.31</v>
          </cell>
          <cell r="E2818">
            <v>9.08</v>
          </cell>
          <cell r="H2818">
            <v>45409</v>
          </cell>
          <cell r="I2818">
            <v>0.54555555555555557</v>
          </cell>
          <cell r="J2818">
            <v>30.314444444444444</v>
          </cell>
        </row>
        <row r="2819">
          <cell r="B2819">
            <v>112.72</v>
          </cell>
          <cell r="C2819">
            <v>94.43</v>
          </cell>
          <cell r="D2819">
            <v>15.35</v>
          </cell>
          <cell r="E2819">
            <v>9.24</v>
          </cell>
          <cell r="H2819">
            <v>45409</v>
          </cell>
          <cell r="I2819">
            <v>0.55000000000000004</v>
          </cell>
          <cell r="J2819">
            <v>31.423333333333332</v>
          </cell>
        </row>
        <row r="2820">
          <cell r="B2820">
            <v>41.77</v>
          </cell>
          <cell r="C2820">
            <v>82.34</v>
          </cell>
          <cell r="D2820">
            <v>14.87</v>
          </cell>
          <cell r="E2820">
            <v>10.77</v>
          </cell>
          <cell r="H2820">
            <v>45409</v>
          </cell>
          <cell r="I2820">
            <v>0.55222222222222228</v>
          </cell>
          <cell r="J2820">
            <v>32.916666666666657</v>
          </cell>
        </row>
        <row r="2821">
          <cell r="B2821">
            <v>37.85</v>
          </cell>
          <cell r="C2821">
            <v>78.33</v>
          </cell>
          <cell r="D2821">
            <v>15.18</v>
          </cell>
          <cell r="E2821">
            <v>9.6199999999999992</v>
          </cell>
          <cell r="H2821">
            <v>45409</v>
          </cell>
          <cell r="I2821">
            <v>0.55222222222222217</v>
          </cell>
          <cell r="J2821">
            <v>34.403333333333336</v>
          </cell>
        </row>
        <row r="2822">
          <cell r="B2822">
            <v>33.630000000000003</v>
          </cell>
          <cell r="C2822">
            <v>74.48</v>
          </cell>
          <cell r="D2822">
            <v>14.95</v>
          </cell>
          <cell r="E2822">
            <v>8.8800000000000008</v>
          </cell>
          <cell r="H2822">
            <v>45409</v>
          </cell>
          <cell r="I2822">
            <v>0.55222222222222228</v>
          </cell>
          <cell r="J2822">
            <v>36.12777777777778</v>
          </cell>
        </row>
        <row r="2823">
          <cell r="B2823">
            <v>29.54</v>
          </cell>
          <cell r="C2823">
            <v>73.45</v>
          </cell>
          <cell r="D2823">
            <v>15.7</v>
          </cell>
          <cell r="E2823">
            <v>8.41</v>
          </cell>
          <cell r="H2823">
            <v>45409</v>
          </cell>
          <cell r="I2823">
            <v>0.551111111111111</v>
          </cell>
          <cell r="J2823">
            <v>38.201111111111111</v>
          </cell>
        </row>
        <row r="2824">
          <cell r="B2824">
            <v>29.43</v>
          </cell>
          <cell r="C2824">
            <v>68.66</v>
          </cell>
          <cell r="D2824">
            <v>15.3</v>
          </cell>
          <cell r="E2824">
            <v>8.49</v>
          </cell>
          <cell r="H2824">
            <v>45409</v>
          </cell>
          <cell r="I2824">
            <v>0.54333333333333345</v>
          </cell>
          <cell r="J2824">
            <v>40.325555555555553</v>
          </cell>
        </row>
        <row r="2825">
          <cell r="B2825">
            <v>32.340000000000003</v>
          </cell>
          <cell r="C2825">
            <v>69.97</v>
          </cell>
          <cell r="D2825">
            <v>17.850000000000001</v>
          </cell>
          <cell r="E2825">
            <v>7.62</v>
          </cell>
          <cell r="H2825">
            <v>45409</v>
          </cell>
          <cell r="I2825">
            <v>0.53</v>
          </cell>
          <cell r="J2825">
            <v>42.706666666666671</v>
          </cell>
        </row>
        <row r="2826">
          <cell r="B2826">
            <v>30.01</v>
          </cell>
          <cell r="C2826">
            <v>64.14</v>
          </cell>
          <cell r="D2826">
            <v>15.31</v>
          </cell>
          <cell r="E2826">
            <v>8.01</v>
          </cell>
          <cell r="H2826">
            <v>45409</v>
          </cell>
          <cell r="I2826">
            <v>0.52111111111111108</v>
          </cell>
          <cell r="J2826">
            <v>44.711111111111123</v>
          </cell>
        </row>
        <row r="2827">
          <cell r="B2827">
            <v>32.01</v>
          </cell>
          <cell r="C2827">
            <v>73.63</v>
          </cell>
          <cell r="D2827">
            <v>14.15</v>
          </cell>
          <cell r="E2827">
            <v>8.0399999999999991</v>
          </cell>
          <cell r="H2827">
            <v>45409</v>
          </cell>
          <cell r="I2827">
            <v>0.51666666666666661</v>
          </cell>
          <cell r="J2827">
            <v>46.362222222222222</v>
          </cell>
        </row>
        <row r="2828">
          <cell r="B2828">
            <v>37.6</v>
          </cell>
          <cell r="C2828">
            <v>86.52</v>
          </cell>
          <cell r="D2828">
            <v>15.14</v>
          </cell>
          <cell r="E2828">
            <v>8.89</v>
          </cell>
          <cell r="H2828">
            <v>45409</v>
          </cell>
          <cell r="I2828">
            <v>0.52111111111111119</v>
          </cell>
          <cell r="J2828">
            <v>46.527777777777779</v>
          </cell>
        </row>
        <row r="2829">
          <cell r="B2829">
            <v>41.52</v>
          </cell>
          <cell r="C2829">
            <v>95.48</v>
          </cell>
          <cell r="D2829">
            <v>14.76</v>
          </cell>
          <cell r="E2829">
            <v>10.050000000000001</v>
          </cell>
          <cell r="H2829">
            <v>45409</v>
          </cell>
          <cell r="I2829">
            <v>0.5344444444444445</v>
          </cell>
          <cell r="J2829">
            <v>46.222222222222221</v>
          </cell>
        </row>
        <row r="2830">
          <cell r="B2830">
            <v>47.26</v>
          </cell>
          <cell r="C2830">
            <v>94.87</v>
          </cell>
          <cell r="D2830">
            <v>14.89</v>
          </cell>
          <cell r="E2830">
            <v>13</v>
          </cell>
          <cell r="H2830">
            <v>45409</v>
          </cell>
          <cell r="I2830">
            <v>0.55000000000000004</v>
          </cell>
          <cell r="J2830">
            <v>46.018888888888888</v>
          </cell>
        </row>
        <row r="2831">
          <cell r="B2831">
            <v>81.36</v>
          </cell>
          <cell r="C2831">
            <v>121.62</v>
          </cell>
          <cell r="D2831">
            <v>15.74</v>
          </cell>
          <cell r="E2831">
            <v>15.15</v>
          </cell>
          <cell r="H2831">
            <v>45409</v>
          </cell>
          <cell r="I2831">
            <v>0.56444444444444453</v>
          </cell>
          <cell r="J2831">
            <v>45.547777777777782</v>
          </cell>
        </row>
        <row r="2832">
          <cell r="B2832">
            <v>98.33</v>
          </cell>
          <cell r="C2832">
            <v>148.80000000000001</v>
          </cell>
          <cell r="D2832">
            <v>15.64</v>
          </cell>
          <cell r="E2832">
            <v>14.12</v>
          </cell>
          <cell r="H2832">
            <v>45409</v>
          </cell>
          <cell r="I2832">
            <v>0.57666666666666666</v>
          </cell>
          <cell r="J2832">
            <v>44.802222222222227</v>
          </cell>
        </row>
        <row r="2833">
          <cell r="B2833">
            <v>58.7</v>
          </cell>
          <cell r="C2833">
            <v>109.62</v>
          </cell>
          <cell r="D2833">
            <v>14.98</v>
          </cell>
          <cell r="E2833">
            <v>10.93</v>
          </cell>
          <cell r="H2833">
            <v>45409</v>
          </cell>
          <cell r="I2833">
            <v>0.59000000000000008</v>
          </cell>
          <cell r="J2833">
            <v>43.821111111111108</v>
          </cell>
        </row>
        <row r="2834">
          <cell r="B2834">
            <v>50.51</v>
          </cell>
          <cell r="C2834">
            <v>100.62</v>
          </cell>
          <cell r="D2834">
            <v>14.79</v>
          </cell>
          <cell r="E2834">
            <v>9.99</v>
          </cell>
          <cell r="H2834">
            <v>45410</v>
          </cell>
          <cell r="I2834">
            <v>0.59111111111111114</v>
          </cell>
          <cell r="J2834">
            <v>42.706666666666671</v>
          </cell>
        </row>
        <row r="2835">
          <cell r="B2835">
            <v>43.76</v>
          </cell>
          <cell r="C2835">
            <v>92.79</v>
          </cell>
          <cell r="D2835">
            <v>13.83</v>
          </cell>
          <cell r="E2835">
            <v>7.4</v>
          </cell>
          <cell r="H2835">
            <v>45410</v>
          </cell>
          <cell r="I2835">
            <v>0.58444444444444443</v>
          </cell>
          <cell r="J2835">
            <v>41.332222222222221</v>
          </cell>
        </row>
        <row r="2836">
          <cell r="B2836">
            <v>43.19</v>
          </cell>
          <cell r="C2836">
            <v>82.23</v>
          </cell>
          <cell r="D2836">
            <v>13.73</v>
          </cell>
          <cell r="E2836">
            <v>7.02</v>
          </cell>
          <cell r="H2836">
            <v>45410</v>
          </cell>
          <cell r="I2836">
            <v>0.5722222222222223</v>
          </cell>
          <cell r="J2836">
            <v>39.744444444444447</v>
          </cell>
        </row>
        <row r="2837">
          <cell r="B2837">
            <v>38.299999999999997</v>
          </cell>
          <cell r="C2837">
            <v>76.569999999999993</v>
          </cell>
          <cell r="D2837">
            <v>13.41</v>
          </cell>
          <cell r="E2837">
            <v>8.48</v>
          </cell>
          <cell r="H2837">
            <v>45410</v>
          </cell>
          <cell r="I2837">
            <v>0.55444444444444452</v>
          </cell>
          <cell r="J2837">
            <v>38.153333333333336</v>
          </cell>
        </row>
        <row r="2838">
          <cell r="B2838">
            <v>36.39</v>
          </cell>
          <cell r="C2838">
            <v>67.75</v>
          </cell>
          <cell r="D2838">
            <v>14.19</v>
          </cell>
          <cell r="E2838">
            <v>7.63</v>
          </cell>
          <cell r="H2838">
            <v>45410</v>
          </cell>
          <cell r="I2838">
            <v>0.53333333333333333</v>
          </cell>
          <cell r="J2838">
            <v>36.834444444444436</v>
          </cell>
        </row>
        <row r="2839">
          <cell r="B2839">
            <v>35.07</v>
          </cell>
          <cell r="C2839">
            <v>67.53</v>
          </cell>
          <cell r="D2839">
            <v>13.5</v>
          </cell>
          <cell r="E2839">
            <v>7.21</v>
          </cell>
          <cell r="H2839">
            <v>45410</v>
          </cell>
          <cell r="I2839">
            <v>0.51555555555555554</v>
          </cell>
          <cell r="J2839">
            <v>35.417777777777779</v>
          </cell>
        </row>
        <row r="2840">
          <cell r="B2840">
            <v>44.45</v>
          </cell>
          <cell r="C2840">
            <v>79.569999999999993</v>
          </cell>
          <cell r="D2840">
            <v>13.58</v>
          </cell>
          <cell r="E2840">
            <v>7.9</v>
          </cell>
          <cell r="H2840">
            <v>45410</v>
          </cell>
          <cell r="I2840">
            <v>0.50777777777777777</v>
          </cell>
          <cell r="J2840">
            <v>34.151111111111113</v>
          </cell>
        </row>
        <row r="2841">
          <cell r="B2841">
            <v>46.77</v>
          </cell>
          <cell r="C2841">
            <v>103.35</v>
          </cell>
          <cell r="D2841">
            <v>13.1</v>
          </cell>
          <cell r="E2841">
            <v>8.44</v>
          </cell>
          <cell r="H2841">
            <v>45410</v>
          </cell>
          <cell r="I2841">
            <v>0.50333333333333341</v>
          </cell>
          <cell r="J2841">
            <v>33.634444444444448</v>
          </cell>
        </row>
        <row r="2842">
          <cell r="B2842">
            <v>47.06</v>
          </cell>
          <cell r="C2842">
            <v>102.09</v>
          </cell>
          <cell r="D2842">
            <v>13.14</v>
          </cell>
          <cell r="E2842">
            <v>9.4700000000000006</v>
          </cell>
          <cell r="H2842">
            <v>45410</v>
          </cell>
          <cell r="I2842">
            <v>0.49666666666666665</v>
          </cell>
          <cell r="J2842">
            <v>33.69</v>
          </cell>
        </row>
        <row r="2843">
          <cell r="B2843">
            <v>43.65</v>
          </cell>
          <cell r="C2843">
            <v>94.22</v>
          </cell>
          <cell r="D2843">
            <v>14.21</v>
          </cell>
          <cell r="E2843">
            <v>9.91</v>
          </cell>
          <cell r="H2843">
            <v>45410</v>
          </cell>
          <cell r="I2843">
            <v>0.50444444444444447</v>
          </cell>
          <cell r="J2843">
            <v>35.187777777777775</v>
          </cell>
        </row>
        <row r="2844">
          <cell r="B2844">
            <v>37.76</v>
          </cell>
          <cell r="C2844">
            <v>92.86</v>
          </cell>
          <cell r="D2844">
            <v>15.05</v>
          </cell>
          <cell r="E2844">
            <v>8.77</v>
          </cell>
          <cell r="H2844">
            <v>45410</v>
          </cell>
          <cell r="I2844">
            <v>0.51666666666666672</v>
          </cell>
          <cell r="J2844">
            <v>37.342222222222219</v>
          </cell>
        </row>
        <row r="2845">
          <cell r="B2845">
            <v>36.4</v>
          </cell>
          <cell r="C2845">
            <v>76.53</v>
          </cell>
          <cell r="D2845">
            <v>14.62</v>
          </cell>
          <cell r="E2845">
            <v>7.3</v>
          </cell>
          <cell r="H2845">
            <v>45410</v>
          </cell>
          <cell r="I2845">
            <v>0.5311111111111112</v>
          </cell>
          <cell r="J2845">
            <v>39.902222222222221</v>
          </cell>
        </row>
        <row r="2846">
          <cell r="B2846">
            <v>31.13</v>
          </cell>
          <cell r="C2846">
            <v>62.73</v>
          </cell>
          <cell r="D2846">
            <v>14.1</v>
          </cell>
          <cell r="E2846">
            <v>6.56</v>
          </cell>
          <cell r="H2846">
            <v>45410</v>
          </cell>
          <cell r="I2846">
            <v>0.5377777777777778</v>
          </cell>
          <cell r="J2846">
            <v>42.445555555555558</v>
          </cell>
        </row>
        <row r="2847">
          <cell r="B2847">
            <v>28.4</v>
          </cell>
          <cell r="C2847">
            <v>61.26</v>
          </cell>
          <cell r="D2847">
            <v>13.72</v>
          </cell>
          <cell r="E2847">
            <v>6.73</v>
          </cell>
          <cell r="H2847">
            <v>45410</v>
          </cell>
          <cell r="I2847">
            <v>0.5377777777777778</v>
          </cell>
          <cell r="J2847">
            <v>44.534444444444446</v>
          </cell>
        </row>
        <row r="2848">
          <cell r="B2848">
            <v>30.49</v>
          </cell>
          <cell r="C2848">
            <v>59.34</v>
          </cell>
          <cell r="D2848">
            <v>14.61</v>
          </cell>
          <cell r="E2848">
            <v>6.45</v>
          </cell>
          <cell r="H2848">
            <v>45410</v>
          </cell>
          <cell r="I2848">
            <v>0.53222222222222226</v>
          </cell>
          <cell r="J2848">
            <v>46.604444444444454</v>
          </cell>
        </row>
        <row r="2849">
          <cell r="B2849">
            <v>30.17</v>
          </cell>
          <cell r="C2849">
            <v>59.06</v>
          </cell>
          <cell r="D2849">
            <v>14.39</v>
          </cell>
          <cell r="E2849">
            <v>6.9</v>
          </cell>
          <cell r="H2849">
            <v>45410</v>
          </cell>
          <cell r="I2849">
            <v>0.51888888888888884</v>
          </cell>
          <cell r="J2849">
            <v>48.663333333333334</v>
          </cell>
        </row>
        <row r="2850">
          <cell r="B2850">
            <v>30.84</v>
          </cell>
          <cell r="C2850">
            <v>63.13</v>
          </cell>
          <cell r="D2850">
            <v>14.26</v>
          </cell>
          <cell r="E2850">
            <v>6.63</v>
          </cell>
          <cell r="H2850">
            <v>45410</v>
          </cell>
          <cell r="I2850">
            <v>0.50555555555555554</v>
          </cell>
          <cell r="J2850">
            <v>50.400000000000006</v>
          </cell>
        </row>
        <row r="2851">
          <cell r="B2851">
            <v>31.72</v>
          </cell>
          <cell r="C2851">
            <v>67.78</v>
          </cell>
          <cell r="D2851">
            <v>13.98</v>
          </cell>
          <cell r="E2851">
            <v>6.99</v>
          </cell>
          <cell r="H2851">
            <v>45410</v>
          </cell>
          <cell r="I2851">
            <v>0.5</v>
          </cell>
          <cell r="J2851">
            <v>51.977777777777781</v>
          </cell>
        </row>
        <row r="2852">
          <cell r="B2852">
            <v>35.25</v>
          </cell>
          <cell r="C2852">
            <v>78.77</v>
          </cell>
          <cell r="D2852">
            <v>14.19</v>
          </cell>
          <cell r="E2852">
            <v>6.44</v>
          </cell>
          <cell r="H2852">
            <v>45410</v>
          </cell>
          <cell r="I2852">
            <v>0.49555555555555553</v>
          </cell>
          <cell r="J2852">
            <v>51.794444444444444</v>
          </cell>
        </row>
        <row r="2853">
          <cell r="B2853">
            <v>35.85</v>
          </cell>
          <cell r="C2853">
            <v>73.099999999999994</v>
          </cell>
          <cell r="D2853">
            <v>13.7</v>
          </cell>
          <cell r="E2853">
            <v>7.27</v>
          </cell>
          <cell r="H2853">
            <v>45410</v>
          </cell>
          <cell r="I2853">
            <v>0.49666666666666665</v>
          </cell>
          <cell r="J2853">
            <v>50.602222222222217</v>
          </cell>
        </row>
        <row r="2854">
          <cell r="B2854">
            <v>37.15</v>
          </cell>
          <cell r="C2854">
            <v>72.52</v>
          </cell>
          <cell r="D2854">
            <v>12.9</v>
          </cell>
          <cell r="E2854">
            <v>6.74</v>
          </cell>
          <cell r="H2854">
            <v>45410</v>
          </cell>
          <cell r="I2854">
            <v>0.49333333333333329</v>
          </cell>
          <cell r="J2854">
            <v>48.481111111111112</v>
          </cell>
        </row>
        <row r="2855">
          <cell r="B2855">
            <v>33.96</v>
          </cell>
          <cell r="C2855">
            <v>69.37</v>
          </cell>
          <cell r="D2855">
            <v>12.47</v>
          </cell>
          <cell r="E2855">
            <v>6.7</v>
          </cell>
          <cell r="H2855">
            <v>45410</v>
          </cell>
          <cell r="I2855">
            <v>0.49222222222222217</v>
          </cell>
          <cell r="J2855">
            <v>46.319999999999993</v>
          </cell>
        </row>
        <row r="2856">
          <cell r="B2856">
            <v>34.76</v>
          </cell>
          <cell r="C2856">
            <v>65.58</v>
          </cell>
          <cell r="D2856">
            <v>12.96</v>
          </cell>
          <cell r="E2856">
            <v>7.46</v>
          </cell>
          <cell r="H2856">
            <v>45410</v>
          </cell>
          <cell r="I2856">
            <v>0.49666666666666676</v>
          </cell>
          <cell r="J2856">
            <v>44.341111111111111</v>
          </cell>
        </row>
        <row r="2857">
          <cell r="B2857">
            <v>32.090000000000003</v>
          </cell>
          <cell r="C2857">
            <v>59.85</v>
          </cell>
          <cell r="D2857">
            <v>12.51</v>
          </cell>
          <cell r="E2857">
            <v>7.78</v>
          </cell>
          <cell r="H2857">
            <v>45410</v>
          </cell>
          <cell r="I2857">
            <v>0.49777777777777782</v>
          </cell>
          <cell r="J2857">
            <v>42.578888888888883</v>
          </cell>
        </row>
        <row r="2858">
          <cell r="B2858">
            <v>28.94</v>
          </cell>
          <cell r="C2858">
            <v>54.45</v>
          </cell>
          <cell r="D2858">
            <v>12.45</v>
          </cell>
          <cell r="E2858">
            <v>7.92</v>
          </cell>
          <cell r="H2858">
            <v>45411</v>
          </cell>
          <cell r="I2858">
            <v>0.49777777777777782</v>
          </cell>
          <cell r="J2858">
            <v>40.641111111111108</v>
          </cell>
        </row>
        <row r="2859">
          <cell r="B2859">
            <v>26.17</v>
          </cell>
          <cell r="C2859">
            <v>51.19</v>
          </cell>
          <cell r="D2859">
            <v>12.15</v>
          </cell>
          <cell r="E2859">
            <v>8.49</v>
          </cell>
          <cell r="H2859">
            <v>45411</v>
          </cell>
          <cell r="I2859">
            <v>0.49555555555555564</v>
          </cell>
          <cell r="J2859">
            <v>38.42444444444444</v>
          </cell>
        </row>
        <row r="2860">
          <cell r="B2860">
            <v>29.02</v>
          </cell>
          <cell r="C2860">
            <v>53.5</v>
          </cell>
          <cell r="D2860">
            <v>12.56</v>
          </cell>
          <cell r="E2860">
            <v>9.33</v>
          </cell>
          <cell r="H2860">
            <v>45411</v>
          </cell>
          <cell r="I2860">
            <v>0.48888888888888893</v>
          </cell>
          <cell r="J2860">
            <v>35.996666666666663</v>
          </cell>
        </row>
        <row r="2861">
          <cell r="B2861">
            <v>28.41</v>
          </cell>
          <cell r="C2861">
            <v>56.13</v>
          </cell>
          <cell r="D2861">
            <v>12.56</v>
          </cell>
          <cell r="E2861">
            <v>9.76</v>
          </cell>
          <cell r="H2861">
            <v>45411</v>
          </cell>
          <cell r="I2861">
            <v>0.47777777777777786</v>
          </cell>
          <cell r="J2861">
            <v>33.70333333333334</v>
          </cell>
        </row>
        <row r="2862">
          <cell r="B2862">
            <v>26.98</v>
          </cell>
          <cell r="C2862">
            <v>54.08</v>
          </cell>
          <cell r="D2862">
            <v>12.71</v>
          </cell>
          <cell r="E2862">
            <v>8.8000000000000007</v>
          </cell>
          <cell r="H2862">
            <v>45411</v>
          </cell>
          <cell r="I2862">
            <v>0.45999999999999996</v>
          </cell>
          <cell r="J2862">
            <v>31.777777777777779</v>
          </cell>
        </row>
        <row r="2863">
          <cell r="B2863">
            <v>26.3</v>
          </cell>
          <cell r="C2863">
            <v>54.73</v>
          </cell>
          <cell r="D2863">
            <v>12.71</v>
          </cell>
          <cell r="E2863">
            <v>8.6199999999999992</v>
          </cell>
          <cell r="H2863">
            <v>45411</v>
          </cell>
          <cell r="I2863">
            <v>0.45222222222222214</v>
          </cell>
          <cell r="J2863">
            <v>30.09333333333333</v>
          </cell>
        </row>
        <row r="2864">
          <cell r="B2864">
            <v>31.8</v>
          </cell>
          <cell r="C2864">
            <v>65.33</v>
          </cell>
          <cell r="D2864">
            <v>13.77</v>
          </cell>
          <cell r="E2864">
            <v>8.5399999999999991</v>
          </cell>
          <cell r="H2864">
            <v>45411</v>
          </cell>
          <cell r="I2864">
            <v>0.45111111111111107</v>
          </cell>
          <cell r="J2864">
            <v>28.547777777777778</v>
          </cell>
        </row>
        <row r="2865">
          <cell r="B2865">
            <v>36.61</v>
          </cell>
          <cell r="C2865">
            <v>73.7</v>
          </cell>
          <cell r="D2865">
            <v>13.32</v>
          </cell>
          <cell r="E2865">
            <v>7.9</v>
          </cell>
          <cell r="H2865">
            <v>45411</v>
          </cell>
          <cell r="I2865">
            <v>0.45777777777777778</v>
          </cell>
          <cell r="J2865">
            <v>27.711111111111109</v>
          </cell>
        </row>
        <row r="2866">
          <cell r="B2866">
            <v>32.11</v>
          </cell>
          <cell r="C2866">
            <v>74.180000000000007</v>
          </cell>
          <cell r="D2866">
            <v>13.13</v>
          </cell>
          <cell r="E2866">
            <v>7.25</v>
          </cell>
          <cell r="H2866">
            <v>45411</v>
          </cell>
          <cell r="I2866">
            <v>0.46666666666666667</v>
          </cell>
          <cell r="J2866">
            <v>26.725555555555552</v>
          </cell>
        </row>
        <row r="2867">
          <cell r="B2867">
            <v>30.8</v>
          </cell>
          <cell r="C2867">
            <v>62.71</v>
          </cell>
          <cell r="D2867">
            <v>13.45</v>
          </cell>
          <cell r="E2867">
            <v>7.1</v>
          </cell>
          <cell r="H2867">
            <v>45411</v>
          </cell>
          <cell r="I2867">
            <v>0.4744444444444445</v>
          </cell>
          <cell r="J2867">
            <v>26.515555555555554</v>
          </cell>
        </row>
        <row r="2868">
          <cell r="B2868">
            <v>27.57</v>
          </cell>
          <cell r="C2868">
            <v>54.14</v>
          </cell>
          <cell r="D2868">
            <v>13.69</v>
          </cell>
          <cell r="E2868">
            <v>7.11</v>
          </cell>
          <cell r="H2868">
            <v>45411</v>
          </cell>
          <cell r="I2868">
            <v>0.47666666666666668</v>
          </cell>
          <cell r="J2868">
            <v>26.865555555555559</v>
          </cell>
        </row>
        <row r="2869">
          <cell r="B2869">
            <v>27.7</v>
          </cell>
          <cell r="C2869">
            <v>53.93</v>
          </cell>
          <cell r="D2869">
            <v>15.65</v>
          </cell>
          <cell r="E2869">
            <v>7.43</v>
          </cell>
          <cell r="H2869">
            <v>45411</v>
          </cell>
          <cell r="I2869">
            <v>0.48555555555555568</v>
          </cell>
          <cell r="J2869">
            <v>28.167777777777776</v>
          </cell>
        </row>
        <row r="2870">
          <cell r="B2870">
            <v>27.68</v>
          </cell>
          <cell r="C2870">
            <v>57.92</v>
          </cell>
          <cell r="D2870">
            <v>14.72</v>
          </cell>
          <cell r="E2870">
            <v>7.39</v>
          </cell>
          <cell r="H2870">
            <v>45411</v>
          </cell>
          <cell r="I2870">
            <v>0.49666666666666676</v>
          </cell>
          <cell r="J2870">
            <v>30.341111111111104</v>
          </cell>
        </row>
        <row r="2871">
          <cell r="B2871">
            <v>29.78</v>
          </cell>
          <cell r="C2871">
            <v>63.07</v>
          </cell>
          <cell r="D2871">
            <v>13.98</v>
          </cell>
          <cell r="E2871">
            <v>7.28</v>
          </cell>
          <cell r="H2871">
            <v>45411</v>
          </cell>
          <cell r="I2871">
            <v>0.51111111111111118</v>
          </cell>
          <cell r="J2871">
            <v>33.066666666666663</v>
          </cell>
        </row>
        <row r="2872">
          <cell r="B2872">
            <v>30.85</v>
          </cell>
          <cell r="C2872">
            <v>65.31</v>
          </cell>
          <cell r="D2872">
            <v>14.01</v>
          </cell>
          <cell r="E2872">
            <v>6.78</v>
          </cell>
          <cell r="H2872">
            <v>45411</v>
          </cell>
          <cell r="I2872">
            <v>0.50777777777777777</v>
          </cell>
          <cell r="J2872">
            <v>36.06444444444444</v>
          </cell>
        </row>
        <row r="2873">
          <cell r="B2873">
            <v>29.7</v>
          </cell>
          <cell r="C2873">
            <v>64.33</v>
          </cell>
          <cell r="D2873">
            <v>14.59</v>
          </cell>
          <cell r="E2873">
            <v>7.66</v>
          </cell>
          <cell r="H2873">
            <v>45411</v>
          </cell>
          <cell r="I2873">
            <v>0.50777777777777788</v>
          </cell>
          <cell r="J2873">
            <v>39.305555555555557</v>
          </cell>
        </row>
        <row r="2874">
          <cell r="B2874">
            <v>29.06</v>
          </cell>
          <cell r="C2874">
            <v>65.510000000000005</v>
          </cell>
          <cell r="D2874">
            <v>15.46</v>
          </cell>
          <cell r="E2874">
            <v>7.86</v>
          </cell>
          <cell r="H2874">
            <v>45411</v>
          </cell>
          <cell r="I2874">
            <v>0.49666666666666665</v>
          </cell>
          <cell r="J2874">
            <v>41.292222222222215</v>
          </cell>
        </row>
        <row r="2875">
          <cell r="B2875">
            <v>29.52</v>
          </cell>
          <cell r="C2875">
            <v>69.16</v>
          </cell>
          <cell r="D2875">
            <v>20.53</v>
          </cell>
          <cell r="E2875">
            <v>8</v>
          </cell>
          <cell r="H2875">
            <v>45411</v>
          </cell>
          <cell r="I2875">
            <v>0.49666666666666665</v>
          </cell>
          <cell r="J2875">
            <v>43.044444444444444</v>
          </cell>
        </row>
        <row r="2876">
          <cell r="B2876">
            <v>34.4</v>
          </cell>
          <cell r="C2876">
            <v>76.73</v>
          </cell>
          <cell r="D2876">
            <v>17.41</v>
          </cell>
          <cell r="E2876">
            <v>8.2799999999999994</v>
          </cell>
          <cell r="H2876">
            <v>45411</v>
          </cell>
          <cell r="I2876">
            <v>0.51111111111111118</v>
          </cell>
          <cell r="J2876">
            <v>43.591111111111104</v>
          </cell>
        </row>
        <row r="2877">
          <cell r="B2877">
            <v>38.39</v>
          </cell>
          <cell r="C2877">
            <v>90.75</v>
          </cell>
          <cell r="D2877">
            <v>18.93</v>
          </cell>
          <cell r="E2877">
            <v>8.08</v>
          </cell>
          <cell r="H2877">
            <v>45411</v>
          </cell>
          <cell r="I2877">
            <v>0.55888888888888888</v>
          </cell>
          <cell r="J2877">
            <v>43.214444444444439</v>
          </cell>
        </row>
        <row r="2878">
          <cell r="B2878">
            <v>42.5</v>
          </cell>
          <cell r="C2878">
            <v>102.25</v>
          </cell>
          <cell r="D2878">
            <v>21.23</v>
          </cell>
          <cell r="E2878">
            <v>8.1</v>
          </cell>
          <cell r="H2878">
            <v>45411</v>
          </cell>
          <cell r="I2878">
            <v>0.61333333333333329</v>
          </cell>
          <cell r="J2878">
            <v>41.764444444444429</v>
          </cell>
        </row>
        <row r="2879">
          <cell r="B2879">
            <v>44.74</v>
          </cell>
          <cell r="C2879">
            <v>106.65</v>
          </cell>
          <cell r="D2879">
            <v>21.41</v>
          </cell>
          <cell r="E2879">
            <v>8.23</v>
          </cell>
          <cell r="H2879">
            <v>45411</v>
          </cell>
          <cell r="I2879">
            <v>0.65777777777777779</v>
          </cell>
          <cell r="J2879">
            <v>39.708888888888886</v>
          </cell>
        </row>
        <row r="2880">
          <cell r="B2880">
            <v>42.81</v>
          </cell>
          <cell r="C2880">
            <v>100.07</v>
          </cell>
          <cell r="D2880">
            <v>15.63</v>
          </cell>
          <cell r="E2880">
            <v>7.32</v>
          </cell>
          <cell r="H2880">
            <v>45411</v>
          </cell>
          <cell r="I2880">
            <v>0.65999999999999992</v>
          </cell>
          <cell r="J2880">
            <v>37.287777777777777</v>
          </cell>
        </row>
        <row r="2881">
          <cell r="B2881">
            <v>35.049999999999997</v>
          </cell>
          <cell r="C2881">
            <v>80.8</v>
          </cell>
          <cell r="D2881">
            <v>14.27</v>
          </cell>
          <cell r="E2881">
            <v>7.51</v>
          </cell>
          <cell r="H2881">
            <v>45411</v>
          </cell>
          <cell r="I2881">
            <v>0.6677777777777778</v>
          </cell>
          <cell r="J2881">
            <v>34.79</v>
          </cell>
        </row>
        <row r="2882">
          <cell r="B2882">
            <v>30.81</v>
          </cell>
          <cell r="C2882">
            <v>68.739999999999995</v>
          </cell>
          <cell r="D2882">
            <v>13.26</v>
          </cell>
          <cell r="E2882">
            <v>6.56</v>
          </cell>
          <cell r="H2882">
            <v>45412</v>
          </cell>
          <cell r="I2882">
            <v>0.66222222222222227</v>
          </cell>
          <cell r="J2882">
            <v>32.157777777777788</v>
          </cell>
        </row>
        <row r="2883">
          <cell r="B2883">
            <v>28.3</v>
          </cell>
          <cell r="C2883">
            <v>60.8</v>
          </cell>
          <cell r="D2883">
            <v>13.46</v>
          </cell>
          <cell r="E2883">
            <v>7.39</v>
          </cell>
          <cell r="H2883">
            <v>45412</v>
          </cell>
          <cell r="I2883">
            <v>0.65888888888888886</v>
          </cell>
          <cell r="J2883">
            <v>30.185555555555556</v>
          </cell>
        </row>
        <row r="2884">
          <cell r="B2884">
            <v>27.28</v>
          </cell>
          <cell r="C2884">
            <v>56.77</v>
          </cell>
          <cell r="D2884">
            <v>13.39</v>
          </cell>
          <cell r="E2884">
            <v>7.65</v>
          </cell>
          <cell r="H2884">
            <v>45412</v>
          </cell>
          <cell r="I2884">
            <v>0.64333333333333331</v>
          </cell>
          <cell r="J2884">
            <v>28.580000000000002</v>
          </cell>
        </row>
        <row r="2885">
          <cell r="B2885">
            <v>28.45</v>
          </cell>
          <cell r="C2885">
            <v>55.25</v>
          </cell>
          <cell r="D2885">
            <v>14.33</v>
          </cell>
          <cell r="E2885">
            <v>7.33</v>
          </cell>
          <cell r="H2885">
            <v>45412</v>
          </cell>
          <cell r="I2885">
            <v>0.62666666666666659</v>
          </cell>
          <cell r="J2885">
            <v>27.577777777777776</v>
          </cell>
        </row>
        <row r="2886">
          <cell r="B2886">
            <v>29.94</v>
          </cell>
          <cell r="C2886">
            <v>60.64</v>
          </cell>
          <cell r="D2886">
            <v>14.23</v>
          </cell>
          <cell r="E2886">
            <v>7.73</v>
          </cell>
          <cell r="H2886">
            <v>45412</v>
          </cell>
          <cell r="I2886">
            <v>0.58333333333333337</v>
          </cell>
          <cell r="J2886">
            <v>27.081111111111113</v>
          </cell>
        </row>
        <row r="2887">
          <cell r="B2887">
            <v>31.72</v>
          </cell>
          <cell r="C2887">
            <v>63.3</v>
          </cell>
          <cell r="D2887">
            <v>14.45</v>
          </cell>
          <cell r="E2887">
            <v>7.89</v>
          </cell>
          <cell r="H2887">
            <v>45412</v>
          </cell>
          <cell r="I2887">
            <v>0.52666666666666662</v>
          </cell>
          <cell r="J2887">
            <v>26.723333333333333</v>
          </cell>
        </row>
        <row r="2888">
          <cell r="B2888">
            <v>37.18</v>
          </cell>
          <cell r="C2888">
            <v>72.66</v>
          </cell>
          <cell r="D2888">
            <v>13.7</v>
          </cell>
          <cell r="E2888">
            <v>7.89</v>
          </cell>
          <cell r="H2888">
            <v>45412</v>
          </cell>
          <cell r="I2888">
            <v>0.47555555555555551</v>
          </cell>
          <cell r="J2888">
            <v>26.084444444444447</v>
          </cell>
        </row>
        <row r="2889">
          <cell r="B2889">
            <v>41.49</v>
          </cell>
          <cell r="C2889">
            <v>86.44</v>
          </cell>
          <cell r="D2889">
            <v>13.66</v>
          </cell>
          <cell r="E2889">
            <v>8.1999999999999993</v>
          </cell>
          <cell r="H2889">
            <v>45412</v>
          </cell>
          <cell r="I2889">
            <v>0.46333333333333332</v>
          </cell>
          <cell r="J2889">
            <v>25.63111111111111</v>
          </cell>
        </row>
        <row r="2890">
          <cell r="B2890">
            <v>36.14</v>
          </cell>
          <cell r="C2890">
            <v>76.2</v>
          </cell>
          <cell r="D2890">
            <v>13.69</v>
          </cell>
          <cell r="E2890">
            <v>7.67</v>
          </cell>
          <cell r="H2890">
            <v>45412</v>
          </cell>
          <cell r="I2890">
            <v>0.4588888888888889</v>
          </cell>
          <cell r="J2890">
            <v>25.424444444444443</v>
          </cell>
        </row>
        <row r="2891">
          <cell r="B2891">
            <v>29.25</v>
          </cell>
          <cell r="C2891">
            <v>70.19</v>
          </cell>
          <cell r="D2891">
            <v>13.69</v>
          </cell>
          <cell r="E2891">
            <v>7.9</v>
          </cell>
          <cell r="H2891">
            <v>45412</v>
          </cell>
          <cell r="I2891">
            <v>0.46555555555555561</v>
          </cell>
          <cell r="J2891">
            <v>25.796666666666667</v>
          </cell>
        </row>
        <row r="2892">
          <cell r="B2892">
            <v>29.31</v>
          </cell>
          <cell r="C2892">
            <v>71.45</v>
          </cell>
          <cell r="D2892">
            <v>14.27</v>
          </cell>
          <cell r="E2892">
            <v>8.3800000000000008</v>
          </cell>
          <cell r="H2892">
            <v>45412</v>
          </cell>
          <cell r="I2892">
            <v>0.47444444444444439</v>
          </cell>
          <cell r="J2892">
            <v>26.423333333333332</v>
          </cell>
        </row>
        <row r="2893">
          <cell r="B2893">
            <v>30.21</v>
          </cell>
          <cell r="C2893">
            <v>79.63</v>
          </cell>
          <cell r="D2893">
            <v>17.010000000000002</v>
          </cell>
          <cell r="E2893">
            <v>8.48</v>
          </cell>
          <cell r="H2893">
            <v>45412</v>
          </cell>
          <cell r="I2893">
            <v>0.49</v>
          </cell>
          <cell r="J2893">
            <v>28.19222222222222</v>
          </cell>
        </row>
        <row r="2894">
          <cell r="B2894">
            <v>30.91</v>
          </cell>
          <cell r="C2894">
            <v>73.37</v>
          </cell>
          <cell r="D2894">
            <v>18.52</v>
          </cell>
          <cell r="E2894">
            <v>7.89</v>
          </cell>
          <cell r="H2894">
            <v>45412</v>
          </cell>
          <cell r="I2894">
            <v>0.49888888888888894</v>
          </cell>
          <cell r="J2894">
            <v>31.236666666666665</v>
          </cell>
        </row>
        <row r="2895">
          <cell r="B2895">
            <v>30.8</v>
          </cell>
          <cell r="C2895">
            <v>73.790000000000006</v>
          </cell>
          <cell r="D2895">
            <v>17.57</v>
          </cell>
          <cell r="E2895">
            <v>8.49</v>
          </cell>
          <cell r="H2895">
            <v>45412</v>
          </cell>
          <cell r="I2895">
            <v>0.50222222222222224</v>
          </cell>
          <cell r="J2895">
            <v>34.377777777777773</v>
          </cell>
        </row>
        <row r="2896">
          <cell r="B2896">
            <v>32.46</v>
          </cell>
          <cell r="C2896">
            <v>76.900000000000006</v>
          </cell>
          <cell r="D2896">
            <v>17.46</v>
          </cell>
          <cell r="E2896">
            <v>7.72</v>
          </cell>
          <cell r="H2896">
            <v>45412</v>
          </cell>
          <cell r="I2896">
            <v>0.50444444444444458</v>
          </cell>
          <cell r="J2896">
            <v>36.867777777777775</v>
          </cell>
        </row>
        <row r="2897">
          <cell r="B2897">
            <v>32.32</v>
          </cell>
          <cell r="C2897">
            <v>71.959999999999994</v>
          </cell>
          <cell r="D2897">
            <v>16.43</v>
          </cell>
          <cell r="E2897">
            <v>7.44</v>
          </cell>
          <cell r="H2897">
            <v>45412</v>
          </cell>
          <cell r="I2897">
            <v>0.51222222222222225</v>
          </cell>
          <cell r="J2897">
            <v>39.247777777777777</v>
          </cell>
        </row>
        <row r="2898">
          <cell r="B2898">
            <v>29.88</v>
          </cell>
          <cell r="C2898">
            <v>72.59</v>
          </cell>
          <cell r="D2898">
            <v>15.5</v>
          </cell>
          <cell r="E2898">
            <v>6.33</v>
          </cell>
          <cell r="H2898">
            <v>45412</v>
          </cell>
          <cell r="I2898">
            <v>0.51666666666666672</v>
          </cell>
          <cell r="J2898">
            <v>41.423333333333332</v>
          </cell>
        </row>
        <row r="2899">
          <cell r="B2899">
            <v>30.08</v>
          </cell>
          <cell r="C2899">
            <v>78.599999999999994</v>
          </cell>
          <cell r="D2899">
            <v>15.44</v>
          </cell>
          <cell r="E2899">
            <v>7.63</v>
          </cell>
          <cell r="H2899">
            <v>45412</v>
          </cell>
          <cell r="I2899">
            <v>0.52333333333333343</v>
          </cell>
          <cell r="J2899">
            <v>43.261111111111113</v>
          </cell>
        </row>
        <row r="2900">
          <cell r="B2900">
            <v>30.95</v>
          </cell>
          <cell r="C2900">
            <v>81.22</v>
          </cell>
          <cell r="D2900">
            <v>15.55</v>
          </cell>
          <cell r="E2900">
            <v>8.23</v>
          </cell>
          <cell r="H2900">
            <v>45412</v>
          </cell>
          <cell r="I2900">
            <v>0.53222222222222237</v>
          </cell>
          <cell r="J2900">
            <v>43.808888888888887</v>
          </cell>
        </row>
        <row r="2901">
          <cell r="B2901">
            <v>40.01</v>
          </cell>
          <cell r="C2901">
            <v>90.89</v>
          </cell>
          <cell r="D2901">
            <v>16.97</v>
          </cell>
          <cell r="E2901">
            <v>9.17</v>
          </cell>
          <cell r="H2901">
            <v>45412</v>
          </cell>
          <cell r="I2901">
            <v>0.54555555555555557</v>
          </cell>
          <cell r="J2901">
            <v>44.094444444444456</v>
          </cell>
        </row>
        <row r="2902">
          <cell r="B2902">
            <v>37.61</v>
          </cell>
          <cell r="C2902">
            <v>89.53</v>
          </cell>
          <cell r="D2902">
            <v>16.899999999999999</v>
          </cell>
          <cell r="E2902">
            <v>8.3800000000000008</v>
          </cell>
          <cell r="H2902">
            <v>45412</v>
          </cell>
          <cell r="I2902">
            <v>0.56111111111111123</v>
          </cell>
          <cell r="J2902">
            <v>43.091111111111118</v>
          </cell>
        </row>
        <row r="2903">
          <cell r="B2903">
            <v>34.67</v>
          </cell>
          <cell r="C2903">
            <v>86</v>
          </cell>
          <cell r="D2903">
            <v>15.04</v>
          </cell>
          <cell r="E2903">
            <v>8.3699999999999992</v>
          </cell>
          <cell r="H2903">
            <v>45412</v>
          </cell>
          <cell r="I2903">
            <v>0.56333333333333335</v>
          </cell>
          <cell r="J2903">
            <v>40.795555555555566</v>
          </cell>
        </row>
        <row r="2904">
          <cell r="B2904">
            <v>36.19</v>
          </cell>
          <cell r="C2904">
            <v>79.180000000000007</v>
          </cell>
          <cell r="D2904">
            <v>15.2</v>
          </cell>
          <cell r="E2904">
            <v>8.61</v>
          </cell>
          <cell r="H2904">
            <v>45412</v>
          </cell>
          <cell r="I2904">
            <v>0.56444444444444442</v>
          </cell>
          <cell r="J2904">
            <v>38.448888888888888</v>
          </cell>
        </row>
        <row r="2905">
          <cell r="B2905">
            <v>54</v>
          </cell>
          <cell r="C2905">
            <v>85.61</v>
          </cell>
          <cell r="D2905">
            <v>15.09</v>
          </cell>
          <cell r="E2905">
            <v>8.36</v>
          </cell>
          <cell r="H2905">
            <v>45412</v>
          </cell>
          <cell r="I2905">
            <v>0.56000000000000005</v>
          </cell>
          <cell r="J2905">
            <v>36.617777777777775</v>
          </cell>
        </row>
        <row r="2906">
          <cell r="B2906">
            <v>83.56</v>
          </cell>
          <cell r="C2906">
            <v>124.88</v>
          </cell>
          <cell r="D2906">
            <v>13.59</v>
          </cell>
          <cell r="E2906">
            <v>7.42</v>
          </cell>
          <cell r="H2906">
            <v>45413</v>
          </cell>
          <cell r="I2906">
            <v>0.5411111111111111</v>
          </cell>
          <cell r="J2906">
            <v>34.614444444444445</v>
          </cell>
        </row>
        <row r="2907">
          <cell r="B2907">
            <v>42.82</v>
          </cell>
          <cell r="C2907">
            <v>87.53</v>
          </cell>
          <cell r="D2907">
            <v>13.11</v>
          </cell>
          <cell r="E2907">
            <v>6.54</v>
          </cell>
          <cell r="H2907">
            <v>45413</v>
          </cell>
          <cell r="I2907">
            <v>0.52888888888888885</v>
          </cell>
          <cell r="J2907">
            <v>32.510000000000005</v>
          </cell>
        </row>
        <row r="2908">
          <cell r="B2908">
            <v>41.1</v>
          </cell>
          <cell r="C2908">
            <v>78.53</v>
          </cell>
          <cell r="D2908">
            <v>12.65</v>
          </cell>
          <cell r="E2908">
            <v>6.19</v>
          </cell>
          <cell r="H2908">
            <v>45413</v>
          </cell>
          <cell r="I2908">
            <v>0.5133333333333332</v>
          </cell>
          <cell r="J2908">
            <v>30.523333333333337</v>
          </cell>
        </row>
        <row r="2909">
          <cell r="B2909">
            <v>38.46</v>
          </cell>
          <cell r="C2909">
            <v>78.16</v>
          </cell>
          <cell r="D2909">
            <v>13.55</v>
          </cell>
          <cell r="E2909">
            <v>6.36</v>
          </cell>
          <cell r="H2909">
            <v>45413</v>
          </cell>
          <cell r="I2909">
            <v>0.49444444444444446</v>
          </cell>
          <cell r="J2909">
            <v>29.262222222222231</v>
          </cell>
        </row>
        <row r="2910">
          <cell r="B2910">
            <v>37.19</v>
          </cell>
          <cell r="C2910">
            <v>79.819999999999993</v>
          </cell>
          <cell r="D2910">
            <v>14.21</v>
          </cell>
          <cell r="E2910">
            <v>6.4</v>
          </cell>
          <cell r="H2910">
            <v>45413</v>
          </cell>
          <cell r="I2910">
            <v>0.47000000000000003</v>
          </cell>
          <cell r="J2910">
            <v>28.103333333333335</v>
          </cell>
        </row>
        <row r="2911">
          <cell r="B2911">
            <v>39.450000000000003</v>
          </cell>
          <cell r="C2911">
            <v>74.89</v>
          </cell>
          <cell r="D2911">
            <v>14.12</v>
          </cell>
          <cell r="E2911">
            <v>5.54</v>
          </cell>
          <cell r="H2911">
            <v>45413</v>
          </cell>
          <cell r="I2911">
            <v>0.43888888888888888</v>
          </cell>
          <cell r="J2911">
            <v>27.140000000000004</v>
          </cell>
        </row>
        <row r="2912">
          <cell r="B2912">
            <v>37.81</v>
          </cell>
          <cell r="C2912">
            <v>76.2</v>
          </cell>
          <cell r="D2912">
            <v>14.15</v>
          </cell>
          <cell r="E2912">
            <v>8.14</v>
          </cell>
          <cell r="H2912">
            <v>45413</v>
          </cell>
          <cell r="I2912">
            <v>0.42444444444444446</v>
          </cell>
          <cell r="J2912">
            <v>26.35</v>
          </cell>
        </row>
        <row r="2913">
          <cell r="B2913">
            <v>37.26</v>
          </cell>
          <cell r="C2913">
            <v>81.209999999999994</v>
          </cell>
          <cell r="D2913">
            <v>14.58</v>
          </cell>
          <cell r="E2913">
            <v>8.3000000000000007</v>
          </cell>
          <cell r="H2913">
            <v>45413</v>
          </cell>
          <cell r="I2913">
            <v>0.41666666666666669</v>
          </cell>
          <cell r="J2913">
            <v>25.632222222222225</v>
          </cell>
        </row>
        <row r="2914">
          <cell r="B2914">
            <v>62.13</v>
          </cell>
          <cell r="C2914">
            <v>87.72</v>
          </cell>
          <cell r="D2914">
            <v>13.97</v>
          </cell>
          <cell r="E2914">
            <v>8.43</v>
          </cell>
          <cell r="H2914">
            <v>45413</v>
          </cell>
          <cell r="I2914">
            <v>0.41333333333333339</v>
          </cell>
          <cell r="J2914">
            <v>25.266666666666666</v>
          </cell>
        </row>
        <row r="2915">
          <cell r="B2915">
            <v>118.94</v>
          </cell>
          <cell r="C2915">
            <v>81.95</v>
          </cell>
          <cell r="D2915">
            <v>14.1</v>
          </cell>
          <cell r="E2915">
            <v>9.16</v>
          </cell>
          <cell r="H2915">
            <v>45413</v>
          </cell>
          <cell r="I2915">
            <v>0.42333333333333328</v>
          </cell>
          <cell r="J2915">
            <v>25.62222222222222</v>
          </cell>
        </row>
        <row r="2916">
          <cell r="B2916">
            <v>126.45</v>
          </cell>
          <cell r="C2916">
            <v>76.209999999999994</v>
          </cell>
          <cell r="D2916">
            <v>14.16</v>
          </cell>
          <cell r="E2916">
            <v>8.82</v>
          </cell>
          <cell r="H2916">
            <v>45413</v>
          </cell>
          <cell r="I2916">
            <v>0.42888888888888888</v>
          </cell>
          <cell r="J2916">
            <v>26.103333333333332</v>
          </cell>
        </row>
        <row r="2917">
          <cell r="B2917">
            <v>93.92</v>
          </cell>
          <cell r="C2917">
            <v>70.569999999999993</v>
          </cell>
          <cell r="D2917">
            <v>14.91</v>
          </cell>
          <cell r="E2917">
            <v>9.67</v>
          </cell>
          <cell r="H2917">
            <v>45413</v>
          </cell>
          <cell r="I2917">
            <v>0.43777777777777782</v>
          </cell>
          <cell r="J2917">
            <v>26.903333333333332</v>
          </cell>
        </row>
        <row r="2918">
          <cell r="B2918">
            <v>31.36</v>
          </cell>
          <cell r="C2918">
            <v>65.45</v>
          </cell>
          <cell r="D2918">
            <v>16.29</v>
          </cell>
          <cell r="E2918">
            <v>9.1199999999999992</v>
          </cell>
          <cell r="H2918">
            <v>45413</v>
          </cell>
          <cell r="I2918">
            <v>0.44777777777777783</v>
          </cell>
          <cell r="J2918">
            <v>27.9</v>
          </cell>
        </row>
        <row r="2919">
          <cell r="B2919">
            <v>33.090000000000003</v>
          </cell>
          <cell r="C2919">
            <v>67.66</v>
          </cell>
          <cell r="D2919">
            <v>16.010000000000002</v>
          </cell>
          <cell r="E2919">
            <v>9.36</v>
          </cell>
          <cell r="H2919">
            <v>45413</v>
          </cell>
          <cell r="I2919">
            <v>0.45999999999999996</v>
          </cell>
          <cell r="J2919">
            <v>29.461111111111109</v>
          </cell>
        </row>
        <row r="2920">
          <cell r="B2920">
            <v>30.98</v>
          </cell>
          <cell r="C2920">
            <v>63.84</v>
          </cell>
          <cell r="D2920">
            <v>16.11</v>
          </cell>
          <cell r="E2920">
            <v>9.66</v>
          </cell>
          <cell r="H2920">
            <v>45413</v>
          </cell>
          <cell r="I2920">
            <v>0.46888888888888886</v>
          </cell>
          <cell r="J2920">
            <v>31.652222222222221</v>
          </cell>
        </row>
        <row r="2921">
          <cell r="B2921">
            <v>31.34</v>
          </cell>
          <cell r="C2921">
            <v>65.75</v>
          </cell>
          <cell r="D2921">
            <v>15.5</v>
          </cell>
          <cell r="E2921">
            <v>10.41</v>
          </cell>
          <cell r="H2921">
            <v>45413</v>
          </cell>
          <cell r="I2921">
            <v>0.47444444444444439</v>
          </cell>
          <cell r="J2921">
            <v>34.460000000000008</v>
          </cell>
        </row>
        <row r="2922">
          <cell r="B2922">
            <v>32.78</v>
          </cell>
          <cell r="C2922">
            <v>68.34</v>
          </cell>
          <cell r="D2922">
            <v>15.77</v>
          </cell>
          <cell r="E2922">
            <v>9.61</v>
          </cell>
          <cell r="H2922">
            <v>45413</v>
          </cell>
          <cell r="I2922">
            <v>0.47666666666666668</v>
          </cell>
          <cell r="J2922">
            <v>37.401111111111113</v>
          </cell>
        </row>
        <row r="2923">
          <cell r="B2923">
            <v>31.74</v>
          </cell>
          <cell r="C2923">
            <v>76.09</v>
          </cell>
          <cell r="D2923">
            <v>15.32</v>
          </cell>
          <cell r="E2923">
            <v>8.1</v>
          </cell>
          <cell r="H2923">
            <v>45413</v>
          </cell>
          <cell r="I2923">
            <v>0.4844444444444444</v>
          </cell>
          <cell r="J2923">
            <v>40.028888888888886</v>
          </cell>
        </row>
        <row r="2924">
          <cell r="B2924">
            <v>37.18</v>
          </cell>
          <cell r="C2924">
            <v>97.57</v>
          </cell>
          <cell r="D2924">
            <v>16.78</v>
          </cell>
          <cell r="E2924">
            <v>9.32</v>
          </cell>
          <cell r="H2924">
            <v>45413</v>
          </cell>
          <cell r="I2924">
            <v>0.52444444444444438</v>
          </cell>
          <cell r="J2924">
            <v>41.481111111111112</v>
          </cell>
        </row>
        <row r="2925">
          <cell r="B2925">
            <v>51.6</v>
          </cell>
          <cell r="C2925">
            <v>141.77000000000001</v>
          </cell>
          <cell r="D2925">
            <v>19.78</v>
          </cell>
          <cell r="E2925">
            <v>9.09</v>
          </cell>
          <cell r="H2925">
            <v>45413</v>
          </cell>
          <cell r="I2925">
            <v>0.60666666666666658</v>
          </cell>
          <cell r="J2925">
            <v>41.504444444444438</v>
          </cell>
        </row>
        <row r="2926">
          <cell r="B2926">
            <v>67.61</v>
          </cell>
          <cell r="C2926">
            <v>167.14</v>
          </cell>
          <cell r="D2926">
            <v>30.44</v>
          </cell>
          <cell r="E2926">
            <v>11</v>
          </cell>
          <cell r="H2926">
            <v>45413</v>
          </cell>
          <cell r="I2926">
            <v>0.77</v>
          </cell>
          <cell r="J2926">
            <v>40.599999999999994</v>
          </cell>
        </row>
        <row r="2927">
          <cell r="B2927">
            <v>86.75</v>
          </cell>
          <cell r="C2927">
            <v>201.36</v>
          </cell>
          <cell r="D2927">
            <v>32.049999999999997</v>
          </cell>
          <cell r="E2927">
            <v>12.02</v>
          </cell>
          <cell r="H2927">
            <v>45413</v>
          </cell>
          <cell r="I2927">
            <v>0.95777777777777773</v>
          </cell>
          <cell r="J2927">
            <v>39.218888888888884</v>
          </cell>
        </row>
        <row r="2928">
          <cell r="B2928">
            <v>73.12</v>
          </cell>
          <cell r="C2928">
            <v>170.99</v>
          </cell>
          <cell r="D2928">
            <v>20.149999999999999</v>
          </cell>
          <cell r="E2928">
            <v>12.13</v>
          </cell>
          <cell r="H2928">
            <v>45413</v>
          </cell>
          <cell r="I2928">
            <v>1.0122222222222221</v>
          </cell>
          <cell r="J2928">
            <v>38.069999999999993</v>
          </cell>
        </row>
        <row r="2929">
          <cell r="B2929">
            <v>51.9</v>
          </cell>
          <cell r="C2929">
            <v>129.46</v>
          </cell>
          <cell r="D2929">
            <v>14.57</v>
          </cell>
          <cell r="E2929">
            <v>9.0500000000000007</v>
          </cell>
          <cell r="H2929">
            <v>45413</v>
          </cell>
          <cell r="I2929">
            <v>1.0188888888888887</v>
          </cell>
          <cell r="J2929">
            <v>36.049999999999997</v>
          </cell>
        </row>
        <row r="2930">
          <cell r="B2930">
            <v>50.34</v>
          </cell>
          <cell r="C2930">
            <v>97.41</v>
          </cell>
          <cell r="D2930">
            <v>14.24</v>
          </cell>
          <cell r="E2930">
            <v>9.42</v>
          </cell>
          <cell r="H2930">
            <v>45414</v>
          </cell>
          <cell r="I2930">
            <v>1.0166666666666666</v>
          </cell>
          <cell r="J2930">
            <v>33.496666666666663</v>
          </cell>
        </row>
        <row r="2931">
          <cell r="B2931">
            <v>41.48</v>
          </cell>
          <cell r="C2931">
            <v>82.22</v>
          </cell>
          <cell r="D2931">
            <v>13.95</v>
          </cell>
          <cell r="E2931">
            <v>6.2</v>
          </cell>
          <cell r="H2931">
            <v>45414</v>
          </cell>
          <cell r="I2931">
            <v>1.01</v>
          </cell>
          <cell r="J2931">
            <v>30.677777777777781</v>
          </cell>
        </row>
        <row r="2932">
          <cell r="B2932">
            <v>35.299999999999997</v>
          </cell>
          <cell r="C2932">
            <v>83.16</v>
          </cell>
          <cell r="D2932">
            <v>13.62</v>
          </cell>
          <cell r="E2932">
            <v>5.32</v>
          </cell>
          <cell r="H2932">
            <v>45414</v>
          </cell>
          <cell r="I2932">
            <v>0.99888888888888894</v>
          </cell>
          <cell r="J2932">
            <v>27.988888888888891</v>
          </cell>
        </row>
        <row r="2933">
          <cell r="B2933">
            <v>36.270000000000003</v>
          </cell>
          <cell r="C2933">
            <v>82.8</v>
          </cell>
          <cell r="D2933">
            <v>13.65</v>
          </cell>
          <cell r="E2933">
            <v>5.58</v>
          </cell>
          <cell r="H2933">
            <v>45414</v>
          </cell>
          <cell r="I2933">
            <v>0.95333333333333337</v>
          </cell>
          <cell r="J2933">
            <v>26.151111111111113</v>
          </cell>
        </row>
        <row r="2934">
          <cell r="B2934">
            <v>39.630000000000003</v>
          </cell>
          <cell r="C2934">
            <v>82.76</v>
          </cell>
          <cell r="D2934">
            <v>13.74</v>
          </cell>
          <cell r="E2934">
            <v>5.51</v>
          </cell>
          <cell r="H2934">
            <v>45414</v>
          </cell>
          <cell r="I2934">
            <v>0.86222222222222222</v>
          </cell>
          <cell r="J2934">
            <v>25.613333333333333</v>
          </cell>
        </row>
        <row r="2935">
          <cell r="B2935">
            <v>38.35</v>
          </cell>
          <cell r="C2935">
            <v>77.87</v>
          </cell>
          <cell r="D2935">
            <v>14.12</v>
          </cell>
          <cell r="E2935">
            <v>6.92</v>
          </cell>
          <cell r="H2935">
            <v>45414</v>
          </cell>
          <cell r="I2935">
            <v>0.69777777777777772</v>
          </cell>
          <cell r="J2935">
            <v>25.66</v>
          </cell>
        </row>
        <row r="2936">
          <cell r="B2936">
            <v>37.770000000000003</v>
          </cell>
          <cell r="C2936">
            <v>81.22</v>
          </cell>
          <cell r="D2936">
            <v>13.19</v>
          </cell>
          <cell r="E2936">
            <v>6.13</v>
          </cell>
          <cell r="H2936">
            <v>45414</v>
          </cell>
          <cell r="I2936">
            <v>0.50444444444444447</v>
          </cell>
          <cell r="J2936">
            <v>25.928888888888892</v>
          </cell>
        </row>
        <row r="2937">
          <cell r="B2937">
            <v>38.85</v>
          </cell>
          <cell r="C2937">
            <v>84.81</v>
          </cell>
          <cell r="D2937">
            <v>14.88</v>
          </cell>
          <cell r="E2937">
            <v>6.36</v>
          </cell>
          <cell r="H2937">
            <v>45414</v>
          </cell>
          <cell r="I2937">
            <v>0.45111111111111118</v>
          </cell>
          <cell r="J2937">
            <v>25.527777777777782</v>
          </cell>
        </row>
        <row r="2938">
          <cell r="B2938">
            <v>38.200000000000003</v>
          </cell>
          <cell r="C2938">
            <v>83.38</v>
          </cell>
          <cell r="D2938">
            <v>15.44</v>
          </cell>
          <cell r="E2938">
            <v>6.41</v>
          </cell>
          <cell r="H2938">
            <v>45414</v>
          </cell>
          <cell r="I2938">
            <v>0.44999999999999996</v>
          </cell>
          <cell r="J2938">
            <v>25.596666666666668</v>
          </cell>
        </row>
        <row r="2939">
          <cell r="B2939">
            <v>33.869999999999997</v>
          </cell>
          <cell r="C2939">
            <v>78.52</v>
          </cell>
          <cell r="D2939">
            <v>14.79</v>
          </cell>
          <cell r="E2939">
            <v>6.6</v>
          </cell>
          <cell r="H2939">
            <v>45414</v>
          </cell>
          <cell r="I2939">
            <v>0.45222222222222225</v>
          </cell>
          <cell r="J2939">
            <v>26.306666666666665</v>
          </cell>
        </row>
        <row r="2940">
          <cell r="B2940">
            <v>34.29</v>
          </cell>
          <cell r="C2940">
            <v>80.239999999999995</v>
          </cell>
          <cell r="D2940">
            <v>16.18</v>
          </cell>
          <cell r="E2940">
            <v>7.21</v>
          </cell>
          <cell r="H2940">
            <v>45414</v>
          </cell>
          <cell r="I2940">
            <v>0.4655555555555555</v>
          </cell>
          <cell r="J2940">
            <v>27.705555555555559</v>
          </cell>
        </row>
        <row r="2941">
          <cell r="B2941">
            <v>37.090000000000003</v>
          </cell>
          <cell r="C2941">
            <v>81.81</v>
          </cell>
          <cell r="D2941">
            <v>17.88</v>
          </cell>
          <cell r="E2941">
            <v>7.79</v>
          </cell>
          <cell r="H2941">
            <v>45414</v>
          </cell>
          <cell r="I2941">
            <v>0.48333333333333328</v>
          </cell>
          <cell r="J2941">
            <v>29.80222222222222</v>
          </cell>
        </row>
        <row r="2942">
          <cell r="B2942">
            <v>42.19</v>
          </cell>
          <cell r="C2942">
            <v>92.79</v>
          </cell>
          <cell r="D2942">
            <v>13.95</v>
          </cell>
          <cell r="E2942">
            <v>7.81</v>
          </cell>
          <cell r="H2942">
            <v>45414</v>
          </cell>
          <cell r="I2942">
            <v>0.5</v>
          </cell>
          <cell r="J2942">
            <v>31.864444444444448</v>
          </cell>
        </row>
        <row r="2943">
          <cell r="B2943">
            <v>50.11</v>
          </cell>
          <cell r="C2943">
            <v>96.33</v>
          </cell>
          <cell r="D2943">
            <v>15.13</v>
          </cell>
          <cell r="E2943">
            <v>7.3</v>
          </cell>
          <cell r="H2943">
            <v>45414</v>
          </cell>
          <cell r="I2943">
            <v>0.52888888888888896</v>
          </cell>
          <cell r="J2943">
            <v>34.022222222222226</v>
          </cell>
        </row>
        <row r="2944">
          <cell r="B2944">
            <v>41.53</v>
          </cell>
          <cell r="C2944">
            <v>93.04</v>
          </cell>
          <cell r="D2944">
            <v>15.72</v>
          </cell>
          <cell r="E2944">
            <v>8.2799999999999994</v>
          </cell>
          <cell r="H2944">
            <v>45414</v>
          </cell>
          <cell r="I2944">
            <v>0.54888888888888887</v>
          </cell>
          <cell r="J2944">
            <v>36.498888888888899</v>
          </cell>
        </row>
        <row r="2945">
          <cell r="B2945">
            <v>40.98</v>
          </cell>
          <cell r="C2945">
            <v>91.24</v>
          </cell>
          <cell r="D2945">
            <v>17.12</v>
          </cell>
          <cell r="E2945">
            <v>8.44</v>
          </cell>
          <cell r="H2945">
            <v>45414</v>
          </cell>
          <cell r="I2945">
            <v>0.56666666666666676</v>
          </cell>
          <cell r="J2945">
            <v>38.988888888888894</v>
          </cell>
        </row>
        <row r="2946">
          <cell r="B2946">
            <v>40.08</v>
          </cell>
          <cell r="C2946">
            <v>92.55</v>
          </cell>
          <cell r="D2946">
            <v>17.55</v>
          </cell>
          <cell r="E2946">
            <v>8</v>
          </cell>
          <cell r="H2946">
            <v>45414</v>
          </cell>
          <cell r="I2946">
            <v>0.5855555555555555</v>
          </cell>
          <cell r="J2946">
            <v>42.547777777777782</v>
          </cell>
        </row>
        <row r="2947">
          <cell r="B2947">
            <v>45.81</v>
          </cell>
          <cell r="C2947">
            <v>93.65</v>
          </cell>
          <cell r="D2947">
            <v>15.26</v>
          </cell>
          <cell r="E2947">
            <v>8.1199999999999992</v>
          </cell>
          <cell r="H2947">
            <v>45414</v>
          </cell>
          <cell r="I2947">
            <v>0.59333333333333327</v>
          </cell>
          <cell r="J2947">
            <v>44.962222222222216</v>
          </cell>
        </row>
        <row r="2948">
          <cell r="B2948">
            <v>48.51</v>
          </cell>
          <cell r="C2948">
            <v>117.78</v>
          </cell>
          <cell r="D2948">
            <v>15.18</v>
          </cell>
          <cell r="E2948">
            <v>8.4</v>
          </cell>
          <cell r="H2948">
            <v>45414</v>
          </cell>
          <cell r="I2948">
            <v>0.61888888888888882</v>
          </cell>
          <cell r="J2948">
            <v>45.944444444444443</v>
          </cell>
        </row>
        <row r="2949">
          <cell r="B2949">
            <v>86.99</v>
          </cell>
          <cell r="C2949">
            <v>178.35</v>
          </cell>
          <cell r="D2949">
            <v>14</v>
          </cell>
          <cell r="E2949">
            <v>8.09</v>
          </cell>
          <cell r="H2949">
            <v>45414</v>
          </cell>
          <cell r="I2949">
            <v>0.62333333333333329</v>
          </cell>
          <cell r="J2949">
            <v>44.791111111111114</v>
          </cell>
        </row>
        <row r="2950">
          <cell r="B2950">
            <v>88.64</v>
          </cell>
          <cell r="C2950">
            <v>150.80000000000001</v>
          </cell>
          <cell r="D2950">
            <v>16.75</v>
          </cell>
          <cell r="E2950">
            <v>6.02</v>
          </cell>
          <cell r="H2950">
            <v>45414</v>
          </cell>
          <cell r="I2950">
            <v>0.64444444444444438</v>
          </cell>
          <cell r="J2950">
            <v>43.027777777777779</v>
          </cell>
        </row>
        <row r="2951">
          <cell r="B2951">
            <v>46.76</v>
          </cell>
          <cell r="C2951">
            <v>92.76</v>
          </cell>
          <cell r="D2951">
            <v>15.67</v>
          </cell>
          <cell r="E2951">
            <v>10.25</v>
          </cell>
          <cell r="H2951">
            <v>45414</v>
          </cell>
          <cell r="I2951">
            <v>0.6677777777777778</v>
          </cell>
          <cell r="J2951">
            <v>41.016666666666666</v>
          </cell>
        </row>
        <row r="2952">
          <cell r="B2952">
            <v>38.659999999999997</v>
          </cell>
          <cell r="C2952">
            <v>92.22</v>
          </cell>
          <cell r="D2952">
            <v>17.45</v>
          </cell>
          <cell r="E2952">
            <v>10.68</v>
          </cell>
          <cell r="H2952">
            <v>45414</v>
          </cell>
          <cell r="I2952">
            <v>0.7088888888888889</v>
          </cell>
          <cell r="J2952">
            <v>38.761111111111106</v>
          </cell>
        </row>
        <row r="2953">
          <cell r="B2953">
            <v>38.22</v>
          </cell>
          <cell r="C2953">
            <v>98.04</v>
          </cell>
          <cell r="D2953">
            <v>16.850000000000001</v>
          </cell>
          <cell r="E2953">
            <v>11.24</v>
          </cell>
          <cell r="H2953">
            <v>45414</v>
          </cell>
          <cell r="I2953">
            <v>0.7222222222222221</v>
          </cell>
          <cell r="J2953">
            <v>36.434444444444445</v>
          </cell>
        </row>
        <row r="2954">
          <cell r="B2954">
            <v>42.18</v>
          </cell>
          <cell r="C2954">
            <v>87.24</v>
          </cell>
          <cell r="D2954">
            <v>15.75</v>
          </cell>
          <cell r="E2954">
            <v>11.3</v>
          </cell>
          <cell r="H2954">
            <v>45415</v>
          </cell>
          <cell r="I2954">
            <v>0.73333333333333328</v>
          </cell>
          <cell r="J2954">
            <v>34.023333333333341</v>
          </cell>
        </row>
        <row r="2955">
          <cell r="B2955">
            <v>45.33</v>
          </cell>
          <cell r="C2955">
            <v>96.01</v>
          </cell>
          <cell r="D2955">
            <v>14.21</v>
          </cell>
          <cell r="E2955">
            <v>7.19</v>
          </cell>
          <cell r="H2955">
            <v>45415</v>
          </cell>
          <cell r="I2955">
            <v>0.72333333333333327</v>
          </cell>
          <cell r="J2955">
            <v>30.681111111111111</v>
          </cell>
        </row>
        <row r="2956">
          <cell r="B2956">
            <v>37.58</v>
          </cell>
          <cell r="C2956">
            <v>84.95</v>
          </cell>
          <cell r="D2956">
            <v>12.51</v>
          </cell>
          <cell r="E2956">
            <v>6.33</v>
          </cell>
          <cell r="H2956">
            <v>45415</v>
          </cell>
          <cell r="I2956">
            <v>0.71111111111111114</v>
          </cell>
          <cell r="J2956">
            <v>28.333333333333329</v>
          </cell>
        </row>
        <row r="2957">
          <cell r="B2957">
            <v>36.619999999999997</v>
          </cell>
          <cell r="C2957">
            <v>78.400000000000006</v>
          </cell>
          <cell r="D2957">
            <v>13.05</v>
          </cell>
          <cell r="E2957">
            <v>6.6</v>
          </cell>
          <cell r="H2957">
            <v>45415</v>
          </cell>
          <cell r="I2957">
            <v>0.68777777777777771</v>
          </cell>
          <cell r="J2957">
            <v>26.86</v>
          </cell>
        </row>
        <row r="2958">
          <cell r="B2958">
            <v>37.56</v>
          </cell>
          <cell r="C2958">
            <v>74.7</v>
          </cell>
          <cell r="D2958">
            <v>13.27</v>
          </cell>
          <cell r="E2958">
            <v>6.7</v>
          </cell>
          <cell r="H2958">
            <v>45415</v>
          </cell>
          <cell r="I2958">
            <v>0.68111111111111111</v>
          </cell>
          <cell r="J2958">
            <v>26.56111111111111</v>
          </cell>
        </row>
        <row r="2959">
          <cell r="B2959">
            <v>43.41</v>
          </cell>
          <cell r="C2959">
            <v>80.31</v>
          </cell>
          <cell r="D2959">
            <v>13.3</v>
          </cell>
          <cell r="E2959">
            <v>6.8</v>
          </cell>
          <cell r="H2959">
            <v>45415</v>
          </cell>
          <cell r="I2959">
            <v>0.6544444444444445</v>
          </cell>
          <cell r="J2959">
            <v>26.046666666666667</v>
          </cell>
        </row>
        <row r="2960">
          <cell r="B2960">
            <v>50.41</v>
          </cell>
          <cell r="C2960">
            <v>94.66</v>
          </cell>
          <cell r="D2960">
            <v>13.38</v>
          </cell>
          <cell r="E2960">
            <v>6.15</v>
          </cell>
          <cell r="H2960">
            <v>45415</v>
          </cell>
          <cell r="I2960">
            <v>0.62555555555555564</v>
          </cell>
          <cell r="J2960">
            <v>25.785555555555554</v>
          </cell>
        </row>
        <row r="2961">
          <cell r="B2961">
            <v>46.77</v>
          </cell>
          <cell r="C2961">
            <v>100.17</v>
          </cell>
          <cell r="D2961">
            <v>12.84</v>
          </cell>
          <cell r="E2961">
            <v>6.11</v>
          </cell>
          <cell r="H2961">
            <v>45415</v>
          </cell>
          <cell r="I2961">
            <v>0.57444444444444454</v>
          </cell>
          <cell r="J2961">
            <v>25.78</v>
          </cell>
        </row>
        <row r="2962">
          <cell r="B2962">
            <v>48.16</v>
          </cell>
          <cell r="C2962">
            <v>102.46</v>
          </cell>
          <cell r="D2962">
            <v>13.16</v>
          </cell>
          <cell r="E2962">
            <v>6.56</v>
          </cell>
          <cell r="H2962">
            <v>45415</v>
          </cell>
          <cell r="I2962">
            <v>0.5477777777777777</v>
          </cell>
          <cell r="J2962">
            <v>25.906666666666666</v>
          </cell>
        </row>
        <row r="2963">
          <cell r="B2963">
            <v>43.79</v>
          </cell>
          <cell r="C2963">
            <v>96.31</v>
          </cell>
          <cell r="D2963">
            <v>15.5</v>
          </cell>
          <cell r="E2963">
            <v>6.09</v>
          </cell>
          <cell r="H2963">
            <v>45415</v>
          </cell>
          <cell r="I2963">
            <v>0.5277777777777779</v>
          </cell>
          <cell r="J2963">
            <v>26.607777777777777</v>
          </cell>
        </row>
        <row r="2964">
          <cell r="B2964">
            <v>37.1</v>
          </cell>
          <cell r="C2964">
            <v>86.85</v>
          </cell>
          <cell r="D2964">
            <v>16.46</v>
          </cell>
          <cell r="E2964">
            <v>6.89</v>
          </cell>
          <cell r="H2964">
            <v>45415</v>
          </cell>
          <cell r="I2964">
            <v>0.52333333333333321</v>
          </cell>
          <cell r="J2964">
            <v>27.772222222222226</v>
          </cell>
        </row>
        <row r="2965">
          <cell r="B2965">
            <v>31.39</v>
          </cell>
          <cell r="C2965">
            <v>70.989999999999995</v>
          </cell>
          <cell r="D2965">
            <v>15.19</v>
          </cell>
          <cell r="E2965">
            <v>6.67</v>
          </cell>
          <cell r="H2965">
            <v>45415</v>
          </cell>
          <cell r="I2965">
            <v>0.52555555555555555</v>
          </cell>
          <cell r="J2965">
            <v>28.917777777777776</v>
          </cell>
        </row>
        <row r="2966">
          <cell r="B2966">
            <v>30.94</v>
          </cell>
          <cell r="C2966">
            <v>70.540000000000006</v>
          </cell>
          <cell r="D2966">
            <v>15.53</v>
          </cell>
          <cell r="E2966">
            <v>7.06</v>
          </cell>
          <cell r="H2966">
            <v>45415</v>
          </cell>
          <cell r="I2966">
            <v>0.52111111111111119</v>
          </cell>
          <cell r="J2966">
            <v>30.168888888888894</v>
          </cell>
        </row>
        <row r="2967">
          <cell r="B2967">
            <v>75.760000000000005</v>
          </cell>
          <cell r="C2967">
            <v>100.79</v>
          </cell>
          <cell r="D2967">
            <v>16.260000000000002</v>
          </cell>
          <cell r="E2967">
            <v>8.52</v>
          </cell>
          <cell r="H2967">
            <v>45415</v>
          </cell>
          <cell r="I2967">
            <v>0.52333333333333332</v>
          </cell>
          <cell r="J2967">
            <v>32.071111111111108</v>
          </cell>
        </row>
        <row r="2968">
          <cell r="B2968">
            <v>104.71</v>
          </cell>
          <cell r="C2968">
            <v>73.22</v>
          </cell>
          <cell r="D2968">
            <v>14.28</v>
          </cell>
          <cell r="E2968">
            <v>8.4</v>
          </cell>
          <cell r="H2968">
            <v>45415</v>
          </cell>
          <cell r="I2968">
            <v>0.52999999999999992</v>
          </cell>
          <cell r="J2968">
            <v>33.99111111111111</v>
          </cell>
        </row>
        <row r="2969">
          <cell r="B2969">
            <v>34.51</v>
          </cell>
          <cell r="C2969">
            <v>86.61</v>
          </cell>
          <cell r="D2969">
            <v>11.55</v>
          </cell>
          <cell r="E2969">
            <v>7.76</v>
          </cell>
          <cell r="H2969">
            <v>45415</v>
          </cell>
          <cell r="I2969">
            <v>0.53333333333333333</v>
          </cell>
          <cell r="J2969">
            <v>34.722222222222221</v>
          </cell>
        </row>
        <row r="2970">
          <cell r="B2970">
            <v>83.82</v>
          </cell>
          <cell r="C2970">
            <v>62.52</v>
          </cell>
          <cell r="D2970">
            <v>12.65</v>
          </cell>
          <cell r="E2970">
            <v>8.32</v>
          </cell>
          <cell r="H2970">
            <v>45415</v>
          </cell>
          <cell r="I2970">
            <v>0.54333333333333333</v>
          </cell>
          <cell r="J2970">
            <v>35.56666666666667</v>
          </cell>
        </row>
        <row r="2971">
          <cell r="B2971">
            <v>34.450000000000003</v>
          </cell>
          <cell r="C2971">
            <v>65.63</v>
          </cell>
          <cell r="D2971">
            <v>14.12</v>
          </cell>
          <cell r="E2971">
            <v>7.76</v>
          </cell>
          <cell r="H2971">
            <v>45415</v>
          </cell>
          <cell r="I2971">
            <v>0.56111111111111112</v>
          </cell>
          <cell r="J2971">
            <v>35.77000000000001</v>
          </cell>
        </row>
        <row r="2972">
          <cell r="B2972">
            <v>31.85</v>
          </cell>
          <cell r="C2972">
            <v>66.08</v>
          </cell>
          <cell r="D2972">
            <v>14.35</v>
          </cell>
          <cell r="E2972">
            <v>7.36</v>
          </cell>
          <cell r="H2972">
            <v>45415</v>
          </cell>
          <cell r="I2972">
            <v>0.57444444444444442</v>
          </cell>
          <cell r="J2972">
            <v>35.468888888888891</v>
          </cell>
        </row>
        <row r="2973">
          <cell r="B2973">
            <v>29.62</v>
          </cell>
          <cell r="C2973">
            <v>60.84</v>
          </cell>
          <cell r="D2973">
            <v>14.63</v>
          </cell>
          <cell r="E2973">
            <v>7.71</v>
          </cell>
          <cell r="H2973">
            <v>45415</v>
          </cell>
          <cell r="I2973">
            <v>0.59888888888888892</v>
          </cell>
          <cell r="J2973">
            <v>34.25888888888889</v>
          </cell>
        </row>
        <row r="2974">
          <cell r="B2974">
            <v>31.92</v>
          </cell>
          <cell r="C2974">
            <v>62.83</v>
          </cell>
          <cell r="D2974">
            <v>16.079999999999998</v>
          </cell>
          <cell r="E2974">
            <v>7.72</v>
          </cell>
          <cell r="H2974">
            <v>45415</v>
          </cell>
          <cell r="I2974">
            <v>0.65222222222222237</v>
          </cell>
          <cell r="J2974">
            <v>32.425555555555555</v>
          </cell>
        </row>
        <row r="2975">
          <cell r="B2975">
            <v>32.200000000000003</v>
          </cell>
          <cell r="C2975">
            <v>69.709999999999994</v>
          </cell>
          <cell r="D2975">
            <v>15.38</v>
          </cell>
          <cell r="E2975">
            <v>7.55</v>
          </cell>
          <cell r="H2975">
            <v>45415</v>
          </cell>
          <cell r="I2975">
            <v>0.68333333333333335</v>
          </cell>
          <cell r="J2975">
            <v>30.294444444444441</v>
          </cell>
        </row>
        <row r="2976">
          <cell r="B2976">
            <v>34.74</v>
          </cell>
          <cell r="C2976">
            <v>66.81</v>
          </cell>
          <cell r="D2976">
            <v>13.91</v>
          </cell>
          <cell r="E2976">
            <v>6.95</v>
          </cell>
          <cell r="H2976">
            <v>45415</v>
          </cell>
          <cell r="I2976">
            <v>0.69</v>
          </cell>
          <cell r="J2976">
            <v>28.195555555555558</v>
          </cell>
        </row>
        <row r="2977">
          <cell r="B2977">
            <v>30.82</v>
          </cell>
          <cell r="C2977">
            <v>57.44</v>
          </cell>
          <cell r="D2977">
            <v>13.69</v>
          </cell>
          <cell r="E2977">
            <v>7.08</v>
          </cell>
          <cell r="H2977">
            <v>45415</v>
          </cell>
          <cell r="I2977">
            <v>0.68333333333333335</v>
          </cell>
          <cell r="J2977">
            <v>26.781111111111112</v>
          </cell>
        </row>
        <row r="2978">
          <cell r="B2978">
            <v>23.42</v>
          </cell>
          <cell r="C2978">
            <v>50.66</v>
          </cell>
          <cell r="D2978">
            <v>13.2</v>
          </cell>
          <cell r="E2978">
            <v>7.3</v>
          </cell>
          <cell r="H2978">
            <v>45416</v>
          </cell>
          <cell r="I2978">
            <v>0.67777777777777792</v>
          </cell>
          <cell r="J2978">
            <v>26.601111111111109</v>
          </cell>
        </row>
        <row r="2979">
          <cell r="B2979">
            <v>21.83</v>
          </cell>
          <cell r="C2979">
            <v>45.39</v>
          </cell>
          <cell r="D2979">
            <v>13.26</v>
          </cell>
          <cell r="E2979">
            <v>7.22</v>
          </cell>
          <cell r="H2979">
            <v>45416</v>
          </cell>
          <cell r="I2979">
            <v>0.6644444444444445</v>
          </cell>
          <cell r="J2979">
            <v>26.30777777777778</v>
          </cell>
        </row>
        <row r="2980">
          <cell r="B2980">
            <v>21.23</v>
          </cell>
          <cell r="C2980">
            <v>39.56</v>
          </cell>
          <cell r="D2980">
            <v>12.91</v>
          </cell>
          <cell r="E2980">
            <v>6.9</v>
          </cell>
          <cell r="H2980">
            <v>45416</v>
          </cell>
          <cell r="I2980">
            <v>0.64444444444444438</v>
          </cell>
          <cell r="J2980">
            <v>26.299999999999997</v>
          </cell>
        </row>
        <row r="2981">
          <cell r="B2981">
            <v>19.54</v>
          </cell>
          <cell r="C2981">
            <v>38.909999999999997</v>
          </cell>
          <cell r="D2981">
            <v>12.59</v>
          </cell>
          <cell r="E2981">
            <v>7.1</v>
          </cell>
          <cell r="H2981">
            <v>45416</v>
          </cell>
          <cell r="I2981">
            <v>0.62777777777777777</v>
          </cell>
          <cell r="J2981">
            <v>26.21777777777778</v>
          </cell>
        </row>
        <row r="2982">
          <cell r="B2982">
            <v>17.43</v>
          </cell>
          <cell r="C2982">
            <v>38.619999999999997</v>
          </cell>
          <cell r="D2982">
            <v>13.29</v>
          </cell>
          <cell r="E2982">
            <v>6.77</v>
          </cell>
          <cell r="H2982">
            <v>45416</v>
          </cell>
          <cell r="I2982">
            <v>0.59555555555555562</v>
          </cell>
          <cell r="J2982">
            <v>26.324444444444445</v>
          </cell>
        </row>
        <row r="2983">
          <cell r="B2983">
            <v>21.7</v>
          </cell>
          <cell r="C2983">
            <v>39.409999999999997</v>
          </cell>
          <cell r="D2983">
            <v>12.92</v>
          </cell>
          <cell r="E2983">
            <v>6.85</v>
          </cell>
          <cell r="H2983">
            <v>45416</v>
          </cell>
          <cell r="I2983">
            <v>0.54222222222222216</v>
          </cell>
          <cell r="J2983">
            <v>26.856666666666669</v>
          </cell>
        </row>
        <row r="2984">
          <cell r="B2984">
            <v>28.36</v>
          </cell>
          <cell r="C2984">
            <v>48.74</v>
          </cell>
          <cell r="D2984">
            <v>13.23</v>
          </cell>
          <cell r="E2984">
            <v>6.61</v>
          </cell>
          <cell r="H2984">
            <v>45416</v>
          </cell>
          <cell r="I2984">
            <v>0.51777777777777778</v>
          </cell>
          <cell r="J2984">
            <v>27.216666666666669</v>
          </cell>
        </row>
        <row r="2985">
          <cell r="B2985">
            <v>31.51</v>
          </cell>
          <cell r="C2985">
            <v>52.65</v>
          </cell>
          <cell r="D2985">
            <v>13.32</v>
          </cell>
          <cell r="E2985">
            <v>6.66</v>
          </cell>
          <cell r="H2985">
            <v>45416</v>
          </cell>
          <cell r="I2985">
            <v>0.51222222222222236</v>
          </cell>
          <cell r="J2985">
            <v>27.508888888888887</v>
          </cell>
        </row>
        <row r="2986">
          <cell r="B2986">
            <v>28</v>
          </cell>
          <cell r="C2986">
            <v>53.88</v>
          </cell>
          <cell r="D2986">
            <v>13.21</v>
          </cell>
          <cell r="E2986">
            <v>6.63</v>
          </cell>
          <cell r="H2986">
            <v>45416</v>
          </cell>
          <cell r="I2986">
            <v>0.51222222222222225</v>
          </cell>
          <cell r="J2986">
            <v>27.483333333333334</v>
          </cell>
        </row>
        <row r="2987">
          <cell r="B2987">
            <v>29.48</v>
          </cell>
          <cell r="C2987">
            <v>57.17</v>
          </cell>
          <cell r="D2987">
            <v>13.31</v>
          </cell>
          <cell r="E2987">
            <v>7.06</v>
          </cell>
          <cell r="H2987">
            <v>45416</v>
          </cell>
          <cell r="I2987">
            <v>0.52</v>
          </cell>
          <cell r="J2987">
            <v>28.033333333333335</v>
          </cell>
        </row>
        <row r="2988">
          <cell r="B2988">
            <v>28.01</v>
          </cell>
          <cell r="C2988">
            <v>57.94</v>
          </cell>
          <cell r="D2988">
            <v>13.71</v>
          </cell>
          <cell r="E2988">
            <v>7.68</v>
          </cell>
          <cell r="H2988">
            <v>45416</v>
          </cell>
          <cell r="I2988">
            <v>0.5277777777777779</v>
          </cell>
          <cell r="J2988">
            <v>29.168888888888887</v>
          </cell>
        </row>
        <row r="2989">
          <cell r="B2989">
            <v>21.78</v>
          </cell>
          <cell r="C2989">
            <v>47.88</v>
          </cell>
          <cell r="D2989">
            <v>16.62</v>
          </cell>
          <cell r="E2989">
            <v>7.99</v>
          </cell>
          <cell r="H2989">
            <v>45416</v>
          </cell>
          <cell r="I2989">
            <v>0.53555555555555556</v>
          </cell>
          <cell r="J2989">
            <v>31.782222222222217</v>
          </cell>
        </row>
        <row r="2990">
          <cell r="B2990">
            <v>25.28</v>
          </cell>
          <cell r="C2990">
            <v>50.9</v>
          </cell>
          <cell r="D2990">
            <v>13.64</v>
          </cell>
          <cell r="E2990">
            <v>7.97</v>
          </cell>
          <cell r="H2990">
            <v>45416</v>
          </cell>
          <cell r="I2990">
            <v>0.54</v>
          </cell>
          <cell r="J2990">
            <v>34.05555555555555</v>
          </cell>
        </row>
        <row r="2991">
          <cell r="B2991">
            <v>59.68</v>
          </cell>
          <cell r="C2991">
            <v>81.239999999999995</v>
          </cell>
          <cell r="D2991">
            <v>11.74</v>
          </cell>
          <cell r="E2991">
            <v>8.65</v>
          </cell>
          <cell r="H2991">
            <v>45416</v>
          </cell>
          <cell r="I2991">
            <v>0.53888888888888886</v>
          </cell>
          <cell r="J2991">
            <v>36.305555555555557</v>
          </cell>
        </row>
        <row r="2992">
          <cell r="B2992">
            <v>101.56</v>
          </cell>
          <cell r="C2992">
            <v>92.99</v>
          </cell>
          <cell r="D2992">
            <v>13.22</v>
          </cell>
          <cell r="E2992">
            <v>9.52</v>
          </cell>
          <cell r="H2992">
            <v>45416</v>
          </cell>
          <cell r="I2992">
            <v>0.56444444444444442</v>
          </cell>
          <cell r="J2992">
            <v>38.697777777777773</v>
          </cell>
        </row>
        <row r="2993">
          <cell r="B2993">
            <v>38.32</v>
          </cell>
          <cell r="C2993">
            <v>83.62</v>
          </cell>
          <cell r="D2993">
            <v>14.03</v>
          </cell>
          <cell r="E2993">
            <v>8.94</v>
          </cell>
          <cell r="H2993">
            <v>45416</v>
          </cell>
          <cell r="I2993">
            <v>0.58666666666666656</v>
          </cell>
          <cell r="J2993">
            <v>41.117777777777782</v>
          </cell>
        </row>
        <row r="2994">
          <cell r="B2994">
            <v>50.62</v>
          </cell>
          <cell r="C2994">
            <v>103.85</v>
          </cell>
          <cell r="D2994">
            <v>13.32</v>
          </cell>
          <cell r="E2994">
            <v>8.8800000000000008</v>
          </cell>
          <cell r="H2994">
            <v>45416</v>
          </cell>
          <cell r="I2994">
            <v>0.60666666666666669</v>
          </cell>
          <cell r="J2994">
            <v>42.938888888888897</v>
          </cell>
        </row>
        <row r="2995">
          <cell r="B2995">
            <v>43.41</v>
          </cell>
          <cell r="C2995">
            <v>95.79</v>
          </cell>
          <cell r="D2995">
            <v>13.55</v>
          </cell>
          <cell r="E2995">
            <v>9.06</v>
          </cell>
          <cell r="H2995">
            <v>45416</v>
          </cell>
          <cell r="I2995">
            <v>0.62</v>
          </cell>
          <cell r="J2995">
            <v>44.214444444444446</v>
          </cell>
        </row>
        <row r="2996">
          <cell r="B2996">
            <v>42.02</v>
          </cell>
          <cell r="C2996">
            <v>102.82</v>
          </cell>
          <cell r="D2996">
            <v>16.68</v>
          </cell>
          <cell r="E2996">
            <v>9.58</v>
          </cell>
          <cell r="H2996">
            <v>45416</v>
          </cell>
          <cell r="I2996">
            <v>0.6477777777777779</v>
          </cell>
          <cell r="J2996">
            <v>44.041111111111121</v>
          </cell>
        </row>
        <row r="2997">
          <cell r="B2997">
            <v>52.23</v>
          </cell>
          <cell r="C2997">
            <v>190.1</v>
          </cell>
          <cell r="D2997">
            <v>25.87</v>
          </cell>
          <cell r="E2997">
            <v>10.29</v>
          </cell>
          <cell r="H2997">
            <v>45416</v>
          </cell>
          <cell r="I2997">
            <v>0.75333333333333341</v>
          </cell>
          <cell r="J2997">
            <v>42.164444444444449</v>
          </cell>
        </row>
        <row r="2998">
          <cell r="B2998">
            <v>70.680000000000007</v>
          </cell>
          <cell r="C2998">
            <v>187.95</v>
          </cell>
          <cell r="D2998">
            <v>23.82</v>
          </cell>
          <cell r="E2998">
            <v>10.96</v>
          </cell>
          <cell r="H2998">
            <v>45416</v>
          </cell>
          <cell r="I2998">
            <v>0.86111111111111105</v>
          </cell>
          <cell r="J2998">
            <v>39.686666666666675</v>
          </cell>
        </row>
        <row r="2999">
          <cell r="B2999">
            <v>58.53</v>
          </cell>
          <cell r="C2999">
            <v>153.01</v>
          </cell>
          <cell r="D2999">
            <v>17.829999999999998</v>
          </cell>
          <cell r="E2999">
            <v>9.5</v>
          </cell>
          <cell r="H2999">
            <v>45416</v>
          </cell>
          <cell r="I2999">
            <v>0.87888888888888894</v>
          </cell>
          <cell r="J2999">
            <v>37.817777777777778</v>
          </cell>
        </row>
        <row r="3000">
          <cell r="B3000">
            <v>56.99</v>
          </cell>
          <cell r="C3000">
            <v>126.9</v>
          </cell>
          <cell r="D3000">
            <v>16.75</v>
          </cell>
          <cell r="E3000">
            <v>8.8800000000000008</v>
          </cell>
          <cell r="H3000">
            <v>45416</v>
          </cell>
          <cell r="I3000">
            <v>0.8866666666666666</v>
          </cell>
          <cell r="J3000">
            <v>35.894444444444453</v>
          </cell>
        </row>
        <row r="3001">
          <cell r="B3001">
            <v>54.74</v>
          </cell>
          <cell r="C3001">
            <v>112.04</v>
          </cell>
          <cell r="D3001">
            <v>15.74</v>
          </cell>
          <cell r="E3001">
            <v>9.48</v>
          </cell>
          <cell r="H3001">
            <v>45416</v>
          </cell>
          <cell r="I3001">
            <v>0.86111111111111116</v>
          </cell>
          <cell r="J3001">
            <v>34.028888888888886</v>
          </cell>
        </row>
        <row r="3002">
          <cell r="B3002">
            <v>45.91</v>
          </cell>
          <cell r="C3002">
            <v>92.13</v>
          </cell>
          <cell r="D3002">
            <v>15.3</v>
          </cell>
          <cell r="E3002">
            <v>7.93</v>
          </cell>
          <cell r="H3002">
            <v>45417</v>
          </cell>
          <cell r="I3002">
            <v>0.82666666666666666</v>
          </cell>
          <cell r="J3002">
            <v>32.197777777777773</v>
          </cell>
        </row>
        <row r="3003">
          <cell r="B3003">
            <v>47.91</v>
          </cell>
          <cell r="C3003">
            <v>92.44</v>
          </cell>
          <cell r="D3003">
            <v>14.68</v>
          </cell>
          <cell r="E3003">
            <v>7.63</v>
          </cell>
          <cell r="H3003">
            <v>45417</v>
          </cell>
          <cell r="I3003">
            <v>0.78888888888888897</v>
          </cell>
          <cell r="J3003">
            <v>30.513333333333335</v>
          </cell>
        </row>
        <row r="3004">
          <cell r="B3004">
            <v>41.65</v>
          </cell>
          <cell r="C3004">
            <v>91.29</v>
          </cell>
          <cell r="D3004">
            <v>14.75</v>
          </cell>
          <cell r="E3004">
            <v>7.77</v>
          </cell>
          <cell r="H3004">
            <v>45417</v>
          </cell>
          <cell r="I3004">
            <v>0.76111111111111118</v>
          </cell>
          <cell r="J3004">
            <v>29.231111111111115</v>
          </cell>
        </row>
        <row r="3005">
          <cell r="B3005">
            <v>40.21</v>
          </cell>
          <cell r="C3005">
            <v>89.87</v>
          </cell>
          <cell r="D3005">
            <v>14.27</v>
          </cell>
          <cell r="E3005">
            <v>8.2799999999999994</v>
          </cell>
          <cell r="H3005">
            <v>45417</v>
          </cell>
          <cell r="I3005">
            <v>0.71666666666666667</v>
          </cell>
          <cell r="J3005">
            <v>28.811111111111114</v>
          </cell>
        </row>
        <row r="3006">
          <cell r="B3006">
            <v>33.590000000000003</v>
          </cell>
          <cell r="C3006">
            <v>68.42</v>
          </cell>
          <cell r="D3006">
            <v>14.36</v>
          </cell>
          <cell r="E3006">
            <v>8.2100000000000009</v>
          </cell>
          <cell r="H3006">
            <v>45417</v>
          </cell>
          <cell r="I3006">
            <v>0.59444444444444455</v>
          </cell>
          <cell r="J3006">
            <v>29.317777777777778</v>
          </cell>
        </row>
        <row r="3007">
          <cell r="B3007">
            <v>28.32</v>
          </cell>
          <cell r="C3007">
            <v>61.95</v>
          </cell>
          <cell r="D3007">
            <v>14.8</v>
          </cell>
          <cell r="E3007">
            <v>7.98</v>
          </cell>
          <cell r="H3007">
            <v>45417</v>
          </cell>
          <cell r="I3007">
            <v>0.47555555555555551</v>
          </cell>
          <cell r="J3007">
            <v>28.918888888888894</v>
          </cell>
        </row>
        <row r="3008">
          <cell r="B3008">
            <v>28.9</v>
          </cell>
          <cell r="C3008">
            <v>62</v>
          </cell>
          <cell r="D3008">
            <v>15.12</v>
          </cell>
          <cell r="E3008">
            <v>7.69</v>
          </cell>
          <cell r="H3008">
            <v>45417</v>
          </cell>
          <cell r="I3008">
            <v>0.44666666666666671</v>
          </cell>
          <cell r="J3008">
            <v>28.238888888888887</v>
          </cell>
        </row>
        <row r="3009">
          <cell r="B3009">
            <v>28.04</v>
          </cell>
          <cell r="C3009">
            <v>66.569999999999993</v>
          </cell>
          <cell r="D3009">
            <v>15.26</v>
          </cell>
          <cell r="E3009">
            <v>7.9</v>
          </cell>
          <cell r="H3009">
            <v>45417</v>
          </cell>
          <cell r="I3009">
            <v>0.43777777777777771</v>
          </cell>
          <cell r="J3009">
            <v>27.803333333333327</v>
          </cell>
        </row>
        <row r="3010">
          <cell r="B3010">
            <v>32.01</v>
          </cell>
          <cell r="C3010">
            <v>69.86</v>
          </cell>
          <cell r="D3010">
            <v>15.49</v>
          </cell>
          <cell r="E3010">
            <v>7.71</v>
          </cell>
          <cell r="H3010">
            <v>45417</v>
          </cell>
          <cell r="I3010">
            <v>0.43222222222222229</v>
          </cell>
          <cell r="J3010">
            <v>27.47111111111111</v>
          </cell>
        </row>
        <row r="3011">
          <cell r="B3011">
            <v>35.950000000000003</v>
          </cell>
          <cell r="C3011">
            <v>83.61</v>
          </cell>
          <cell r="D3011">
            <v>15.41</v>
          </cell>
          <cell r="E3011">
            <v>8.09</v>
          </cell>
          <cell r="H3011">
            <v>45417</v>
          </cell>
          <cell r="I3011">
            <v>0.43555555555555553</v>
          </cell>
          <cell r="J3011">
            <v>27.833333333333332</v>
          </cell>
        </row>
        <row r="3012">
          <cell r="B3012">
            <v>26.42</v>
          </cell>
          <cell r="C3012">
            <v>65.89</v>
          </cell>
          <cell r="D3012">
            <v>14.34</v>
          </cell>
          <cell r="E3012">
            <v>8.3000000000000007</v>
          </cell>
          <cell r="H3012">
            <v>45417</v>
          </cell>
          <cell r="I3012">
            <v>0.44000000000000006</v>
          </cell>
          <cell r="J3012">
            <v>29.816666666666663</v>
          </cell>
        </row>
        <row r="3013">
          <cell r="B3013">
            <v>26.48</v>
          </cell>
          <cell r="C3013">
            <v>62.77</v>
          </cell>
          <cell r="D3013">
            <v>14.01</v>
          </cell>
          <cell r="E3013">
            <v>8.6199999999999992</v>
          </cell>
          <cell r="H3013">
            <v>45417</v>
          </cell>
          <cell r="I3013">
            <v>0.44777777777777783</v>
          </cell>
          <cell r="J3013">
            <v>31.763333333333335</v>
          </cell>
        </row>
        <row r="3014">
          <cell r="B3014">
            <v>28.29</v>
          </cell>
          <cell r="C3014">
            <v>60.9</v>
          </cell>
          <cell r="D3014">
            <v>14.33</v>
          </cell>
          <cell r="E3014">
            <v>8.24</v>
          </cell>
          <cell r="H3014">
            <v>45417</v>
          </cell>
          <cell r="I3014">
            <v>0.4555555555555556</v>
          </cell>
          <cell r="J3014">
            <v>34.328888888888883</v>
          </cell>
        </row>
        <row r="3015">
          <cell r="B3015">
            <v>30.81</v>
          </cell>
          <cell r="C3015">
            <v>59.47</v>
          </cell>
          <cell r="D3015">
            <v>14.9</v>
          </cell>
          <cell r="E3015">
            <v>8.06</v>
          </cell>
          <cell r="H3015">
            <v>45417</v>
          </cell>
          <cell r="I3015">
            <v>0.4588888888888889</v>
          </cell>
          <cell r="J3015">
            <v>36.253333333333337</v>
          </cell>
        </row>
        <row r="3016">
          <cell r="B3016">
            <v>27.85</v>
          </cell>
          <cell r="C3016">
            <v>56.97</v>
          </cell>
          <cell r="D3016">
            <v>14.94</v>
          </cell>
          <cell r="E3016">
            <v>7.98</v>
          </cell>
          <cell r="H3016">
            <v>45417</v>
          </cell>
          <cell r="I3016">
            <v>0.45444444444444443</v>
          </cell>
          <cell r="J3016">
            <v>38.182222222222229</v>
          </cell>
        </row>
        <row r="3017">
          <cell r="B3017">
            <v>22.75</v>
          </cell>
          <cell r="C3017">
            <v>54.24</v>
          </cell>
          <cell r="D3017">
            <v>15.61</v>
          </cell>
          <cell r="E3017">
            <v>8.3800000000000008</v>
          </cell>
          <cell r="H3017">
            <v>45417</v>
          </cell>
          <cell r="I3017">
            <v>0.45333333333333337</v>
          </cell>
          <cell r="J3017">
            <v>40.300000000000004</v>
          </cell>
        </row>
        <row r="3018">
          <cell r="B3018">
            <v>28.22</v>
          </cell>
          <cell r="C3018">
            <v>55.05</v>
          </cell>
          <cell r="D3018">
            <v>15.39</v>
          </cell>
          <cell r="E3018">
            <v>8.36</v>
          </cell>
          <cell r="H3018">
            <v>45417</v>
          </cell>
          <cell r="I3018">
            <v>0.45000000000000007</v>
          </cell>
          <cell r="J3018">
            <v>42.428888888888892</v>
          </cell>
        </row>
        <row r="3019">
          <cell r="B3019">
            <v>26.39</v>
          </cell>
          <cell r="C3019">
            <v>58.2</v>
          </cell>
          <cell r="D3019">
            <v>15.4</v>
          </cell>
          <cell r="E3019">
            <v>8.26</v>
          </cell>
          <cell r="H3019">
            <v>45417</v>
          </cell>
          <cell r="I3019">
            <v>0.45444444444444443</v>
          </cell>
          <cell r="J3019">
            <v>44.126666666666665</v>
          </cell>
        </row>
        <row r="3020">
          <cell r="B3020">
            <v>31.68</v>
          </cell>
          <cell r="C3020">
            <v>70.13</v>
          </cell>
          <cell r="D3020">
            <v>15.72</v>
          </cell>
          <cell r="E3020">
            <v>8.2100000000000009</v>
          </cell>
          <cell r="H3020">
            <v>45417</v>
          </cell>
          <cell r="I3020">
            <v>0.46888888888888886</v>
          </cell>
          <cell r="J3020">
            <v>44.138888888888886</v>
          </cell>
        </row>
        <row r="3021">
          <cell r="B3021">
            <v>41.56</v>
          </cell>
          <cell r="C3021">
            <v>92.48</v>
          </cell>
          <cell r="D3021">
            <v>18.239999999999998</v>
          </cell>
          <cell r="E3021">
            <v>8.69</v>
          </cell>
          <cell r="H3021">
            <v>45417</v>
          </cell>
          <cell r="I3021">
            <v>0.51666666666666672</v>
          </cell>
          <cell r="J3021">
            <v>41.722222222222214</v>
          </cell>
        </row>
        <row r="3022">
          <cell r="B3022">
            <v>41.52</v>
          </cell>
          <cell r="C3022">
            <v>95.16</v>
          </cell>
          <cell r="D3022">
            <v>21.54</v>
          </cell>
          <cell r="E3022">
            <v>9.5399999999999991</v>
          </cell>
          <cell r="H3022">
            <v>45417</v>
          </cell>
          <cell r="I3022">
            <v>0.5988888888888888</v>
          </cell>
          <cell r="J3022">
            <v>39.03</v>
          </cell>
        </row>
        <row r="3023">
          <cell r="B3023">
            <v>42.85</v>
          </cell>
          <cell r="C3023">
            <v>104.41</v>
          </cell>
          <cell r="D3023">
            <v>21.5</v>
          </cell>
          <cell r="E3023">
            <v>9.92</v>
          </cell>
          <cell r="H3023">
            <v>45417</v>
          </cell>
          <cell r="I3023">
            <v>0.65777777777777779</v>
          </cell>
          <cell r="J3023">
            <v>36.239999999999995</v>
          </cell>
        </row>
        <row r="3024">
          <cell r="B3024">
            <v>39.299999999999997</v>
          </cell>
          <cell r="C3024">
            <v>93.15</v>
          </cell>
          <cell r="D3024">
            <v>18.21</v>
          </cell>
          <cell r="E3024">
            <v>8.67</v>
          </cell>
          <cell r="H3024">
            <v>45417</v>
          </cell>
          <cell r="I3024">
            <v>0.67888888888888888</v>
          </cell>
          <cell r="J3024">
            <v>34.748888888888892</v>
          </cell>
        </row>
        <row r="3025">
          <cell r="B3025">
            <v>33.79</v>
          </cell>
          <cell r="C3025">
            <v>80.25</v>
          </cell>
          <cell r="D3025">
            <v>16.89</v>
          </cell>
          <cell r="E3025">
            <v>8.57</v>
          </cell>
          <cell r="H3025">
            <v>45417</v>
          </cell>
          <cell r="I3025">
            <v>0.68666666666666654</v>
          </cell>
          <cell r="J3025">
            <v>33.071111111111108</v>
          </cell>
        </row>
        <row r="3026">
          <cell r="B3026">
            <v>30.68</v>
          </cell>
          <cell r="C3026">
            <v>70.7</v>
          </cell>
          <cell r="D3026">
            <v>15.74</v>
          </cell>
          <cell r="E3026">
            <v>7.79</v>
          </cell>
          <cell r="H3026">
            <v>45418</v>
          </cell>
          <cell r="I3026">
            <v>0.68666666666666654</v>
          </cell>
          <cell r="J3026">
            <v>31.214444444444446</v>
          </cell>
        </row>
        <row r="3027">
          <cell r="B3027">
            <v>27.1</v>
          </cell>
          <cell r="C3027">
            <v>58.21</v>
          </cell>
          <cell r="D3027">
            <v>15.44</v>
          </cell>
          <cell r="E3027">
            <v>7.45</v>
          </cell>
          <cell r="H3027">
            <v>45418</v>
          </cell>
          <cell r="I3027">
            <v>0.68333333333333324</v>
          </cell>
          <cell r="J3027">
            <v>29.32</v>
          </cell>
        </row>
        <row r="3028">
          <cell r="B3028">
            <v>25.91</v>
          </cell>
          <cell r="C3028">
            <v>52.49</v>
          </cell>
          <cell r="D3028">
            <v>15.39</v>
          </cell>
          <cell r="E3028">
            <v>7.43</v>
          </cell>
          <cell r="H3028">
            <v>45418</v>
          </cell>
          <cell r="I3028">
            <v>0.67222222222222217</v>
          </cell>
          <cell r="J3028">
            <v>27.761111111111113</v>
          </cell>
        </row>
        <row r="3029">
          <cell r="B3029">
            <v>24.83</v>
          </cell>
          <cell r="C3029">
            <v>53.7</v>
          </cell>
          <cell r="D3029">
            <v>15.57</v>
          </cell>
          <cell r="E3029">
            <v>7.56</v>
          </cell>
          <cell r="H3029">
            <v>45418</v>
          </cell>
          <cell r="I3029">
            <v>0.65333333333333332</v>
          </cell>
          <cell r="J3029">
            <v>27.207777777777775</v>
          </cell>
        </row>
        <row r="3030">
          <cell r="B3030">
            <v>22.78</v>
          </cell>
          <cell r="C3030">
            <v>53.67</v>
          </cell>
          <cell r="D3030">
            <v>15.47</v>
          </cell>
          <cell r="E3030">
            <v>7.64</v>
          </cell>
          <cell r="H3030">
            <v>45418</v>
          </cell>
          <cell r="I3030">
            <v>0.60444444444444434</v>
          </cell>
          <cell r="J3030">
            <v>27.66</v>
          </cell>
        </row>
        <row r="3031">
          <cell r="B3031">
            <v>25.31</v>
          </cell>
          <cell r="C3031">
            <v>54.68</v>
          </cell>
          <cell r="D3031">
            <v>16.04</v>
          </cell>
          <cell r="E3031">
            <v>7.65</v>
          </cell>
          <cell r="H3031">
            <v>45418</v>
          </cell>
          <cell r="I3031">
            <v>0.52</v>
          </cell>
          <cell r="J3031">
            <v>28.367777777777775</v>
          </cell>
        </row>
        <row r="3032">
          <cell r="B3032">
            <v>29.37</v>
          </cell>
          <cell r="C3032">
            <v>56.25</v>
          </cell>
          <cell r="D3032">
            <v>16.64</v>
          </cell>
          <cell r="E3032">
            <v>7.46</v>
          </cell>
          <cell r="H3032">
            <v>45418</v>
          </cell>
          <cell r="I3032">
            <v>0.45888888888888896</v>
          </cell>
          <cell r="J3032">
            <v>28.427777777777774</v>
          </cell>
        </row>
        <row r="3033">
          <cell r="B3033">
            <v>27.45</v>
          </cell>
          <cell r="C3033">
            <v>58.78</v>
          </cell>
          <cell r="D3033">
            <v>16.53</v>
          </cell>
          <cell r="E3033">
            <v>7.54</v>
          </cell>
          <cell r="H3033">
            <v>45418</v>
          </cell>
          <cell r="I3033">
            <v>0.44222222222222229</v>
          </cell>
          <cell r="J3033">
            <v>27.893333333333331</v>
          </cell>
        </row>
        <row r="3034">
          <cell r="B3034">
            <v>27.62</v>
          </cell>
          <cell r="C3034">
            <v>61.85</v>
          </cell>
          <cell r="D3034">
            <v>16.420000000000002</v>
          </cell>
          <cell r="E3034">
            <v>7.1</v>
          </cell>
          <cell r="H3034">
            <v>45418</v>
          </cell>
          <cell r="I3034">
            <v>0.44111111111111118</v>
          </cell>
          <cell r="J3034">
            <v>27.774444444444441</v>
          </cell>
        </row>
        <row r="3035">
          <cell r="B3035">
            <v>29</v>
          </cell>
          <cell r="C3035">
            <v>65.150000000000006</v>
          </cell>
          <cell r="D3035">
            <v>16.239999999999998</v>
          </cell>
          <cell r="E3035">
            <v>7.38</v>
          </cell>
          <cell r="H3035">
            <v>45418</v>
          </cell>
          <cell r="I3035">
            <v>0.4466666666666666</v>
          </cell>
          <cell r="J3035">
            <v>28.194444444444439</v>
          </cell>
        </row>
        <row r="3036">
          <cell r="B3036">
            <v>29.23</v>
          </cell>
          <cell r="C3036">
            <v>69.75</v>
          </cell>
          <cell r="D3036">
            <v>16.57</v>
          </cell>
          <cell r="E3036">
            <v>8.06</v>
          </cell>
          <cell r="H3036">
            <v>45418</v>
          </cell>
          <cell r="I3036">
            <v>0.4588888888888889</v>
          </cell>
          <cell r="J3036">
            <v>29.076666666666661</v>
          </cell>
        </row>
        <row r="3037">
          <cell r="B3037">
            <v>29.51</v>
          </cell>
          <cell r="C3037">
            <v>73.92</v>
          </cell>
          <cell r="D3037">
            <v>17.079999999999998</v>
          </cell>
          <cell r="E3037">
            <v>7.75</v>
          </cell>
          <cell r="H3037">
            <v>45418</v>
          </cell>
          <cell r="I3037">
            <v>0.47888888888888892</v>
          </cell>
          <cell r="J3037">
            <v>31.364444444444441</v>
          </cell>
        </row>
        <row r="3038">
          <cell r="B3038">
            <v>34.25</v>
          </cell>
          <cell r="C3038">
            <v>78.22</v>
          </cell>
          <cell r="D3038">
            <v>15.22</v>
          </cell>
          <cell r="E3038">
            <v>7.5</v>
          </cell>
          <cell r="H3038">
            <v>45418</v>
          </cell>
          <cell r="I3038">
            <v>0.49777777777777771</v>
          </cell>
          <cell r="J3038">
            <v>33.982222222222219</v>
          </cell>
        </row>
        <row r="3039">
          <cell r="B3039">
            <v>39.090000000000003</v>
          </cell>
          <cell r="C3039">
            <v>85.73</v>
          </cell>
          <cell r="D3039">
            <v>14.62</v>
          </cell>
          <cell r="E3039">
            <v>7.46</v>
          </cell>
          <cell r="H3039">
            <v>45418</v>
          </cell>
          <cell r="I3039">
            <v>0.51111111111111107</v>
          </cell>
          <cell r="J3039">
            <v>37.227777777777789</v>
          </cell>
        </row>
        <row r="3040">
          <cell r="B3040">
            <v>43.18</v>
          </cell>
          <cell r="C3040">
            <v>90.81</v>
          </cell>
          <cell r="D3040">
            <v>15.24</v>
          </cell>
          <cell r="E3040">
            <v>7.33</v>
          </cell>
          <cell r="H3040">
            <v>45418</v>
          </cell>
          <cell r="I3040">
            <v>0.52</v>
          </cell>
          <cell r="J3040">
            <v>41.445555555555558</v>
          </cell>
        </row>
        <row r="3041">
          <cell r="B3041">
            <v>45.01</v>
          </cell>
          <cell r="C3041">
            <v>98.89</v>
          </cell>
          <cell r="D3041">
            <v>16.27</v>
          </cell>
          <cell r="E3041">
            <v>7.78</v>
          </cell>
          <cell r="H3041">
            <v>45418</v>
          </cell>
          <cell r="I3041">
            <v>0.52444444444444438</v>
          </cell>
          <cell r="J3041">
            <v>45.120000000000005</v>
          </cell>
        </row>
        <row r="3042">
          <cell r="B3042">
            <v>51.61</v>
          </cell>
          <cell r="C3042">
            <v>99.39</v>
          </cell>
          <cell r="D3042">
            <v>14.94</v>
          </cell>
          <cell r="E3042">
            <v>8.33</v>
          </cell>
          <cell r="H3042">
            <v>45418</v>
          </cell>
          <cell r="I3042">
            <v>0.53111111111111109</v>
          </cell>
          <cell r="J3042">
            <v>48.43333333333333</v>
          </cell>
        </row>
        <row r="3043">
          <cell r="B3043">
            <v>50.83</v>
          </cell>
          <cell r="C3043">
            <v>106.51</v>
          </cell>
          <cell r="D3043">
            <v>14.82</v>
          </cell>
          <cell r="E3043">
            <v>8.2100000000000009</v>
          </cell>
          <cell r="H3043">
            <v>45418</v>
          </cell>
          <cell r="I3043">
            <v>0.59111111111111114</v>
          </cell>
          <cell r="J3043">
            <v>50.958888888888886</v>
          </cell>
        </row>
        <row r="3044">
          <cell r="B3044">
            <v>53.71</v>
          </cell>
          <cell r="C3044">
            <v>115.32</v>
          </cell>
          <cell r="D3044">
            <v>14.73</v>
          </cell>
          <cell r="E3044">
            <v>8.59</v>
          </cell>
          <cell r="H3044">
            <v>45418</v>
          </cell>
          <cell r="I3044">
            <v>0.60777777777777775</v>
          </cell>
          <cell r="J3044">
            <v>51.375555555555557</v>
          </cell>
        </row>
        <row r="3045">
          <cell r="B3045">
            <v>45.53</v>
          </cell>
          <cell r="C3045">
            <v>102.8</v>
          </cell>
          <cell r="D3045">
            <v>16.07</v>
          </cell>
          <cell r="E3045">
            <v>8.73</v>
          </cell>
          <cell r="H3045">
            <v>45418</v>
          </cell>
          <cell r="I3045">
            <v>0.62888888888888894</v>
          </cell>
          <cell r="J3045">
            <v>50.522222222222219</v>
          </cell>
        </row>
        <row r="3046">
          <cell r="B3046">
            <v>35.96</v>
          </cell>
          <cell r="C3046">
            <v>77.25</v>
          </cell>
          <cell r="D3046">
            <v>16.36</v>
          </cell>
          <cell r="E3046">
            <v>8.4600000000000009</v>
          </cell>
          <cell r="H3046">
            <v>45418</v>
          </cell>
          <cell r="I3046">
            <v>0.65333333333333332</v>
          </cell>
          <cell r="J3046">
            <v>48.604444444444447</v>
          </cell>
        </row>
        <row r="3047">
          <cell r="B3047">
            <v>121.85</v>
          </cell>
          <cell r="C3047">
            <v>72.33</v>
          </cell>
          <cell r="D3047">
            <v>17.71</v>
          </cell>
          <cell r="E3047">
            <v>8.51</v>
          </cell>
          <cell r="H3047">
            <v>45418</v>
          </cell>
          <cell r="I3047">
            <v>0.69666666666666666</v>
          </cell>
          <cell r="J3047">
            <v>46.11</v>
          </cell>
        </row>
        <row r="3048">
          <cell r="B3048">
            <v>30.42</v>
          </cell>
          <cell r="C3048">
            <v>73.11</v>
          </cell>
          <cell r="D3048">
            <v>16.8</v>
          </cell>
          <cell r="E3048">
            <v>8.6300000000000008</v>
          </cell>
          <cell r="H3048">
            <v>45418</v>
          </cell>
          <cell r="I3048">
            <v>0.72333333333333327</v>
          </cell>
          <cell r="J3048">
            <v>42.984444444444449</v>
          </cell>
        </row>
        <row r="3049">
          <cell r="B3049">
            <v>28.59</v>
          </cell>
          <cell r="C3049">
            <v>62.4</v>
          </cell>
          <cell r="D3049">
            <v>12.61</v>
          </cell>
          <cell r="E3049">
            <v>7.95</v>
          </cell>
          <cell r="H3049">
            <v>45418</v>
          </cell>
          <cell r="I3049">
            <v>0.72666666666666657</v>
          </cell>
          <cell r="J3049">
            <v>39.933333333333323</v>
          </cell>
        </row>
        <row r="3050">
          <cell r="B3050">
            <v>15.61</v>
          </cell>
          <cell r="C3050">
            <v>42.05</v>
          </cell>
          <cell r="D3050">
            <v>11.77</v>
          </cell>
          <cell r="E3050">
            <v>7.42</v>
          </cell>
          <cell r="H3050">
            <v>45419</v>
          </cell>
          <cell r="I3050">
            <v>0.72888888888888881</v>
          </cell>
          <cell r="J3050">
            <v>37.311111111111103</v>
          </cell>
        </row>
        <row r="3051">
          <cell r="B3051">
            <v>14</v>
          </cell>
          <cell r="C3051">
            <v>37.36</v>
          </cell>
          <cell r="D3051">
            <v>11.72</v>
          </cell>
          <cell r="E3051">
            <v>6.99</v>
          </cell>
          <cell r="H3051">
            <v>45419</v>
          </cell>
          <cell r="I3051">
            <v>0.72555555555555573</v>
          </cell>
          <cell r="J3051">
            <v>35.551111111111112</v>
          </cell>
        </row>
        <row r="3052">
          <cell r="B3052">
            <v>16.190000000000001</v>
          </cell>
          <cell r="C3052">
            <v>32.29</v>
          </cell>
          <cell r="D3052">
            <v>11.92</v>
          </cell>
          <cell r="E3052">
            <v>7.07</v>
          </cell>
          <cell r="H3052">
            <v>45419</v>
          </cell>
          <cell r="I3052">
            <v>0.67666666666666664</v>
          </cell>
          <cell r="J3052">
            <v>34.108888888888885</v>
          </cell>
        </row>
        <row r="3053">
          <cell r="B3053">
            <v>14.17</v>
          </cell>
          <cell r="C3053">
            <v>30.82</v>
          </cell>
          <cell r="D3053">
            <v>11.81</v>
          </cell>
          <cell r="E3053">
            <v>8.35</v>
          </cell>
          <cell r="H3053">
            <v>45419</v>
          </cell>
          <cell r="I3053">
            <v>0.65888888888888875</v>
          </cell>
          <cell r="J3053">
            <v>33.783333333333331</v>
          </cell>
        </row>
        <row r="3054">
          <cell r="B3054">
            <v>14.03</v>
          </cell>
          <cell r="C3054">
            <v>29.82</v>
          </cell>
          <cell r="D3054">
            <v>11.54</v>
          </cell>
          <cell r="E3054">
            <v>8.4</v>
          </cell>
          <cell r="H3054">
            <v>45419</v>
          </cell>
          <cell r="I3054">
            <v>0.63444444444444448</v>
          </cell>
          <cell r="J3054">
            <v>34.261111111111099</v>
          </cell>
        </row>
        <row r="3055">
          <cell r="B3055">
            <v>14.39</v>
          </cell>
          <cell r="C3055">
            <v>33.19</v>
          </cell>
          <cell r="D3055">
            <v>12.15</v>
          </cell>
          <cell r="E3055">
            <v>9.2799999999999994</v>
          </cell>
          <cell r="H3055">
            <v>45419</v>
          </cell>
          <cell r="I3055">
            <v>0.60333333333333339</v>
          </cell>
          <cell r="J3055">
            <v>34.658888888888889</v>
          </cell>
        </row>
        <row r="3056">
          <cell r="B3056">
            <v>18.46</v>
          </cell>
          <cell r="C3056">
            <v>34.950000000000003</v>
          </cell>
          <cell r="D3056">
            <v>12.42</v>
          </cell>
          <cell r="E3056">
            <v>9.23</v>
          </cell>
          <cell r="H3056">
            <v>45419</v>
          </cell>
          <cell r="I3056">
            <v>0.55444444444444452</v>
          </cell>
          <cell r="J3056">
            <v>35.265555555555551</v>
          </cell>
        </row>
        <row r="3057">
          <cell r="B3057">
            <v>19.09</v>
          </cell>
          <cell r="C3057">
            <v>40.590000000000003</v>
          </cell>
          <cell r="D3057">
            <v>13.04</v>
          </cell>
          <cell r="E3057">
            <v>8.58</v>
          </cell>
          <cell r="H3057">
            <v>45419</v>
          </cell>
          <cell r="I3057">
            <v>0.52333333333333332</v>
          </cell>
          <cell r="J3057">
            <v>35.937777777777775</v>
          </cell>
        </row>
        <row r="3058">
          <cell r="B3058">
            <v>19.39</v>
          </cell>
          <cell r="C3058">
            <v>41.95</v>
          </cell>
          <cell r="D3058">
            <v>12.7</v>
          </cell>
          <cell r="E3058">
            <v>7.76</v>
          </cell>
          <cell r="H3058">
            <v>45419</v>
          </cell>
          <cell r="I3058">
            <v>0.52</v>
          </cell>
          <cell r="J3058">
            <v>36.126666666666665</v>
          </cell>
        </row>
        <row r="3059">
          <cell r="B3059">
            <v>18.55</v>
          </cell>
          <cell r="C3059">
            <v>39.729999999999997</v>
          </cell>
          <cell r="D3059">
            <v>12.29</v>
          </cell>
          <cell r="E3059">
            <v>8.94</v>
          </cell>
          <cell r="H3059">
            <v>45419</v>
          </cell>
          <cell r="I3059">
            <v>0.52222222222222225</v>
          </cell>
          <cell r="J3059">
            <v>37.624444444444443</v>
          </cell>
        </row>
        <row r="3060">
          <cell r="B3060">
            <v>18.37</v>
          </cell>
          <cell r="C3060">
            <v>39.18</v>
          </cell>
          <cell r="D3060">
            <v>14.06</v>
          </cell>
          <cell r="E3060">
            <v>8.34</v>
          </cell>
          <cell r="H3060">
            <v>45419</v>
          </cell>
          <cell r="I3060">
            <v>0.52333333333333332</v>
          </cell>
          <cell r="J3060">
            <v>39.36</v>
          </cell>
        </row>
        <row r="3061">
          <cell r="B3061">
            <v>19.93</v>
          </cell>
          <cell r="C3061">
            <v>38.92</v>
          </cell>
          <cell r="D3061">
            <v>13.61</v>
          </cell>
          <cell r="E3061">
            <v>8.56</v>
          </cell>
          <cell r="H3061">
            <v>45419</v>
          </cell>
          <cell r="I3061">
            <v>0.52</v>
          </cell>
          <cell r="J3061">
            <v>41.54</v>
          </cell>
        </row>
        <row r="3062">
          <cell r="B3062">
            <v>19.04</v>
          </cell>
          <cell r="C3062">
            <v>37.93</v>
          </cell>
          <cell r="D3062">
            <v>13.68</v>
          </cell>
          <cell r="E3062">
            <v>8.31</v>
          </cell>
          <cell r="H3062">
            <v>45419</v>
          </cell>
          <cell r="I3062">
            <v>0.55111111111111122</v>
          </cell>
          <cell r="J3062">
            <v>43.987777777777779</v>
          </cell>
        </row>
        <row r="3063">
          <cell r="B3063">
            <v>17.57</v>
          </cell>
          <cell r="C3063">
            <v>36.07</v>
          </cell>
          <cell r="D3063">
            <v>13.55</v>
          </cell>
          <cell r="E3063">
            <v>9.27</v>
          </cell>
          <cell r="H3063">
            <v>45419</v>
          </cell>
          <cell r="I3063">
            <v>0.55777777777777782</v>
          </cell>
          <cell r="J3063">
            <v>46.238888888888894</v>
          </cell>
        </row>
        <row r="3064">
          <cell r="B3064">
            <v>19.489999999999998</v>
          </cell>
          <cell r="C3064">
            <v>39.020000000000003</v>
          </cell>
          <cell r="D3064">
            <v>12.98</v>
          </cell>
          <cell r="E3064">
            <v>8.7899999999999991</v>
          </cell>
          <cell r="H3064">
            <v>45419</v>
          </cell>
          <cell r="I3064">
            <v>0.55666666666666675</v>
          </cell>
          <cell r="J3064">
            <v>47.843333333333334</v>
          </cell>
        </row>
        <row r="3065">
          <cell r="B3065">
            <v>19.649999999999999</v>
          </cell>
          <cell r="C3065">
            <v>38.549999999999997</v>
          </cell>
          <cell r="D3065">
            <v>13.08</v>
          </cell>
          <cell r="E3065">
            <v>7.9</v>
          </cell>
          <cell r="H3065">
            <v>45419</v>
          </cell>
          <cell r="I3065">
            <v>0.55555555555555558</v>
          </cell>
          <cell r="J3065">
            <v>48.908888888888889</v>
          </cell>
        </row>
        <row r="3066">
          <cell r="B3066">
            <v>18.97</v>
          </cell>
          <cell r="C3066">
            <v>43.35</v>
          </cell>
          <cell r="D3066">
            <v>13.66</v>
          </cell>
          <cell r="E3066">
            <v>8.2799999999999994</v>
          </cell>
          <cell r="H3066">
            <v>45419</v>
          </cell>
          <cell r="I3066">
            <v>0.55555555555555558</v>
          </cell>
          <cell r="J3066">
            <v>50.35</v>
          </cell>
        </row>
        <row r="3067">
          <cell r="B3067">
            <v>24.14</v>
          </cell>
          <cell r="C3067">
            <v>46.52</v>
          </cell>
          <cell r="D3067">
            <v>13.51</v>
          </cell>
          <cell r="E3067">
            <v>8.73</v>
          </cell>
          <cell r="H3067">
            <v>45419</v>
          </cell>
          <cell r="I3067">
            <v>0.568888888888889</v>
          </cell>
          <cell r="J3067">
            <v>51.001111111111108</v>
          </cell>
        </row>
        <row r="3068">
          <cell r="B3068">
            <v>26.48</v>
          </cell>
          <cell r="C3068">
            <v>56.62</v>
          </cell>
          <cell r="D3068">
            <v>15.54</v>
          </cell>
          <cell r="E3068">
            <v>9.93</v>
          </cell>
          <cell r="H3068">
            <v>45419</v>
          </cell>
          <cell r="I3068">
            <v>0.59000000000000008</v>
          </cell>
          <cell r="J3068">
            <v>49.70333333333334</v>
          </cell>
        </row>
        <row r="3069">
          <cell r="B3069">
            <v>33.01</v>
          </cell>
          <cell r="C3069">
            <v>90.36</v>
          </cell>
          <cell r="D3069">
            <v>18.510000000000002</v>
          </cell>
          <cell r="E3069">
            <v>9.1999999999999993</v>
          </cell>
          <cell r="H3069">
            <v>45419</v>
          </cell>
          <cell r="I3069">
            <v>0.61888888888888904</v>
          </cell>
          <cell r="J3069">
            <v>46.976666666666667</v>
          </cell>
        </row>
        <row r="3070">
          <cell r="B3070">
            <v>35.54</v>
          </cell>
          <cell r="C3070">
            <v>158.16999999999999</v>
          </cell>
          <cell r="D3070">
            <v>19.36</v>
          </cell>
          <cell r="E3070">
            <v>9.1999999999999993</v>
          </cell>
          <cell r="H3070">
            <v>45419</v>
          </cell>
          <cell r="I3070">
            <v>0.65444444444444438</v>
          </cell>
          <cell r="J3070">
            <v>43.684444444444445</v>
          </cell>
        </row>
        <row r="3071">
          <cell r="B3071">
            <v>35.71</v>
          </cell>
          <cell r="C3071">
            <v>162.44999999999999</v>
          </cell>
          <cell r="D3071">
            <v>20.41</v>
          </cell>
          <cell r="E3071">
            <v>9.6</v>
          </cell>
          <cell r="H3071">
            <v>45419</v>
          </cell>
          <cell r="I3071">
            <v>0.66666666666666663</v>
          </cell>
          <cell r="J3071">
            <v>40.456666666666671</v>
          </cell>
        </row>
        <row r="3072">
          <cell r="B3072">
            <v>36.229999999999997</v>
          </cell>
          <cell r="C3072">
            <v>168.02</v>
          </cell>
          <cell r="D3072">
            <v>18.53</v>
          </cell>
          <cell r="E3072">
            <v>9.18</v>
          </cell>
          <cell r="H3072">
            <v>45419</v>
          </cell>
          <cell r="I3072">
            <v>0.68333333333333335</v>
          </cell>
          <cell r="J3072">
            <v>37.342222222222219</v>
          </cell>
        </row>
        <row r="3073">
          <cell r="B3073">
            <v>39.97</v>
          </cell>
          <cell r="C3073">
            <v>168.74</v>
          </cell>
          <cell r="D3073">
            <v>16.88</v>
          </cell>
          <cell r="E3073">
            <v>8.51</v>
          </cell>
          <cell r="H3073">
            <v>45419</v>
          </cell>
          <cell r="I3073">
            <v>0.68555555555555558</v>
          </cell>
          <cell r="J3073">
            <v>34.967777777777776</v>
          </cell>
        </row>
        <row r="3074">
          <cell r="B3074">
            <v>37.36</v>
          </cell>
          <cell r="C3074">
            <v>154.87</v>
          </cell>
          <cell r="D3074">
            <v>16.010000000000002</v>
          </cell>
          <cell r="E3074">
            <v>8.2100000000000009</v>
          </cell>
          <cell r="H3074">
            <v>45420</v>
          </cell>
          <cell r="I3074">
            <v>0.68333333333333335</v>
          </cell>
          <cell r="J3074">
            <v>33.104444444444447</v>
          </cell>
        </row>
        <row r="3075">
          <cell r="B3075">
            <v>32.25</v>
          </cell>
          <cell r="C3075">
            <v>155.9</v>
          </cell>
          <cell r="D3075">
            <v>15.83</v>
          </cell>
          <cell r="E3075">
            <v>8.2100000000000009</v>
          </cell>
          <cell r="H3075">
            <v>45420</v>
          </cell>
          <cell r="I3075">
            <v>0.67777777777777781</v>
          </cell>
          <cell r="J3075">
            <v>30.761111111111106</v>
          </cell>
        </row>
        <row r="3076">
          <cell r="B3076">
            <v>31.33</v>
          </cell>
          <cell r="C3076">
            <v>150.08000000000001</v>
          </cell>
          <cell r="D3076">
            <v>14.99</v>
          </cell>
          <cell r="E3076">
            <v>8.19</v>
          </cell>
          <cell r="H3076">
            <v>45420</v>
          </cell>
          <cell r="I3076">
            <v>0.65888888888888886</v>
          </cell>
          <cell r="J3076">
            <v>28.631111111111107</v>
          </cell>
        </row>
        <row r="3077">
          <cell r="B3077">
            <v>23.85</v>
          </cell>
          <cell r="C3077">
            <v>168.74</v>
          </cell>
          <cell r="D3077">
            <v>14.82</v>
          </cell>
          <cell r="E3077">
            <v>7.81</v>
          </cell>
          <cell r="H3077">
            <v>45420</v>
          </cell>
          <cell r="I3077">
            <v>0.63555555555555554</v>
          </cell>
          <cell r="J3077">
            <v>27.515555555555558</v>
          </cell>
        </row>
        <row r="3078">
          <cell r="B3078">
            <v>24.9</v>
          </cell>
          <cell r="C3078">
            <v>144.69999999999999</v>
          </cell>
          <cell r="D3078">
            <v>15.2</v>
          </cell>
          <cell r="E3078">
            <v>7.82</v>
          </cell>
          <cell r="H3078">
            <v>45420</v>
          </cell>
          <cell r="I3078">
            <v>0.60222222222222233</v>
          </cell>
          <cell r="J3078">
            <v>26.958888888888893</v>
          </cell>
        </row>
        <row r="3079">
          <cell r="B3079">
            <v>26.31</v>
          </cell>
          <cell r="C3079">
            <v>154.72</v>
          </cell>
          <cell r="D3079">
            <v>15.15</v>
          </cell>
          <cell r="E3079">
            <v>7.98</v>
          </cell>
          <cell r="H3079">
            <v>45420</v>
          </cell>
          <cell r="I3079">
            <v>0.56222222222222229</v>
          </cell>
          <cell r="J3079">
            <v>26.981111111111112</v>
          </cell>
        </row>
        <row r="3080">
          <cell r="B3080">
            <v>23.63</v>
          </cell>
          <cell r="C3080">
            <v>46.48</v>
          </cell>
          <cell r="D3080">
            <v>11.62</v>
          </cell>
          <cell r="E3080">
            <v>7.21</v>
          </cell>
          <cell r="H3080">
            <v>45420</v>
          </cell>
          <cell r="I3080">
            <v>0.5211111111111113</v>
          </cell>
          <cell r="J3080">
            <v>27.931111111111115</v>
          </cell>
        </row>
        <row r="3081">
          <cell r="B3081">
            <v>15.79</v>
          </cell>
          <cell r="C3081">
            <v>36.57</v>
          </cell>
          <cell r="D3081">
            <v>11.93</v>
          </cell>
          <cell r="E3081">
            <v>7.61</v>
          </cell>
          <cell r="H3081">
            <v>45420</v>
          </cell>
          <cell r="I3081">
            <v>0.50666666666666671</v>
          </cell>
          <cell r="J3081">
            <v>28.835555555555555</v>
          </cell>
        </row>
        <row r="3082">
          <cell r="B3082">
            <v>14.88</v>
          </cell>
          <cell r="C3082">
            <v>109.66</v>
          </cell>
          <cell r="D3082">
            <v>12.24</v>
          </cell>
          <cell r="E3082">
            <v>8.1999999999999993</v>
          </cell>
          <cell r="H3082">
            <v>45420</v>
          </cell>
          <cell r="I3082">
            <v>0.51555555555555554</v>
          </cell>
          <cell r="J3082">
            <v>29.184444444444441</v>
          </cell>
        </row>
        <row r="3083">
          <cell r="B3083">
            <v>12.86</v>
          </cell>
          <cell r="C3083">
            <v>134.88999999999999</v>
          </cell>
          <cell r="D3083">
            <v>14.97</v>
          </cell>
          <cell r="E3083">
            <v>8.3000000000000007</v>
          </cell>
          <cell r="H3083">
            <v>45420</v>
          </cell>
          <cell r="I3083">
            <v>0.52777777777777779</v>
          </cell>
          <cell r="J3083">
            <v>30.050000000000004</v>
          </cell>
        </row>
        <row r="3084">
          <cell r="B3084">
            <v>15.23</v>
          </cell>
          <cell r="C3084">
            <v>136.32</v>
          </cell>
          <cell r="D3084">
            <v>15.07</v>
          </cell>
          <cell r="E3084">
            <v>8.09</v>
          </cell>
          <cell r="H3084">
            <v>45420</v>
          </cell>
          <cell r="I3084">
            <v>0.54</v>
          </cell>
          <cell r="J3084">
            <v>30.950000000000003</v>
          </cell>
        </row>
        <row r="3085">
          <cell r="B3085">
            <v>21.62</v>
          </cell>
          <cell r="C3085">
            <v>43.43</v>
          </cell>
          <cell r="D3085">
            <v>16.170000000000002</v>
          </cell>
          <cell r="E3085">
            <v>8.1</v>
          </cell>
          <cell r="H3085">
            <v>45420</v>
          </cell>
          <cell r="I3085">
            <v>0.54555555555555557</v>
          </cell>
          <cell r="J3085">
            <v>33.486666666666665</v>
          </cell>
        </row>
        <row r="3086">
          <cell r="B3086">
            <v>25.38</v>
          </cell>
          <cell r="C3086">
            <v>51.83</v>
          </cell>
          <cell r="D3086">
            <v>14.63</v>
          </cell>
          <cell r="E3086">
            <v>8.31</v>
          </cell>
          <cell r="H3086">
            <v>45420</v>
          </cell>
          <cell r="I3086">
            <v>0.53888888888888886</v>
          </cell>
          <cell r="J3086">
            <v>36.222222222222221</v>
          </cell>
        </row>
        <row r="3087">
          <cell r="B3087">
            <v>49.86</v>
          </cell>
          <cell r="C3087">
            <v>48.53</v>
          </cell>
          <cell r="D3087">
            <v>15.72</v>
          </cell>
          <cell r="E3087">
            <v>7.01</v>
          </cell>
          <cell r="H3087">
            <v>45420</v>
          </cell>
          <cell r="I3087">
            <v>0.5377777777777778</v>
          </cell>
          <cell r="J3087">
            <v>39.633333333333333</v>
          </cell>
        </row>
        <row r="3088">
          <cell r="B3088">
            <v>91.96</v>
          </cell>
          <cell r="C3088">
            <v>96.1</v>
          </cell>
          <cell r="D3088">
            <v>15.47</v>
          </cell>
          <cell r="E3088">
            <v>7.21</v>
          </cell>
          <cell r="H3088">
            <v>45420</v>
          </cell>
          <cell r="I3088">
            <v>0.53222222222222226</v>
          </cell>
          <cell r="J3088">
            <v>42.304444444444442</v>
          </cell>
        </row>
        <row r="3089">
          <cell r="B3089">
            <v>22.79</v>
          </cell>
          <cell r="C3089">
            <v>125.07</v>
          </cell>
          <cell r="D3089">
            <v>14.89</v>
          </cell>
          <cell r="E3089">
            <v>7.68</v>
          </cell>
          <cell r="H3089">
            <v>45420</v>
          </cell>
          <cell r="I3089">
            <v>0.52999999999999992</v>
          </cell>
          <cell r="J3089">
            <v>44.37</v>
          </cell>
        </row>
        <row r="3090">
          <cell r="B3090">
            <v>22.74</v>
          </cell>
          <cell r="C3090">
            <v>60.78</v>
          </cell>
          <cell r="D3090">
            <v>14.8</v>
          </cell>
          <cell r="E3090">
            <v>8.06</v>
          </cell>
          <cell r="H3090">
            <v>45420</v>
          </cell>
          <cell r="I3090">
            <v>0.51666666666666661</v>
          </cell>
          <cell r="J3090">
            <v>46.011111111111113</v>
          </cell>
        </row>
        <row r="3091">
          <cell r="B3091">
            <v>27.3</v>
          </cell>
          <cell r="C3091">
            <v>67.08</v>
          </cell>
          <cell r="D3091">
            <v>15.31</v>
          </cell>
          <cell r="E3091">
            <v>7.87</v>
          </cell>
          <cell r="H3091">
            <v>45420</v>
          </cell>
          <cell r="I3091">
            <v>0.50555555555555554</v>
          </cell>
          <cell r="J3091">
            <v>46.72</v>
          </cell>
        </row>
        <row r="3092">
          <cell r="B3092">
            <v>29.27</v>
          </cell>
          <cell r="C3092">
            <v>72.47</v>
          </cell>
          <cell r="D3092">
            <v>16.239999999999998</v>
          </cell>
          <cell r="E3092">
            <v>7.22</v>
          </cell>
          <cell r="H3092">
            <v>45420</v>
          </cell>
          <cell r="I3092">
            <v>0.49444444444444435</v>
          </cell>
          <cell r="J3092">
            <v>46.305555555555557</v>
          </cell>
        </row>
        <row r="3093">
          <cell r="B3093">
            <v>29.72</v>
          </cell>
          <cell r="C3093">
            <v>45.83</v>
          </cell>
          <cell r="D3093">
            <v>17.75</v>
          </cell>
          <cell r="E3093">
            <v>7.38</v>
          </cell>
          <cell r="H3093">
            <v>45420</v>
          </cell>
          <cell r="I3093">
            <v>0.50333333333333341</v>
          </cell>
          <cell r="J3093">
            <v>45.436666666666667</v>
          </cell>
        </row>
        <row r="3094">
          <cell r="B3094">
            <v>23.97</v>
          </cell>
          <cell r="C3094">
            <v>47.99</v>
          </cell>
          <cell r="D3094">
            <v>17.93</v>
          </cell>
          <cell r="E3094">
            <v>7.47</v>
          </cell>
          <cell r="H3094">
            <v>45420</v>
          </cell>
          <cell r="I3094">
            <v>0.52777777777777779</v>
          </cell>
          <cell r="J3094">
            <v>42.793333333333337</v>
          </cell>
        </row>
        <row r="3095">
          <cell r="B3095">
            <v>26.78</v>
          </cell>
          <cell r="C3095">
            <v>59.96</v>
          </cell>
          <cell r="D3095">
            <v>18.93</v>
          </cell>
          <cell r="E3095">
            <v>7.59</v>
          </cell>
          <cell r="H3095">
            <v>45420</v>
          </cell>
          <cell r="I3095">
            <v>0.56666666666666665</v>
          </cell>
          <cell r="J3095">
            <v>39.436666666666667</v>
          </cell>
        </row>
        <row r="3096">
          <cell r="B3096">
            <v>28.19</v>
          </cell>
          <cell r="C3096">
            <v>86.08</v>
          </cell>
          <cell r="D3096">
            <v>22.31</v>
          </cell>
          <cell r="E3096">
            <v>7.37</v>
          </cell>
          <cell r="H3096">
            <v>45420</v>
          </cell>
          <cell r="I3096">
            <v>0.60111111111111115</v>
          </cell>
          <cell r="J3096">
            <v>35.588888888888889</v>
          </cell>
        </row>
        <row r="3097">
          <cell r="B3097">
            <v>28.38</v>
          </cell>
          <cell r="C3097">
            <v>76.739999999999995</v>
          </cell>
          <cell r="D3097">
            <v>19.420000000000002</v>
          </cell>
          <cell r="E3097">
            <v>7.58</v>
          </cell>
          <cell r="H3097">
            <v>45420</v>
          </cell>
          <cell r="I3097">
            <v>0.63444444444444459</v>
          </cell>
          <cell r="J3097">
            <v>32.321111111111108</v>
          </cell>
        </row>
        <row r="3098">
          <cell r="B3098">
            <v>25.54</v>
          </cell>
          <cell r="C3098">
            <v>56.56</v>
          </cell>
          <cell r="D3098">
            <v>18.079999999999998</v>
          </cell>
          <cell r="E3098">
            <v>7.06</v>
          </cell>
          <cell r="H3098">
            <v>45421</v>
          </cell>
          <cell r="I3098">
            <v>0.65</v>
          </cell>
          <cell r="J3098">
            <v>29.310000000000002</v>
          </cell>
        </row>
        <row r="3099">
          <cell r="B3099">
            <v>27.29</v>
          </cell>
          <cell r="C3099">
            <v>55.72</v>
          </cell>
          <cell r="D3099">
            <v>17.329999999999998</v>
          </cell>
          <cell r="E3099">
            <v>6.7</v>
          </cell>
          <cell r="H3099">
            <v>45421</v>
          </cell>
          <cell r="I3099">
            <v>0.65111111111111108</v>
          </cell>
          <cell r="J3099">
            <v>26.947777777777777</v>
          </cell>
        </row>
        <row r="3100">
          <cell r="B3100">
            <v>27.83</v>
          </cell>
          <cell r="C3100">
            <v>53.43</v>
          </cell>
          <cell r="D3100">
            <v>16.489999999999998</v>
          </cell>
          <cell r="E3100">
            <v>6.7</v>
          </cell>
          <cell r="H3100">
            <v>45421</v>
          </cell>
          <cell r="I3100">
            <v>0.64333333333333331</v>
          </cell>
          <cell r="J3100">
            <v>25.347777777777779</v>
          </cell>
        </row>
        <row r="3101">
          <cell r="B3101">
            <v>26.46</v>
          </cell>
          <cell r="C3101">
            <v>46.67</v>
          </cell>
          <cell r="D3101">
            <v>16.77</v>
          </cell>
          <cell r="E3101">
            <v>7.28</v>
          </cell>
          <cell r="H3101">
            <v>45421</v>
          </cell>
          <cell r="I3101">
            <v>0.6366666666666666</v>
          </cell>
          <cell r="J3101">
            <v>24.88</v>
          </cell>
        </row>
        <row r="3102">
          <cell r="B3102">
            <v>21.48</v>
          </cell>
          <cell r="C3102">
            <v>43.29</v>
          </cell>
          <cell r="D3102">
            <v>16.55</v>
          </cell>
          <cell r="E3102">
            <v>7.09</v>
          </cell>
          <cell r="H3102">
            <v>45421</v>
          </cell>
          <cell r="I3102">
            <v>0.6133333333333334</v>
          </cell>
          <cell r="J3102">
            <v>24.784444444444446</v>
          </cell>
        </row>
        <row r="3103">
          <cell r="B3103">
            <v>20.9</v>
          </cell>
          <cell r="C3103">
            <v>41.23</v>
          </cell>
          <cell r="D3103">
            <v>16.59</v>
          </cell>
          <cell r="E3103">
            <v>7</v>
          </cell>
          <cell r="H3103">
            <v>45421</v>
          </cell>
          <cell r="I3103">
            <v>0.5822222222222222</v>
          </cell>
          <cell r="J3103">
            <v>24.72</v>
          </cell>
        </row>
        <row r="3104">
          <cell r="B3104">
            <v>24.43</v>
          </cell>
          <cell r="C3104">
            <v>43.67</v>
          </cell>
          <cell r="D3104">
            <v>17.39</v>
          </cell>
          <cell r="E3104">
            <v>6.9</v>
          </cell>
          <cell r="H3104">
            <v>45421</v>
          </cell>
          <cell r="I3104">
            <v>0.54555555555555557</v>
          </cell>
          <cell r="J3104">
            <v>25.755555555555553</v>
          </cell>
        </row>
        <row r="3105">
          <cell r="B3105">
            <v>22.16</v>
          </cell>
          <cell r="C3105">
            <v>46.94</v>
          </cell>
          <cell r="D3105">
            <v>17.97</v>
          </cell>
          <cell r="E3105">
            <v>7.41</v>
          </cell>
          <cell r="H3105">
            <v>45421</v>
          </cell>
          <cell r="I3105">
            <v>0.51333333333333331</v>
          </cell>
          <cell r="J3105">
            <v>28.117777777777778</v>
          </cell>
        </row>
        <row r="3106">
          <cell r="B3106">
            <v>19.72</v>
          </cell>
          <cell r="C3106">
            <v>46.33</v>
          </cell>
          <cell r="D3106">
            <v>18.420000000000002</v>
          </cell>
          <cell r="E3106">
            <v>7.56</v>
          </cell>
          <cell r="H3106">
            <v>45421</v>
          </cell>
          <cell r="I3106">
            <v>0.48444444444444446</v>
          </cell>
          <cell r="J3106">
            <v>29.848888888888887</v>
          </cell>
        </row>
        <row r="3107">
          <cell r="B3107">
            <v>22.7</v>
          </cell>
          <cell r="C3107">
            <v>51.86</v>
          </cell>
          <cell r="D3107">
            <v>17.55</v>
          </cell>
          <cell r="E3107">
            <v>7.46</v>
          </cell>
          <cell r="H3107">
            <v>45421</v>
          </cell>
          <cell r="I3107">
            <v>0.47444444444444439</v>
          </cell>
          <cell r="J3107">
            <v>31.747777777777781</v>
          </cell>
        </row>
        <row r="3108">
          <cell r="B3108">
            <v>26.26</v>
          </cell>
          <cell r="C3108">
            <v>56.74</v>
          </cell>
          <cell r="D3108">
            <v>16.64</v>
          </cell>
          <cell r="E3108">
            <v>7.73</v>
          </cell>
          <cell r="H3108">
            <v>45421</v>
          </cell>
          <cell r="I3108">
            <v>0.4811111111111111</v>
          </cell>
          <cell r="J3108">
            <v>33.587777777777774</v>
          </cell>
        </row>
        <row r="3109">
          <cell r="B3109">
            <v>27.14</v>
          </cell>
          <cell r="C3109">
            <v>59.5</v>
          </cell>
          <cell r="D3109">
            <v>14.88</v>
          </cell>
          <cell r="E3109">
            <v>7.86</v>
          </cell>
          <cell r="H3109">
            <v>45421</v>
          </cell>
          <cell r="I3109">
            <v>0.49999999999999989</v>
          </cell>
          <cell r="J3109">
            <v>37.729999999999997</v>
          </cell>
        </row>
        <row r="3110">
          <cell r="B3110">
            <v>30.34</v>
          </cell>
          <cell r="C3110">
            <v>70.08</v>
          </cell>
          <cell r="D3110">
            <v>16.02</v>
          </cell>
          <cell r="E3110">
            <v>7.83</v>
          </cell>
          <cell r="H3110">
            <v>45421</v>
          </cell>
          <cell r="I3110">
            <v>0.51444444444444448</v>
          </cell>
          <cell r="J3110">
            <v>42.024444444444441</v>
          </cell>
        </row>
        <row r="3111">
          <cell r="B3111">
            <v>31.31</v>
          </cell>
          <cell r="C3111">
            <v>74.930000000000007</v>
          </cell>
          <cell r="D3111">
            <v>17.39</v>
          </cell>
          <cell r="E3111">
            <v>8.0299999999999994</v>
          </cell>
          <cell r="H3111">
            <v>45421</v>
          </cell>
          <cell r="I3111">
            <v>0.52888888888888896</v>
          </cell>
          <cell r="J3111">
            <v>46.288888888888891</v>
          </cell>
        </row>
        <row r="3112">
          <cell r="B3112">
            <v>29.37</v>
          </cell>
          <cell r="C3112">
            <v>72.16</v>
          </cell>
          <cell r="D3112">
            <v>16.88</v>
          </cell>
          <cell r="E3112">
            <v>7.54</v>
          </cell>
          <cell r="H3112">
            <v>45421</v>
          </cell>
          <cell r="I3112">
            <v>0.5377777777777778</v>
          </cell>
          <cell r="J3112">
            <v>49.895555555555553</v>
          </cell>
        </row>
        <row r="3113">
          <cell r="B3113">
            <v>27.96</v>
          </cell>
          <cell r="C3113">
            <v>66.87</v>
          </cell>
          <cell r="D3113">
            <v>16.260000000000002</v>
          </cell>
          <cell r="E3113">
            <v>7.61</v>
          </cell>
          <cell r="H3113">
            <v>45421</v>
          </cell>
          <cell r="I3113">
            <v>0.54666666666666663</v>
          </cell>
          <cell r="J3113">
            <v>53.099999999999994</v>
          </cell>
        </row>
        <row r="3114">
          <cell r="B3114">
            <v>27.68</v>
          </cell>
          <cell r="C3114">
            <v>69.58</v>
          </cell>
          <cell r="D3114">
            <v>13.25</v>
          </cell>
          <cell r="E3114">
            <v>7.32</v>
          </cell>
          <cell r="H3114">
            <v>45421</v>
          </cell>
          <cell r="I3114">
            <v>0.55333333333333334</v>
          </cell>
          <cell r="J3114">
            <v>54.516666666666673</v>
          </cell>
        </row>
        <row r="3115">
          <cell r="B3115">
            <v>33.85</v>
          </cell>
          <cell r="C3115">
            <v>77.59</v>
          </cell>
          <cell r="D3115">
            <v>13.55</v>
          </cell>
          <cell r="E3115">
            <v>7.52</v>
          </cell>
          <cell r="H3115">
            <v>45421</v>
          </cell>
          <cell r="I3115">
            <v>0.56000000000000005</v>
          </cell>
          <cell r="J3115">
            <v>55.611111111111107</v>
          </cell>
        </row>
        <row r="3116">
          <cell r="B3116">
            <v>34.07</v>
          </cell>
          <cell r="C3116">
            <v>79.86</v>
          </cell>
          <cell r="D3116">
            <v>14.64</v>
          </cell>
          <cell r="E3116">
            <v>7.84</v>
          </cell>
          <cell r="H3116">
            <v>45421</v>
          </cell>
          <cell r="I3116">
            <v>0.56888888888888889</v>
          </cell>
          <cell r="J3116">
            <v>55.478888888888882</v>
          </cell>
        </row>
        <row r="3117">
          <cell r="B3117">
            <v>37.53</v>
          </cell>
          <cell r="C3117">
            <v>91.09</v>
          </cell>
          <cell r="D3117">
            <v>13.62</v>
          </cell>
          <cell r="E3117">
            <v>7.88</v>
          </cell>
          <cell r="H3117">
            <v>45421</v>
          </cell>
          <cell r="I3117">
            <v>0.57777777777777772</v>
          </cell>
          <cell r="J3117">
            <v>54.79666666666666</v>
          </cell>
        </row>
        <row r="3118">
          <cell r="B3118">
            <v>36.78</v>
          </cell>
          <cell r="C3118">
            <v>88.37</v>
          </cell>
          <cell r="D3118">
            <v>12.37</v>
          </cell>
          <cell r="E3118">
            <v>7.46</v>
          </cell>
          <cell r="H3118">
            <v>45421</v>
          </cell>
          <cell r="I3118">
            <v>0.57111111111111112</v>
          </cell>
          <cell r="J3118">
            <v>52.033333333333331</v>
          </cell>
        </row>
        <row r="3119">
          <cell r="B3119">
            <v>47.37</v>
          </cell>
          <cell r="C3119">
            <v>73.739999999999995</v>
          </cell>
          <cell r="D3119">
            <v>12.54</v>
          </cell>
          <cell r="E3119">
            <v>7.24</v>
          </cell>
          <cell r="H3119">
            <v>45421</v>
          </cell>
          <cell r="I3119">
            <v>0.56333333333333324</v>
          </cell>
          <cell r="J3119">
            <v>48.625555555555557</v>
          </cell>
        </row>
        <row r="3120">
          <cell r="B3120">
            <v>29.03</v>
          </cell>
          <cell r="C3120">
            <v>45.22</v>
          </cell>
          <cell r="D3120">
            <v>13.15</v>
          </cell>
          <cell r="E3120">
            <v>6.77</v>
          </cell>
          <cell r="H3120">
            <v>45421</v>
          </cell>
          <cell r="I3120">
            <v>0.57111111111111112</v>
          </cell>
          <cell r="J3120">
            <v>45.092222222222219</v>
          </cell>
        </row>
        <row r="3121">
          <cell r="B3121">
            <v>28.03</v>
          </cell>
          <cell r="C3121">
            <v>38.58</v>
          </cell>
          <cell r="D3121">
            <v>13.81</v>
          </cell>
          <cell r="E3121">
            <v>7</v>
          </cell>
          <cell r="H3121">
            <v>45421</v>
          </cell>
          <cell r="I3121">
            <v>0.57777777777777783</v>
          </cell>
          <cell r="J3121">
            <v>42.005555555555553</v>
          </cell>
        </row>
        <row r="3122">
          <cell r="B3122">
            <v>33.44</v>
          </cell>
          <cell r="C3122">
            <v>51.37</v>
          </cell>
          <cell r="D3122">
            <v>12.89</v>
          </cell>
          <cell r="E3122">
            <v>7.94</v>
          </cell>
          <cell r="H3122">
            <v>45422</v>
          </cell>
          <cell r="I3122">
            <v>0.5788888888888889</v>
          </cell>
          <cell r="J3122">
            <v>38.567777777777778</v>
          </cell>
        </row>
        <row r="3123">
          <cell r="B3123">
            <v>57.38</v>
          </cell>
          <cell r="C3123">
            <v>52.61</v>
          </cell>
          <cell r="D3123">
            <v>13.3</v>
          </cell>
          <cell r="E3123">
            <v>7.94</v>
          </cell>
          <cell r="H3123">
            <v>45422</v>
          </cell>
          <cell r="I3123">
            <v>0.58000000000000007</v>
          </cell>
          <cell r="J3123">
            <v>35.476666666666659</v>
          </cell>
        </row>
        <row r="3124">
          <cell r="B3124">
            <v>32.22</v>
          </cell>
          <cell r="C3124">
            <v>53.61</v>
          </cell>
          <cell r="D3124">
            <v>12.76</v>
          </cell>
          <cell r="E3124">
            <v>7.67</v>
          </cell>
          <cell r="H3124">
            <v>45422</v>
          </cell>
          <cell r="I3124">
            <v>0.56888888888888889</v>
          </cell>
          <cell r="J3124">
            <v>33.387777777777771</v>
          </cell>
        </row>
        <row r="3125">
          <cell r="B3125">
            <v>31.96</v>
          </cell>
          <cell r="C3125">
            <v>49.6</v>
          </cell>
          <cell r="D3125">
            <v>12.11</v>
          </cell>
          <cell r="E3125">
            <v>7.7</v>
          </cell>
          <cell r="H3125">
            <v>45422</v>
          </cell>
          <cell r="I3125">
            <v>0.54666666666666663</v>
          </cell>
          <cell r="J3125">
            <v>31.827777777777769</v>
          </cell>
        </row>
        <row r="3126">
          <cell r="B3126">
            <v>18.25</v>
          </cell>
          <cell r="C3126">
            <v>43.49</v>
          </cell>
          <cell r="D3126">
            <v>11.42</v>
          </cell>
          <cell r="E3126">
            <v>7.64</v>
          </cell>
          <cell r="H3126">
            <v>45422</v>
          </cell>
          <cell r="I3126">
            <v>0.52555555555555555</v>
          </cell>
          <cell r="J3126">
            <v>30.823333333333338</v>
          </cell>
        </row>
        <row r="3127">
          <cell r="B3127">
            <v>25.21</v>
          </cell>
          <cell r="C3127">
            <v>44.02</v>
          </cell>
          <cell r="D3127">
            <v>12.27</v>
          </cell>
          <cell r="E3127">
            <v>8.09</v>
          </cell>
          <cell r="H3127">
            <v>45422</v>
          </cell>
          <cell r="I3127">
            <v>0.51555555555555554</v>
          </cell>
          <cell r="J3127">
            <v>29.621111111111116</v>
          </cell>
        </row>
        <row r="3128">
          <cell r="B3128">
            <v>24.42</v>
          </cell>
          <cell r="C3128">
            <v>49.68</v>
          </cell>
          <cell r="D3128">
            <v>12.53</v>
          </cell>
          <cell r="E3128">
            <v>7.8</v>
          </cell>
          <cell r="H3128">
            <v>45422</v>
          </cell>
          <cell r="I3128">
            <v>0.51444444444444448</v>
          </cell>
          <cell r="J3128">
            <v>28.624444444444446</v>
          </cell>
        </row>
        <row r="3129">
          <cell r="B3129">
            <v>27.26</v>
          </cell>
          <cell r="C3129">
            <v>50.19</v>
          </cell>
          <cell r="D3129">
            <v>12.46</v>
          </cell>
          <cell r="E3129">
            <v>8.43</v>
          </cell>
          <cell r="H3129">
            <v>45422</v>
          </cell>
          <cell r="I3129">
            <v>0.50111111111111106</v>
          </cell>
          <cell r="J3129">
            <v>28.147777777777776</v>
          </cell>
        </row>
        <row r="3130">
          <cell r="B3130">
            <v>23.97</v>
          </cell>
          <cell r="C3130">
            <v>49.17</v>
          </cell>
          <cell r="D3130">
            <v>12.41</v>
          </cell>
          <cell r="E3130">
            <v>7.88</v>
          </cell>
          <cell r="H3130">
            <v>45422</v>
          </cell>
          <cell r="I3130">
            <v>0.49222222222222228</v>
          </cell>
          <cell r="J3130">
            <v>28.202222222222222</v>
          </cell>
        </row>
        <row r="3131">
          <cell r="B3131">
            <v>22.95</v>
          </cell>
          <cell r="C3131">
            <v>48.23</v>
          </cell>
          <cell r="D3131">
            <v>12.36</v>
          </cell>
          <cell r="E3131">
            <v>7.96</v>
          </cell>
          <cell r="H3131">
            <v>45422</v>
          </cell>
          <cell r="I3131">
            <v>0.48666666666666664</v>
          </cell>
          <cell r="J3131">
            <v>29.127777777777776</v>
          </cell>
        </row>
        <row r="3132">
          <cell r="B3132">
            <v>19.89</v>
          </cell>
          <cell r="C3132">
            <v>44.84</v>
          </cell>
          <cell r="D3132">
            <v>12.22</v>
          </cell>
          <cell r="E3132">
            <v>7.92</v>
          </cell>
          <cell r="H3132">
            <v>45422</v>
          </cell>
          <cell r="I3132">
            <v>0.48000000000000004</v>
          </cell>
          <cell r="J3132">
            <v>30.102222222222217</v>
          </cell>
        </row>
        <row r="3133">
          <cell r="B3133">
            <v>21.65</v>
          </cell>
          <cell r="C3133">
            <v>47.4</v>
          </cell>
          <cell r="D3133">
            <v>12.77</v>
          </cell>
          <cell r="E3133">
            <v>8.07</v>
          </cell>
          <cell r="H3133">
            <v>45422</v>
          </cell>
          <cell r="I3133">
            <v>0.48222222222222233</v>
          </cell>
          <cell r="J3133">
            <v>31.875555555555554</v>
          </cell>
        </row>
        <row r="3134">
          <cell r="B3134">
            <v>23.86</v>
          </cell>
          <cell r="C3134">
            <v>51.65</v>
          </cell>
          <cell r="D3134">
            <v>12.95</v>
          </cell>
          <cell r="E3134">
            <v>8.1300000000000008</v>
          </cell>
          <cell r="H3134">
            <v>45422</v>
          </cell>
          <cell r="I3134">
            <v>0.49111111111111111</v>
          </cell>
          <cell r="J3134">
            <v>34.051111111111112</v>
          </cell>
        </row>
        <row r="3135">
          <cell r="B3135">
            <v>25.84</v>
          </cell>
          <cell r="C3135">
            <v>54.35</v>
          </cell>
          <cell r="D3135">
            <v>12.97</v>
          </cell>
          <cell r="E3135">
            <v>8.19</v>
          </cell>
          <cell r="H3135">
            <v>45422</v>
          </cell>
          <cell r="I3135">
            <v>0.49555555555555553</v>
          </cell>
          <cell r="J3135">
            <v>36.206666666666671</v>
          </cell>
        </row>
        <row r="3136">
          <cell r="B3136">
            <v>25.51</v>
          </cell>
          <cell r="C3136">
            <v>60.81</v>
          </cell>
          <cell r="D3136">
            <v>13.22</v>
          </cell>
          <cell r="E3136">
            <v>8.58</v>
          </cell>
          <cell r="H3136">
            <v>45422</v>
          </cell>
          <cell r="I3136">
            <v>0.50222222222222213</v>
          </cell>
          <cell r="J3136">
            <v>38.864444444444445</v>
          </cell>
        </row>
        <row r="3137">
          <cell r="B3137">
            <v>26</v>
          </cell>
          <cell r="C3137">
            <v>63.04</v>
          </cell>
          <cell r="D3137">
            <v>13.25</v>
          </cell>
          <cell r="E3137">
            <v>9.02</v>
          </cell>
          <cell r="H3137">
            <v>45422</v>
          </cell>
          <cell r="I3137">
            <v>0.50666666666666671</v>
          </cell>
          <cell r="J3137">
            <v>41.544444444444444</v>
          </cell>
        </row>
        <row r="3138">
          <cell r="B3138">
            <v>30.16</v>
          </cell>
          <cell r="C3138">
            <v>73.650000000000006</v>
          </cell>
          <cell r="D3138">
            <v>12.97</v>
          </cell>
          <cell r="E3138">
            <v>8.73</v>
          </cell>
          <cell r="H3138">
            <v>45422</v>
          </cell>
          <cell r="I3138">
            <v>0.51</v>
          </cell>
          <cell r="J3138">
            <v>43.839999999999996</v>
          </cell>
        </row>
        <row r="3139">
          <cell r="B3139">
            <v>35.369999999999997</v>
          </cell>
          <cell r="C3139">
            <v>95.96</v>
          </cell>
          <cell r="D3139">
            <v>13.46</v>
          </cell>
          <cell r="E3139">
            <v>8.81</v>
          </cell>
          <cell r="H3139">
            <v>45422</v>
          </cell>
          <cell r="I3139">
            <v>0.52555555555555555</v>
          </cell>
          <cell r="J3139">
            <v>45.224444444444451</v>
          </cell>
        </row>
        <row r="3140">
          <cell r="B3140">
            <v>36.159999999999997</v>
          </cell>
          <cell r="C3140">
            <v>97.72</v>
          </cell>
          <cell r="D3140">
            <v>15.46</v>
          </cell>
          <cell r="E3140">
            <v>9.2100000000000009</v>
          </cell>
          <cell r="H3140">
            <v>45422</v>
          </cell>
          <cell r="I3140">
            <v>0.55444444444444452</v>
          </cell>
          <cell r="J3140">
            <v>45.41</v>
          </cell>
        </row>
        <row r="3141">
          <cell r="B3141">
            <v>37.869999999999997</v>
          </cell>
          <cell r="C3141">
            <v>100.41</v>
          </cell>
          <cell r="D3141">
            <v>17.13</v>
          </cell>
          <cell r="E3141">
            <v>10.31</v>
          </cell>
          <cell r="H3141">
            <v>45422</v>
          </cell>
          <cell r="I3141">
            <v>0.59666666666666657</v>
          </cell>
          <cell r="J3141">
            <v>45.395555555555553</v>
          </cell>
        </row>
        <row r="3142">
          <cell r="B3142">
            <v>34.71</v>
          </cell>
          <cell r="C3142">
            <v>86.61</v>
          </cell>
          <cell r="D3142">
            <v>16.34</v>
          </cell>
          <cell r="E3142">
            <v>9.5299999999999994</v>
          </cell>
          <cell r="H3142">
            <v>45422</v>
          </cell>
          <cell r="I3142">
            <v>0.62</v>
          </cell>
          <cell r="J3142">
            <v>44.297777777777775</v>
          </cell>
        </row>
        <row r="3143">
          <cell r="B3143">
            <v>29.63</v>
          </cell>
          <cell r="C3143">
            <v>73.459999999999994</v>
          </cell>
          <cell r="D3143">
            <v>15.42</v>
          </cell>
          <cell r="E3143">
            <v>8.74</v>
          </cell>
          <cell r="H3143">
            <v>45422</v>
          </cell>
          <cell r="I3143">
            <v>0.62888888888888894</v>
          </cell>
          <cell r="J3143">
            <v>42.907777777777781</v>
          </cell>
        </row>
        <row r="3144">
          <cell r="B3144">
            <v>26.78</v>
          </cell>
          <cell r="C3144">
            <v>64.41</v>
          </cell>
          <cell r="D3144">
            <v>15.69</v>
          </cell>
          <cell r="E3144">
            <v>8.19</v>
          </cell>
          <cell r="H3144">
            <v>45422</v>
          </cell>
          <cell r="I3144">
            <v>0.63777777777777789</v>
          </cell>
          <cell r="J3144">
            <v>41.257777777777783</v>
          </cell>
        </row>
        <row r="3145">
          <cell r="B3145">
            <v>24.51</v>
          </cell>
          <cell r="C3145">
            <v>56</v>
          </cell>
          <cell r="D3145">
            <v>13.67</v>
          </cell>
          <cell r="E3145">
            <v>7.45</v>
          </cell>
          <cell r="H3145">
            <v>45422</v>
          </cell>
          <cell r="I3145">
            <v>0.63333333333333341</v>
          </cell>
          <cell r="J3145">
            <v>39.374444444444443</v>
          </cell>
        </row>
        <row r="3146">
          <cell r="B3146">
            <v>22.09</v>
          </cell>
          <cell r="C3146">
            <v>44.08</v>
          </cell>
          <cell r="D3146">
            <v>11.51</v>
          </cell>
          <cell r="E3146">
            <v>7.2</v>
          </cell>
          <cell r="H3146">
            <v>45423</v>
          </cell>
          <cell r="I3146">
            <v>0.61888888888888893</v>
          </cell>
          <cell r="J3146">
            <v>37.49</v>
          </cell>
        </row>
        <row r="3147">
          <cell r="B3147">
            <v>16.760000000000002</v>
          </cell>
          <cell r="C3147">
            <v>35.630000000000003</v>
          </cell>
          <cell r="D3147">
            <v>12.15</v>
          </cell>
          <cell r="E3147">
            <v>7.12</v>
          </cell>
          <cell r="H3147">
            <v>45423</v>
          </cell>
          <cell r="I3147">
            <v>0.60444444444444434</v>
          </cell>
          <cell r="J3147">
            <v>35.376666666666665</v>
          </cell>
        </row>
        <row r="3148">
          <cell r="B3148">
            <v>15.23</v>
          </cell>
          <cell r="C3148">
            <v>33.15</v>
          </cell>
          <cell r="D3148">
            <v>12.56</v>
          </cell>
          <cell r="E3148">
            <v>7.08</v>
          </cell>
          <cell r="H3148">
            <v>45423</v>
          </cell>
          <cell r="I3148">
            <v>0.57555555555555549</v>
          </cell>
          <cell r="J3148">
            <v>34.042222222222229</v>
          </cell>
        </row>
        <row r="3149">
          <cell r="B3149">
            <v>14.31</v>
          </cell>
          <cell r="C3149">
            <v>28.54</v>
          </cell>
          <cell r="D3149">
            <v>12.26</v>
          </cell>
          <cell r="E3149">
            <v>7.51</v>
          </cell>
          <cell r="H3149">
            <v>45423</v>
          </cell>
          <cell r="I3149">
            <v>0.53333333333333333</v>
          </cell>
          <cell r="J3149">
            <v>33.187777777777775</v>
          </cell>
        </row>
        <row r="3150">
          <cell r="B3150">
            <v>15.88</v>
          </cell>
          <cell r="C3150">
            <v>32.979999999999997</v>
          </cell>
          <cell r="D3150">
            <v>12.43</v>
          </cell>
          <cell r="E3150">
            <v>7.53</v>
          </cell>
          <cell r="H3150">
            <v>45423</v>
          </cell>
          <cell r="I3150">
            <v>0.48333333333333339</v>
          </cell>
          <cell r="J3150">
            <v>32.513333333333335</v>
          </cell>
        </row>
        <row r="3151">
          <cell r="B3151">
            <v>17.760000000000002</v>
          </cell>
          <cell r="C3151">
            <v>38.25</v>
          </cell>
          <cell r="D3151">
            <v>12.79</v>
          </cell>
          <cell r="E3151">
            <v>7.77</v>
          </cell>
          <cell r="H3151">
            <v>45423</v>
          </cell>
          <cell r="I3151">
            <v>0.46000000000000008</v>
          </cell>
          <cell r="J3151">
            <v>31.721111111111114</v>
          </cell>
        </row>
        <row r="3152">
          <cell r="B3152">
            <v>20.28</v>
          </cell>
          <cell r="C3152">
            <v>43.46</v>
          </cell>
          <cell r="D3152">
            <v>13.48</v>
          </cell>
          <cell r="E3152">
            <v>7.26</v>
          </cell>
          <cell r="H3152">
            <v>45423</v>
          </cell>
          <cell r="I3152">
            <v>0.45666666666666672</v>
          </cell>
          <cell r="J3152">
            <v>30.823333333333331</v>
          </cell>
        </row>
        <row r="3153">
          <cell r="B3153">
            <v>22.21</v>
          </cell>
          <cell r="C3153">
            <v>48.22</v>
          </cell>
          <cell r="D3153">
            <v>13.01</v>
          </cell>
          <cell r="E3153">
            <v>7.51</v>
          </cell>
          <cell r="H3153">
            <v>45423</v>
          </cell>
          <cell r="I3153">
            <v>0.45444444444444443</v>
          </cell>
          <cell r="J3153">
            <v>30.581111111111113</v>
          </cell>
        </row>
        <row r="3154">
          <cell r="B3154">
            <v>18.47</v>
          </cell>
          <cell r="C3154">
            <v>40.44</v>
          </cell>
          <cell r="D3154">
            <v>12.51</v>
          </cell>
          <cell r="E3154">
            <v>7.55</v>
          </cell>
          <cell r="H3154">
            <v>45423</v>
          </cell>
          <cell r="I3154">
            <v>0.46333333333333332</v>
          </cell>
          <cell r="J3154">
            <v>30.814444444444444</v>
          </cell>
        </row>
        <row r="3155">
          <cell r="B3155">
            <v>16.059999999999999</v>
          </cell>
          <cell r="C3155">
            <v>40.21</v>
          </cell>
          <cell r="D3155">
            <v>12.37</v>
          </cell>
          <cell r="E3155">
            <v>7.63</v>
          </cell>
          <cell r="H3155">
            <v>45423</v>
          </cell>
          <cell r="I3155">
            <v>0.47666666666666668</v>
          </cell>
          <cell r="J3155">
            <v>31.748888888888889</v>
          </cell>
        </row>
        <row r="3156">
          <cell r="B3156">
            <v>17.66</v>
          </cell>
          <cell r="C3156">
            <v>40.22</v>
          </cell>
          <cell r="D3156">
            <v>12.99</v>
          </cell>
          <cell r="E3156">
            <v>7.1</v>
          </cell>
          <cell r="H3156">
            <v>45423</v>
          </cell>
          <cell r="I3156">
            <v>0.49888888888888894</v>
          </cell>
          <cell r="J3156">
            <v>32.337777777777781</v>
          </cell>
        </row>
        <row r="3157">
          <cell r="B3157">
            <v>19.329999999999998</v>
          </cell>
          <cell r="C3157">
            <v>45.38</v>
          </cell>
          <cell r="D3157">
            <v>13.1</v>
          </cell>
          <cell r="E3157">
            <v>7.48</v>
          </cell>
          <cell r="H3157">
            <v>45423</v>
          </cell>
          <cell r="I3157">
            <v>0.52222222222222225</v>
          </cell>
          <cell r="J3157">
            <v>33.50333333333333</v>
          </cell>
        </row>
        <row r="3158">
          <cell r="B3158">
            <v>19.940000000000001</v>
          </cell>
          <cell r="C3158">
            <v>48.3</v>
          </cell>
          <cell r="D3158">
            <v>13.51</v>
          </cell>
          <cell r="E3158">
            <v>7.53</v>
          </cell>
          <cell r="H3158">
            <v>45423</v>
          </cell>
          <cell r="I3158">
            <v>0.5477777777777777</v>
          </cell>
          <cell r="J3158">
            <v>34.831111111111113</v>
          </cell>
        </row>
        <row r="3159">
          <cell r="B3159">
            <v>25.02</v>
          </cell>
          <cell r="C3159">
            <v>62.19</v>
          </cell>
          <cell r="D3159">
            <v>12.61</v>
          </cell>
          <cell r="E3159">
            <v>7.42</v>
          </cell>
          <cell r="H3159">
            <v>45423</v>
          </cell>
          <cell r="I3159">
            <v>0.56111111111111123</v>
          </cell>
          <cell r="J3159">
            <v>37.346666666666664</v>
          </cell>
        </row>
        <row r="3160">
          <cell r="B3160">
            <v>25.4</v>
          </cell>
          <cell r="C3160">
            <v>60.46</v>
          </cell>
          <cell r="D3160">
            <v>13.09</v>
          </cell>
          <cell r="E3160">
            <v>7.72</v>
          </cell>
          <cell r="H3160">
            <v>45423</v>
          </cell>
          <cell r="I3160">
            <v>0.56444444444444442</v>
          </cell>
          <cell r="J3160">
            <v>39.115555555555552</v>
          </cell>
        </row>
        <row r="3161">
          <cell r="B3161">
            <v>25.15</v>
          </cell>
          <cell r="C3161">
            <v>60.99</v>
          </cell>
          <cell r="D3161">
            <v>12.89</v>
          </cell>
          <cell r="E3161">
            <v>8.1</v>
          </cell>
          <cell r="H3161">
            <v>45423</v>
          </cell>
          <cell r="I3161">
            <v>0.56555555555555559</v>
          </cell>
          <cell r="J3161">
            <v>40.921111111111109</v>
          </cell>
        </row>
        <row r="3162">
          <cell r="B3162">
            <v>26.95</v>
          </cell>
          <cell r="C3162">
            <v>63.16</v>
          </cell>
          <cell r="D3162">
            <v>13.19</v>
          </cell>
          <cell r="E3162">
            <v>8.07</v>
          </cell>
          <cell r="H3162">
            <v>45423</v>
          </cell>
          <cell r="I3162">
            <v>0.56777777777777794</v>
          </cell>
          <cell r="J3162">
            <v>42.18888888888889</v>
          </cell>
        </row>
        <row r="3163">
          <cell r="B3163">
            <v>27.16</v>
          </cell>
          <cell r="C3163">
            <v>66.760000000000005</v>
          </cell>
          <cell r="D3163">
            <v>13.61</v>
          </cell>
          <cell r="E3163">
            <v>8.18</v>
          </cell>
          <cell r="H3163">
            <v>45423</v>
          </cell>
          <cell r="I3163">
            <v>0.5755555555555556</v>
          </cell>
          <cell r="J3163">
            <v>42.667777777777779</v>
          </cell>
        </row>
        <row r="3164">
          <cell r="B3164">
            <v>29.33</v>
          </cell>
          <cell r="C3164">
            <v>77.19</v>
          </cell>
          <cell r="D3164">
            <v>14.48</v>
          </cell>
          <cell r="E3164">
            <v>8.2899999999999991</v>
          </cell>
          <cell r="H3164">
            <v>45423</v>
          </cell>
          <cell r="I3164">
            <v>0.59777777777777785</v>
          </cell>
          <cell r="J3164">
            <v>41.935555555555553</v>
          </cell>
        </row>
        <row r="3165">
          <cell r="B3165">
            <v>39.049999999999997</v>
          </cell>
          <cell r="C3165">
            <v>96.33</v>
          </cell>
          <cell r="D3165">
            <v>16.32</v>
          </cell>
          <cell r="E3165">
            <v>8.81</v>
          </cell>
          <cell r="H3165">
            <v>45423</v>
          </cell>
          <cell r="I3165">
            <v>0.63555555555555554</v>
          </cell>
          <cell r="J3165">
            <v>41.362222222222229</v>
          </cell>
        </row>
        <row r="3166">
          <cell r="B3166">
            <v>39.25</v>
          </cell>
          <cell r="C3166">
            <v>97.02</v>
          </cell>
          <cell r="D3166">
            <v>14.29</v>
          </cell>
          <cell r="E3166">
            <v>8.4600000000000009</v>
          </cell>
          <cell r="H3166">
            <v>45423</v>
          </cell>
          <cell r="I3166">
            <v>0.64333333333333342</v>
          </cell>
          <cell r="J3166">
            <v>40.414444444444442</v>
          </cell>
        </row>
        <row r="3167">
          <cell r="B3167">
            <v>30.68</v>
          </cell>
          <cell r="C3167">
            <v>71.34</v>
          </cell>
          <cell r="D3167">
            <v>13.34</v>
          </cell>
          <cell r="E3167">
            <v>8.19</v>
          </cell>
          <cell r="H3167">
            <v>45423</v>
          </cell>
          <cell r="I3167">
            <v>0.63555555555555565</v>
          </cell>
          <cell r="J3167">
            <v>39.164444444444449</v>
          </cell>
        </row>
        <row r="3168">
          <cell r="B3168">
            <v>25.19</v>
          </cell>
          <cell r="C3168">
            <v>62.26</v>
          </cell>
          <cell r="D3168">
            <v>13.36</v>
          </cell>
          <cell r="E3168">
            <v>8.1</v>
          </cell>
          <cell r="H3168">
            <v>45423</v>
          </cell>
          <cell r="I3168">
            <v>0.64222222222222225</v>
          </cell>
          <cell r="J3168">
            <v>36.784444444444446</v>
          </cell>
        </row>
        <row r="3169">
          <cell r="B3169">
            <v>23.44</v>
          </cell>
          <cell r="C3169">
            <v>59.01</v>
          </cell>
          <cell r="D3169">
            <v>12.78</v>
          </cell>
          <cell r="E3169">
            <v>8.7799999999999994</v>
          </cell>
          <cell r="H3169">
            <v>45423</v>
          </cell>
          <cell r="I3169">
            <v>0.64111111111111119</v>
          </cell>
          <cell r="J3169">
            <v>35.466666666666669</v>
          </cell>
        </row>
        <row r="3170">
          <cell r="B3170">
            <v>22.8</v>
          </cell>
          <cell r="C3170">
            <v>56.6</v>
          </cell>
          <cell r="D3170">
            <v>12.62</v>
          </cell>
          <cell r="E3170">
            <v>7.91</v>
          </cell>
          <cell r="H3170">
            <v>45424</v>
          </cell>
          <cell r="I3170">
            <v>0.6333333333333333</v>
          </cell>
          <cell r="J3170">
            <v>34.335555555555551</v>
          </cell>
        </row>
        <row r="3171">
          <cell r="B3171">
            <v>26.87</v>
          </cell>
          <cell r="C3171">
            <v>56.82</v>
          </cell>
          <cell r="D3171">
            <v>12.6</v>
          </cell>
          <cell r="E3171">
            <v>7.85</v>
          </cell>
          <cell r="H3171">
            <v>45424</v>
          </cell>
          <cell r="I3171">
            <v>0.62888888888888883</v>
          </cell>
          <cell r="J3171">
            <v>33.096666666666664</v>
          </cell>
        </row>
        <row r="3172">
          <cell r="B3172">
            <v>28.18</v>
          </cell>
          <cell r="C3172">
            <v>54.4</v>
          </cell>
          <cell r="D3172">
            <v>12.52</v>
          </cell>
          <cell r="E3172">
            <v>7.68</v>
          </cell>
          <cell r="H3172">
            <v>45424</v>
          </cell>
          <cell r="I3172">
            <v>0.61333333333333329</v>
          </cell>
          <cell r="J3172">
            <v>32.304444444444442</v>
          </cell>
        </row>
        <row r="3173">
          <cell r="B3173">
            <v>22.95</v>
          </cell>
          <cell r="C3173">
            <v>48.7</v>
          </cell>
          <cell r="D3173">
            <v>12.18</v>
          </cell>
          <cell r="E3173">
            <v>8.06</v>
          </cell>
          <cell r="H3173">
            <v>45424</v>
          </cell>
          <cell r="I3173">
            <v>0.58444444444444432</v>
          </cell>
          <cell r="J3173">
            <v>31.86888888888889</v>
          </cell>
        </row>
        <row r="3174">
          <cell r="B3174">
            <v>21.28</v>
          </cell>
          <cell r="C3174">
            <v>44.92</v>
          </cell>
          <cell r="D3174">
            <v>12.16</v>
          </cell>
          <cell r="E3174">
            <v>7.87</v>
          </cell>
          <cell r="H3174">
            <v>45424</v>
          </cell>
          <cell r="I3174">
            <v>0.53222222222222226</v>
          </cell>
          <cell r="J3174">
            <v>31.982222222222219</v>
          </cell>
        </row>
        <row r="3175">
          <cell r="B3175">
            <v>20.57</v>
          </cell>
          <cell r="C3175">
            <v>41.06</v>
          </cell>
          <cell r="D3175">
            <v>12.51</v>
          </cell>
          <cell r="E3175">
            <v>7.39</v>
          </cell>
          <cell r="H3175">
            <v>45424</v>
          </cell>
          <cell r="I3175">
            <v>0.51333333333333342</v>
          </cell>
          <cell r="J3175">
            <v>31.696666666666665</v>
          </cell>
        </row>
        <row r="3176">
          <cell r="B3176">
            <v>21.97</v>
          </cell>
          <cell r="C3176">
            <v>44.94</v>
          </cell>
          <cell r="D3176">
            <v>12.13</v>
          </cell>
          <cell r="E3176">
            <v>7.88</v>
          </cell>
          <cell r="H3176">
            <v>45424</v>
          </cell>
          <cell r="I3176">
            <v>0.51222222222222236</v>
          </cell>
          <cell r="J3176">
            <v>31.437777777777779</v>
          </cell>
        </row>
        <row r="3177">
          <cell r="B3177">
            <v>22.75</v>
          </cell>
          <cell r="C3177">
            <v>50.25</v>
          </cell>
          <cell r="D3177">
            <v>11.43</v>
          </cell>
          <cell r="E3177">
            <v>7.51</v>
          </cell>
          <cell r="H3177">
            <v>45424</v>
          </cell>
          <cell r="I3177">
            <v>0.50555555555555565</v>
          </cell>
          <cell r="J3177">
            <v>31.292222222222229</v>
          </cell>
        </row>
        <row r="3178">
          <cell r="B3178">
            <v>22.81</v>
          </cell>
          <cell r="C3178">
            <v>53.51</v>
          </cell>
          <cell r="D3178">
            <v>11.29</v>
          </cell>
          <cell r="E3178">
            <v>7.72</v>
          </cell>
          <cell r="H3178">
            <v>45424</v>
          </cell>
          <cell r="I3178">
            <v>0.51333333333333331</v>
          </cell>
          <cell r="J3178">
            <v>31.556666666666672</v>
          </cell>
        </row>
        <row r="3179">
          <cell r="B3179">
            <v>22.04</v>
          </cell>
          <cell r="C3179">
            <v>54.5</v>
          </cell>
          <cell r="D3179">
            <v>11.58</v>
          </cell>
          <cell r="E3179">
            <v>7.58</v>
          </cell>
          <cell r="H3179">
            <v>45424</v>
          </cell>
          <cell r="I3179">
            <v>0.52333333333333343</v>
          </cell>
          <cell r="J3179">
            <v>32.660000000000004</v>
          </cell>
        </row>
        <row r="3180">
          <cell r="B3180">
            <v>22.57</v>
          </cell>
          <cell r="C3180">
            <v>54.9</v>
          </cell>
          <cell r="D3180">
            <v>12.3</v>
          </cell>
          <cell r="E3180">
            <v>7.85</v>
          </cell>
          <cell r="H3180">
            <v>45424</v>
          </cell>
          <cell r="I3180">
            <v>0.5277777777777779</v>
          </cell>
          <cell r="J3180">
            <v>33.793333333333329</v>
          </cell>
        </row>
        <row r="3181">
          <cell r="B3181">
            <v>24.02</v>
          </cell>
          <cell r="C3181">
            <v>55.86</v>
          </cell>
          <cell r="D3181">
            <v>11.98</v>
          </cell>
          <cell r="E3181">
            <v>8.48</v>
          </cell>
          <cell r="H3181">
            <v>45424</v>
          </cell>
          <cell r="I3181">
            <v>0.53666666666666663</v>
          </cell>
          <cell r="J3181">
            <v>36.358888888888892</v>
          </cell>
        </row>
        <row r="3182">
          <cell r="B3182">
            <v>29.03</v>
          </cell>
          <cell r="C3182">
            <v>65.05</v>
          </cell>
          <cell r="D3182">
            <v>12.27</v>
          </cell>
          <cell r="E3182">
            <v>8.4</v>
          </cell>
          <cell r="H3182">
            <v>45424</v>
          </cell>
          <cell r="I3182">
            <v>0.54888888888888887</v>
          </cell>
          <cell r="J3182">
            <v>39.022222222222219</v>
          </cell>
        </row>
        <row r="3183">
          <cell r="B3183">
            <v>27.4</v>
          </cell>
          <cell r="C3183">
            <v>64.73</v>
          </cell>
          <cell r="D3183">
            <v>12.88</v>
          </cell>
          <cell r="E3183">
            <v>8.99</v>
          </cell>
          <cell r="H3183">
            <v>45424</v>
          </cell>
          <cell r="I3183">
            <v>0.56000000000000005</v>
          </cell>
          <cell r="J3183">
            <v>40.984444444444449</v>
          </cell>
        </row>
        <row r="3184">
          <cell r="B3184">
            <v>27.12</v>
          </cell>
          <cell r="C3184">
            <v>67.28</v>
          </cell>
          <cell r="D3184">
            <v>12.82</v>
          </cell>
          <cell r="E3184">
            <v>9.02</v>
          </cell>
          <cell r="H3184">
            <v>45424</v>
          </cell>
          <cell r="I3184">
            <v>0.5722222222222223</v>
          </cell>
          <cell r="J3184">
            <v>43.016666666666666</v>
          </cell>
        </row>
        <row r="3185">
          <cell r="B3185">
            <v>26.64</v>
          </cell>
          <cell r="C3185">
            <v>69.34</v>
          </cell>
          <cell r="D3185">
            <v>12.3</v>
          </cell>
          <cell r="E3185">
            <v>8.9</v>
          </cell>
          <cell r="H3185">
            <v>45424</v>
          </cell>
          <cell r="I3185">
            <v>0.5755555555555556</v>
          </cell>
          <cell r="J3185">
            <v>44.844444444444449</v>
          </cell>
        </row>
        <row r="3186">
          <cell r="B3186">
            <v>27.52</v>
          </cell>
          <cell r="C3186">
            <v>66.569999999999993</v>
          </cell>
          <cell r="D3186">
            <v>11.76</v>
          </cell>
          <cell r="E3186">
            <v>9</v>
          </cell>
          <cell r="H3186">
            <v>45424</v>
          </cell>
          <cell r="I3186">
            <v>0.57666666666666666</v>
          </cell>
          <cell r="J3186">
            <v>46.213333333333338</v>
          </cell>
        </row>
        <row r="3187">
          <cell r="B3187">
            <v>26.94</v>
          </cell>
          <cell r="C3187">
            <v>63.4</v>
          </cell>
          <cell r="D3187">
            <v>12.18</v>
          </cell>
          <cell r="E3187">
            <v>8.39</v>
          </cell>
          <cell r="H3187">
            <v>45424</v>
          </cell>
          <cell r="I3187">
            <v>0.58000000000000007</v>
          </cell>
          <cell r="J3187">
            <v>46.902222222222221</v>
          </cell>
        </row>
        <row r="3188">
          <cell r="B3188">
            <v>30.84</v>
          </cell>
          <cell r="C3188">
            <v>44.07</v>
          </cell>
          <cell r="D3188">
            <v>12.75</v>
          </cell>
          <cell r="E3188">
            <v>8.69</v>
          </cell>
          <cell r="H3188">
            <v>45424</v>
          </cell>
          <cell r="I3188">
            <v>0.58888888888888891</v>
          </cell>
          <cell r="J3188">
            <v>46.25222222222223</v>
          </cell>
        </row>
        <row r="3189">
          <cell r="B3189">
            <v>22.66</v>
          </cell>
          <cell r="C3189">
            <v>47.86</v>
          </cell>
          <cell r="D3189">
            <v>12.75</v>
          </cell>
          <cell r="E3189">
            <v>8.49</v>
          </cell>
          <cell r="H3189">
            <v>45424</v>
          </cell>
          <cell r="I3189">
            <v>0.60111111111111104</v>
          </cell>
          <cell r="J3189">
            <v>45.650000000000006</v>
          </cell>
        </row>
        <row r="3190">
          <cell r="B3190">
            <v>16.579999999999998</v>
          </cell>
          <cell r="C3190">
            <v>50.86</v>
          </cell>
          <cell r="D3190">
            <v>13.27</v>
          </cell>
          <cell r="E3190">
            <v>8.2799999999999994</v>
          </cell>
          <cell r="H3190">
            <v>45424</v>
          </cell>
          <cell r="I3190">
            <v>0.61222222222222211</v>
          </cell>
          <cell r="J3190">
            <v>42.977777777777781</v>
          </cell>
        </row>
        <row r="3191">
          <cell r="B3191">
            <v>23.72</v>
          </cell>
          <cell r="C3191">
            <v>61.18</v>
          </cell>
          <cell r="D3191">
            <v>13.92</v>
          </cell>
          <cell r="E3191">
            <v>7.99</v>
          </cell>
          <cell r="H3191">
            <v>45424</v>
          </cell>
          <cell r="I3191">
            <v>0.62222222222222223</v>
          </cell>
          <cell r="J3191">
            <v>40.028888888888886</v>
          </cell>
        </row>
        <row r="3192">
          <cell r="B3192">
            <v>31.37</v>
          </cell>
          <cell r="C3192">
            <v>79.510000000000005</v>
          </cell>
          <cell r="D3192">
            <v>15.62</v>
          </cell>
          <cell r="E3192">
            <v>7.97</v>
          </cell>
          <cell r="H3192">
            <v>45424</v>
          </cell>
          <cell r="I3192">
            <v>0.64444444444444438</v>
          </cell>
          <cell r="J3192">
            <v>37.584444444444451</v>
          </cell>
        </row>
        <row r="3193">
          <cell r="B3193">
            <v>31.06</v>
          </cell>
          <cell r="C3193">
            <v>70.87</v>
          </cell>
          <cell r="D3193">
            <v>15.87</v>
          </cell>
          <cell r="E3193">
            <v>8.3699999999999992</v>
          </cell>
          <cell r="H3193">
            <v>45424</v>
          </cell>
          <cell r="I3193">
            <v>0.65</v>
          </cell>
          <cell r="J3193">
            <v>35.538888888888891</v>
          </cell>
        </row>
        <row r="3194">
          <cell r="B3194">
            <v>23.16</v>
          </cell>
          <cell r="C3194">
            <v>61.64</v>
          </cell>
          <cell r="D3194">
            <v>12.55</v>
          </cell>
          <cell r="E3194">
            <v>8.67</v>
          </cell>
          <cell r="H3194">
            <v>45425</v>
          </cell>
          <cell r="I3194">
            <v>0.63777777777777778</v>
          </cell>
          <cell r="J3194">
            <v>33.884444444444441</v>
          </cell>
        </row>
        <row r="3195">
          <cell r="B3195">
            <v>21.75</v>
          </cell>
          <cell r="C3195">
            <v>56.45</v>
          </cell>
          <cell r="D3195">
            <v>10.59</v>
          </cell>
          <cell r="E3195">
            <v>7.7</v>
          </cell>
          <cell r="H3195">
            <v>45425</v>
          </cell>
          <cell r="I3195">
            <v>0.62444444444444447</v>
          </cell>
          <cell r="J3195">
            <v>32.895555555555561</v>
          </cell>
        </row>
        <row r="3196">
          <cell r="B3196">
            <v>16.8</v>
          </cell>
          <cell r="C3196">
            <v>38.33</v>
          </cell>
          <cell r="D3196">
            <v>10.88</v>
          </cell>
          <cell r="E3196">
            <v>10.29</v>
          </cell>
          <cell r="H3196">
            <v>45425</v>
          </cell>
          <cell r="I3196">
            <v>0.60444444444444445</v>
          </cell>
          <cell r="J3196">
            <v>32.06</v>
          </cell>
        </row>
        <row r="3197">
          <cell r="B3197">
            <v>19.690000000000001</v>
          </cell>
          <cell r="C3197">
            <v>34.19</v>
          </cell>
          <cell r="D3197">
            <v>12.03</v>
          </cell>
          <cell r="E3197">
            <v>10.84</v>
          </cell>
          <cell r="H3197">
            <v>45425</v>
          </cell>
          <cell r="I3197">
            <v>0.58111111111111102</v>
          </cell>
          <cell r="J3197">
            <v>31.224444444444444</v>
          </cell>
        </row>
        <row r="3198">
          <cell r="B3198">
            <v>23.32</v>
          </cell>
          <cell r="C3198">
            <v>37.94</v>
          </cell>
          <cell r="D3198">
            <v>11.73</v>
          </cell>
          <cell r="E3198">
            <v>10.46</v>
          </cell>
          <cell r="H3198">
            <v>45425</v>
          </cell>
          <cell r="I3198">
            <v>0.56000000000000005</v>
          </cell>
          <cell r="J3198">
            <v>30.138888888888889</v>
          </cell>
        </row>
        <row r="3199">
          <cell r="B3199">
            <v>21.78</v>
          </cell>
          <cell r="C3199">
            <v>49.97</v>
          </cell>
          <cell r="D3199">
            <v>11.84</v>
          </cell>
          <cell r="E3199">
            <v>10.38</v>
          </cell>
          <cell r="H3199">
            <v>45425</v>
          </cell>
          <cell r="I3199">
            <v>0.54111111111111121</v>
          </cell>
          <cell r="J3199">
            <v>29.442222222222224</v>
          </cell>
        </row>
        <row r="3200">
          <cell r="B3200">
            <v>24.52</v>
          </cell>
          <cell r="C3200">
            <v>52.73</v>
          </cell>
          <cell r="D3200">
            <v>12.47</v>
          </cell>
          <cell r="E3200">
            <v>10.5</v>
          </cell>
          <cell r="H3200">
            <v>45425</v>
          </cell>
          <cell r="I3200">
            <v>0.52555555555555566</v>
          </cell>
          <cell r="J3200">
            <v>28.926666666666669</v>
          </cell>
        </row>
        <row r="3201">
          <cell r="B3201">
            <v>23.53</v>
          </cell>
          <cell r="C3201">
            <v>56.5</v>
          </cell>
          <cell r="D3201">
            <v>13.96</v>
          </cell>
          <cell r="E3201">
            <v>10.49</v>
          </cell>
          <cell r="H3201">
            <v>45425</v>
          </cell>
          <cell r="I3201">
            <v>0.5</v>
          </cell>
          <cell r="J3201">
            <v>28.713333333333335</v>
          </cell>
        </row>
        <row r="3202">
          <cell r="B3202">
            <v>20.55</v>
          </cell>
          <cell r="C3202">
            <v>53.75</v>
          </cell>
          <cell r="D3202">
            <v>12.66</v>
          </cell>
          <cell r="E3202">
            <v>10.86</v>
          </cell>
          <cell r="H3202">
            <v>45425</v>
          </cell>
          <cell r="I3202">
            <v>0.48777777777777775</v>
          </cell>
          <cell r="J3202">
            <v>28.668888888888887</v>
          </cell>
        </row>
        <row r="3203">
          <cell r="B3203">
            <v>20.63</v>
          </cell>
          <cell r="C3203">
            <v>50.94</v>
          </cell>
          <cell r="D3203">
            <v>14.1</v>
          </cell>
          <cell r="E3203">
            <v>10.28</v>
          </cell>
          <cell r="H3203">
            <v>45425</v>
          </cell>
          <cell r="I3203">
            <v>0.49888888888888894</v>
          </cell>
          <cell r="J3203">
            <v>29.060000000000002</v>
          </cell>
        </row>
        <row r="3204">
          <cell r="B3204">
            <v>25.22</v>
          </cell>
          <cell r="C3204">
            <v>54.77</v>
          </cell>
          <cell r="D3204">
            <v>14.12</v>
          </cell>
          <cell r="E3204">
            <v>9.9</v>
          </cell>
          <cell r="H3204">
            <v>45425</v>
          </cell>
          <cell r="I3204">
            <v>0.51555555555555554</v>
          </cell>
          <cell r="J3204">
            <v>29.467777777777776</v>
          </cell>
        </row>
        <row r="3205">
          <cell r="B3205">
            <v>82.84</v>
          </cell>
          <cell r="C3205">
            <v>57.01</v>
          </cell>
          <cell r="D3205">
            <v>14.3</v>
          </cell>
          <cell r="E3205">
            <v>10.14</v>
          </cell>
          <cell r="H3205">
            <v>45425</v>
          </cell>
          <cell r="I3205">
            <v>0.53444444444444439</v>
          </cell>
          <cell r="J3205">
            <v>29.88666666666667</v>
          </cell>
        </row>
        <row r="3206">
          <cell r="B3206">
            <v>25.68</v>
          </cell>
          <cell r="C3206">
            <v>69.62</v>
          </cell>
          <cell r="D3206">
            <v>13.91</v>
          </cell>
          <cell r="E3206">
            <v>10.119999999999999</v>
          </cell>
          <cell r="H3206">
            <v>45425</v>
          </cell>
          <cell r="I3206">
            <v>0.54888888888888887</v>
          </cell>
          <cell r="J3206">
            <v>30.766666666666669</v>
          </cell>
        </row>
        <row r="3207">
          <cell r="B3207">
            <v>28.47</v>
          </cell>
          <cell r="C3207">
            <v>64.599999999999994</v>
          </cell>
          <cell r="D3207">
            <v>14.8</v>
          </cell>
          <cell r="E3207">
            <v>10.27</v>
          </cell>
          <cell r="H3207">
            <v>45425</v>
          </cell>
          <cell r="I3207">
            <v>0.55666666666666664</v>
          </cell>
          <cell r="J3207">
            <v>32.394444444444446</v>
          </cell>
        </row>
        <row r="3208">
          <cell r="B3208">
            <v>60.73</v>
          </cell>
          <cell r="C3208">
            <v>63.65</v>
          </cell>
          <cell r="D3208">
            <v>14.53</v>
          </cell>
          <cell r="E3208">
            <v>10.44</v>
          </cell>
          <cell r="H3208">
            <v>45425</v>
          </cell>
          <cell r="I3208">
            <v>0.56111111111111112</v>
          </cell>
          <cell r="J3208">
            <v>34.537777777777784</v>
          </cell>
        </row>
        <row r="3209">
          <cell r="B3209">
            <v>25.2</v>
          </cell>
          <cell r="C3209">
            <v>63.25</v>
          </cell>
          <cell r="D3209">
            <v>13.59</v>
          </cell>
          <cell r="E3209">
            <v>10.64</v>
          </cell>
          <cell r="H3209">
            <v>45425</v>
          </cell>
          <cell r="I3209">
            <v>0.55888888888888888</v>
          </cell>
          <cell r="J3209">
            <v>36.175555555555547</v>
          </cell>
        </row>
        <row r="3210">
          <cell r="B3210">
            <v>40.380000000000003</v>
          </cell>
          <cell r="C3210">
            <v>65.3</v>
          </cell>
          <cell r="D3210">
            <v>13</v>
          </cell>
          <cell r="E3210">
            <v>11.02</v>
          </cell>
          <cell r="H3210">
            <v>45425</v>
          </cell>
          <cell r="I3210">
            <v>0.55333333333333323</v>
          </cell>
          <cell r="J3210">
            <v>37.728888888888882</v>
          </cell>
        </row>
        <row r="3211">
          <cell r="B3211">
            <v>26.9</v>
          </cell>
          <cell r="C3211">
            <v>72.97</v>
          </cell>
          <cell r="D3211">
            <v>13.7</v>
          </cell>
          <cell r="E3211">
            <v>11.31</v>
          </cell>
          <cell r="H3211">
            <v>45425</v>
          </cell>
          <cell r="I3211">
            <v>0.551111111111111</v>
          </cell>
          <cell r="J3211">
            <v>38.866666666666667</v>
          </cell>
        </row>
        <row r="3212">
          <cell r="B3212">
            <v>37.049999999999997</v>
          </cell>
          <cell r="C3212">
            <v>91.09</v>
          </cell>
          <cell r="D3212">
            <v>14.86</v>
          </cell>
          <cell r="E3212">
            <v>10.88</v>
          </cell>
          <cell r="H3212">
            <v>45425</v>
          </cell>
          <cell r="I3212">
            <v>0.56222222222222218</v>
          </cell>
          <cell r="J3212">
            <v>39.234444444444435</v>
          </cell>
        </row>
        <row r="3213">
          <cell r="B3213">
            <v>38.700000000000003</v>
          </cell>
          <cell r="C3213">
            <v>90.7</v>
          </cell>
          <cell r="D3213">
            <v>16.329999999999998</v>
          </cell>
          <cell r="E3213">
            <v>10.78</v>
          </cell>
          <cell r="H3213">
            <v>45425</v>
          </cell>
          <cell r="I3213">
            <v>0.57888888888888879</v>
          </cell>
          <cell r="J3213">
            <v>38.697777777777773</v>
          </cell>
        </row>
        <row r="3214">
          <cell r="B3214">
            <v>31.3</v>
          </cell>
          <cell r="C3214">
            <v>72.61</v>
          </cell>
          <cell r="D3214">
            <v>14.99</v>
          </cell>
          <cell r="E3214">
            <v>10.58</v>
          </cell>
          <cell r="H3214">
            <v>45425</v>
          </cell>
          <cell r="I3214">
            <v>0.57999999999999996</v>
          </cell>
          <cell r="J3214">
            <v>38.274444444444448</v>
          </cell>
        </row>
        <row r="3215">
          <cell r="B3215">
            <v>17.2</v>
          </cell>
          <cell r="C3215">
            <v>43.01</v>
          </cell>
          <cell r="D3215">
            <v>14.85</v>
          </cell>
          <cell r="E3215">
            <v>10.37</v>
          </cell>
          <cell r="H3215">
            <v>45425</v>
          </cell>
          <cell r="I3215">
            <v>0.57666666666666677</v>
          </cell>
          <cell r="J3215">
            <v>37.547777777777782</v>
          </cell>
        </row>
        <row r="3216">
          <cell r="B3216">
            <v>21.01</v>
          </cell>
          <cell r="C3216">
            <v>43.88</v>
          </cell>
          <cell r="D3216">
            <v>13.94</v>
          </cell>
          <cell r="E3216">
            <v>10.29</v>
          </cell>
          <cell r="H3216">
            <v>45425</v>
          </cell>
          <cell r="I3216">
            <v>0.5755555555555556</v>
          </cell>
          <cell r="J3216">
            <v>36.298888888888889</v>
          </cell>
        </row>
        <row r="3217">
          <cell r="B3217">
            <v>22.97</v>
          </cell>
          <cell r="C3217">
            <v>44.09</v>
          </cell>
          <cell r="D3217">
            <v>12.9</v>
          </cell>
          <cell r="E3217">
            <v>10.19</v>
          </cell>
          <cell r="H3217">
            <v>45425</v>
          </cell>
          <cell r="I3217">
            <v>0.5644444444444443</v>
          </cell>
          <cell r="J3217">
            <v>34.642222222222223</v>
          </cell>
        </row>
        <row r="3218">
          <cell r="B3218">
            <v>14.99</v>
          </cell>
          <cell r="C3218">
            <v>32.450000000000003</v>
          </cell>
          <cell r="D3218">
            <v>12.01</v>
          </cell>
          <cell r="E3218">
            <v>10.02</v>
          </cell>
          <cell r="H3218">
            <v>45426</v>
          </cell>
          <cell r="I3218">
            <v>0.55999999999999994</v>
          </cell>
          <cell r="J3218">
            <v>33.58</v>
          </cell>
        </row>
        <row r="3219">
          <cell r="B3219">
            <v>11.51</v>
          </cell>
          <cell r="C3219">
            <v>27.03</v>
          </cell>
          <cell r="D3219">
            <v>12.61</v>
          </cell>
          <cell r="E3219">
            <v>7.89</v>
          </cell>
          <cell r="H3219">
            <v>45426</v>
          </cell>
          <cell r="I3219">
            <v>0.55444444444444441</v>
          </cell>
          <cell r="J3219">
            <v>32.575555555555553</v>
          </cell>
        </row>
        <row r="3220">
          <cell r="B3220">
            <v>12.03</v>
          </cell>
          <cell r="C3220">
            <v>25.53</v>
          </cell>
          <cell r="D3220">
            <v>12.14</v>
          </cell>
          <cell r="E3220">
            <v>7.32</v>
          </cell>
          <cell r="H3220">
            <v>45426</v>
          </cell>
          <cell r="I3220">
            <v>0.54</v>
          </cell>
          <cell r="J3220">
            <v>31.814444444444447</v>
          </cell>
        </row>
        <row r="3221">
          <cell r="B3221">
            <v>10.44</v>
          </cell>
          <cell r="C3221">
            <v>23.14</v>
          </cell>
          <cell r="D3221">
            <v>12.21</v>
          </cell>
          <cell r="E3221">
            <v>7.9</v>
          </cell>
          <cell r="H3221">
            <v>45426</v>
          </cell>
          <cell r="I3221">
            <v>0.51</v>
          </cell>
          <cell r="J3221">
            <v>31.001111111111111</v>
          </cell>
        </row>
        <row r="3222">
          <cell r="B3222">
            <v>9.9700000000000006</v>
          </cell>
          <cell r="C3222">
            <v>23.42</v>
          </cell>
          <cell r="D3222">
            <v>12.29</v>
          </cell>
          <cell r="E3222">
            <v>7.76</v>
          </cell>
          <cell r="H3222">
            <v>45426</v>
          </cell>
          <cell r="I3222">
            <v>0.47777777777777775</v>
          </cell>
          <cell r="J3222">
            <v>30.625555555555554</v>
          </cell>
        </row>
        <row r="3223">
          <cell r="B3223">
            <v>10.75</v>
          </cell>
          <cell r="C3223">
            <v>26.41</v>
          </cell>
          <cell r="D3223">
            <v>13</v>
          </cell>
          <cell r="E3223">
            <v>7.61</v>
          </cell>
          <cell r="H3223">
            <v>45426</v>
          </cell>
          <cell r="I3223">
            <v>0.45999999999999996</v>
          </cell>
          <cell r="J3223">
            <v>29.988888888888894</v>
          </cell>
        </row>
        <row r="3224">
          <cell r="B3224">
            <v>13.36</v>
          </cell>
          <cell r="C3224">
            <v>27.99</v>
          </cell>
          <cell r="D3224">
            <v>13.61</v>
          </cell>
          <cell r="E3224">
            <v>7.71</v>
          </cell>
          <cell r="H3224">
            <v>45426</v>
          </cell>
          <cell r="I3224">
            <v>0.4555555555555556</v>
          </cell>
          <cell r="J3224">
            <v>29.606666666666666</v>
          </cell>
        </row>
        <row r="3225">
          <cell r="B3225">
            <v>14.73</v>
          </cell>
          <cell r="C3225">
            <v>32.44</v>
          </cell>
          <cell r="D3225">
            <v>14.75</v>
          </cell>
          <cell r="E3225">
            <v>7.91</v>
          </cell>
          <cell r="H3225">
            <v>45426</v>
          </cell>
          <cell r="I3225">
            <v>0.47</v>
          </cell>
          <cell r="J3225">
            <v>29.268888888888892</v>
          </cell>
        </row>
        <row r="3226">
          <cell r="B3226">
            <v>17.62</v>
          </cell>
          <cell r="C3226">
            <v>40.51</v>
          </cell>
          <cell r="D3226">
            <v>15.39</v>
          </cell>
          <cell r="E3226">
            <v>8.5500000000000007</v>
          </cell>
          <cell r="H3226">
            <v>45426</v>
          </cell>
          <cell r="I3226">
            <v>0.50111111111111106</v>
          </cell>
          <cell r="J3226">
            <v>28.873333333333335</v>
          </cell>
        </row>
        <row r="3227">
          <cell r="B3227">
            <v>19.96</v>
          </cell>
          <cell r="C3227">
            <v>48.44</v>
          </cell>
          <cell r="D3227">
            <v>15.25</v>
          </cell>
          <cell r="E3227">
            <v>8.67</v>
          </cell>
          <cell r="H3227">
            <v>45426</v>
          </cell>
          <cell r="I3227">
            <v>0.52888888888888896</v>
          </cell>
          <cell r="J3227">
            <v>28.821111111111115</v>
          </cell>
        </row>
        <row r="3228">
          <cell r="B3228">
            <v>20.65</v>
          </cell>
          <cell r="C3228">
            <v>53.41</v>
          </cell>
          <cell r="D3228">
            <v>14.72</v>
          </cell>
          <cell r="E3228">
            <v>7.89</v>
          </cell>
          <cell r="H3228">
            <v>45426</v>
          </cell>
          <cell r="I3228">
            <v>0.55444444444444452</v>
          </cell>
          <cell r="J3228">
            <v>29.064444444444444</v>
          </cell>
        </row>
        <row r="3229">
          <cell r="B3229">
            <v>22.84</v>
          </cell>
          <cell r="C3229">
            <v>62.11</v>
          </cell>
          <cell r="D3229">
            <v>15.5</v>
          </cell>
          <cell r="E3229">
            <v>7.42</v>
          </cell>
          <cell r="H3229">
            <v>45426</v>
          </cell>
          <cell r="I3229">
            <v>0.57444444444444442</v>
          </cell>
          <cell r="J3229">
            <v>29.426666666666669</v>
          </cell>
        </row>
        <row r="3230">
          <cell r="B3230">
            <v>22.71</v>
          </cell>
          <cell r="C3230">
            <v>70.27</v>
          </cell>
          <cell r="D3230">
            <v>14.54</v>
          </cell>
          <cell r="E3230">
            <v>7.42</v>
          </cell>
          <cell r="H3230">
            <v>45426</v>
          </cell>
          <cell r="I3230">
            <v>0.59111111111111114</v>
          </cell>
          <cell r="J3230">
            <v>30.732222222222219</v>
          </cell>
        </row>
        <row r="3231">
          <cell r="B3231">
            <v>20.239999999999998</v>
          </cell>
          <cell r="C3231">
            <v>67.010000000000005</v>
          </cell>
          <cell r="D3231">
            <v>14.29</v>
          </cell>
          <cell r="E3231">
            <v>7.78</v>
          </cell>
          <cell r="H3231">
            <v>45426</v>
          </cell>
          <cell r="I3231">
            <v>0.6</v>
          </cell>
          <cell r="J3231">
            <v>32.396666666666675</v>
          </cell>
        </row>
        <row r="3232">
          <cell r="B3232">
            <v>21.03</v>
          </cell>
          <cell r="C3232">
            <v>66.27</v>
          </cell>
          <cell r="D3232">
            <v>14.19</v>
          </cell>
          <cell r="E3232">
            <v>7.8</v>
          </cell>
          <cell r="H3232">
            <v>45426</v>
          </cell>
          <cell r="I3232">
            <v>0.60777777777777786</v>
          </cell>
          <cell r="J3232">
            <v>34.603333333333339</v>
          </cell>
        </row>
        <row r="3233">
          <cell r="B3233">
            <v>18.37</v>
          </cell>
          <cell r="C3233">
            <v>60.31</v>
          </cell>
          <cell r="D3233">
            <v>14.02</v>
          </cell>
          <cell r="E3233">
            <v>8.23</v>
          </cell>
          <cell r="H3233">
            <v>45426</v>
          </cell>
          <cell r="I3233">
            <v>0.62666666666666671</v>
          </cell>
          <cell r="J3233">
            <v>36.112222222222229</v>
          </cell>
        </row>
        <row r="3234">
          <cell r="B3234">
            <v>20.309999999999999</v>
          </cell>
          <cell r="C3234">
            <v>59.87</v>
          </cell>
          <cell r="D3234">
            <v>13.62</v>
          </cell>
          <cell r="E3234">
            <v>8.3800000000000008</v>
          </cell>
          <cell r="H3234">
            <v>45426</v>
          </cell>
          <cell r="I3234">
            <v>0.62444444444444447</v>
          </cell>
          <cell r="J3234">
            <v>37.511111111111113</v>
          </cell>
        </row>
        <row r="3235">
          <cell r="B3235">
            <v>20.38</v>
          </cell>
          <cell r="C3235">
            <v>70.62</v>
          </cell>
          <cell r="D3235">
            <v>14.03</v>
          </cell>
          <cell r="E3235">
            <v>8.4700000000000006</v>
          </cell>
          <cell r="H3235">
            <v>45426</v>
          </cell>
          <cell r="I3235">
            <v>0.62444444444444447</v>
          </cell>
          <cell r="J3235">
            <v>38.735555555555557</v>
          </cell>
        </row>
        <row r="3236">
          <cell r="B3236">
            <v>22.74</v>
          </cell>
          <cell r="C3236">
            <v>71.06</v>
          </cell>
          <cell r="D3236">
            <v>15.5</v>
          </cell>
          <cell r="E3236">
            <v>8.2899999999999991</v>
          </cell>
          <cell r="H3236">
            <v>45426</v>
          </cell>
          <cell r="I3236">
            <v>0.6711111111111111</v>
          </cell>
          <cell r="J3236">
            <v>38.947777777777773</v>
          </cell>
        </row>
        <row r="3237">
          <cell r="B3237">
            <v>25.2</v>
          </cell>
          <cell r="C3237">
            <v>79.290000000000006</v>
          </cell>
          <cell r="D3237">
            <v>16.170000000000002</v>
          </cell>
          <cell r="E3237">
            <v>8.0299999999999994</v>
          </cell>
          <cell r="H3237">
            <v>45426</v>
          </cell>
          <cell r="I3237">
            <v>0.71666666666666679</v>
          </cell>
          <cell r="J3237">
            <v>38.333333333333329</v>
          </cell>
        </row>
        <row r="3238">
          <cell r="B3238">
            <v>29.37</v>
          </cell>
          <cell r="C3238">
            <v>97.02</v>
          </cell>
          <cell r="D3238">
            <v>17.350000000000001</v>
          </cell>
          <cell r="E3238">
            <v>8.23</v>
          </cell>
          <cell r="H3238">
            <v>45426</v>
          </cell>
          <cell r="I3238">
            <v>0.74222222222222223</v>
          </cell>
          <cell r="J3238">
            <v>37.295555555555559</v>
          </cell>
        </row>
        <row r="3239">
          <cell r="B3239">
            <v>25.07</v>
          </cell>
          <cell r="C3239">
            <v>69.12</v>
          </cell>
          <cell r="D3239">
            <v>14.68</v>
          </cell>
          <cell r="E3239">
            <v>8.2799999999999994</v>
          </cell>
          <cell r="H3239">
            <v>45426</v>
          </cell>
          <cell r="I3239">
            <v>0.75111111111111117</v>
          </cell>
          <cell r="J3239">
            <v>35.955555555555549</v>
          </cell>
        </row>
        <row r="3240">
          <cell r="B3240">
            <v>20.89</v>
          </cell>
          <cell r="C3240">
            <v>53.53</v>
          </cell>
          <cell r="D3240">
            <v>13.69</v>
          </cell>
          <cell r="E3240">
            <v>8.2200000000000006</v>
          </cell>
          <cell r="H3240">
            <v>45426</v>
          </cell>
          <cell r="I3240">
            <v>0.75555555555555554</v>
          </cell>
          <cell r="J3240">
            <v>34.431111111111107</v>
          </cell>
        </row>
        <row r="3241">
          <cell r="B3241">
            <v>18.48</v>
          </cell>
          <cell r="C3241">
            <v>49.58</v>
          </cell>
          <cell r="D3241">
            <v>13.68</v>
          </cell>
          <cell r="E3241">
            <v>8.09</v>
          </cell>
          <cell r="H3241">
            <v>45426</v>
          </cell>
          <cell r="I3241">
            <v>0.76222222222222225</v>
          </cell>
          <cell r="J3241">
            <v>32.55222222222222</v>
          </cell>
        </row>
        <row r="3242">
          <cell r="B3242">
            <v>18.54</v>
          </cell>
          <cell r="C3242">
            <v>50.53</v>
          </cell>
          <cell r="D3242">
            <v>13.39</v>
          </cell>
          <cell r="E3242">
            <v>7.74</v>
          </cell>
          <cell r="H3242">
            <v>45427</v>
          </cell>
          <cell r="I3242">
            <v>0.74555555555555542</v>
          </cell>
          <cell r="J3242">
            <v>31.532222222222224</v>
          </cell>
        </row>
        <row r="3243">
          <cell r="B3243">
            <v>17.45</v>
          </cell>
          <cell r="C3243">
            <v>45.18</v>
          </cell>
          <cell r="D3243">
            <v>12.93</v>
          </cell>
          <cell r="E3243">
            <v>7.46</v>
          </cell>
          <cell r="H3243">
            <v>45427</v>
          </cell>
          <cell r="I3243">
            <v>0.73555555555555552</v>
          </cell>
          <cell r="J3243">
            <v>30.587777777777781</v>
          </cell>
        </row>
        <row r="3244">
          <cell r="B3244">
            <v>20.09</v>
          </cell>
          <cell r="C3244">
            <v>46.26</v>
          </cell>
          <cell r="D3244">
            <v>12.37</v>
          </cell>
          <cell r="E3244">
            <v>7.38</v>
          </cell>
          <cell r="H3244">
            <v>45427</v>
          </cell>
          <cell r="I3244">
            <v>0.71444444444444444</v>
          </cell>
          <cell r="J3244">
            <v>29.827777777777783</v>
          </cell>
        </row>
        <row r="3245">
          <cell r="B3245">
            <v>21.59</v>
          </cell>
          <cell r="C3245">
            <v>46.52</v>
          </cell>
          <cell r="D3245">
            <v>12.25</v>
          </cell>
          <cell r="E3245">
            <v>7.2</v>
          </cell>
          <cell r="H3245">
            <v>45427</v>
          </cell>
          <cell r="I3245">
            <v>0.64333333333333342</v>
          </cell>
          <cell r="J3245">
            <v>29.66</v>
          </cell>
        </row>
        <row r="3246">
          <cell r="B3246">
            <v>23.52</v>
          </cell>
          <cell r="C3246">
            <v>48.24</v>
          </cell>
          <cell r="D3246">
            <v>11.92</v>
          </cell>
          <cell r="E3246">
            <v>7.19</v>
          </cell>
          <cell r="H3246">
            <v>45427</v>
          </cell>
          <cell r="I3246">
            <v>0.57555555555555549</v>
          </cell>
          <cell r="J3246">
            <v>29.735555555555564</v>
          </cell>
        </row>
        <row r="3247">
          <cell r="B3247">
            <v>21.99</v>
          </cell>
          <cell r="C3247">
            <v>48.2</v>
          </cell>
          <cell r="D3247">
            <v>12.51</v>
          </cell>
          <cell r="E3247">
            <v>7.68</v>
          </cell>
          <cell r="H3247">
            <v>45427</v>
          </cell>
          <cell r="I3247">
            <v>0.54111111111111099</v>
          </cell>
          <cell r="J3247">
            <v>29.740000000000002</v>
          </cell>
        </row>
        <row r="3248">
          <cell r="B3248">
            <v>26.08</v>
          </cell>
          <cell r="C3248">
            <v>54.21</v>
          </cell>
          <cell r="D3248">
            <v>13.08</v>
          </cell>
          <cell r="E3248">
            <v>8.17</v>
          </cell>
          <cell r="H3248">
            <v>45427</v>
          </cell>
          <cell r="I3248">
            <v>0.53777777777777791</v>
          </cell>
          <cell r="J3248">
            <v>29.362222222222222</v>
          </cell>
        </row>
        <row r="3249">
          <cell r="B3249">
            <v>24.66</v>
          </cell>
          <cell r="C3249">
            <v>55.63</v>
          </cell>
          <cell r="D3249">
            <v>13.14</v>
          </cell>
          <cell r="E3249">
            <v>8.24</v>
          </cell>
          <cell r="H3249">
            <v>45427</v>
          </cell>
          <cell r="I3249">
            <v>0.53999999999999992</v>
          </cell>
          <cell r="J3249">
            <v>29.144444444444446</v>
          </cell>
        </row>
        <row r="3250">
          <cell r="B3250">
            <v>22.85</v>
          </cell>
          <cell r="C3250">
            <v>61.57</v>
          </cell>
          <cell r="D3250">
            <v>13.9</v>
          </cell>
          <cell r="E3250">
            <v>7.83</v>
          </cell>
          <cell r="H3250">
            <v>45427</v>
          </cell>
          <cell r="I3250">
            <v>0.5444444444444444</v>
          </cell>
          <cell r="J3250">
            <v>29.346666666666668</v>
          </cell>
        </row>
        <row r="3251">
          <cell r="B3251">
            <v>21.31</v>
          </cell>
          <cell r="C3251">
            <v>60.47</v>
          </cell>
          <cell r="D3251">
            <v>13.92</v>
          </cell>
          <cell r="E3251">
            <v>8.25</v>
          </cell>
          <cell r="H3251">
            <v>45427</v>
          </cell>
          <cell r="I3251">
            <v>0.55333333333333323</v>
          </cell>
          <cell r="J3251">
            <v>29.891111111111108</v>
          </cell>
        </row>
        <row r="3252">
          <cell r="B3252">
            <v>19.07</v>
          </cell>
          <cell r="C3252">
            <v>57.18</v>
          </cell>
          <cell r="D3252">
            <v>13.62</v>
          </cell>
          <cell r="E3252">
            <v>8.4700000000000006</v>
          </cell>
          <cell r="H3252">
            <v>45427</v>
          </cell>
          <cell r="I3252">
            <v>0.56222222222222229</v>
          </cell>
          <cell r="J3252">
            <v>30.801111111111108</v>
          </cell>
        </row>
        <row r="3253">
          <cell r="B3253">
            <v>21.43</v>
          </cell>
          <cell r="C3253">
            <v>56.98</v>
          </cell>
          <cell r="D3253">
            <v>13.48</v>
          </cell>
          <cell r="E3253">
            <v>7.54</v>
          </cell>
          <cell r="H3253">
            <v>45427</v>
          </cell>
          <cell r="I3253">
            <v>0.57666666666666666</v>
          </cell>
          <cell r="J3253">
            <v>33.431111111111107</v>
          </cell>
        </row>
        <row r="3254">
          <cell r="B3254">
            <v>25.04</v>
          </cell>
          <cell r="C3254">
            <v>72.010000000000005</v>
          </cell>
          <cell r="D3254">
            <v>13.05</v>
          </cell>
          <cell r="E3254">
            <v>7.49</v>
          </cell>
          <cell r="H3254">
            <v>45427</v>
          </cell>
          <cell r="I3254">
            <v>0.58777777777777773</v>
          </cell>
          <cell r="J3254">
            <v>35.986666666666665</v>
          </cell>
        </row>
        <row r="3255">
          <cell r="B3255">
            <v>24.32</v>
          </cell>
          <cell r="C3255">
            <v>75.72</v>
          </cell>
          <cell r="D3255">
            <v>13.63</v>
          </cell>
          <cell r="E3255">
            <v>7.83</v>
          </cell>
          <cell r="H3255">
            <v>45427</v>
          </cell>
          <cell r="I3255">
            <v>0.5955555555555555</v>
          </cell>
          <cell r="J3255">
            <v>38.56333333333334</v>
          </cell>
        </row>
        <row r="3256">
          <cell r="B3256">
            <v>25.73</v>
          </cell>
          <cell r="C3256">
            <v>73.91</v>
          </cell>
          <cell r="D3256">
            <v>14.05</v>
          </cell>
          <cell r="E3256">
            <v>7.93</v>
          </cell>
          <cell r="H3256">
            <v>45427</v>
          </cell>
          <cell r="I3256">
            <v>0.60000000000000009</v>
          </cell>
          <cell r="J3256">
            <v>41.06333333333334</v>
          </cell>
        </row>
        <row r="3257">
          <cell r="B3257">
            <v>25.9</v>
          </cell>
          <cell r="C3257">
            <v>76.14</v>
          </cell>
          <cell r="D3257">
            <v>13.99</v>
          </cell>
          <cell r="E3257">
            <v>8.0399999999999991</v>
          </cell>
          <cell r="H3257">
            <v>45427</v>
          </cell>
          <cell r="I3257">
            <v>0.59666666666666679</v>
          </cell>
          <cell r="J3257">
            <v>42.947777777777773</v>
          </cell>
        </row>
        <row r="3258">
          <cell r="B3258">
            <v>26.65</v>
          </cell>
          <cell r="C3258">
            <v>81.680000000000007</v>
          </cell>
          <cell r="D3258">
            <v>13.91</v>
          </cell>
          <cell r="E3258">
            <v>8.02</v>
          </cell>
          <cell r="H3258">
            <v>45427</v>
          </cell>
          <cell r="I3258">
            <v>0.59444444444444444</v>
          </cell>
          <cell r="J3258">
            <v>44.249999999999993</v>
          </cell>
        </row>
        <row r="3259">
          <cell r="B3259">
            <v>27.25</v>
          </cell>
          <cell r="C3259">
            <v>80.34</v>
          </cell>
          <cell r="D3259">
            <v>13.86</v>
          </cell>
          <cell r="E3259">
            <v>8.35</v>
          </cell>
          <cell r="H3259">
            <v>45427</v>
          </cell>
          <cell r="I3259">
            <v>0.59666666666666668</v>
          </cell>
          <cell r="J3259">
            <v>45.846666666666664</v>
          </cell>
        </row>
        <row r="3260">
          <cell r="B3260">
            <v>25.14</v>
          </cell>
          <cell r="C3260">
            <v>82.3</v>
          </cell>
          <cell r="D3260">
            <v>14.46</v>
          </cell>
          <cell r="E3260">
            <v>9.0299999999999994</v>
          </cell>
          <cell r="H3260">
            <v>45427</v>
          </cell>
          <cell r="I3260">
            <v>0.61555555555555541</v>
          </cell>
          <cell r="J3260">
            <v>45.86333333333333</v>
          </cell>
        </row>
        <row r="3261">
          <cell r="B3261">
            <v>29.93</v>
          </cell>
          <cell r="C3261">
            <v>90.56</v>
          </cell>
          <cell r="D3261">
            <v>16.079999999999998</v>
          </cell>
          <cell r="E3261">
            <v>8.6199999999999992</v>
          </cell>
          <cell r="H3261">
            <v>45427</v>
          </cell>
          <cell r="I3261">
            <v>0.64</v>
          </cell>
          <cell r="J3261">
            <v>45.02</v>
          </cell>
        </row>
        <row r="3262">
          <cell r="B3262">
            <v>30.85</v>
          </cell>
          <cell r="C3262">
            <v>93.97</v>
          </cell>
          <cell r="D3262">
            <v>17.2</v>
          </cell>
          <cell r="E3262">
            <v>7.99</v>
          </cell>
          <cell r="H3262">
            <v>45427</v>
          </cell>
          <cell r="I3262">
            <v>0.67222222222222228</v>
          </cell>
          <cell r="J3262">
            <v>41.946666666666673</v>
          </cell>
        </row>
        <row r="3263">
          <cell r="B3263">
            <v>29.42</v>
          </cell>
          <cell r="C3263">
            <v>91.66</v>
          </cell>
          <cell r="D3263">
            <v>16.73</v>
          </cell>
          <cell r="E3263">
            <v>7.61</v>
          </cell>
          <cell r="H3263">
            <v>45427</v>
          </cell>
          <cell r="I3263">
            <v>0.69444444444444453</v>
          </cell>
          <cell r="J3263">
            <v>39.090000000000003</v>
          </cell>
        </row>
        <row r="3264">
          <cell r="B3264">
            <v>24.29</v>
          </cell>
          <cell r="C3264">
            <v>70.58</v>
          </cell>
          <cell r="D3264">
            <v>15.22</v>
          </cell>
          <cell r="E3264">
            <v>7.25</v>
          </cell>
          <cell r="H3264">
            <v>45427</v>
          </cell>
          <cell r="I3264">
            <v>0.71000000000000008</v>
          </cell>
          <cell r="J3264">
            <v>36.581111111111113</v>
          </cell>
        </row>
        <row r="3265">
          <cell r="B3265">
            <v>21.74</v>
          </cell>
          <cell r="C3265">
            <v>62.7</v>
          </cell>
          <cell r="D3265">
            <v>13.16</v>
          </cell>
          <cell r="E3265">
            <v>7.3</v>
          </cell>
          <cell r="H3265">
            <v>45427</v>
          </cell>
          <cell r="I3265">
            <v>0.71555555555555561</v>
          </cell>
          <cell r="J3265">
            <v>34.285555555555561</v>
          </cell>
        </row>
        <row r="3266">
          <cell r="B3266">
            <v>19.46</v>
          </cell>
          <cell r="C3266">
            <v>52.41</v>
          </cell>
          <cell r="D3266">
            <v>12.68</v>
          </cell>
          <cell r="E3266">
            <v>7.44</v>
          </cell>
          <cell r="H3266">
            <v>45428</v>
          </cell>
          <cell r="I3266">
            <v>0.71111111111111114</v>
          </cell>
          <cell r="J3266">
            <v>32.537777777777777</v>
          </cell>
        </row>
        <row r="3267">
          <cell r="B3267">
            <v>19.5</v>
          </cell>
          <cell r="C3267">
            <v>48.49</v>
          </cell>
          <cell r="D3267">
            <v>12.17</v>
          </cell>
          <cell r="E3267">
            <v>7.3</v>
          </cell>
          <cell r="H3267">
            <v>45428</v>
          </cell>
          <cell r="I3267">
            <v>0.70444444444444443</v>
          </cell>
          <cell r="J3267">
            <v>31.203333333333333</v>
          </cell>
        </row>
        <row r="3268">
          <cell r="B3268">
            <v>18.62</v>
          </cell>
          <cell r="C3268">
            <v>44.44</v>
          </cell>
          <cell r="D3268">
            <v>12.19</v>
          </cell>
          <cell r="E3268">
            <v>7.29</v>
          </cell>
          <cell r="H3268">
            <v>45428</v>
          </cell>
          <cell r="I3268">
            <v>0.69000000000000006</v>
          </cell>
          <cell r="J3268">
            <v>29.394444444444446</v>
          </cell>
        </row>
        <row r="3269">
          <cell r="B3269">
            <v>13.75</v>
          </cell>
          <cell r="C3269">
            <v>34.43</v>
          </cell>
          <cell r="D3269">
            <v>12.51</v>
          </cell>
          <cell r="E3269">
            <v>6.95</v>
          </cell>
          <cell r="H3269">
            <v>45428</v>
          </cell>
          <cell r="I3269">
            <v>0.65666666666666662</v>
          </cell>
          <cell r="J3269">
            <v>28.790000000000003</v>
          </cell>
        </row>
        <row r="3270">
          <cell r="B3270">
            <v>12.09</v>
          </cell>
          <cell r="C3270">
            <v>31.27</v>
          </cell>
          <cell r="D3270">
            <v>11.77</v>
          </cell>
          <cell r="E3270">
            <v>7.18</v>
          </cell>
          <cell r="H3270">
            <v>45428</v>
          </cell>
          <cell r="I3270">
            <v>0.61555555555555541</v>
          </cell>
          <cell r="J3270">
            <v>28.623333333333335</v>
          </cell>
        </row>
        <row r="3271">
          <cell r="B3271">
            <v>13.36</v>
          </cell>
          <cell r="C3271">
            <v>32.33</v>
          </cell>
          <cell r="D3271">
            <v>11.83</v>
          </cell>
          <cell r="E3271">
            <v>7.45</v>
          </cell>
          <cell r="H3271">
            <v>45428</v>
          </cell>
          <cell r="I3271">
            <v>0.56888888888888878</v>
          </cell>
          <cell r="J3271">
            <v>28.747777777777774</v>
          </cell>
        </row>
        <row r="3272">
          <cell r="B3272">
            <v>15.15</v>
          </cell>
          <cell r="C3272">
            <v>38.729999999999997</v>
          </cell>
          <cell r="D3272">
            <v>12.44</v>
          </cell>
          <cell r="E3272">
            <v>7.36</v>
          </cell>
          <cell r="H3272">
            <v>45428</v>
          </cell>
          <cell r="I3272">
            <v>0.54333333333333345</v>
          </cell>
          <cell r="J3272">
            <v>28.588888888888889</v>
          </cell>
        </row>
        <row r="3273">
          <cell r="B3273">
            <v>16.760000000000002</v>
          </cell>
          <cell r="C3273">
            <v>43.67</v>
          </cell>
          <cell r="D3273">
            <v>12.64</v>
          </cell>
          <cell r="E3273">
            <v>8.2899999999999991</v>
          </cell>
          <cell r="H3273">
            <v>45428</v>
          </cell>
          <cell r="I3273">
            <v>0.52888888888888885</v>
          </cell>
          <cell r="J3273">
            <v>28.19777777777778</v>
          </cell>
        </row>
        <row r="3274">
          <cell r="B3274">
            <v>18.829999999999998</v>
          </cell>
          <cell r="C3274">
            <v>47.83</v>
          </cell>
          <cell r="D3274">
            <v>12.39</v>
          </cell>
          <cell r="E3274">
            <v>8.85</v>
          </cell>
          <cell r="H3274">
            <v>45428</v>
          </cell>
          <cell r="I3274">
            <v>0.52777777777777779</v>
          </cell>
          <cell r="J3274">
            <v>27.876666666666665</v>
          </cell>
        </row>
        <row r="3275">
          <cell r="B3275">
            <v>21.65</v>
          </cell>
          <cell r="C3275">
            <v>51.83</v>
          </cell>
          <cell r="D3275">
            <v>12.83</v>
          </cell>
          <cell r="E3275">
            <v>8.52</v>
          </cell>
          <cell r="H3275">
            <v>45428</v>
          </cell>
          <cell r="I3275">
            <v>0.53444444444444428</v>
          </cell>
          <cell r="J3275">
            <v>27.858888888888885</v>
          </cell>
        </row>
        <row r="3276">
          <cell r="B3276">
            <v>26.27</v>
          </cell>
          <cell r="C3276">
            <v>60.17</v>
          </cell>
          <cell r="D3276">
            <v>13.04</v>
          </cell>
          <cell r="E3276">
            <v>7.9</v>
          </cell>
          <cell r="H3276">
            <v>45428</v>
          </cell>
          <cell r="I3276">
            <v>0.53888888888888886</v>
          </cell>
          <cell r="J3276">
            <v>28.498888888888885</v>
          </cell>
        </row>
        <row r="3277">
          <cell r="B3277">
            <v>29.21</v>
          </cell>
          <cell r="C3277">
            <v>68.209999999999994</v>
          </cell>
          <cell r="D3277">
            <v>13.35</v>
          </cell>
          <cell r="E3277">
            <v>7.57</v>
          </cell>
          <cell r="H3277">
            <v>45428</v>
          </cell>
          <cell r="I3277">
            <v>0.54666666666666663</v>
          </cell>
          <cell r="J3277">
            <v>29.15666666666667</v>
          </cell>
        </row>
        <row r="3278">
          <cell r="B3278">
            <v>31.08</v>
          </cell>
          <cell r="C3278">
            <v>77.81</v>
          </cell>
          <cell r="D3278">
            <v>13.55</v>
          </cell>
          <cell r="E3278">
            <v>7.66</v>
          </cell>
          <cell r="H3278">
            <v>45428</v>
          </cell>
          <cell r="I3278">
            <v>0.56111111111111112</v>
          </cell>
          <cell r="J3278">
            <v>30.58</v>
          </cell>
        </row>
        <row r="3279">
          <cell r="B3279">
            <v>32.380000000000003</v>
          </cell>
          <cell r="C3279">
            <v>84.56</v>
          </cell>
          <cell r="D3279">
            <v>14.01</v>
          </cell>
          <cell r="E3279">
            <v>7.52</v>
          </cell>
          <cell r="H3279">
            <v>45428</v>
          </cell>
          <cell r="I3279">
            <v>0.5722222222222223</v>
          </cell>
          <cell r="J3279">
            <v>33.577777777777776</v>
          </cell>
        </row>
        <row r="3280">
          <cell r="B3280">
            <v>30.09</v>
          </cell>
          <cell r="C3280">
            <v>89.22</v>
          </cell>
          <cell r="D3280">
            <v>15.42</v>
          </cell>
          <cell r="E3280">
            <v>6.85</v>
          </cell>
          <cell r="H3280">
            <v>45428</v>
          </cell>
          <cell r="I3280">
            <v>0.58222222222222231</v>
          </cell>
          <cell r="J3280">
            <v>36.042222222222222</v>
          </cell>
        </row>
        <row r="3281">
          <cell r="B3281">
            <v>28.14</v>
          </cell>
          <cell r="C3281">
            <v>85.53</v>
          </cell>
          <cell r="D3281">
            <v>21.87</v>
          </cell>
          <cell r="E3281">
            <v>7.35</v>
          </cell>
          <cell r="H3281">
            <v>45428</v>
          </cell>
          <cell r="I3281">
            <v>0.59666666666666679</v>
          </cell>
          <cell r="J3281">
            <v>38.313333333333333</v>
          </cell>
        </row>
        <row r="3282">
          <cell r="B3282">
            <v>24.78</v>
          </cell>
          <cell r="C3282">
            <v>80.349999999999994</v>
          </cell>
          <cell r="D3282">
            <v>15.17</v>
          </cell>
          <cell r="E3282">
            <v>7.34</v>
          </cell>
          <cell r="H3282">
            <v>45428</v>
          </cell>
          <cell r="I3282">
            <v>0.60555555555555562</v>
          </cell>
          <cell r="J3282">
            <v>40.422222222222224</v>
          </cell>
        </row>
        <row r="3283">
          <cell r="B3283">
            <v>25.31</v>
          </cell>
          <cell r="C3283">
            <v>81.55</v>
          </cell>
          <cell r="D3283">
            <v>14.87</v>
          </cell>
          <cell r="E3283">
            <v>7.4</v>
          </cell>
          <cell r="H3283">
            <v>45428</v>
          </cell>
          <cell r="I3283">
            <v>0.6166666666666667</v>
          </cell>
          <cell r="J3283">
            <v>41.998888888888892</v>
          </cell>
        </row>
        <row r="3284">
          <cell r="B3284">
            <v>24.41</v>
          </cell>
          <cell r="C3284">
            <v>76.260000000000005</v>
          </cell>
          <cell r="D3284">
            <v>15.35</v>
          </cell>
          <cell r="E3284">
            <v>7.36</v>
          </cell>
          <cell r="H3284">
            <v>45428</v>
          </cell>
          <cell r="I3284">
            <v>0.63111111111111107</v>
          </cell>
          <cell r="J3284">
            <v>42.815555555555562</v>
          </cell>
        </row>
        <row r="3285">
          <cell r="B3285">
            <v>24.52</v>
          </cell>
          <cell r="C3285">
            <v>69.92</v>
          </cell>
          <cell r="D3285">
            <v>15.06</v>
          </cell>
          <cell r="E3285">
            <v>7.35</v>
          </cell>
          <cell r="H3285">
            <v>45428</v>
          </cell>
          <cell r="I3285">
            <v>0.63888888888888884</v>
          </cell>
          <cell r="J3285">
            <v>42.978888888888889</v>
          </cell>
        </row>
        <row r="3286">
          <cell r="B3286">
            <v>17.18</v>
          </cell>
          <cell r="C3286">
            <v>55.33</v>
          </cell>
          <cell r="D3286">
            <v>16.47</v>
          </cell>
          <cell r="E3286">
            <v>7.48</v>
          </cell>
          <cell r="H3286">
            <v>45428</v>
          </cell>
          <cell r="I3286">
            <v>0.65111111111111108</v>
          </cell>
          <cell r="J3286">
            <v>42.690000000000005</v>
          </cell>
        </row>
        <row r="3287">
          <cell r="B3287">
            <v>17.48</v>
          </cell>
          <cell r="C3287">
            <v>50.96</v>
          </cell>
          <cell r="D3287">
            <v>16.62</v>
          </cell>
          <cell r="E3287">
            <v>6.81</v>
          </cell>
          <cell r="H3287">
            <v>45428</v>
          </cell>
          <cell r="I3287">
            <v>0.65999999999999992</v>
          </cell>
          <cell r="J3287">
            <v>41.46</v>
          </cell>
        </row>
        <row r="3288">
          <cell r="B3288">
            <v>15.84</v>
          </cell>
          <cell r="C3288">
            <v>43.93</v>
          </cell>
          <cell r="D3288">
            <v>15.94</v>
          </cell>
          <cell r="E3288">
            <v>6.66</v>
          </cell>
          <cell r="H3288">
            <v>45428</v>
          </cell>
          <cell r="I3288">
            <v>0.6677777777777778</v>
          </cell>
          <cell r="J3288">
            <v>38.652222222222228</v>
          </cell>
        </row>
        <row r="3289">
          <cell r="B3289">
            <v>13.53</v>
          </cell>
          <cell r="C3289">
            <v>36.659999999999997</v>
          </cell>
          <cell r="D3289">
            <v>15.42</v>
          </cell>
          <cell r="E3289">
            <v>6.92</v>
          </cell>
          <cell r="H3289">
            <v>45428</v>
          </cell>
          <cell r="I3289">
            <v>0.66888888888888887</v>
          </cell>
          <cell r="J3289">
            <v>36.43</v>
          </cell>
        </row>
        <row r="3290">
          <cell r="B3290">
            <v>13.61</v>
          </cell>
          <cell r="C3290">
            <v>37.76</v>
          </cell>
          <cell r="D3290">
            <v>15.34</v>
          </cell>
          <cell r="E3290">
            <v>6.61</v>
          </cell>
          <cell r="H3290">
            <v>45429</v>
          </cell>
          <cell r="I3290">
            <v>0.65888888888888897</v>
          </cell>
          <cell r="J3290">
            <v>34.521111111111111</v>
          </cell>
        </row>
        <row r="3291">
          <cell r="B3291">
            <v>12.37</v>
          </cell>
          <cell r="C3291">
            <v>34.299999999999997</v>
          </cell>
          <cell r="D3291">
            <v>14.76</v>
          </cell>
          <cell r="E3291">
            <v>6.67</v>
          </cell>
          <cell r="H3291">
            <v>45429</v>
          </cell>
          <cell r="I3291">
            <v>0.65222222222222226</v>
          </cell>
          <cell r="J3291">
            <v>32.823333333333331</v>
          </cell>
        </row>
        <row r="3292">
          <cell r="B3292">
            <v>10.06</v>
          </cell>
          <cell r="C3292">
            <v>31.4</v>
          </cell>
          <cell r="D3292">
            <v>13.26</v>
          </cell>
          <cell r="E3292">
            <v>6.26</v>
          </cell>
          <cell r="H3292">
            <v>45429</v>
          </cell>
          <cell r="I3292">
            <v>0.63555555555555554</v>
          </cell>
          <cell r="J3292">
            <v>31.673333333333332</v>
          </cell>
        </row>
        <row r="3293">
          <cell r="B3293">
            <v>11.3</v>
          </cell>
          <cell r="C3293">
            <v>32.14</v>
          </cell>
          <cell r="D3293">
            <v>13.01</v>
          </cell>
          <cell r="E3293">
            <v>5.92</v>
          </cell>
          <cell r="H3293">
            <v>45429</v>
          </cell>
          <cell r="I3293">
            <v>0.61555555555555541</v>
          </cell>
          <cell r="J3293">
            <v>31.097777777777779</v>
          </cell>
        </row>
        <row r="3294">
          <cell r="B3294">
            <v>13.03</v>
          </cell>
          <cell r="C3294">
            <v>36.659999999999997</v>
          </cell>
          <cell r="D3294">
            <v>13.31</v>
          </cell>
          <cell r="E3294">
            <v>6.16</v>
          </cell>
          <cell r="H3294">
            <v>45429</v>
          </cell>
          <cell r="I3294">
            <v>0.60444444444444434</v>
          </cell>
          <cell r="J3294">
            <v>30.510000000000005</v>
          </cell>
        </row>
        <row r="3295">
          <cell r="B3295">
            <v>13</v>
          </cell>
          <cell r="C3295">
            <v>36.75</v>
          </cell>
          <cell r="D3295">
            <v>14.12</v>
          </cell>
          <cell r="E3295">
            <v>5.97</v>
          </cell>
          <cell r="H3295">
            <v>45429</v>
          </cell>
          <cell r="I3295">
            <v>0.59000000000000008</v>
          </cell>
          <cell r="J3295">
            <v>30.008888888888894</v>
          </cell>
        </row>
        <row r="3296">
          <cell r="B3296">
            <v>13.85</v>
          </cell>
          <cell r="C3296">
            <v>38.53</v>
          </cell>
          <cell r="D3296">
            <v>14.46</v>
          </cell>
          <cell r="E3296">
            <v>5.84</v>
          </cell>
          <cell r="H3296">
            <v>45429</v>
          </cell>
          <cell r="I3296">
            <v>0.5822222222222222</v>
          </cell>
          <cell r="J3296">
            <v>29.652222222222221</v>
          </cell>
        </row>
        <row r="3297">
          <cell r="B3297">
            <v>14.74</v>
          </cell>
          <cell r="C3297">
            <v>40.24</v>
          </cell>
          <cell r="D3297">
            <v>14.77</v>
          </cell>
          <cell r="E3297">
            <v>6.34</v>
          </cell>
          <cell r="H3297">
            <v>45429</v>
          </cell>
          <cell r="I3297">
            <v>0.58666666666666656</v>
          </cell>
          <cell r="J3297">
            <v>29.457777777777778</v>
          </cell>
        </row>
        <row r="3298">
          <cell r="B3298">
            <v>17.7</v>
          </cell>
          <cell r="C3298">
            <v>43.3</v>
          </cell>
          <cell r="D3298">
            <v>14.7</v>
          </cell>
          <cell r="E3298">
            <v>6.23</v>
          </cell>
          <cell r="H3298">
            <v>45429</v>
          </cell>
          <cell r="I3298">
            <v>0.59777777777777774</v>
          </cell>
          <cell r="J3298">
            <v>30.914444444444445</v>
          </cell>
        </row>
        <row r="3299">
          <cell r="B3299">
            <v>19.45</v>
          </cell>
          <cell r="C3299">
            <v>45.88</v>
          </cell>
          <cell r="D3299">
            <v>13.71</v>
          </cell>
          <cell r="E3299">
            <v>6.73</v>
          </cell>
          <cell r="H3299">
            <v>45429</v>
          </cell>
          <cell r="I3299">
            <v>0.60444444444444445</v>
          </cell>
          <cell r="J3299">
            <v>31.141111111111108</v>
          </cell>
        </row>
        <row r="3300">
          <cell r="B3300">
            <v>19.68</v>
          </cell>
          <cell r="C3300">
            <v>53.24</v>
          </cell>
          <cell r="D3300">
            <v>14.43</v>
          </cell>
          <cell r="E3300">
            <v>6.53</v>
          </cell>
          <cell r="H3300">
            <v>45429</v>
          </cell>
          <cell r="I3300">
            <v>0.61888888888888893</v>
          </cell>
          <cell r="J3300">
            <v>31.859999999999996</v>
          </cell>
        </row>
        <row r="3301">
          <cell r="B3301">
            <v>21.2</v>
          </cell>
          <cell r="C3301">
            <v>64.760000000000005</v>
          </cell>
          <cell r="D3301">
            <v>14.69</v>
          </cell>
          <cell r="E3301">
            <v>7.85</v>
          </cell>
          <cell r="H3301">
            <v>45429</v>
          </cell>
          <cell r="I3301">
            <v>0.64555555555555555</v>
          </cell>
          <cell r="J3301">
            <v>32.74111111111111</v>
          </cell>
        </row>
        <row r="3302">
          <cell r="B3302">
            <v>21.92</v>
          </cell>
          <cell r="C3302">
            <v>65.45</v>
          </cell>
          <cell r="D3302">
            <v>14.04</v>
          </cell>
          <cell r="E3302">
            <v>8.39</v>
          </cell>
          <cell r="H3302">
            <v>45429</v>
          </cell>
          <cell r="I3302">
            <v>0.65999999999999992</v>
          </cell>
          <cell r="J3302">
            <v>33.965555555555554</v>
          </cell>
        </row>
        <row r="3303">
          <cell r="B3303">
            <v>20.71</v>
          </cell>
          <cell r="C3303">
            <v>63.12</v>
          </cell>
          <cell r="D3303">
            <v>14.12</v>
          </cell>
          <cell r="E3303">
            <v>8.85</v>
          </cell>
          <cell r="H3303">
            <v>45429</v>
          </cell>
          <cell r="I3303">
            <v>0.67555555555555546</v>
          </cell>
          <cell r="J3303">
            <v>36.068888888888893</v>
          </cell>
        </row>
        <row r="3304">
          <cell r="B3304">
            <v>21.18</v>
          </cell>
          <cell r="C3304">
            <v>68.83</v>
          </cell>
          <cell r="D3304">
            <v>14.37</v>
          </cell>
          <cell r="E3304">
            <v>8.76</v>
          </cell>
          <cell r="H3304">
            <v>45429</v>
          </cell>
          <cell r="I3304">
            <v>0.69</v>
          </cell>
          <cell r="J3304">
            <v>36.813333333333333</v>
          </cell>
        </row>
        <row r="3305">
          <cell r="B3305">
            <v>19.89</v>
          </cell>
          <cell r="C3305">
            <v>63.31</v>
          </cell>
          <cell r="D3305">
            <v>14.48</v>
          </cell>
          <cell r="E3305">
            <v>8.49</v>
          </cell>
          <cell r="H3305">
            <v>45429</v>
          </cell>
          <cell r="I3305">
            <v>0.69666666666666666</v>
          </cell>
          <cell r="J3305">
            <v>37.068888888888893</v>
          </cell>
        </row>
        <row r="3306">
          <cell r="B3306">
            <v>20.149999999999999</v>
          </cell>
          <cell r="C3306">
            <v>62.08</v>
          </cell>
          <cell r="D3306">
            <v>14.78</v>
          </cell>
          <cell r="E3306">
            <v>8.6999999999999993</v>
          </cell>
          <cell r="H3306">
            <v>45429</v>
          </cell>
          <cell r="I3306">
            <v>0.69666666666666677</v>
          </cell>
          <cell r="J3306">
            <v>37.102222222222224</v>
          </cell>
        </row>
        <row r="3307">
          <cell r="B3307">
            <v>20.58</v>
          </cell>
          <cell r="C3307">
            <v>59.71</v>
          </cell>
          <cell r="D3307">
            <v>14.64</v>
          </cell>
          <cell r="E3307">
            <v>8.3000000000000007</v>
          </cell>
          <cell r="H3307">
            <v>45429</v>
          </cell>
          <cell r="I3307">
            <v>0.69222222222222229</v>
          </cell>
          <cell r="J3307">
            <v>35.446666666666665</v>
          </cell>
        </row>
        <row r="3308">
          <cell r="B3308">
            <v>17.73</v>
          </cell>
          <cell r="C3308">
            <v>55.59</v>
          </cell>
          <cell r="D3308">
            <v>14.89</v>
          </cell>
          <cell r="E3308">
            <v>7.8</v>
          </cell>
          <cell r="H3308">
            <v>45429</v>
          </cell>
          <cell r="I3308">
            <v>0.69888888888888878</v>
          </cell>
          <cell r="J3308">
            <v>34.99444444444444</v>
          </cell>
        </row>
        <row r="3309">
          <cell r="B3309">
            <v>17.829999999999998</v>
          </cell>
          <cell r="C3309">
            <v>53.17</v>
          </cell>
          <cell r="D3309">
            <v>15.54</v>
          </cell>
          <cell r="E3309">
            <v>7.91</v>
          </cell>
          <cell r="H3309">
            <v>45429</v>
          </cell>
          <cell r="I3309">
            <v>0.7022222222222223</v>
          </cell>
          <cell r="J3309">
            <v>33.986666666666665</v>
          </cell>
        </row>
        <row r="3310">
          <cell r="B3310">
            <v>18.760000000000002</v>
          </cell>
          <cell r="C3310">
            <v>49.98</v>
          </cell>
          <cell r="D3310">
            <v>15.21</v>
          </cell>
          <cell r="E3310">
            <v>7.97</v>
          </cell>
          <cell r="H3310">
            <v>45429</v>
          </cell>
          <cell r="I3310">
            <v>0.69333333333333325</v>
          </cell>
          <cell r="J3310">
            <v>32.696666666666665</v>
          </cell>
        </row>
        <row r="3311">
          <cell r="B3311">
            <v>18.28</v>
          </cell>
          <cell r="C3311">
            <v>53.09</v>
          </cell>
          <cell r="D3311">
            <v>14.56</v>
          </cell>
          <cell r="E3311">
            <v>8.06</v>
          </cell>
          <cell r="H3311">
            <v>45429</v>
          </cell>
          <cell r="I3311">
            <v>0.69333333333333325</v>
          </cell>
          <cell r="J3311">
            <v>30.871111111111109</v>
          </cell>
        </row>
        <row r="3312">
          <cell r="B3312">
            <v>16.239999999999998</v>
          </cell>
          <cell r="C3312">
            <v>54.21</v>
          </cell>
          <cell r="D3312">
            <v>13.86</v>
          </cell>
          <cell r="E3312">
            <v>7.77</v>
          </cell>
          <cell r="H3312">
            <v>45429</v>
          </cell>
          <cell r="I3312">
            <v>0.68555555555555547</v>
          </cell>
          <cell r="J3312">
            <v>28.17</v>
          </cell>
        </row>
        <row r="3313">
          <cell r="B3313">
            <v>14.03</v>
          </cell>
          <cell r="C3313">
            <v>48.38</v>
          </cell>
          <cell r="D3313">
            <v>13.59</v>
          </cell>
          <cell r="E3313">
            <v>7.89</v>
          </cell>
          <cell r="H3313">
            <v>45429</v>
          </cell>
          <cell r="I3313">
            <v>0.67111111111111099</v>
          </cell>
          <cell r="J3313">
            <v>27.09888888888889</v>
          </cell>
        </row>
        <row r="3314">
          <cell r="B3314">
            <v>13.48</v>
          </cell>
          <cell r="C3314">
            <v>46.56</v>
          </cell>
          <cell r="D3314">
            <v>14.07</v>
          </cell>
          <cell r="E3314">
            <v>7.87</v>
          </cell>
          <cell r="H3314">
            <v>45430</v>
          </cell>
          <cell r="I3314">
            <v>0.65999999999999992</v>
          </cell>
          <cell r="J3314">
            <v>26.486666666666672</v>
          </cell>
        </row>
        <row r="3315">
          <cell r="B3315">
            <v>13.99</v>
          </cell>
          <cell r="C3315">
            <v>39.74</v>
          </cell>
          <cell r="D3315">
            <v>13.19</v>
          </cell>
          <cell r="E3315">
            <v>8.24</v>
          </cell>
          <cell r="H3315">
            <v>45430</v>
          </cell>
          <cell r="I3315">
            <v>0.64666666666666683</v>
          </cell>
          <cell r="J3315">
            <v>25.925555555555555</v>
          </cell>
        </row>
        <row r="3316">
          <cell r="B3316">
            <v>14.91</v>
          </cell>
          <cell r="C3316">
            <v>42.57</v>
          </cell>
          <cell r="D3316">
            <v>13.33</v>
          </cell>
          <cell r="E3316">
            <v>7.45</v>
          </cell>
          <cell r="H3316">
            <v>45430</v>
          </cell>
          <cell r="I3316">
            <v>0.63222222222222213</v>
          </cell>
          <cell r="J3316">
            <v>25.724444444444444</v>
          </cell>
        </row>
        <row r="3317">
          <cell r="B3317">
            <v>12.89</v>
          </cell>
          <cell r="C3317">
            <v>38.590000000000003</v>
          </cell>
          <cell r="D3317">
            <v>13.38</v>
          </cell>
          <cell r="E3317">
            <v>6.86</v>
          </cell>
          <cell r="H3317">
            <v>45430</v>
          </cell>
          <cell r="I3317">
            <v>0.61</v>
          </cell>
          <cell r="J3317">
            <v>25.602222222222217</v>
          </cell>
        </row>
        <row r="3318">
          <cell r="B3318">
            <v>12.05</v>
          </cell>
          <cell r="C3318">
            <v>35.31</v>
          </cell>
          <cell r="D3318">
            <v>12.22</v>
          </cell>
          <cell r="E3318">
            <v>7.58</v>
          </cell>
          <cell r="H3318">
            <v>45430</v>
          </cell>
          <cell r="I3318">
            <v>0.5822222222222222</v>
          </cell>
          <cell r="J3318">
            <v>25.555555555555557</v>
          </cell>
        </row>
        <row r="3319">
          <cell r="B3319">
            <v>12.51</v>
          </cell>
          <cell r="C3319">
            <v>34.57</v>
          </cell>
          <cell r="D3319">
            <v>12.39</v>
          </cell>
          <cell r="E3319">
            <v>7.91</v>
          </cell>
          <cell r="H3319">
            <v>45430</v>
          </cell>
          <cell r="I3319">
            <v>0.56111111111111123</v>
          </cell>
          <cell r="J3319">
            <v>25.496666666666666</v>
          </cell>
        </row>
        <row r="3320">
          <cell r="B3320">
            <v>14.45</v>
          </cell>
          <cell r="C3320">
            <v>39.93</v>
          </cell>
          <cell r="D3320">
            <v>13.02</v>
          </cell>
          <cell r="E3320">
            <v>7.91</v>
          </cell>
          <cell r="H3320">
            <v>45430</v>
          </cell>
          <cell r="I3320">
            <v>0.54888888888888898</v>
          </cell>
          <cell r="J3320">
            <v>25.653333333333336</v>
          </cell>
        </row>
        <row r="3321">
          <cell r="B3321">
            <v>17.75</v>
          </cell>
          <cell r="C3321">
            <v>48.69</v>
          </cell>
          <cell r="D3321">
            <v>13.08</v>
          </cell>
          <cell r="E3321">
            <v>7.83</v>
          </cell>
          <cell r="H3321">
            <v>45430</v>
          </cell>
          <cell r="I3321">
            <v>0.54888888888888887</v>
          </cell>
          <cell r="J3321">
            <v>26.240000000000002</v>
          </cell>
        </row>
        <row r="3322">
          <cell r="B3322">
            <v>20.239999999999998</v>
          </cell>
          <cell r="C3322">
            <v>47.35</v>
          </cell>
          <cell r="D3322">
            <v>13.03</v>
          </cell>
          <cell r="E3322">
            <v>7.95</v>
          </cell>
          <cell r="H3322">
            <v>45430</v>
          </cell>
          <cell r="I3322">
            <v>0.55777777777777771</v>
          </cell>
          <cell r="J3322">
            <v>26.981111111111112</v>
          </cell>
        </row>
        <row r="3323">
          <cell r="B3323">
            <v>22.65</v>
          </cell>
          <cell r="C3323">
            <v>57.26</v>
          </cell>
          <cell r="D3323">
            <v>14.08</v>
          </cell>
          <cell r="E3323">
            <v>7.55</v>
          </cell>
          <cell r="H3323">
            <v>45430</v>
          </cell>
          <cell r="I3323">
            <v>0.56777777777777783</v>
          </cell>
          <cell r="J3323">
            <v>28.224444444444444</v>
          </cell>
        </row>
        <row r="3324">
          <cell r="B3324">
            <v>22.67</v>
          </cell>
          <cell r="C3324">
            <v>55.93</v>
          </cell>
          <cell r="D3324">
            <v>14.46</v>
          </cell>
          <cell r="E3324">
            <v>7.27</v>
          </cell>
          <cell r="H3324">
            <v>45430</v>
          </cell>
          <cell r="I3324">
            <v>0.57777777777777783</v>
          </cell>
          <cell r="J3324">
            <v>30.341111111111111</v>
          </cell>
        </row>
        <row r="3325">
          <cell r="B3325">
            <v>20.69</v>
          </cell>
          <cell r="C3325">
            <v>53.66</v>
          </cell>
          <cell r="D3325">
            <v>15.24</v>
          </cell>
          <cell r="E3325">
            <v>7.79</v>
          </cell>
          <cell r="H3325">
            <v>45430</v>
          </cell>
          <cell r="I3325">
            <v>0.58444444444444454</v>
          </cell>
          <cell r="J3325">
            <v>33.895555555555553</v>
          </cell>
        </row>
        <row r="3326">
          <cell r="B3326">
            <v>22.8</v>
          </cell>
          <cell r="C3326">
            <v>52.97</v>
          </cell>
          <cell r="D3326">
            <v>13.5</v>
          </cell>
          <cell r="E3326">
            <v>7.05</v>
          </cell>
          <cell r="H3326">
            <v>45430</v>
          </cell>
          <cell r="I3326">
            <v>0.58333333333333337</v>
          </cell>
          <cell r="J3326">
            <v>37.076666666666668</v>
          </cell>
        </row>
        <row r="3327">
          <cell r="B3327">
            <v>24.2</v>
          </cell>
          <cell r="C3327">
            <v>58.45</v>
          </cell>
          <cell r="D3327">
            <v>13.87</v>
          </cell>
          <cell r="E3327">
            <v>6.82</v>
          </cell>
          <cell r="H3327">
            <v>45430</v>
          </cell>
          <cell r="I3327">
            <v>0.58666666666666667</v>
          </cell>
          <cell r="J3327">
            <v>40.138888888888886</v>
          </cell>
        </row>
        <row r="3328">
          <cell r="B3328">
            <v>28.64</v>
          </cell>
          <cell r="C3328">
            <v>61.91</v>
          </cell>
          <cell r="D3328">
            <v>13.72</v>
          </cell>
          <cell r="E3328">
            <v>7.2</v>
          </cell>
          <cell r="H3328">
            <v>45430</v>
          </cell>
          <cell r="I3328">
            <v>0.58666666666666678</v>
          </cell>
          <cell r="J3328">
            <v>42.303333333333327</v>
          </cell>
        </row>
        <row r="3329">
          <cell r="B3329">
            <v>28.18</v>
          </cell>
          <cell r="C3329">
            <v>55.86</v>
          </cell>
          <cell r="D3329">
            <v>13.53</v>
          </cell>
          <cell r="E3329">
            <v>7.55</v>
          </cell>
          <cell r="H3329">
            <v>45430</v>
          </cell>
          <cell r="I3329">
            <v>0.57666666666666677</v>
          </cell>
          <cell r="J3329">
            <v>42.56</v>
          </cell>
        </row>
        <row r="3330">
          <cell r="B3330">
            <v>22.57</v>
          </cell>
          <cell r="C3330">
            <v>55.02</v>
          </cell>
          <cell r="D3330">
            <v>13.26</v>
          </cell>
          <cell r="E3330">
            <v>8.36</v>
          </cell>
          <cell r="H3330">
            <v>45430</v>
          </cell>
          <cell r="I3330">
            <v>0.56777777777777771</v>
          </cell>
          <cell r="J3330">
            <v>42.276666666666671</v>
          </cell>
        </row>
        <row r="3331">
          <cell r="B3331">
            <v>23.55</v>
          </cell>
          <cell r="C3331">
            <v>56.04</v>
          </cell>
          <cell r="D3331">
            <v>13.72</v>
          </cell>
          <cell r="E3331">
            <v>9.0299999999999994</v>
          </cell>
          <cell r="H3331">
            <v>45430</v>
          </cell>
          <cell r="I3331">
            <v>0.55666666666666675</v>
          </cell>
          <cell r="J3331">
            <v>41.756666666666675</v>
          </cell>
        </row>
        <row r="3332">
          <cell r="B3332">
            <v>24.9</v>
          </cell>
          <cell r="C3332">
            <v>58.36</v>
          </cell>
          <cell r="D3332">
            <v>14.23</v>
          </cell>
          <cell r="E3332">
            <v>8.6199999999999992</v>
          </cell>
          <cell r="H3332">
            <v>45430</v>
          </cell>
          <cell r="I3332">
            <v>0.551111111111111</v>
          </cell>
          <cell r="J3332">
            <v>40.872222222222227</v>
          </cell>
        </row>
        <row r="3333">
          <cell r="B3333">
            <v>24.49</v>
          </cell>
          <cell r="C3333">
            <v>60.61</v>
          </cell>
          <cell r="D3333">
            <v>14.28</v>
          </cell>
          <cell r="E3333">
            <v>7.6</v>
          </cell>
          <cell r="H3333">
            <v>45430</v>
          </cell>
          <cell r="I3333">
            <v>0.551111111111111</v>
          </cell>
          <cell r="J3333">
            <v>39.080000000000005</v>
          </cell>
        </row>
        <row r="3334">
          <cell r="B3334">
            <v>25.88</v>
          </cell>
          <cell r="C3334">
            <v>64.12</v>
          </cell>
          <cell r="D3334">
            <v>13.59</v>
          </cell>
          <cell r="E3334">
            <v>7.92</v>
          </cell>
          <cell r="H3334">
            <v>45430</v>
          </cell>
          <cell r="I3334">
            <v>0.54222222222222216</v>
          </cell>
          <cell r="J3334">
            <v>35.825555555555553</v>
          </cell>
        </row>
        <row r="3335">
          <cell r="B3335">
            <v>20.83</v>
          </cell>
          <cell r="C3335">
            <v>52.26</v>
          </cell>
          <cell r="D3335">
            <v>13.37</v>
          </cell>
          <cell r="E3335">
            <v>7.51</v>
          </cell>
          <cell r="H3335">
            <v>45430</v>
          </cell>
          <cell r="I3335">
            <v>0.54333333333333345</v>
          </cell>
          <cell r="J3335">
            <v>32.833333333333336</v>
          </cell>
        </row>
        <row r="3336">
          <cell r="B3336">
            <v>23.62</v>
          </cell>
          <cell r="C3336">
            <v>53.74</v>
          </cell>
          <cell r="D3336">
            <v>13.74</v>
          </cell>
          <cell r="E3336">
            <v>7.46</v>
          </cell>
          <cell r="H3336">
            <v>45430</v>
          </cell>
          <cell r="I3336">
            <v>0.5411111111111111</v>
          </cell>
          <cell r="J3336">
            <v>29.77333333333333</v>
          </cell>
        </row>
        <row r="3337">
          <cell r="B3337">
            <v>21.85</v>
          </cell>
          <cell r="C3337">
            <v>50.38</v>
          </cell>
          <cell r="D3337">
            <v>13.58</v>
          </cell>
          <cell r="E3337">
            <v>7.89</v>
          </cell>
          <cell r="H3337">
            <v>45430</v>
          </cell>
          <cell r="I3337">
            <v>0.53666666666666663</v>
          </cell>
          <cell r="J3337">
            <v>27.665555555555557</v>
          </cell>
        </row>
        <row r="3338">
          <cell r="B3338">
            <v>20.010000000000002</v>
          </cell>
          <cell r="C3338">
            <v>46.89</v>
          </cell>
          <cell r="D3338">
            <v>13.27</v>
          </cell>
          <cell r="E3338">
            <v>7.27</v>
          </cell>
          <cell r="H3338">
            <v>45431</v>
          </cell>
          <cell r="I3338">
            <v>0.53111111111111109</v>
          </cell>
          <cell r="J3338">
            <v>27.287777777777777</v>
          </cell>
        </row>
        <row r="3339">
          <cell r="B3339">
            <v>18.46</v>
          </cell>
          <cell r="C3339">
            <v>44.68</v>
          </cell>
          <cell r="D3339">
            <v>13.4</v>
          </cell>
          <cell r="E3339">
            <v>7.21</v>
          </cell>
          <cell r="H3339">
            <v>45431</v>
          </cell>
          <cell r="I3339">
            <v>0.52444444444444449</v>
          </cell>
          <cell r="J3339">
            <v>27.053333333333335</v>
          </cell>
        </row>
        <row r="3340">
          <cell r="B3340">
            <v>20.84</v>
          </cell>
          <cell r="C3340">
            <v>50.01</v>
          </cell>
          <cell r="D3340">
            <v>13.12</v>
          </cell>
          <cell r="E3340">
            <v>7.1</v>
          </cell>
          <cell r="H3340">
            <v>45431</v>
          </cell>
          <cell r="I3340">
            <v>0.51444444444444448</v>
          </cell>
          <cell r="J3340">
            <v>26.865555555555556</v>
          </cell>
        </row>
        <row r="3341">
          <cell r="B3341">
            <v>20.18</v>
          </cell>
          <cell r="C3341">
            <v>45.93</v>
          </cell>
          <cell r="D3341">
            <v>12.81</v>
          </cell>
          <cell r="E3341">
            <v>7.16</v>
          </cell>
          <cell r="H3341">
            <v>45431</v>
          </cell>
          <cell r="I3341">
            <v>0.4933333333333334</v>
          </cell>
          <cell r="J3341">
            <v>26.563333333333336</v>
          </cell>
        </row>
        <row r="3342">
          <cell r="B3342">
            <v>16.97</v>
          </cell>
          <cell r="C3342">
            <v>38.94</v>
          </cell>
          <cell r="D3342">
            <v>12.73</v>
          </cell>
          <cell r="E3342">
            <v>6.96</v>
          </cell>
          <cell r="H3342">
            <v>45431</v>
          </cell>
          <cell r="I3342">
            <v>0.46777777777777779</v>
          </cell>
          <cell r="J3342">
            <v>26.388888888888893</v>
          </cell>
        </row>
        <row r="3343">
          <cell r="B3343">
            <v>19.86</v>
          </cell>
          <cell r="C3343">
            <v>38.58</v>
          </cell>
          <cell r="D3343">
            <v>12.45</v>
          </cell>
          <cell r="E3343">
            <v>6.9</v>
          </cell>
          <cell r="H3343">
            <v>45431</v>
          </cell>
          <cell r="I3343">
            <v>0.45888888888888896</v>
          </cell>
          <cell r="J3343">
            <v>26.020000000000003</v>
          </cell>
        </row>
        <row r="3344">
          <cell r="B3344">
            <v>19.11</v>
          </cell>
          <cell r="C3344">
            <v>39.380000000000003</v>
          </cell>
          <cell r="D3344">
            <v>12.04</v>
          </cell>
          <cell r="E3344">
            <v>6.89</v>
          </cell>
          <cell r="H3344">
            <v>45431</v>
          </cell>
          <cell r="I3344">
            <v>0.45111111111111118</v>
          </cell>
          <cell r="J3344">
            <v>25.896666666666665</v>
          </cell>
        </row>
        <row r="3345">
          <cell r="B3345">
            <v>18.2</v>
          </cell>
          <cell r="C3345">
            <v>43.97</v>
          </cell>
          <cell r="D3345">
            <v>11.91</v>
          </cell>
          <cell r="E3345">
            <v>7.02</v>
          </cell>
          <cell r="H3345">
            <v>45431</v>
          </cell>
          <cell r="I3345">
            <v>0.44666666666666671</v>
          </cell>
          <cell r="J3345">
            <v>26.192222222222224</v>
          </cell>
        </row>
        <row r="3346">
          <cell r="B3346">
            <v>16.920000000000002</v>
          </cell>
          <cell r="C3346">
            <v>42.29</v>
          </cell>
          <cell r="D3346">
            <v>13.01</v>
          </cell>
          <cell r="E3346">
            <v>7.19</v>
          </cell>
          <cell r="H3346">
            <v>45431</v>
          </cell>
          <cell r="I3346">
            <v>0.44555555555555554</v>
          </cell>
          <cell r="J3346">
            <v>26.573333333333338</v>
          </cell>
        </row>
        <row r="3347">
          <cell r="B3347">
            <v>18.239999999999998</v>
          </cell>
          <cell r="C3347">
            <v>43.58</v>
          </cell>
          <cell r="D3347">
            <v>14.29</v>
          </cell>
          <cell r="E3347">
            <v>6.63</v>
          </cell>
          <cell r="H3347">
            <v>45431</v>
          </cell>
          <cell r="I3347">
            <v>0.45222222222222225</v>
          </cell>
          <cell r="J3347">
            <v>27.374444444444446</v>
          </cell>
        </row>
        <row r="3348">
          <cell r="B3348">
            <v>20.61</v>
          </cell>
          <cell r="C3348">
            <v>47.16</v>
          </cell>
          <cell r="D3348">
            <v>14.29</v>
          </cell>
          <cell r="E3348">
            <v>6.32</v>
          </cell>
          <cell r="H3348">
            <v>45431</v>
          </cell>
          <cell r="I3348">
            <v>0.45888888888888896</v>
          </cell>
          <cell r="J3348">
            <v>28.852222222222224</v>
          </cell>
        </row>
        <row r="3349">
          <cell r="B3349">
            <v>23.59</v>
          </cell>
          <cell r="C3349">
            <v>50.35</v>
          </cell>
          <cell r="D3349">
            <v>12.72</v>
          </cell>
          <cell r="E3349">
            <v>6.98</v>
          </cell>
          <cell r="H3349">
            <v>45431</v>
          </cell>
          <cell r="I3349">
            <v>0.47000000000000003</v>
          </cell>
          <cell r="J3349">
            <v>30.944444444444439</v>
          </cell>
        </row>
        <row r="3350">
          <cell r="B3350">
            <v>24.68</v>
          </cell>
          <cell r="C3350">
            <v>57.84</v>
          </cell>
          <cell r="D3350">
            <v>12.63</v>
          </cell>
          <cell r="E3350">
            <v>7.25</v>
          </cell>
          <cell r="H3350">
            <v>45431</v>
          </cell>
          <cell r="I3350">
            <v>0.48777777777777787</v>
          </cell>
          <cell r="J3350">
            <v>32.61</v>
          </cell>
        </row>
        <row r="3351">
          <cell r="B3351">
            <v>26.85</v>
          </cell>
          <cell r="C3351">
            <v>61.07</v>
          </cell>
          <cell r="D3351">
            <v>13.42</v>
          </cell>
          <cell r="E3351">
            <v>7.27</v>
          </cell>
          <cell r="H3351">
            <v>45431</v>
          </cell>
          <cell r="I3351">
            <v>0.49777777777777782</v>
          </cell>
          <cell r="J3351">
            <v>34.298888888888889</v>
          </cell>
        </row>
        <row r="3352">
          <cell r="B3352">
            <v>26.23</v>
          </cell>
          <cell r="C3352">
            <v>56.13</v>
          </cell>
          <cell r="D3352">
            <v>13.15</v>
          </cell>
          <cell r="E3352">
            <v>7.47</v>
          </cell>
          <cell r="H3352">
            <v>45431</v>
          </cell>
          <cell r="I3352">
            <v>0.50444444444444436</v>
          </cell>
          <cell r="J3352">
            <v>35.546666666666667</v>
          </cell>
        </row>
        <row r="3353">
          <cell r="B3353">
            <v>21.8</v>
          </cell>
          <cell r="C3353">
            <v>43.21</v>
          </cell>
          <cell r="D3353">
            <v>13.29</v>
          </cell>
          <cell r="E3353">
            <v>7.7</v>
          </cell>
          <cell r="H3353">
            <v>45431</v>
          </cell>
          <cell r="I3353">
            <v>0.51333333333333331</v>
          </cell>
          <cell r="J3353">
            <v>36.048888888888889</v>
          </cell>
        </row>
        <row r="3354">
          <cell r="B3354">
            <v>22</v>
          </cell>
          <cell r="C3354">
            <v>43.81</v>
          </cell>
          <cell r="D3354">
            <v>14.36</v>
          </cell>
          <cell r="E3354">
            <v>7.82</v>
          </cell>
          <cell r="H3354">
            <v>45431</v>
          </cell>
          <cell r="I3354">
            <v>0.52222222222222225</v>
          </cell>
          <cell r="J3354">
            <v>36.263333333333335</v>
          </cell>
        </row>
        <row r="3355">
          <cell r="B3355">
            <v>20.98</v>
          </cell>
          <cell r="C3355">
            <v>47.67</v>
          </cell>
          <cell r="D3355">
            <v>15.16</v>
          </cell>
          <cell r="E3355">
            <v>7.55</v>
          </cell>
          <cell r="H3355">
            <v>45431</v>
          </cell>
          <cell r="I3355">
            <v>0.52666666666666662</v>
          </cell>
          <cell r="J3355">
            <v>36.463333333333338</v>
          </cell>
        </row>
        <row r="3356">
          <cell r="B3356">
            <v>16.39</v>
          </cell>
          <cell r="C3356">
            <v>45.36</v>
          </cell>
          <cell r="D3356">
            <v>14.8</v>
          </cell>
          <cell r="E3356">
            <v>7.11</v>
          </cell>
          <cell r="H3356">
            <v>45431</v>
          </cell>
          <cell r="I3356">
            <v>0.52555555555555555</v>
          </cell>
          <cell r="J3356">
            <v>35.736666666666657</v>
          </cell>
        </row>
        <row r="3357">
          <cell r="B3357">
            <v>14.36</v>
          </cell>
          <cell r="C3357">
            <v>32.479999999999997</v>
          </cell>
          <cell r="D3357">
            <v>14.2</v>
          </cell>
          <cell r="E3357">
            <v>7.57</v>
          </cell>
          <cell r="H3357">
            <v>45431</v>
          </cell>
          <cell r="I3357">
            <v>0.53333333333333321</v>
          </cell>
          <cell r="J3357">
            <v>34.155555555555551</v>
          </cell>
        </row>
        <row r="3358">
          <cell r="B3358">
            <v>14.1</v>
          </cell>
          <cell r="C3358">
            <v>31.64</v>
          </cell>
          <cell r="D3358">
            <v>13.75</v>
          </cell>
          <cell r="E3358">
            <v>7.86</v>
          </cell>
          <cell r="H3358">
            <v>45431</v>
          </cell>
          <cell r="I3358">
            <v>0.53111111111111109</v>
          </cell>
          <cell r="J3358">
            <v>31.795555555555552</v>
          </cell>
        </row>
        <row r="3359">
          <cell r="B3359">
            <v>16.16</v>
          </cell>
          <cell r="C3359">
            <v>30.34</v>
          </cell>
          <cell r="D3359">
            <v>14.73</v>
          </cell>
          <cell r="E3359">
            <v>8.2899999999999991</v>
          </cell>
          <cell r="H3359">
            <v>45431</v>
          </cell>
          <cell r="I3359">
            <v>0.53111111111111109</v>
          </cell>
          <cell r="J3359">
            <v>29.722222222222221</v>
          </cell>
        </row>
        <row r="3360">
          <cell r="B3360">
            <v>12.84</v>
          </cell>
          <cell r="C3360">
            <v>27.8</v>
          </cell>
          <cell r="D3360">
            <v>14.59</v>
          </cell>
          <cell r="E3360">
            <v>7.46</v>
          </cell>
          <cell r="H3360">
            <v>45431</v>
          </cell>
          <cell r="I3360">
            <v>0.52888888888888885</v>
          </cell>
          <cell r="J3360">
            <v>27.644444444444442</v>
          </cell>
        </row>
        <row r="3361">
          <cell r="B3361">
            <v>16.170000000000002</v>
          </cell>
          <cell r="C3361">
            <v>34.97</v>
          </cell>
          <cell r="D3361">
            <v>14.8</v>
          </cell>
          <cell r="E3361">
            <v>7.42</v>
          </cell>
          <cell r="H3361">
            <v>45431</v>
          </cell>
          <cell r="I3361">
            <v>0.5344444444444445</v>
          </cell>
          <cell r="J3361">
            <v>26.046666666666667</v>
          </cell>
        </row>
        <row r="3362">
          <cell r="B3362">
            <v>17.5</v>
          </cell>
          <cell r="C3362">
            <v>37.92</v>
          </cell>
          <cell r="D3362">
            <v>15.08</v>
          </cell>
          <cell r="E3362">
            <v>7.41</v>
          </cell>
          <cell r="H3362">
            <v>45432</v>
          </cell>
          <cell r="I3362">
            <v>0.5444444444444444</v>
          </cell>
          <cell r="J3362">
            <v>25.032222222222224</v>
          </cell>
        </row>
        <row r="3363">
          <cell r="B3363">
            <v>19.440000000000001</v>
          </cell>
          <cell r="C3363">
            <v>40.5</v>
          </cell>
          <cell r="D3363">
            <v>14.82</v>
          </cell>
          <cell r="E3363">
            <v>6.63</v>
          </cell>
          <cell r="H3363">
            <v>45432</v>
          </cell>
          <cell r="I3363">
            <v>0.55111111111111122</v>
          </cell>
          <cell r="J3363">
            <v>24.133333333333336</v>
          </cell>
        </row>
        <row r="3364">
          <cell r="B3364">
            <v>18.22</v>
          </cell>
          <cell r="C3364">
            <v>36.67</v>
          </cell>
          <cell r="D3364">
            <v>13.69</v>
          </cell>
          <cell r="E3364">
            <v>5.79</v>
          </cell>
          <cell r="H3364">
            <v>45432</v>
          </cell>
          <cell r="I3364">
            <v>0.55444444444444452</v>
          </cell>
          <cell r="J3364">
            <v>23.113333333333333</v>
          </cell>
        </row>
        <row r="3365">
          <cell r="B3365">
            <v>17.45</v>
          </cell>
          <cell r="C3365">
            <v>37.35</v>
          </cell>
          <cell r="D3365">
            <v>13.11</v>
          </cell>
          <cell r="E3365">
            <v>5.73</v>
          </cell>
          <cell r="H3365">
            <v>45432</v>
          </cell>
          <cell r="I3365">
            <v>0.55888888888888877</v>
          </cell>
          <cell r="J3365">
            <v>22.672222222222224</v>
          </cell>
        </row>
        <row r="3366">
          <cell r="B3366">
            <v>15.73</v>
          </cell>
          <cell r="C3366">
            <v>38.75</v>
          </cell>
          <cell r="D3366">
            <v>13.26</v>
          </cell>
          <cell r="E3366">
            <v>5.46</v>
          </cell>
          <cell r="H3366">
            <v>45432</v>
          </cell>
          <cell r="I3366">
            <v>0.54888888888888887</v>
          </cell>
          <cell r="J3366">
            <v>22.343333333333334</v>
          </cell>
        </row>
        <row r="3367">
          <cell r="B3367">
            <v>14.64</v>
          </cell>
          <cell r="C3367">
            <v>37.909999999999997</v>
          </cell>
          <cell r="D3367">
            <v>13.3</v>
          </cell>
          <cell r="E3367">
            <v>5.54</v>
          </cell>
          <cell r="H3367">
            <v>45432</v>
          </cell>
          <cell r="I3367">
            <v>0.55000000000000004</v>
          </cell>
          <cell r="J3367">
            <v>22.111111111111111</v>
          </cell>
        </row>
        <row r="3368">
          <cell r="B3368">
            <v>17.05</v>
          </cell>
          <cell r="C3368">
            <v>40.51</v>
          </cell>
          <cell r="D3368">
            <v>14.11</v>
          </cell>
          <cell r="E3368">
            <v>5.54</v>
          </cell>
          <cell r="H3368">
            <v>45432</v>
          </cell>
          <cell r="I3368">
            <v>0.54888888888888887</v>
          </cell>
          <cell r="J3368">
            <v>22.058888888888887</v>
          </cell>
        </row>
        <row r="3369">
          <cell r="B3369">
            <v>23.46</v>
          </cell>
          <cell r="C3369">
            <v>50.53</v>
          </cell>
          <cell r="D3369">
            <v>14.26</v>
          </cell>
          <cell r="E3369">
            <v>5.75</v>
          </cell>
          <cell r="H3369">
            <v>45432</v>
          </cell>
          <cell r="I3369">
            <v>0.56111111111111112</v>
          </cell>
          <cell r="J3369">
            <v>22.215555555555554</v>
          </cell>
        </row>
        <row r="3370">
          <cell r="B3370">
            <v>25.19</v>
          </cell>
          <cell r="C3370">
            <v>52.82</v>
          </cell>
          <cell r="D3370">
            <v>14.42</v>
          </cell>
          <cell r="E3370">
            <v>5.81</v>
          </cell>
          <cell r="H3370">
            <v>45432</v>
          </cell>
          <cell r="I3370">
            <v>0.56555555555555559</v>
          </cell>
          <cell r="J3370">
            <v>22.742222222222225</v>
          </cell>
        </row>
        <row r="3371">
          <cell r="B3371">
            <v>23.28</v>
          </cell>
          <cell r="C3371">
            <v>50.14</v>
          </cell>
          <cell r="D3371">
            <v>13.84</v>
          </cell>
          <cell r="E3371">
            <v>5.9</v>
          </cell>
          <cell r="H3371">
            <v>45432</v>
          </cell>
          <cell r="I3371">
            <v>0.55666666666666664</v>
          </cell>
          <cell r="J3371">
            <v>23.592222222222219</v>
          </cell>
        </row>
        <row r="3372">
          <cell r="B3372">
            <v>21.32</v>
          </cell>
          <cell r="C3372">
            <v>45.6</v>
          </cell>
          <cell r="D3372">
            <v>14.6</v>
          </cell>
          <cell r="E3372">
            <v>5.98</v>
          </cell>
          <cell r="H3372">
            <v>45432</v>
          </cell>
          <cell r="I3372">
            <v>0.56333333333333335</v>
          </cell>
          <cell r="J3372">
            <v>24.284444444444446</v>
          </cell>
        </row>
        <row r="3373">
          <cell r="B3373">
            <v>21.38</v>
          </cell>
          <cell r="C3373">
            <v>47.75</v>
          </cell>
          <cell r="D3373">
            <v>14.29</v>
          </cell>
          <cell r="E3373">
            <v>6.09</v>
          </cell>
          <cell r="H3373">
            <v>45432</v>
          </cell>
          <cell r="I3373">
            <v>0.57444444444444442</v>
          </cell>
          <cell r="J3373">
            <v>25.040000000000003</v>
          </cell>
        </row>
        <row r="3374">
          <cell r="B3374">
            <v>20.74</v>
          </cell>
          <cell r="C3374">
            <v>49.84</v>
          </cell>
          <cell r="D3374">
            <v>13.72</v>
          </cell>
          <cell r="E3374">
            <v>6.07</v>
          </cell>
          <cell r="H3374">
            <v>45432</v>
          </cell>
          <cell r="I3374">
            <v>0.5855555555555555</v>
          </cell>
          <cell r="J3374">
            <v>26.195555555555554</v>
          </cell>
        </row>
        <row r="3375">
          <cell r="B3375">
            <v>23.32</v>
          </cell>
          <cell r="C3375">
            <v>54.78</v>
          </cell>
          <cell r="D3375">
            <v>14.66</v>
          </cell>
          <cell r="E3375">
            <v>6.47</v>
          </cell>
          <cell r="H3375">
            <v>45432</v>
          </cell>
          <cell r="I3375">
            <v>0.59111111111111103</v>
          </cell>
          <cell r="J3375">
            <v>28.07</v>
          </cell>
        </row>
        <row r="3376">
          <cell r="B3376">
            <v>22.06</v>
          </cell>
          <cell r="C3376">
            <v>57.72</v>
          </cell>
          <cell r="D3376">
            <v>13.63</v>
          </cell>
          <cell r="E3376">
            <v>6.7</v>
          </cell>
          <cell r="H3376">
            <v>45432</v>
          </cell>
          <cell r="I3376">
            <v>0.5888888888888888</v>
          </cell>
          <cell r="J3376">
            <v>29.238888888888887</v>
          </cell>
        </row>
        <row r="3377">
          <cell r="B3377">
            <v>19.579999999999998</v>
          </cell>
          <cell r="C3377">
            <v>50.51</v>
          </cell>
          <cell r="D3377">
            <v>14.23</v>
          </cell>
          <cell r="E3377">
            <v>6.81</v>
          </cell>
          <cell r="H3377">
            <v>45432</v>
          </cell>
          <cell r="I3377">
            <v>0.59666666666666668</v>
          </cell>
          <cell r="J3377">
            <v>30.27</v>
          </cell>
        </row>
        <row r="3378">
          <cell r="B3378">
            <v>21.36</v>
          </cell>
          <cell r="C3378">
            <v>56.76</v>
          </cell>
          <cell r="D3378">
            <v>14.12</v>
          </cell>
          <cell r="E3378">
            <v>7.13</v>
          </cell>
          <cell r="H3378">
            <v>45432</v>
          </cell>
          <cell r="I3378">
            <v>0.60111111111111115</v>
          </cell>
          <cell r="J3378">
            <v>31.026666666666667</v>
          </cell>
        </row>
        <row r="3379">
          <cell r="B3379">
            <v>21.74</v>
          </cell>
          <cell r="C3379">
            <v>59.03</v>
          </cell>
          <cell r="D3379">
            <v>13.97</v>
          </cell>
          <cell r="E3379">
            <v>7.21</v>
          </cell>
          <cell r="H3379">
            <v>45432</v>
          </cell>
          <cell r="I3379">
            <v>0.61111111111111116</v>
          </cell>
          <cell r="J3379">
            <v>31.18333333333333</v>
          </cell>
        </row>
        <row r="3380">
          <cell r="B3380">
            <v>27.58</v>
          </cell>
          <cell r="C3380">
            <v>75.03</v>
          </cell>
          <cell r="D3380">
            <v>14.18</v>
          </cell>
          <cell r="E3380">
            <v>7.33</v>
          </cell>
          <cell r="H3380">
            <v>45432</v>
          </cell>
          <cell r="I3380">
            <v>0.63555555555555565</v>
          </cell>
          <cell r="J3380">
            <v>30.800000000000004</v>
          </cell>
        </row>
        <row r="3381">
          <cell r="B3381">
            <v>29.46</v>
          </cell>
          <cell r="C3381">
            <v>77.459999999999994</v>
          </cell>
          <cell r="D3381">
            <v>14.31</v>
          </cell>
          <cell r="E3381">
            <v>7.24</v>
          </cell>
          <cell r="H3381">
            <v>45432</v>
          </cell>
          <cell r="I3381">
            <v>0.6333333333333333</v>
          </cell>
          <cell r="J3381">
            <v>30.281111111111109</v>
          </cell>
        </row>
        <row r="3382">
          <cell r="B3382">
            <v>25.08</v>
          </cell>
          <cell r="C3382">
            <v>56.16</v>
          </cell>
          <cell r="D3382">
            <v>13.88</v>
          </cell>
          <cell r="E3382">
            <v>6.37</v>
          </cell>
          <cell r="H3382">
            <v>45432</v>
          </cell>
          <cell r="I3382">
            <v>0.62888888888888894</v>
          </cell>
          <cell r="J3382">
            <v>29.642222222222227</v>
          </cell>
        </row>
        <row r="3383">
          <cell r="B3383">
            <v>18.66</v>
          </cell>
          <cell r="C3383">
            <v>39.130000000000003</v>
          </cell>
          <cell r="D3383">
            <v>13.91</v>
          </cell>
          <cell r="E3383">
            <v>6.88</v>
          </cell>
          <cell r="H3383">
            <v>45432</v>
          </cell>
          <cell r="I3383">
            <v>0.62222222222222223</v>
          </cell>
          <cell r="J3383">
            <v>28.595555555555556</v>
          </cell>
        </row>
        <row r="3384">
          <cell r="B3384">
            <v>12.23</v>
          </cell>
          <cell r="C3384">
            <v>30.61</v>
          </cell>
          <cell r="D3384">
            <v>13.5</v>
          </cell>
          <cell r="E3384">
            <v>7.14</v>
          </cell>
          <cell r="H3384">
            <v>45432</v>
          </cell>
          <cell r="I3384">
            <v>0.61999999999999988</v>
          </cell>
          <cell r="J3384">
            <v>26.93</v>
          </cell>
        </row>
        <row r="3385">
          <cell r="B3385">
            <v>15.83</v>
          </cell>
          <cell r="C3385">
            <v>33.97</v>
          </cell>
          <cell r="D3385">
            <v>12.68</v>
          </cell>
          <cell r="E3385">
            <v>6.99</v>
          </cell>
          <cell r="H3385">
            <v>45432</v>
          </cell>
          <cell r="I3385">
            <v>0.62</v>
          </cell>
          <cell r="J3385">
            <v>26.052222222222223</v>
          </cell>
        </row>
        <row r="3386">
          <cell r="B3386">
            <v>14.25</v>
          </cell>
          <cell r="C3386">
            <v>28.31</v>
          </cell>
          <cell r="D3386">
            <v>12.27</v>
          </cell>
          <cell r="E3386">
            <v>6.67</v>
          </cell>
          <cell r="H3386">
            <v>45433</v>
          </cell>
          <cell r="I3386">
            <v>0.60555555555555551</v>
          </cell>
          <cell r="J3386">
            <v>25.206666666666667</v>
          </cell>
        </row>
        <row r="3387">
          <cell r="B3387">
            <v>12.13</v>
          </cell>
          <cell r="C3387">
            <v>24.23</v>
          </cell>
          <cell r="D3387">
            <v>12.2</v>
          </cell>
          <cell r="E3387">
            <v>7.07</v>
          </cell>
          <cell r="H3387">
            <v>45433</v>
          </cell>
          <cell r="I3387">
            <v>0.59444444444444455</v>
          </cell>
          <cell r="J3387">
            <v>24.388888888888889</v>
          </cell>
        </row>
        <row r="3388">
          <cell r="B3388">
            <v>11.23</v>
          </cell>
          <cell r="C3388">
            <v>24.88</v>
          </cell>
          <cell r="D3388">
            <v>11.99</v>
          </cell>
          <cell r="E3388">
            <v>7.24</v>
          </cell>
          <cell r="H3388">
            <v>45433</v>
          </cell>
          <cell r="I3388">
            <v>0.57555555555555571</v>
          </cell>
          <cell r="J3388">
            <v>23.972222222222221</v>
          </cell>
        </row>
        <row r="3389">
          <cell r="B3389">
            <v>9.74</v>
          </cell>
          <cell r="C3389">
            <v>31.86</v>
          </cell>
          <cell r="D3389">
            <v>12.54</v>
          </cell>
          <cell r="E3389">
            <v>7.33</v>
          </cell>
          <cell r="H3389">
            <v>45433</v>
          </cell>
          <cell r="I3389">
            <v>0.54666666666666663</v>
          </cell>
          <cell r="J3389">
            <v>23.794444444444444</v>
          </cell>
        </row>
        <row r="3390">
          <cell r="B3390">
            <v>9.1199999999999992</v>
          </cell>
          <cell r="C3390">
            <v>23.43</v>
          </cell>
          <cell r="D3390">
            <v>12.16</v>
          </cell>
          <cell r="E3390">
            <v>7.24</v>
          </cell>
          <cell r="H3390">
            <v>45433</v>
          </cell>
          <cell r="I3390">
            <v>0.53333333333333344</v>
          </cell>
          <cell r="J3390">
            <v>23.77</v>
          </cell>
        </row>
        <row r="3391">
          <cell r="B3391">
            <v>9.9600000000000009</v>
          </cell>
          <cell r="C3391">
            <v>26.8</v>
          </cell>
          <cell r="D3391">
            <v>12.71</v>
          </cell>
          <cell r="E3391">
            <v>7.35</v>
          </cell>
          <cell r="H3391">
            <v>45433</v>
          </cell>
          <cell r="I3391">
            <v>0.52555555555555566</v>
          </cell>
          <cell r="J3391">
            <v>23.706666666666667</v>
          </cell>
        </row>
        <row r="3392">
          <cell r="B3392">
            <v>14.29</v>
          </cell>
          <cell r="C3392">
            <v>36.17</v>
          </cell>
          <cell r="D3392">
            <v>13.09</v>
          </cell>
          <cell r="E3392">
            <v>7.14</v>
          </cell>
          <cell r="H3392">
            <v>45433</v>
          </cell>
          <cell r="I3392">
            <v>0.53222222222222237</v>
          </cell>
          <cell r="J3392">
            <v>23.594444444444445</v>
          </cell>
        </row>
        <row r="3393">
          <cell r="B3393">
            <v>17.64</v>
          </cell>
          <cell r="C3393">
            <v>58.89</v>
          </cell>
          <cell r="D3393">
            <v>14.48</v>
          </cell>
          <cell r="E3393">
            <v>7.06</v>
          </cell>
          <cell r="H3393">
            <v>45433</v>
          </cell>
          <cell r="I3393">
            <v>0.54666666666666675</v>
          </cell>
          <cell r="J3393">
            <v>23.456666666666667</v>
          </cell>
        </row>
        <row r="3394">
          <cell r="B3394">
            <v>19.82</v>
          </cell>
          <cell r="C3394">
            <v>46.83</v>
          </cell>
          <cell r="D3394">
            <v>14.83</v>
          </cell>
          <cell r="E3394">
            <v>7.07</v>
          </cell>
          <cell r="H3394">
            <v>45433</v>
          </cell>
          <cell r="I3394">
            <v>0.56333333333333335</v>
          </cell>
          <cell r="J3394">
            <v>23.513333333333335</v>
          </cell>
        </row>
        <row r="3395">
          <cell r="B3395">
            <v>20.73</v>
          </cell>
          <cell r="C3395">
            <v>53.56</v>
          </cell>
          <cell r="D3395">
            <v>15.12</v>
          </cell>
          <cell r="E3395">
            <v>7.09</v>
          </cell>
          <cell r="H3395">
            <v>45433</v>
          </cell>
          <cell r="I3395">
            <v>0.58555555555555561</v>
          </cell>
          <cell r="J3395">
            <v>24.07555555555556</v>
          </cell>
        </row>
        <row r="3396">
          <cell r="B3396">
            <v>18.98</v>
          </cell>
          <cell r="C3396">
            <v>51.89</v>
          </cell>
          <cell r="D3396">
            <v>14.32</v>
          </cell>
          <cell r="E3396">
            <v>7.15</v>
          </cell>
          <cell r="H3396">
            <v>45433</v>
          </cell>
          <cell r="I3396">
            <v>0.60555555555555562</v>
          </cell>
          <cell r="J3396">
            <v>24.776666666666667</v>
          </cell>
        </row>
        <row r="3397">
          <cell r="B3397">
            <v>17.87</v>
          </cell>
          <cell r="C3397">
            <v>46.96</v>
          </cell>
          <cell r="D3397">
            <v>13.61</v>
          </cell>
          <cell r="E3397">
            <v>6.77</v>
          </cell>
          <cell r="H3397">
            <v>45433</v>
          </cell>
          <cell r="I3397">
            <v>0.61444444444444435</v>
          </cell>
          <cell r="J3397">
            <v>25.416666666666671</v>
          </cell>
        </row>
        <row r="3398">
          <cell r="B3398">
            <v>15.95</v>
          </cell>
          <cell r="C3398">
            <v>47.48</v>
          </cell>
          <cell r="D3398">
            <v>13.27</v>
          </cell>
          <cell r="E3398">
            <v>6.69</v>
          </cell>
          <cell r="H3398">
            <v>45433</v>
          </cell>
          <cell r="I3398">
            <v>0.63111111111111107</v>
          </cell>
          <cell r="J3398">
            <v>26.164444444444445</v>
          </cell>
        </row>
        <row r="3399">
          <cell r="B3399">
            <v>17.670000000000002</v>
          </cell>
          <cell r="C3399">
            <v>51.62</v>
          </cell>
          <cell r="D3399">
            <v>14.05</v>
          </cell>
          <cell r="E3399">
            <v>6.85</v>
          </cell>
          <cell r="H3399">
            <v>45433</v>
          </cell>
          <cell r="I3399">
            <v>0.63888888888888884</v>
          </cell>
          <cell r="J3399">
            <v>26.898888888888891</v>
          </cell>
        </row>
        <row r="3400">
          <cell r="B3400">
            <v>17.53</v>
          </cell>
          <cell r="C3400">
            <v>56.5</v>
          </cell>
          <cell r="D3400">
            <v>13.97</v>
          </cell>
          <cell r="E3400">
            <v>6.85</v>
          </cell>
          <cell r="H3400">
            <v>45433</v>
          </cell>
          <cell r="I3400">
            <v>0.64777777777777779</v>
          </cell>
          <cell r="J3400">
            <v>27.695555555555554</v>
          </cell>
        </row>
        <row r="3401">
          <cell r="B3401">
            <v>17.66</v>
          </cell>
          <cell r="C3401">
            <v>52.18</v>
          </cell>
          <cell r="D3401">
            <v>13.8</v>
          </cell>
          <cell r="E3401">
            <v>7.09</v>
          </cell>
          <cell r="H3401">
            <v>45433</v>
          </cell>
          <cell r="I3401">
            <v>0.64777777777777779</v>
          </cell>
          <cell r="J3401">
            <v>28.622222222222224</v>
          </cell>
        </row>
        <row r="3402">
          <cell r="B3402">
            <v>17.190000000000001</v>
          </cell>
          <cell r="C3402">
            <v>55.13</v>
          </cell>
          <cell r="D3402">
            <v>13.96</v>
          </cell>
          <cell r="E3402">
            <v>6.99</v>
          </cell>
          <cell r="H3402">
            <v>45433</v>
          </cell>
          <cell r="I3402">
            <v>0.63888888888888895</v>
          </cell>
          <cell r="J3402">
            <v>29.378888888888884</v>
          </cell>
        </row>
        <row r="3403">
          <cell r="B3403">
            <v>18.850000000000001</v>
          </cell>
          <cell r="C3403">
            <v>52.62</v>
          </cell>
          <cell r="D3403">
            <v>13.85</v>
          </cell>
          <cell r="E3403">
            <v>7.35</v>
          </cell>
          <cell r="H3403">
            <v>45433</v>
          </cell>
          <cell r="I3403">
            <v>0.6333333333333333</v>
          </cell>
          <cell r="J3403">
            <v>29.496666666666663</v>
          </cell>
        </row>
        <row r="3404">
          <cell r="B3404">
            <v>16.8</v>
          </cell>
          <cell r="C3404">
            <v>45.72</v>
          </cell>
          <cell r="D3404">
            <v>13.63</v>
          </cell>
          <cell r="E3404">
            <v>7.07</v>
          </cell>
          <cell r="H3404">
            <v>45433</v>
          </cell>
          <cell r="I3404">
            <v>0.63444444444444448</v>
          </cell>
          <cell r="J3404">
            <v>29.095555555555556</v>
          </cell>
        </row>
        <row r="3405">
          <cell r="B3405">
            <v>21.11</v>
          </cell>
          <cell r="C3405">
            <v>48.99</v>
          </cell>
          <cell r="D3405">
            <v>13.8</v>
          </cell>
          <cell r="E3405">
            <v>6.85</v>
          </cell>
          <cell r="H3405">
            <v>45433</v>
          </cell>
          <cell r="I3405">
            <v>0.62333333333333341</v>
          </cell>
          <cell r="J3405">
            <v>28.402222222222221</v>
          </cell>
        </row>
        <row r="3406">
          <cell r="B3406">
            <v>26.48</v>
          </cell>
          <cell r="C3406">
            <v>51.97</v>
          </cell>
          <cell r="D3406">
            <v>13.92</v>
          </cell>
          <cell r="E3406">
            <v>6.33</v>
          </cell>
          <cell r="H3406">
            <v>45433</v>
          </cell>
          <cell r="I3406">
            <v>0.63666666666666671</v>
          </cell>
          <cell r="J3406">
            <v>27.559999999999995</v>
          </cell>
        </row>
        <row r="3407">
          <cell r="B3407">
            <v>23.71</v>
          </cell>
          <cell r="C3407">
            <v>50.92</v>
          </cell>
          <cell r="D3407">
            <v>14.09</v>
          </cell>
          <cell r="E3407">
            <v>6.61</v>
          </cell>
          <cell r="H3407">
            <v>45433</v>
          </cell>
          <cell r="I3407">
            <v>0.63555555555555565</v>
          </cell>
          <cell r="J3407">
            <v>26.72111111111111</v>
          </cell>
        </row>
        <row r="3408">
          <cell r="B3408">
            <v>22.79</v>
          </cell>
          <cell r="C3408">
            <v>53.67</v>
          </cell>
          <cell r="D3408">
            <v>13.19</v>
          </cell>
          <cell r="E3408">
            <v>6.45</v>
          </cell>
          <cell r="H3408">
            <v>45433</v>
          </cell>
          <cell r="I3408">
            <v>0.63555555555555554</v>
          </cell>
          <cell r="J3408">
            <v>25.975555555555552</v>
          </cell>
        </row>
        <row r="3409">
          <cell r="B3409">
            <v>21.5</v>
          </cell>
          <cell r="C3409">
            <v>51.11</v>
          </cell>
          <cell r="D3409">
            <v>12.66</v>
          </cell>
          <cell r="E3409">
            <v>6.63</v>
          </cell>
          <cell r="H3409">
            <v>45433</v>
          </cell>
          <cell r="I3409">
            <v>0.63222222222222213</v>
          </cell>
          <cell r="J3409">
            <v>25.298888888888889</v>
          </cell>
        </row>
        <row r="3410">
          <cell r="B3410">
            <v>22.24</v>
          </cell>
          <cell r="C3410">
            <v>54.96</v>
          </cell>
          <cell r="D3410">
            <v>12.52</v>
          </cell>
          <cell r="E3410">
            <v>6.76</v>
          </cell>
          <cell r="H3410">
            <v>45434</v>
          </cell>
          <cell r="I3410">
            <v>0.63</v>
          </cell>
          <cell r="J3410">
            <v>24.606666666666666</v>
          </cell>
        </row>
        <row r="3411">
          <cell r="B3411">
            <v>23.5</v>
          </cell>
          <cell r="C3411">
            <v>55.82</v>
          </cell>
          <cell r="D3411">
            <v>12.39</v>
          </cell>
          <cell r="E3411">
            <v>6.75</v>
          </cell>
          <cell r="H3411">
            <v>45434</v>
          </cell>
          <cell r="I3411">
            <v>0.63555555555555554</v>
          </cell>
          <cell r="J3411">
            <v>23.998888888888892</v>
          </cell>
        </row>
        <row r="3412">
          <cell r="B3412">
            <v>21.52</v>
          </cell>
          <cell r="C3412">
            <v>53.25</v>
          </cell>
          <cell r="D3412">
            <v>12.48</v>
          </cell>
          <cell r="E3412">
            <v>6.41</v>
          </cell>
          <cell r="H3412">
            <v>45434</v>
          </cell>
          <cell r="I3412">
            <v>0.6333333333333333</v>
          </cell>
          <cell r="J3412">
            <v>23.713333333333335</v>
          </cell>
        </row>
        <row r="3413">
          <cell r="B3413">
            <v>19.21</v>
          </cell>
          <cell r="C3413">
            <v>60.8</v>
          </cell>
          <cell r="D3413">
            <v>12.31</v>
          </cell>
          <cell r="E3413">
            <v>6.33</v>
          </cell>
          <cell r="H3413">
            <v>45434</v>
          </cell>
          <cell r="I3413">
            <v>0.61888888888888893</v>
          </cell>
          <cell r="J3413">
            <v>23.441111111111113</v>
          </cell>
        </row>
        <row r="3414">
          <cell r="B3414">
            <v>18.46</v>
          </cell>
          <cell r="C3414">
            <v>59.13</v>
          </cell>
          <cell r="D3414">
            <v>12.31</v>
          </cell>
          <cell r="E3414">
            <v>6.43</v>
          </cell>
          <cell r="H3414">
            <v>45434</v>
          </cell>
          <cell r="I3414">
            <v>0.61333333333333329</v>
          </cell>
          <cell r="J3414">
            <v>23.365555555555559</v>
          </cell>
        </row>
        <row r="3415">
          <cell r="B3415">
            <v>25.66</v>
          </cell>
          <cell r="C3415">
            <v>71.2</v>
          </cell>
          <cell r="D3415">
            <v>12.98</v>
          </cell>
          <cell r="E3415">
            <v>6.76</v>
          </cell>
          <cell r="H3415">
            <v>45434</v>
          </cell>
          <cell r="I3415">
            <v>0.6066666666666668</v>
          </cell>
          <cell r="J3415">
            <v>23.306666666666672</v>
          </cell>
        </row>
        <row r="3416">
          <cell r="B3416">
            <v>30.57</v>
          </cell>
          <cell r="C3416">
            <v>86.18</v>
          </cell>
          <cell r="D3416">
            <v>14.24</v>
          </cell>
          <cell r="E3416">
            <v>6.41</v>
          </cell>
          <cell r="H3416">
            <v>45434</v>
          </cell>
          <cell r="I3416">
            <v>0.61222222222222233</v>
          </cell>
          <cell r="J3416">
            <v>23.064444444444444</v>
          </cell>
        </row>
        <row r="3417">
          <cell r="B3417">
            <v>35.020000000000003</v>
          </cell>
          <cell r="C3417">
            <v>84.93</v>
          </cell>
          <cell r="D3417">
            <v>14.07</v>
          </cell>
          <cell r="E3417">
            <v>6.5</v>
          </cell>
          <cell r="H3417">
            <v>45434</v>
          </cell>
          <cell r="I3417">
            <v>0.62555555555555553</v>
          </cell>
          <cell r="J3417">
            <v>23.017777777777777</v>
          </cell>
        </row>
        <row r="3418">
          <cell r="B3418">
            <v>26.12</v>
          </cell>
          <cell r="C3418">
            <v>73.11</v>
          </cell>
          <cell r="D3418">
            <v>13.12</v>
          </cell>
          <cell r="E3418">
            <v>6.28</v>
          </cell>
          <cell r="H3418">
            <v>45434</v>
          </cell>
          <cell r="I3418">
            <v>0.64777777777777779</v>
          </cell>
          <cell r="J3418">
            <v>23.028888888888886</v>
          </cell>
        </row>
        <row r="3419">
          <cell r="B3419">
            <v>17.54</v>
          </cell>
          <cell r="C3419">
            <v>58.87</v>
          </cell>
          <cell r="D3419">
            <v>13.83</v>
          </cell>
          <cell r="E3419">
            <v>6.73</v>
          </cell>
          <cell r="H3419">
            <v>45434</v>
          </cell>
          <cell r="I3419">
            <v>0.67</v>
          </cell>
          <cell r="J3419">
            <v>23.312222222222221</v>
          </cell>
        </row>
        <row r="3420">
          <cell r="B3420">
            <v>17.059999999999999</v>
          </cell>
          <cell r="C3420">
            <v>57.88</v>
          </cell>
          <cell r="D3420">
            <v>13.57</v>
          </cell>
          <cell r="E3420">
            <v>6.99</v>
          </cell>
          <cell r="H3420">
            <v>45434</v>
          </cell>
          <cell r="I3420">
            <v>0.68222222222222217</v>
          </cell>
          <cell r="J3420">
            <v>23.442222222222224</v>
          </cell>
        </row>
        <row r="3421">
          <cell r="B3421">
            <v>16.54</v>
          </cell>
          <cell r="C3421">
            <v>54.88</v>
          </cell>
          <cell r="D3421">
            <v>13.48</v>
          </cell>
          <cell r="E3421">
            <v>8.02</v>
          </cell>
          <cell r="H3421">
            <v>45434</v>
          </cell>
          <cell r="I3421">
            <v>0.69333333333333336</v>
          </cell>
          <cell r="J3421">
            <v>24.236666666666665</v>
          </cell>
        </row>
        <row r="3422">
          <cell r="B3422">
            <v>18.690000000000001</v>
          </cell>
          <cell r="C3422">
            <v>60.33</v>
          </cell>
          <cell r="D3422">
            <v>13.9</v>
          </cell>
          <cell r="E3422">
            <v>8.26</v>
          </cell>
          <cell r="H3422">
            <v>45434</v>
          </cell>
          <cell r="I3422">
            <v>0.7022222222222223</v>
          </cell>
          <cell r="J3422">
            <v>25.16888888888889</v>
          </cell>
        </row>
        <row r="3423">
          <cell r="B3423">
            <v>17.690000000000001</v>
          </cell>
          <cell r="C3423">
            <v>56.46</v>
          </cell>
          <cell r="D3423">
            <v>13.77</v>
          </cell>
          <cell r="E3423">
            <v>8.15</v>
          </cell>
          <cell r="H3423">
            <v>45434</v>
          </cell>
          <cell r="I3423">
            <v>0.71111111111111114</v>
          </cell>
          <cell r="J3423">
            <v>26.034444444444446</v>
          </cell>
        </row>
        <row r="3424">
          <cell r="B3424">
            <v>17.73</v>
          </cell>
          <cell r="C3424">
            <v>58.4</v>
          </cell>
          <cell r="D3424">
            <v>13.62</v>
          </cell>
          <cell r="E3424">
            <v>8.16</v>
          </cell>
          <cell r="H3424">
            <v>45434</v>
          </cell>
          <cell r="I3424">
            <v>0.7088888888888889</v>
          </cell>
          <cell r="J3424">
            <v>27.293333333333333</v>
          </cell>
        </row>
        <row r="3425">
          <cell r="B3425">
            <v>17.54</v>
          </cell>
          <cell r="C3425">
            <v>54.89</v>
          </cell>
          <cell r="D3425">
            <v>13.67</v>
          </cell>
          <cell r="E3425">
            <v>8.1999999999999993</v>
          </cell>
          <cell r="H3425">
            <v>45434</v>
          </cell>
          <cell r="I3425">
            <v>0.70555555555555549</v>
          </cell>
          <cell r="J3425">
            <v>28.146666666666665</v>
          </cell>
        </row>
        <row r="3426">
          <cell r="B3426">
            <v>17.82</v>
          </cell>
          <cell r="C3426">
            <v>48.56</v>
          </cell>
          <cell r="D3426">
            <v>15.07</v>
          </cell>
          <cell r="E3426">
            <v>7.98</v>
          </cell>
          <cell r="H3426">
            <v>45434</v>
          </cell>
          <cell r="I3426">
            <v>0.70666666666666655</v>
          </cell>
          <cell r="J3426">
            <v>28.67</v>
          </cell>
        </row>
        <row r="3427">
          <cell r="B3427">
            <v>23.06</v>
          </cell>
          <cell r="C3427">
            <v>61.03</v>
          </cell>
          <cell r="D3427">
            <v>14.46</v>
          </cell>
          <cell r="E3427">
            <v>8.43</v>
          </cell>
          <cell r="H3427">
            <v>45434</v>
          </cell>
          <cell r="I3427">
            <v>0.70333333333333337</v>
          </cell>
          <cell r="J3427">
            <v>29.118888888888893</v>
          </cell>
        </row>
        <row r="3428">
          <cell r="B3428">
            <v>21.2</v>
          </cell>
          <cell r="C3428">
            <v>61.44</v>
          </cell>
          <cell r="D3428">
            <v>15.16</v>
          </cell>
          <cell r="E3428">
            <v>8.5</v>
          </cell>
          <cell r="H3428">
            <v>45434</v>
          </cell>
          <cell r="I3428">
            <v>0.70444444444444465</v>
          </cell>
          <cell r="J3428">
            <v>29.036666666666665</v>
          </cell>
        </row>
        <row r="3429">
          <cell r="B3429">
            <v>25.27</v>
          </cell>
          <cell r="C3429">
            <v>69.05</v>
          </cell>
          <cell r="D3429">
            <v>15.61</v>
          </cell>
          <cell r="E3429">
            <v>8.83</v>
          </cell>
          <cell r="H3429">
            <v>45434</v>
          </cell>
          <cell r="I3429">
            <v>0.72888888888888881</v>
          </cell>
          <cell r="J3429">
            <v>29.178888888888892</v>
          </cell>
        </row>
        <row r="3430">
          <cell r="B3430">
            <v>26.6</v>
          </cell>
          <cell r="C3430">
            <v>70.34</v>
          </cell>
          <cell r="D3430">
            <v>15.7</v>
          </cell>
          <cell r="E3430">
            <v>8.49</v>
          </cell>
          <cell r="H3430">
            <v>45434</v>
          </cell>
          <cell r="I3430">
            <v>0.73888888888888893</v>
          </cell>
          <cell r="J3430">
            <v>28.893333333333334</v>
          </cell>
        </row>
        <row r="3431">
          <cell r="B3431">
            <v>20.3</v>
          </cell>
          <cell r="C3431">
            <v>54.76</v>
          </cell>
          <cell r="D3431">
            <v>15.18</v>
          </cell>
          <cell r="E3431">
            <v>8.18</v>
          </cell>
          <cell r="H3431">
            <v>45434</v>
          </cell>
          <cell r="I3431">
            <v>0.75111111111111106</v>
          </cell>
          <cell r="J3431">
            <v>28.294444444444448</v>
          </cell>
        </row>
        <row r="3432">
          <cell r="B3432">
            <v>23.17</v>
          </cell>
          <cell r="C3432">
            <v>58.85</v>
          </cell>
          <cell r="D3432">
            <v>13.88</v>
          </cell>
          <cell r="E3432">
            <v>7.84</v>
          </cell>
          <cell r="H3432">
            <v>45434</v>
          </cell>
          <cell r="I3432">
            <v>0.75222222222222235</v>
          </cell>
          <cell r="J3432">
            <v>27.937777777777779</v>
          </cell>
        </row>
        <row r="3433">
          <cell r="B3433">
            <v>21.11</v>
          </cell>
          <cell r="C3433">
            <v>50.61</v>
          </cell>
          <cell r="D3433">
            <v>12.54</v>
          </cell>
          <cell r="E3433">
            <v>7.82</v>
          </cell>
          <cell r="H3433">
            <v>45434</v>
          </cell>
          <cell r="I3433">
            <v>0.74555555555555564</v>
          </cell>
          <cell r="J3433">
            <v>27.293333333333333</v>
          </cell>
        </row>
        <row r="3434">
          <cell r="B3434">
            <v>17.34</v>
          </cell>
          <cell r="C3434">
            <v>40.119999999999997</v>
          </cell>
          <cell r="D3434">
            <v>12.35</v>
          </cell>
          <cell r="E3434">
            <v>7.44</v>
          </cell>
          <cell r="H3434">
            <v>45435</v>
          </cell>
          <cell r="I3434">
            <v>0.72222222222222232</v>
          </cell>
          <cell r="J3434">
            <v>26.924444444444443</v>
          </cell>
        </row>
        <row r="3435">
          <cell r="B3435">
            <v>15.46</v>
          </cell>
          <cell r="C3435">
            <v>38.31</v>
          </cell>
          <cell r="D3435">
            <v>12.67</v>
          </cell>
          <cell r="E3435">
            <v>7.64</v>
          </cell>
          <cell r="H3435">
            <v>45435</v>
          </cell>
          <cell r="I3435">
            <v>0.69333333333333336</v>
          </cell>
          <cell r="J3435">
            <v>26.669999999999998</v>
          </cell>
        </row>
        <row r="3436">
          <cell r="B3436">
            <v>15.88</v>
          </cell>
          <cell r="C3436">
            <v>35.78</v>
          </cell>
          <cell r="D3436">
            <v>12.36</v>
          </cell>
          <cell r="E3436">
            <v>7.91</v>
          </cell>
          <cell r="H3436">
            <v>45435</v>
          </cell>
          <cell r="I3436">
            <v>0.66222222222222216</v>
          </cell>
          <cell r="J3436">
            <v>26.407777777777774</v>
          </cell>
        </row>
        <row r="3437">
          <cell r="B3437">
            <v>17.16</v>
          </cell>
          <cell r="C3437">
            <v>38.64</v>
          </cell>
          <cell r="D3437">
            <v>11.94</v>
          </cell>
          <cell r="E3437">
            <v>7.94</v>
          </cell>
          <cell r="H3437">
            <v>45435</v>
          </cell>
          <cell r="I3437">
            <v>0.62333333333333329</v>
          </cell>
          <cell r="J3437">
            <v>26.262222222222217</v>
          </cell>
        </row>
        <row r="3438">
          <cell r="B3438">
            <v>15.97</v>
          </cell>
          <cell r="C3438">
            <v>39.4</v>
          </cell>
          <cell r="D3438">
            <v>12.3</v>
          </cell>
          <cell r="E3438">
            <v>8.1</v>
          </cell>
          <cell r="H3438">
            <v>45435</v>
          </cell>
          <cell r="I3438">
            <v>0.56888888888888878</v>
          </cell>
          <cell r="J3438">
            <v>26.05222222222222</v>
          </cell>
        </row>
        <row r="3439">
          <cell r="B3439">
            <v>19.38</v>
          </cell>
          <cell r="C3439">
            <v>46.44</v>
          </cell>
          <cell r="D3439">
            <v>12.92</v>
          </cell>
          <cell r="E3439">
            <v>7.84</v>
          </cell>
          <cell r="H3439">
            <v>45435</v>
          </cell>
          <cell r="I3439">
            <v>0.54111111111111099</v>
          </cell>
          <cell r="J3439">
            <v>25.623333333333328</v>
          </cell>
        </row>
        <row r="3440">
          <cell r="B3440">
            <v>24.3</v>
          </cell>
          <cell r="C3440">
            <v>54.1</v>
          </cell>
          <cell r="D3440">
            <v>14.03</v>
          </cell>
          <cell r="E3440">
            <v>8</v>
          </cell>
          <cell r="H3440">
            <v>45435</v>
          </cell>
          <cell r="I3440">
            <v>0.52</v>
          </cell>
          <cell r="J3440">
            <v>25.282222222222217</v>
          </cell>
        </row>
        <row r="3441">
          <cell r="B3441">
            <v>26.95</v>
          </cell>
          <cell r="C3441">
            <v>62.58</v>
          </cell>
          <cell r="D3441">
            <v>14.19</v>
          </cell>
          <cell r="E3441">
            <v>7.92</v>
          </cell>
          <cell r="H3441">
            <v>45435</v>
          </cell>
          <cell r="I3441">
            <v>0.51555555555555566</v>
          </cell>
          <cell r="J3441">
            <v>25.018888888888885</v>
          </cell>
        </row>
        <row r="3442">
          <cell r="B3442">
            <v>26.64</v>
          </cell>
          <cell r="C3442">
            <v>61.1</v>
          </cell>
          <cell r="D3442">
            <v>13.71</v>
          </cell>
          <cell r="E3442">
            <v>7.56</v>
          </cell>
          <cell r="H3442">
            <v>45435</v>
          </cell>
          <cell r="I3442">
            <v>0.51555555555555566</v>
          </cell>
          <cell r="J3442">
            <v>24.83</v>
          </cell>
        </row>
        <row r="3443">
          <cell r="B3443">
            <v>24.91</v>
          </cell>
          <cell r="C3443">
            <v>71.78</v>
          </cell>
          <cell r="D3443">
            <v>14.3</v>
          </cell>
          <cell r="E3443">
            <v>7.95</v>
          </cell>
          <cell r="H3443">
            <v>45435</v>
          </cell>
          <cell r="I3443">
            <v>0.53222222222222226</v>
          </cell>
          <cell r="J3443">
            <v>25.31</v>
          </cell>
        </row>
        <row r="3444">
          <cell r="B3444">
            <v>24.44</v>
          </cell>
          <cell r="C3444">
            <v>66.98</v>
          </cell>
          <cell r="D3444">
            <v>14.76</v>
          </cell>
          <cell r="E3444">
            <v>8.25</v>
          </cell>
          <cell r="H3444">
            <v>45435</v>
          </cell>
          <cell r="I3444">
            <v>0.54888888888888898</v>
          </cell>
          <cell r="J3444">
            <v>25.955555555555556</v>
          </cell>
        </row>
        <row r="3445">
          <cell r="B3445">
            <v>22.26</v>
          </cell>
          <cell r="C3445">
            <v>62.64</v>
          </cell>
          <cell r="D3445">
            <v>14.14</v>
          </cell>
          <cell r="E3445">
            <v>8.34</v>
          </cell>
          <cell r="H3445">
            <v>45435</v>
          </cell>
          <cell r="I3445">
            <v>0.56333333333333324</v>
          </cell>
          <cell r="J3445">
            <v>26.93</v>
          </cell>
        </row>
        <row r="3446">
          <cell r="B3446">
            <v>16.829999999999998</v>
          </cell>
          <cell r="C3446">
            <v>54.2</v>
          </cell>
          <cell r="D3446">
            <v>14.21</v>
          </cell>
          <cell r="E3446">
            <v>7.76</v>
          </cell>
          <cell r="H3446">
            <v>45435</v>
          </cell>
          <cell r="I3446">
            <v>0.57444444444444442</v>
          </cell>
          <cell r="J3446">
            <v>28.413333333333334</v>
          </cell>
        </row>
        <row r="3447">
          <cell r="B3447">
            <v>15.28</v>
          </cell>
          <cell r="C3447">
            <v>46.23</v>
          </cell>
          <cell r="D3447">
            <v>13.94</v>
          </cell>
          <cell r="E3447">
            <v>8.25</v>
          </cell>
          <cell r="H3447">
            <v>45435</v>
          </cell>
          <cell r="I3447">
            <v>0.57999999999999985</v>
          </cell>
          <cell r="J3447">
            <v>29.735555555555557</v>
          </cell>
        </row>
        <row r="3448">
          <cell r="B3448">
            <v>17.5</v>
          </cell>
          <cell r="C3448">
            <v>56.21</v>
          </cell>
          <cell r="D3448">
            <v>13.91</v>
          </cell>
          <cell r="E3448">
            <v>8.15</v>
          </cell>
          <cell r="H3448">
            <v>45435</v>
          </cell>
          <cell r="I3448">
            <v>0.59222222222222221</v>
          </cell>
          <cell r="J3448">
            <v>31.435555555555553</v>
          </cell>
        </row>
        <row r="3449">
          <cell r="B3449">
            <v>16.82</v>
          </cell>
          <cell r="C3449">
            <v>50.32</v>
          </cell>
          <cell r="D3449">
            <v>13.63</v>
          </cell>
          <cell r="E3449">
            <v>8.31</v>
          </cell>
          <cell r="H3449">
            <v>45435</v>
          </cell>
          <cell r="I3449">
            <v>0.59444444444444444</v>
          </cell>
          <cell r="J3449">
            <v>33.286666666666662</v>
          </cell>
        </row>
        <row r="3450">
          <cell r="B3450">
            <v>16.03</v>
          </cell>
          <cell r="C3450">
            <v>55.46</v>
          </cell>
          <cell r="D3450">
            <v>13.61</v>
          </cell>
          <cell r="E3450">
            <v>8.43</v>
          </cell>
          <cell r="H3450">
            <v>45435</v>
          </cell>
          <cell r="I3450">
            <v>0.59555555555555562</v>
          </cell>
          <cell r="J3450">
            <v>34.276666666666671</v>
          </cell>
        </row>
        <row r="3451">
          <cell r="B3451">
            <v>19.3</v>
          </cell>
          <cell r="C3451">
            <v>54.03</v>
          </cell>
          <cell r="D3451">
            <v>14.1</v>
          </cell>
          <cell r="E3451">
            <v>8.3800000000000008</v>
          </cell>
          <cell r="H3451">
            <v>45435</v>
          </cell>
          <cell r="I3451">
            <v>0.60333333333333339</v>
          </cell>
          <cell r="J3451">
            <v>35.00888888888889</v>
          </cell>
        </row>
        <row r="3452">
          <cell r="B3452">
            <v>19.41</v>
          </cell>
          <cell r="C3452">
            <v>58.6</v>
          </cell>
          <cell r="D3452">
            <v>15.3</v>
          </cell>
          <cell r="E3452">
            <v>8.7899999999999991</v>
          </cell>
          <cell r="H3452">
            <v>45435</v>
          </cell>
          <cell r="I3452">
            <v>0.6133333333333334</v>
          </cell>
          <cell r="J3452">
            <v>34.94444444444445</v>
          </cell>
        </row>
        <row r="3453">
          <cell r="B3453">
            <v>22.58</v>
          </cell>
          <cell r="C3453">
            <v>65.569999999999993</v>
          </cell>
          <cell r="D3453">
            <v>15.62</v>
          </cell>
          <cell r="E3453">
            <v>8.86</v>
          </cell>
          <cell r="H3453">
            <v>45435</v>
          </cell>
          <cell r="I3453">
            <v>0.6333333333333333</v>
          </cell>
          <cell r="J3453">
            <v>34.518888888888888</v>
          </cell>
        </row>
        <row r="3454">
          <cell r="B3454">
            <v>27.04</v>
          </cell>
          <cell r="C3454">
            <v>71.27</v>
          </cell>
          <cell r="D3454">
            <v>14.82</v>
          </cell>
          <cell r="E3454">
            <v>8.65</v>
          </cell>
          <cell r="H3454">
            <v>45435</v>
          </cell>
          <cell r="I3454">
            <v>0.64888888888888885</v>
          </cell>
          <cell r="J3454">
            <v>33.573333333333338</v>
          </cell>
        </row>
        <row r="3455">
          <cell r="B3455">
            <v>26.69</v>
          </cell>
          <cell r="C3455">
            <v>60.98</v>
          </cell>
          <cell r="D3455">
            <v>13.76</v>
          </cell>
          <cell r="E3455">
            <v>8.48</v>
          </cell>
          <cell r="H3455">
            <v>45435</v>
          </cell>
          <cell r="I3455">
            <v>0.65555555555555556</v>
          </cell>
          <cell r="J3455">
            <v>32.477777777777781</v>
          </cell>
        </row>
        <row r="3456">
          <cell r="B3456">
            <v>27.02</v>
          </cell>
          <cell r="C3456">
            <v>58.12</v>
          </cell>
          <cell r="D3456">
            <v>14.04</v>
          </cell>
          <cell r="E3456">
            <v>7.83</v>
          </cell>
          <cell r="H3456">
            <v>45435</v>
          </cell>
          <cell r="I3456">
            <v>0.66111111111111109</v>
          </cell>
          <cell r="J3456">
            <v>31.433333333333337</v>
          </cell>
        </row>
        <row r="3457">
          <cell r="B3457">
            <v>24.71</v>
          </cell>
          <cell r="C3457">
            <v>52.94</v>
          </cell>
          <cell r="D3457">
            <v>13.96</v>
          </cell>
          <cell r="E3457">
            <v>7.88</v>
          </cell>
          <cell r="H3457">
            <v>45435</v>
          </cell>
          <cell r="I3457">
            <v>0.65</v>
          </cell>
          <cell r="J3457">
            <v>30.098888888888894</v>
          </cell>
        </row>
        <row r="3458">
          <cell r="B3458">
            <v>24.48</v>
          </cell>
          <cell r="C3458">
            <v>53.88</v>
          </cell>
          <cell r="D3458">
            <v>13.16</v>
          </cell>
          <cell r="E3458">
            <v>7.36</v>
          </cell>
          <cell r="H3458">
            <v>45436</v>
          </cell>
          <cell r="I3458">
            <v>0.64444444444444438</v>
          </cell>
          <cell r="J3458">
            <v>28.623333333333335</v>
          </cell>
        </row>
        <row r="3459">
          <cell r="B3459">
            <v>23.82</v>
          </cell>
          <cell r="C3459">
            <v>51.7</v>
          </cell>
          <cell r="D3459">
            <v>12.61</v>
          </cell>
          <cell r="E3459">
            <v>7.64</v>
          </cell>
          <cell r="H3459">
            <v>45436</v>
          </cell>
          <cell r="I3459">
            <v>0.63444444444444459</v>
          </cell>
          <cell r="J3459">
            <v>27.673333333333336</v>
          </cell>
        </row>
        <row r="3460">
          <cell r="B3460">
            <v>23.97</v>
          </cell>
          <cell r="C3460">
            <v>51.76</v>
          </cell>
          <cell r="D3460">
            <v>12.68</v>
          </cell>
          <cell r="E3460">
            <v>7.56</v>
          </cell>
          <cell r="H3460">
            <v>45436</v>
          </cell>
          <cell r="I3460">
            <v>0.62111111111111117</v>
          </cell>
          <cell r="J3460">
            <v>26.944444444444443</v>
          </cell>
        </row>
        <row r="3461">
          <cell r="B3461">
            <v>26.57</v>
          </cell>
          <cell r="C3461">
            <v>58.41</v>
          </cell>
          <cell r="D3461">
            <v>11.8</v>
          </cell>
          <cell r="E3461">
            <v>8.33</v>
          </cell>
          <cell r="H3461">
            <v>45436</v>
          </cell>
          <cell r="I3461">
            <v>0.60111111111111115</v>
          </cell>
          <cell r="J3461">
            <v>26.581111111111113</v>
          </cell>
        </row>
        <row r="3462">
          <cell r="B3462">
            <v>25.15</v>
          </cell>
          <cell r="C3462">
            <v>57.77</v>
          </cell>
          <cell r="D3462">
            <v>11.98</v>
          </cell>
          <cell r="E3462">
            <v>10.11</v>
          </cell>
          <cell r="H3462">
            <v>45436</v>
          </cell>
          <cell r="I3462">
            <v>0.57333333333333325</v>
          </cell>
          <cell r="J3462">
            <v>26.346666666666668</v>
          </cell>
        </row>
        <row r="3463">
          <cell r="B3463">
            <v>22.27</v>
          </cell>
          <cell r="C3463">
            <v>53.24</v>
          </cell>
          <cell r="D3463">
            <v>11.74</v>
          </cell>
          <cell r="E3463">
            <v>9.93</v>
          </cell>
          <cell r="H3463">
            <v>45436</v>
          </cell>
          <cell r="I3463">
            <v>0.55333333333333334</v>
          </cell>
          <cell r="J3463">
            <v>26.15</v>
          </cell>
        </row>
        <row r="3464">
          <cell r="B3464">
            <v>21.49</v>
          </cell>
          <cell r="C3464">
            <v>50.66</v>
          </cell>
          <cell r="D3464">
            <v>12.29</v>
          </cell>
          <cell r="E3464">
            <v>9.58</v>
          </cell>
          <cell r="H3464">
            <v>45436</v>
          </cell>
          <cell r="I3464">
            <v>0.55222222222222239</v>
          </cell>
          <cell r="J3464">
            <v>25.790000000000003</v>
          </cell>
        </row>
        <row r="3465">
          <cell r="B3465">
            <v>19.38</v>
          </cell>
          <cell r="C3465">
            <v>49.07</v>
          </cell>
          <cell r="D3465">
            <v>12.77</v>
          </cell>
          <cell r="E3465">
            <v>9.31</v>
          </cell>
          <cell r="H3465">
            <v>45436</v>
          </cell>
          <cell r="I3465">
            <v>0.56000000000000005</v>
          </cell>
          <cell r="J3465">
            <v>25.751111111111111</v>
          </cell>
        </row>
        <row r="3466">
          <cell r="B3466">
            <v>21.39</v>
          </cell>
          <cell r="C3466">
            <v>55.53</v>
          </cell>
          <cell r="D3466">
            <v>12.94</v>
          </cell>
          <cell r="E3466">
            <v>9.5500000000000007</v>
          </cell>
          <cell r="H3466">
            <v>45436</v>
          </cell>
          <cell r="I3466">
            <v>0.57222222222222219</v>
          </cell>
          <cell r="J3466">
            <v>25.797777777777775</v>
          </cell>
        </row>
        <row r="3467">
          <cell r="B3467">
            <v>22.22</v>
          </cell>
          <cell r="C3467">
            <v>58.23</v>
          </cell>
          <cell r="D3467">
            <v>12.82</v>
          </cell>
          <cell r="E3467">
            <v>9.7100000000000009</v>
          </cell>
          <cell r="H3467">
            <v>45436</v>
          </cell>
          <cell r="I3467">
            <v>0.58444444444444443</v>
          </cell>
          <cell r="J3467">
            <v>26.671111111111109</v>
          </cell>
        </row>
        <row r="3468">
          <cell r="B3468">
            <v>22.86</v>
          </cell>
          <cell r="C3468">
            <v>57.45</v>
          </cell>
          <cell r="D3468">
            <v>13.57</v>
          </cell>
          <cell r="E3468">
            <v>9.39</v>
          </cell>
          <cell r="H3468">
            <v>45436</v>
          </cell>
          <cell r="I3468">
            <v>0.59777777777777785</v>
          </cell>
          <cell r="J3468">
            <v>27.94222222222222</v>
          </cell>
        </row>
        <row r="3469">
          <cell r="B3469">
            <v>22.05</v>
          </cell>
          <cell r="C3469">
            <v>59.55</v>
          </cell>
          <cell r="D3469">
            <v>15.11</v>
          </cell>
          <cell r="E3469">
            <v>10.14</v>
          </cell>
          <cell r="H3469">
            <v>45436</v>
          </cell>
          <cell r="I3469">
            <v>0.6133333333333334</v>
          </cell>
          <cell r="J3469">
            <v>29.874444444444446</v>
          </cell>
        </row>
        <row r="3470">
          <cell r="B3470">
            <v>25.53</v>
          </cell>
          <cell r="C3470">
            <v>71.73</v>
          </cell>
          <cell r="D3470">
            <v>14.58</v>
          </cell>
          <cell r="E3470">
            <v>10.37</v>
          </cell>
          <cell r="H3470">
            <v>45436</v>
          </cell>
          <cell r="I3470">
            <v>0.63333333333333341</v>
          </cell>
          <cell r="J3470">
            <v>32.402222222222221</v>
          </cell>
        </row>
        <row r="3471">
          <cell r="B3471">
            <v>30.4</v>
          </cell>
          <cell r="C3471">
            <v>82.47</v>
          </cell>
          <cell r="D3471">
            <v>13.94</v>
          </cell>
          <cell r="E3471">
            <v>10.89</v>
          </cell>
          <cell r="H3471">
            <v>45436</v>
          </cell>
          <cell r="I3471">
            <v>0.64666666666666672</v>
          </cell>
          <cell r="J3471">
            <v>35.603333333333332</v>
          </cell>
        </row>
        <row r="3472">
          <cell r="B3472">
            <v>31.5</v>
          </cell>
          <cell r="C3472">
            <v>87.44</v>
          </cell>
          <cell r="D3472">
            <v>13.51</v>
          </cell>
          <cell r="E3472">
            <v>10.88</v>
          </cell>
          <cell r="H3472">
            <v>45436</v>
          </cell>
          <cell r="I3472">
            <v>0.65555555555555545</v>
          </cell>
          <cell r="J3472">
            <v>38.857777777777784</v>
          </cell>
        </row>
        <row r="3473">
          <cell r="B3473">
            <v>29.06</v>
          </cell>
          <cell r="C3473">
            <v>76.459999999999994</v>
          </cell>
          <cell r="D3473">
            <v>14.12</v>
          </cell>
          <cell r="E3473">
            <v>10.83</v>
          </cell>
          <cell r="H3473">
            <v>45436</v>
          </cell>
          <cell r="I3473">
            <v>0.65444444444444427</v>
          </cell>
          <cell r="J3473">
            <v>41.79</v>
          </cell>
        </row>
        <row r="3474">
          <cell r="B3474">
            <v>29.23</v>
          </cell>
          <cell r="C3474">
            <v>72.66</v>
          </cell>
          <cell r="D3474">
            <v>14.02</v>
          </cell>
          <cell r="E3474">
            <v>11.43</v>
          </cell>
          <cell r="H3474">
            <v>45436</v>
          </cell>
          <cell r="I3474">
            <v>0.65222222222222215</v>
          </cell>
          <cell r="J3474">
            <v>44.206666666666671</v>
          </cell>
        </row>
        <row r="3475">
          <cell r="B3475">
            <v>30.45</v>
          </cell>
          <cell r="C3475">
            <v>82.76</v>
          </cell>
          <cell r="D3475">
            <v>12.83</v>
          </cell>
          <cell r="E3475">
            <v>10.96</v>
          </cell>
          <cell r="H3475">
            <v>45436</v>
          </cell>
          <cell r="I3475">
            <v>0.64666666666666672</v>
          </cell>
          <cell r="J3475">
            <v>45.671111111111109</v>
          </cell>
        </row>
        <row r="3476">
          <cell r="B3476">
            <v>31.62</v>
          </cell>
          <cell r="C3476">
            <v>94.03</v>
          </cell>
          <cell r="D3476">
            <v>13.28</v>
          </cell>
          <cell r="E3476">
            <v>10.53</v>
          </cell>
          <cell r="H3476">
            <v>45436</v>
          </cell>
          <cell r="I3476">
            <v>0.64444444444444438</v>
          </cell>
          <cell r="J3476">
            <v>46.014444444444443</v>
          </cell>
        </row>
        <row r="3477">
          <cell r="B3477">
            <v>29.45</v>
          </cell>
          <cell r="C3477">
            <v>71.25</v>
          </cell>
          <cell r="D3477">
            <v>14.87</v>
          </cell>
          <cell r="E3477">
            <v>10.54</v>
          </cell>
          <cell r="H3477">
            <v>45436</v>
          </cell>
          <cell r="I3477">
            <v>0.65777777777777779</v>
          </cell>
          <cell r="J3477">
            <v>45.085555555555544</v>
          </cell>
        </row>
        <row r="3478">
          <cell r="B3478">
            <v>33.1</v>
          </cell>
          <cell r="C3478">
            <v>70.97</v>
          </cell>
          <cell r="D3478">
            <v>16.36</v>
          </cell>
          <cell r="E3478">
            <v>10.98</v>
          </cell>
          <cell r="H3478">
            <v>45436</v>
          </cell>
          <cell r="I3478">
            <v>0.68</v>
          </cell>
          <cell r="J3478">
            <v>43.227777777777774</v>
          </cell>
        </row>
        <row r="3479">
          <cell r="B3479">
            <v>43.12</v>
          </cell>
          <cell r="C3479">
            <v>84.5</v>
          </cell>
          <cell r="D3479">
            <v>14.23</v>
          </cell>
          <cell r="E3479">
            <v>10.75</v>
          </cell>
          <cell r="H3479">
            <v>45436</v>
          </cell>
          <cell r="I3479">
            <v>0.67222222222222228</v>
          </cell>
          <cell r="J3479">
            <v>41.25</v>
          </cell>
        </row>
        <row r="3480">
          <cell r="B3480">
            <v>25.48</v>
          </cell>
          <cell r="C3480">
            <v>62.84</v>
          </cell>
          <cell r="D3480">
            <v>12.62</v>
          </cell>
          <cell r="E3480">
            <v>10.1</v>
          </cell>
          <cell r="H3480">
            <v>45436</v>
          </cell>
          <cell r="I3480">
            <v>0.66111111111111109</v>
          </cell>
          <cell r="J3480">
            <v>39.252222222222223</v>
          </cell>
        </row>
        <row r="3481">
          <cell r="B3481">
            <v>25.1</v>
          </cell>
          <cell r="C3481">
            <v>68.55</v>
          </cell>
          <cell r="D3481">
            <v>12.68</v>
          </cell>
          <cell r="E3481">
            <v>9.9</v>
          </cell>
          <cell r="H3481">
            <v>45436</v>
          </cell>
          <cell r="I3481">
            <v>0.64888888888888896</v>
          </cell>
          <cell r="J3481">
            <v>37.262222222222221</v>
          </cell>
        </row>
        <row r="3482">
          <cell r="B3482">
            <v>21.2</v>
          </cell>
          <cell r="C3482">
            <v>55.26</v>
          </cell>
          <cell r="D3482">
            <v>12.21</v>
          </cell>
          <cell r="E3482">
            <v>10.199999999999999</v>
          </cell>
          <cell r="H3482">
            <v>45437</v>
          </cell>
          <cell r="I3482">
            <v>0.63888888888888895</v>
          </cell>
          <cell r="J3482">
            <v>35.763333333333328</v>
          </cell>
        </row>
        <row r="3483">
          <cell r="B3483">
            <v>18.86</v>
          </cell>
          <cell r="C3483">
            <v>48.41</v>
          </cell>
          <cell r="D3483">
            <v>12.19</v>
          </cell>
          <cell r="E3483">
            <v>8.26</v>
          </cell>
          <cell r="H3483">
            <v>45437</v>
          </cell>
          <cell r="I3483">
            <v>0.62888888888888894</v>
          </cell>
          <cell r="J3483">
            <v>34.824444444444438</v>
          </cell>
        </row>
        <row r="3484">
          <cell r="B3484">
            <v>16.04</v>
          </cell>
          <cell r="C3484">
            <v>43.44</v>
          </cell>
          <cell r="D3484">
            <v>11.72</v>
          </cell>
          <cell r="E3484">
            <v>7.8</v>
          </cell>
          <cell r="H3484">
            <v>45437</v>
          </cell>
          <cell r="I3484">
            <v>0.61777777777777776</v>
          </cell>
          <cell r="J3484">
            <v>34.634444444444441</v>
          </cell>
        </row>
        <row r="3485">
          <cell r="B3485">
            <v>18.05</v>
          </cell>
          <cell r="C3485">
            <v>43.76</v>
          </cell>
          <cell r="D3485">
            <v>12.04</v>
          </cell>
          <cell r="E3485">
            <v>8.08</v>
          </cell>
          <cell r="H3485">
            <v>45437</v>
          </cell>
          <cell r="I3485">
            <v>0.60555555555555562</v>
          </cell>
          <cell r="J3485">
            <v>34.648888888888891</v>
          </cell>
        </row>
        <row r="3486">
          <cell r="B3486">
            <v>17.420000000000002</v>
          </cell>
          <cell r="C3486">
            <v>42.69</v>
          </cell>
          <cell r="D3486">
            <v>12.13</v>
          </cell>
          <cell r="E3486">
            <v>7.95</v>
          </cell>
          <cell r="H3486">
            <v>45437</v>
          </cell>
          <cell r="I3486">
            <v>0.5788888888888889</v>
          </cell>
          <cell r="J3486">
            <v>35.442222222222227</v>
          </cell>
        </row>
        <row r="3487">
          <cell r="B3487">
            <v>18.7</v>
          </cell>
          <cell r="C3487">
            <v>46.27</v>
          </cell>
          <cell r="D3487">
            <v>11.8</v>
          </cell>
          <cell r="E3487">
            <v>7.82</v>
          </cell>
          <cell r="H3487">
            <v>45437</v>
          </cell>
          <cell r="I3487">
            <v>0.54333333333333345</v>
          </cell>
          <cell r="J3487">
            <v>36.359999999999992</v>
          </cell>
        </row>
        <row r="3488">
          <cell r="B3488">
            <v>18.190000000000001</v>
          </cell>
          <cell r="C3488">
            <v>48.22</v>
          </cell>
          <cell r="D3488">
            <v>12.27</v>
          </cell>
          <cell r="E3488">
            <v>7.59</v>
          </cell>
          <cell r="H3488">
            <v>45437</v>
          </cell>
          <cell r="I3488">
            <v>0.5344444444444445</v>
          </cell>
          <cell r="J3488">
            <v>36.756666666666668</v>
          </cell>
        </row>
        <row r="3489">
          <cell r="B3489">
            <v>17.8</v>
          </cell>
          <cell r="C3489">
            <v>49.59</v>
          </cell>
          <cell r="D3489">
            <v>12.33</v>
          </cell>
          <cell r="E3489">
            <v>7.15</v>
          </cell>
          <cell r="H3489">
            <v>45437</v>
          </cell>
          <cell r="I3489">
            <v>0.53222222222222226</v>
          </cell>
          <cell r="J3489">
            <v>36.693333333333335</v>
          </cell>
        </row>
        <row r="3490">
          <cell r="B3490">
            <v>19.329999999999998</v>
          </cell>
          <cell r="C3490">
            <v>53.49</v>
          </cell>
          <cell r="D3490">
            <v>12.63</v>
          </cell>
          <cell r="E3490">
            <v>7.65</v>
          </cell>
          <cell r="H3490">
            <v>45437</v>
          </cell>
          <cell r="I3490">
            <v>0.5377777777777778</v>
          </cell>
          <cell r="J3490">
            <v>36.696666666666665</v>
          </cell>
        </row>
        <row r="3491">
          <cell r="B3491">
            <v>16.98</v>
          </cell>
          <cell r="C3491">
            <v>50.55</v>
          </cell>
          <cell r="D3491">
            <v>12.3</v>
          </cell>
          <cell r="E3491">
            <v>8.0500000000000007</v>
          </cell>
          <cell r="H3491">
            <v>45437</v>
          </cell>
          <cell r="I3491">
            <v>0.5477777777777777</v>
          </cell>
          <cell r="J3491">
            <v>37.200000000000003</v>
          </cell>
        </row>
        <row r="3492">
          <cell r="B3492">
            <v>17.38</v>
          </cell>
          <cell r="C3492">
            <v>54.77</v>
          </cell>
          <cell r="D3492">
            <v>12.7</v>
          </cell>
          <cell r="E3492">
            <v>7.76</v>
          </cell>
          <cell r="H3492">
            <v>45437</v>
          </cell>
          <cell r="I3492">
            <v>0.55555555555555547</v>
          </cell>
          <cell r="J3492">
            <v>38.075555555555553</v>
          </cell>
        </row>
        <row r="3493">
          <cell r="B3493">
            <v>18.89</v>
          </cell>
          <cell r="C3493">
            <v>57.79</v>
          </cell>
          <cell r="D3493">
            <v>13.67</v>
          </cell>
          <cell r="E3493">
            <v>8.39</v>
          </cell>
          <cell r="H3493">
            <v>45437</v>
          </cell>
          <cell r="I3493">
            <v>0.56555555555555559</v>
          </cell>
          <cell r="J3493">
            <v>39.010000000000005</v>
          </cell>
        </row>
        <row r="3494">
          <cell r="B3494">
            <v>19.579999999999998</v>
          </cell>
          <cell r="C3494">
            <v>57.82</v>
          </cell>
          <cell r="D3494">
            <v>13.46</v>
          </cell>
          <cell r="E3494">
            <v>8.36</v>
          </cell>
          <cell r="H3494">
            <v>45437</v>
          </cell>
          <cell r="I3494">
            <v>0.5722222222222223</v>
          </cell>
          <cell r="J3494">
            <v>40.193333333333335</v>
          </cell>
        </row>
        <row r="3495">
          <cell r="B3495">
            <v>20.36</v>
          </cell>
          <cell r="C3495">
            <v>67.849999999999994</v>
          </cell>
          <cell r="D3495">
            <v>12.81</v>
          </cell>
          <cell r="E3495">
            <v>8.7799999999999994</v>
          </cell>
          <cell r="H3495">
            <v>45437</v>
          </cell>
          <cell r="I3495">
            <v>0.57999999999999996</v>
          </cell>
          <cell r="J3495">
            <v>41.058888888888887</v>
          </cell>
        </row>
        <row r="3496">
          <cell r="B3496">
            <v>21.93</v>
          </cell>
          <cell r="C3496">
            <v>63.44</v>
          </cell>
          <cell r="D3496">
            <v>12.35</v>
          </cell>
          <cell r="E3496">
            <v>8.2100000000000009</v>
          </cell>
          <cell r="H3496">
            <v>45437</v>
          </cell>
          <cell r="I3496">
            <v>0.58666666666666667</v>
          </cell>
          <cell r="J3496">
            <v>41.153333333333336</v>
          </cell>
        </row>
        <row r="3497">
          <cell r="B3497">
            <v>20.56</v>
          </cell>
          <cell r="C3497">
            <v>69.67</v>
          </cell>
          <cell r="D3497">
            <v>12.27</v>
          </cell>
          <cell r="E3497">
            <v>7.98</v>
          </cell>
          <cell r="H3497">
            <v>45437</v>
          </cell>
          <cell r="I3497">
            <v>0.59111111111111114</v>
          </cell>
          <cell r="J3497">
            <v>40.934444444444438</v>
          </cell>
        </row>
        <row r="3498">
          <cell r="B3498">
            <v>20.010000000000002</v>
          </cell>
          <cell r="C3498">
            <v>67.349999999999994</v>
          </cell>
          <cell r="D3498">
            <v>12.13</v>
          </cell>
          <cell r="E3498">
            <v>7.94</v>
          </cell>
          <cell r="H3498">
            <v>45437</v>
          </cell>
          <cell r="I3498">
            <v>0.59444444444444444</v>
          </cell>
          <cell r="J3498">
            <v>40.466666666666669</v>
          </cell>
        </row>
        <row r="3499">
          <cell r="B3499">
            <v>21.09</v>
          </cell>
          <cell r="C3499">
            <v>70.09</v>
          </cell>
          <cell r="D3499">
            <v>12.4</v>
          </cell>
          <cell r="E3499">
            <v>8.99</v>
          </cell>
          <cell r="H3499">
            <v>45437</v>
          </cell>
          <cell r="I3499">
            <v>0.59333333333333327</v>
          </cell>
          <cell r="J3499">
            <v>39.774444444444448</v>
          </cell>
        </row>
        <row r="3500">
          <cell r="B3500">
            <v>22.97</v>
          </cell>
          <cell r="C3500">
            <v>69.88</v>
          </cell>
          <cell r="D3500">
            <v>12.51</v>
          </cell>
          <cell r="E3500">
            <v>8.83</v>
          </cell>
          <cell r="H3500">
            <v>45437</v>
          </cell>
          <cell r="I3500">
            <v>0.59333333333333327</v>
          </cell>
          <cell r="J3500">
            <v>38.238888888888887</v>
          </cell>
        </row>
        <row r="3501">
          <cell r="B3501">
            <v>25.22</v>
          </cell>
          <cell r="C3501">
            <v>72.2</v>
          </cell>
          <cell r="D3501">
            <v>11.96</v>
          </cell>
          <cell r="E3501">
            <v>10.02</v>
          </cell>
          <cell r="H3501">
            <v>45437</v>
          </cell>
          <cell r="I3501">
            <v>0.58444444444444443</v>
          </cell>
          <cell r="J3501">
            <v>36.091111111111111</v>
          </cell>
        </row>
        <row r="3502">
          <cell r="B3502">
            <v>24.02</v>
          </cell>
          <cell r="C3502">
            <v>71.73</v>
          </cell>
          <cell r="D3502">
            <v>12.37</v>
          </cell>
          <cell r="E3502">
            <v>10.37</v>
          </cell>
          <cell r="H3502">
            <v>45437</v>
          </cell>
          <cell r="I3502">
            <v>0.57444444444444442</v>
          </cell>
          <cell r="J3502">
            <v>33.765555555555551</v>
          </cell>
        </row>
        <row r="3503">
          <cell r="B3503">
            <v>27.33</v>
          </cell>
          <cell r="C3503">
            <v>73.28</v>
          </cell>
          <cell r="D3503">
            <v>13.32</v>
          </cell>
          <cell r="E3503">
            <v>9.61</v>
          </cell>
          <cell r="H3503">
            <v>45437</v>
          </cell>
          <cell r="I3503">
            <v>0.56333333333333335</v>
          </cell>
          <cell r="J3503">
            <v>31.338888888888885</v>
          </cell>
        </row>
        <row r="3504">
          <cell r="B3504">
            <v>25.02</v>
          </cell>
          <cell r="C3504">
            <v>67.989999999999995</v>
          </cell>
          <cell r="D3504">
            <v>13.61</v>
          </cell>
          <cell r="E3504">
            <v>8.75</v>
          </cell>
          <cell r="H3504">
            <v>45437</v>
          </cell>
          <cell r="I3504">
            <v>0.5477777777777777</v>
          </cell>
          <cell r="J3504">
            <v>29.528888888888886</v>
          </cell>
        </row>
        <row r="3505">
          <cell r="B3505">
            <v>22.61</v>
          </cell>
          <cell r="C3505">
            <v>61.41</v>
          </cell>
          <cell r="D3505">
            <v>11.59</v>
          </cell>
          <cell r="E3505">
            <v>9.3800000000000008</v>
          </cell>
          <cell r="H3505">
            <v>45437</v>
          </cell>
          <cell r="I3505">
            <v>0.52777777777777779</v>
          </cell>
          <cell r="J3505">
            <v>28.522222222222226</v>
          </cell>
        </row>
        <row r="3506">
          <cell r="B3506">
            <v>20.97</v>
          </cell>
          <cell r="C3506">
            <v>53.08</v>
          </cell>
          <cell r="D3506">
            <v>11.1</v>
          </cell>
          <cell r="E3506">
            <v>9.07</v>
          </cell>
          <cell r="H3506">
            <v>45438</v>
          </cell>
          <cell r="I3506">
            <v>0.50555555555555554</v>
          </cell>
          <cell r="J3506">
            <v>27.892222222222223</v>
          </cell>
        </row>
        <row r="3507">
          <cell r="B3507">
            <v>18.079999999999998</v>
          </cell>
          <cell r="C3507">
            <v>48.7</v>
          </cell>
          <cell r="D3507">
            <v>11.04</v>
          </cell>
          <cell r="E3507">
            <v>7.78</v>
          </cell>
          <cell r="H3507">
            <v>45438</v>
          </cell>
          <cell r="I3507">
            <v>0.48333333333333339</v>
          </cell>
          <cell r="J3507">
            <v>27.434444444444445</v>
          </cell>
        </row>
        <row r="3508">
          <cell r="B3508">
            <v>17.399999999999999</v>
          </cell>
          <cell r="C3508">
            <v>49.85</v>
          </cell>
          <cell r="D3508">
            <v>10.83</v>
          </cell>
          <cell r="E3508">
            <v>7.61</v>
          </cell>
          <cell r="H3508">
            <v>45438</v>
          </cell>
          <cell r="I3508">
            <v>0.46000000000000008</v>
          </cell>
          <cell r="J3508">
            <v>27.213333333333331</v>
          </cell>
        </row>
        <row r="3509">
          <cell r="B3509">
            <v>17.41</v>
          </cell>
          <cell r="C3509">
            <v>46.05</v>
          </cell>
          <cell r="D3509">
            <v>10.6</v>
          </cell>
          <cell r="E3509">
            <v>7.75</v>
          </cell>
          <cell r="H3509">
            <v>45438</v>
          </cell>
          <cell r="I3509">
            <v>0.43777777777777777</v>
          </cell>
          <cell r="J3509">
            <v>27.078888888888891</v>
          </cell>
        </row>
        <row r="3510">
          <cell r="B3510">
            <v>15.92</v>
          </cell>
          <cell r="C3510">
            <v>46.85</v>
          </cell>
          <cell r="D3510">
            <v>10.65</v>
          </cell>
          <cell r="E3510">
            <v>7.87</v>
          </cell>
          <cell r="H3510">
            <v>45438</v>
          </cell>
          <cell r="I3510">
            <v>0.42555555555555552</v>
          </cell>
          <cell r="J3510">
            <v>26.923333333333332</v>
          </cell>
        </row>
        <row r="3511">
          <cell r="B3511">
            <v>15.93</v>
          </cell>
          <cell r="C3511">
            <v>48.19</v>
          </cell>
          <cell r="D3511">
            <v>10.89</v>
          </cell>
          <cell r="E3511">
            <v>7.74</v>
          </cell>
          <cell r="H3511">
            <v>45438</v>
          </cell>
          <cell r="I3511">
            <v>0.41555555555555551</v>
          </cell>
          <cell r="J3511">
            <v>26.80777777777778</v>
          </cell>
        </row>
        <row r="3512">
          <cell r="B3512">
            <v>19.3</v>
          </cell>
          <cell r="C3512">
            <v>54.37</v>
          </cell>
          <cell r="D3512">
            <v>11.35</v>
          </cell>
          <cell r="E3512">
            <v>7.8</v>
          </cell>
          <cell r="H3512">
            <v>45438</v>
          </cell>
          <cell r="I3512">
            <v>0.41111111111111115</v>
          </cell>
          <cell r="J3512">
            <v>26.664444444444445</v>
          </cell>
        </row>
        <row r="3513">
          <cell r="B3513">
            <v>21.3</v>
          </cell>
          <cell r="C3513">
            <v>60.22</v>
          </cell>
          <cell r="D3513">
            <v>11.73</v>
          </cell>
          <cell r="E3513">
            <v>7.42</v>
          </cell>
          <cell r="H3513">
            <v>45438</v>
          </cell>
          <cell r="I3513">
            <v>0.40777777777777779</v>
          </cell>
          <cell r="J3513">
            <v>26.490000000000002</v>
          </cell>
        </row>
        <row r="3514">
          <cell r="B3514">
            <v>23.57</v>
          </cell>
          <cell r="C3514">
            <v>63.39</v>
          </cell>
          <cell r="D3514">
            <v>11.47</v>
          </cell>
          <cell r="E3514">
            <v>7.11</v>
          </cell>
          <cell r="H3514">
            <v>45438</v>
          </cell>
          <cell r="I3514">
            <v>0.41111111111111115</v>
          </cell>
          <cell r="J3514">
            <v>26.418888888888887</v>
          </cell>
        </row>
        <row r="3515">
          <cell r="B3515">
            <v>22.95</v>
          </cell>
          <cell r="C3515">
            <v>63.68</v>
          </cell>
          <cell r="D3515">
            <v>11.5</v>
          </cell>
          <cell r="E3515">
            <v>7.05</v>
          </cell>
          <cell r="H3515">
            <v>45438</v>
          </cell>
          <cell r="I3515">
            <v>0.41666666666666669</v>
          </cell>
          <cell r="J3515">
            <v>26.623333333333335</v>
          </cell>
        </row>
        <row r="3516">
          <cell r="B3516">
            <v>22.01</v>
          </cell>
          <cell r="C3516">
            <v>63.87</v>
          </cell>
          <cell r="D3516">
            <v>11.41</v>
          </cell>
          <cell r="E3516">
            <v>7.33</v>
          </cell>
          <cell r="H3516">
            <v>45438</v>
          </cell>
          <cell r="I3516">
            <v>0.42222222222222228</v>
          </cell>
          <cell r="J3516">
            <v>26.924444444444447</v>
          </cell>
        </row>
        <row r="3517">
          <cell r="B3517">
            <v>21.02</v>
          </cell>
          <cell r="C3517">
            <v>63.04</v>
          </cell>
          <cell r="D3517">
            <v>11.62</v>
          </cell>
          <cell r="E3517">
            <v>8.25</v>
          </cell>
          <cell r="H3517">
            <v>45438</v>
          </cell>
          <cell r="I3517">
            <v>0.43111111111111111</v>
          </cell>
          <cell r="J3517">
            <v>27.415555555555557</v>
          </cell>
        </row>
        <row r="3518">
          <cell r="B3518">
            <v>21.92</v>
          </cell>
          <cell r="C3518">
            <v>70.86</v>
          </cell>
          <cell r="D3518">
            <v>11.49</v>
          </cell>
          <cell r="E3518">
            <v>8.6</v>
          </cell>
          <cell r="H3518">
            <v>45438</v>
          </cell>
          <cell r="I3518">
            <v>0.43444444444444447</v>
          </cell>
          <cell r="J3518">
            <v>27.89</v>
          </cell>
        </row>
        <row r="3519">
          <cell r="B3519">
            <v>23.08</v>
          </cell>
          <cell r="C3519">
            <v>68.09</v>
          </cell>
          <cell r="D3519">
            <v>11.36</v>
          </cell>
          <cell r="E3519">
            <v>8.3000000000000007</v>
          </cell>
          <cell r="H3519">
            <v>45438</v>
          </cell>
          <cell r="I3519">
            <v>0.44111111111111118</v>
          </cell>
          <cell r="J3519">
            <v>28.48</v>
          </cell>
        </row>
        <row r="3520">
          <cell r="B3520">
            <v>20.059999999999999</v>
          </cell>
          <cell r="C3520">
            <v>66.209999999999994</v>
          </cell>
          <cell r="D3520">
            <v>11.27</v>
          </cell>
          <cell r="E3520">
            <v>7.96</v>
          </cell>
          <cell r="H3520">
            <v>45438</v>
          </cell>
          <cell r="I3520">
            <v>0.44555555555555554</v>
          </cell>
          <cell r="J3520">
            <v>29.213333333333335</v>
          </cell>
        </row>
        <row r="3521">
          <cell r="B3521">
            <v>20.29</v>
          </cell>
          <cell r="C3521">
            <v>65.67</v>
          </cell>
          <cell r="D3521">
            <v>11.16</v>
          </cell>
          <cell r="E3521">
            <v>8.17</v>
          </cell>
          <cell r="H3521">
            <v>45438</v>
          </cell>
          <cell r="I3521">
            <v>0.44555555555555565</v>
          </cell>
          <cell r="J3521">
            <v>29.92</v>
          </cell>
        </row>
        <row r="3522">
          <cell r="B3522">
            <v>22.65</v>
          </cell>
          <cell r="C3522">
            <v>68.989999999999995</v>
          </cell>
          <cell r="D3522">
            <v>11.19</v>
          </cell>
          <cell r="E3522">
            <v>8.27</v>
          </cell>
          <cell r="H3522">
            <v>45438</v>
          </cell>
          <cell r="I3522">
            <v>0.44777777777777783</v>
          </cell>
          <cell r="J3522">
            <v>30.507777777777775</v>
          </cell>
        </row>
        <row r="3523">
          <cell r="B3523">
            <v>23.29</v>
          </cell>
          <cell r="C3523">
            <v>67.510000000000005</v>
          </cell>
          <cell r="D3523">
            <v>11.44</v>
          </cell>
          <cell r="E3523">
            <v>8.1</v>
          </cell>
          <cell r="H3523">
            <v>45438</v>
          </cell>
          <cell r="I3523">
            <v>0.44444444444444442</v>
          </cell>
          <cell r="J3523">
            <v>30.945555555555554</v>
          </cell>
        </row>
        <row r="3524">
          <cell r="B3524">
            <v>22.86</v>
          </cell>
          <cell r="C3524">
            <v>63.96</v>
          </cell>
          <cell r="D3524">
            <v>11.5</v>
          </cell>
          <cell r="E3524">
            <v>7.87</v>
          </cell>
          <cell r="H3524">
            <v>45438</v>
          </cell>
          <cell r="I3524">
            <v>0.44555555555555565</v>
          </cell>
          <cell r="J3524">
            <v>30.851111111111113</v>
          </cell>
        </row>
        <row r="3525">
          <cell r="B3525">
            <v>24.56</v>
          </cell>
          <cell r="C3525">
            <v>62.15</v>
          </cell>
          <cell r="D3525">
            <v>11.7</v>
          </cell>
          <cell r="E3525">
            <v>8.42</v>
          </cell>
          <cell r="H3525">
            <v>45438</v>
          </cell>
          <cell r="I3525">
            <v>0.44666666666666671</v>
          </cell>
          <cell r="J3525">
            <v>30.418888888888894</v>
          </cell>
        </row>
        <row r="3526">
          <cell r="B3526">
            <v>27.05</v>
          </cell>
          <cell r="C3526">
            <v>63.91</v>
          </cell>
          <cell r="D3526">
            <v>11.87</v>
          </cell>
          <cell r="E3526">
            <v>8.68</v>
          </cell>
          <cell r="H3526">
            <v>45438</v>
          </cell>
          <cell r="I3526">
            <v>0.45333333333333337</v>
          </cell>
          <cell r="J3526">
            <v>29.666666666666668</v>
          </cell>
        </row>
        <row r="3527">
          <cell r="B3527">
            <v>25.83</v>
          </cell>
          <cell r="C3527">
            <v>68.12</v>
          </cell>
          <cell r="D3527">
            <v>11.85</v>
          </cell>
          <cell r="E3527">
            <v>8.9700000000000006</v>
          </cell>
          <cell r="H3527">
            <v>45438</v>
          </cell>
          <cell r="I3527">
            <v>0.45666666666666672</v>
          </cell>
          <cell r="J3527">
            <v>28.876666666666665</v>
          </cell>
        </row>
        <row r="3528">
          <cell r="B3528">
            <v>26.27</v>
          </cell>
          <cell r="C3528">
            <v>64.42</v>
          </cell>
          <cell r="D3528">
            <v>11.66</v>
          </cell>
          <cell r="E3528">
            <v>8.74</v>
          </cell>
          <cell r="H3528">
            <v>45438</v>
          </cell>
          <cell r="I3528">
            <v>0.45666666666666672</v>
          </cell>
          <cell r="J3528">
            <v>28.121111111111112</v>
          </cell>
        </row>
        <row r="3529">
          <cell r="B3529">
            <v>25.42</v>
          </cell>
          <cell r="C3529">
            <v>65.36</v>
          </cell>
          <cell r="D3529">
            <v>11.48</v>
          </cell>
          <cell r="E3529">
            <v>8.3699999999999992</v>
          </cell>
          <cell r="H3529">
            <v>45438</v>
          </cell>
          <cell r="I3529">
            <v>0.45666666666666672</v>
          </cell>
          <cell r="J3529">
            <v>27.432222222222222</v>
          </cell>
        </row>
        <row r="3530">
          <cell r="B3530">
            <v>25.77</v>
          </cell>
          <cell r="C3530">
            <v>63.78</v>
          </cell>
          <cell r="D3530">
            <v>11.25</v>
          </cell>
          <cell r="E3530">
            <v>8.16</v>
          </cell>
          <cell r="H3530">
            <v>45439</v>
          </cell>
          <cell r="I3530">
            <v>0.44888888888888889</v>
          </cell>
          <cell r="J3530">
            <v>26.963333333333331</v>
          </cell>
        </row>
        <row r="3531">
          <cell r="B3531">
            <v>21.76</v>
          </cell>
          <cell r="C3531">
            <v>55.39</v>
          </cell>
          <cell r="D3531">
            <v>10.8</v>
          </cell>
          <cell r="E3531">
            <v>7.63</v>
          </cell>
          <cell r="H3531">
            <v>45439</v>
          </cell>
          <cell r="I3531">
            <v>0.44</v>
          </cell>
          <cell r="J3531">
            <v>26.65111111111111</v>
          </cell>
        </row>
        <row r="3532">
          <cell r="B3532">
            <v>20.38</v>
          </cell>
          <cell r="C3532">
            <v>55.85</v>
          </cell>
          <cell r="D3532">
            <v>10.72</v>
          </cell>
          <cell r="E3532">
            <v>6.53</v>
          </cell>
          <cell r="H3532">
            <v>45439</v>
          </cell>
          <cell r="I3532">
            <v>0.43111111111111117</v>
          </cell>
          <cell r="J3532">
            <v>26.415555555555557</v>
          </cell>
        </row>
        <row r="3533">
          <cell r="B3533">
            <v>19.29</v>
          </cell>
          <cell r="C3533">
            <v>46.25</v>
          </cell>
          <cell r="D3533">
            <v>10.82</v>
          </cell>
          <cell r="E3533">
            <v>7.5</v>
          </cell>
          <cell r="H3533">
            <v>45439</v>
          </cell>
          <cell r="I3533">
            <v>0.42333333333333334</v>
          </cell>
          <cell r="J3533">
            <v>26.35222222222222</v>
          </cell>
        </row>
        <row r="3534">
          <cell r="B3534">
            <v>19.440000000000001</v>
          </cell>
          <cell r="C3534">
            <v>51.81</v>
          </cell>
          <cell r="D3534">
            <v>11.13</v>
          </cell>
          <cell r="E3534">
            <v>7.65</v>
          </cell>
          <cell r="H3534">
            <v>45439</v>
          </cell>
          <cell r="I3534">
            <v>0.41888888888888887</v>
          </cell>
          <cell r="J3534">
            <v>26.338888888888889</v>
          </cell>
        </row>
        <row r="3535">
          <cell r="B3535">
            <v>20.72</v>
          </cell>
          <cell r="C3535">
            <v>58.21</v>
          </cell>
          <cell r="D3535">
            <v>11.8</v>
          </cell>
          <cell r="E3535">
            <v>6.99</v>
          </cell>
          <cell r="H3535">
            <v>45439</v>
          </cell>
          <cell r="I3535">
            <v>0.41</v>
          </cell>
          <cell r="J3535">
            <v>26.396666666666668</v>
          </cell>
        </row>
        <row r="3536">
          <cell r="B3536">
            <v>22.37</v>
          </cell>
          <cell r="C3536">
            <v>52.27</v>
          </cell>
          <cell r="D3536">
            <v>11.85</v>
          </cell>
          <cell r="E3536">
            <v>7.3</v>
          </cell>
          <cell r="H3536">
            <v>45439</v>
          </cell>
          <cell r="I3536">
            <v>0.41</v>
          </cell>
          <cell r="J3536">
            <v>26.519999999999996</v>
          </cell>
        </row>
        <row r="3537">
          <cell r="B3537">
            <v>25.48</v>
          </cell>
          <cell r="C3537">
            <v>63.09</v>
          </cell>
          <cell r="D3537">
            <v>11.4</v>
          </cell>
          <cell r="E3537">
            <v>7.69</v>
          </cell>
          <cell r="H3537">
            <v>45439</v>
          </cell>
          <cell r="I3537">
            <v>0.40555555555555556</v>
          </cell>
          <cell r="J3537">
            <v>26.574444444444442</v>
          </cell>
        </row>
        <row r="3538">
          <cell r="B3538">
            <v>25.75</v>
          </cell>
          <cell r="C3538">
            <v>64.400000000000006</v>
          </cell>
          <cell r="D3538">
            <v>11.36</v>
          </cell>
          <cell r="E3538">
            <v>6.84</v>
          </cell>
          <cell r="H3538">
            <v>45439</v>
          </cell>
          <cell r="I3538">
            <v>0.40111111111111108</v>
          </cell>
          <cell r="J3538">
            <v>26.601111111111113</v>
          </cell>
        </row>
        <row r="3539">
          <cell r="B3539">
            <v>26.31</v>
          </cell>
          <cell r="C3539">
            <v>72.040000000000006</v>
          </cell>
          <cell r="D3539">
            <v>11.11</v>
          </cell>
          <cell r="E3539">
            <v>7.26</v>
          </cell>
          <cell r="H3539">
            <v>45439</v>
          </cell>
          <cell r="I3539">
            <v>0.40555555555555556</v>
          </cell>
          <cell r="J3539">
            <v>26.727777777777774</v>
          </cell>
        </row>
        <row r="3540">
          <cell r="B3540">
            <v>23.06</v>
          </cell>
          <cell r="C3540">
            <v>76.209999999999994</v>
          </cell>
          <cell r="D3540">
            <v>11.36</v>
          </cell>
          <cell r="E3540">
            <v>8.17</v>
          </cell>
          <cell r="H3540">
            <v>45439</v>
          </cell>
          <cell r="I3540">
            <v>0.41555555555555551</v>
          </cell>
          <cell r="J3540">
            <v>26.961111111111109</v>
          </cell>
        </row>
        <row r="3541">
          <cell r="B3541">
            <v>23.28</v>
          </cell>
          <cell r="C3541">
            <v>75.23</v>
          </cell>
          <cell r="D3541">
            <v>11.6</v>
          </cell>
          <cell r="E3541">
            <v>8.36</v>
          </cell>
          <cell r="H3541">
            <v>45439</v>
          </cell>
          <cell r="I3541">
            <v>0.42777777777777776</v>
          </cell>
          <cell r="J3541">
            <v>27.87777777777778</v>
          </cell>
        </row>
        <row r="3542">
          <cell r="B3542">
            <v>25.61</v>
          </cell>
          <cell r="C3542">
            <v>76.11</v>
          </cell>
          <cell r="D3542">
            <v>11.46</v>
          </cell>
          <cell r="E3542">
            <v>8.2799999999999994</v>
          </cell>
          <cell r="H3542">
            <v>45439</v>
          </cell>
          <cell r="I3542">
            <v>0.43666666666666665</v>
          </cell>
          <cell r="J3542">
            <v>28.684444444444441</v>
          </cell>
        </row>
        <row r="3543">
          <cell r="B3543">
            <v>24.47</v>
          </cell>
          <cell r="C3543">
            <v>72.89</v>
          </cell>
          <cell r="D3543">
            <v>11.62</v>
          </cell>
          <cell r="E3543">
            <v>8.49</v>
          </cell>
          <cell r="H3543">
            <v>45439</v>
          </cell>
          <cell r="I3543">
            <v>0.44111111111111106</v>
          </cell>
          <cell r="J3543">
            <v>29.858888888888892</v>
          </cell>
        </row>
        <row r="3544">
          <cell r="B3544">
            <v>23.53</v>
          </cell>
          <cell r="C3544">
            <v>69.790000000000006</v>
          </cell>
          <cell r="D3544">
            <v>11.57</v>
          </cell>
          <cell r="E3544">
            <v>8.25</v>
          </cell>
          <cell r="H3544">
            <v>45439</v>
          </cell>
          <cell r="I3544">
            <v>0.44555555555555554</v>
          </cell>
          <cell r="J3544">
            <v>31.374444444444446</v>
          </cell>
        </row>
        <row r="3545">
          <cell r="B3545">
            <v>43.78</v>
          </cell>
          <cell r="C3545">
            <v>74.17</v>
          </cell>
          <cell r="D3545">
            <v>11.65</v>
          </cell>
          <cell r="E3545">
            <v>7.88</v>
          </cell>
          <cell r="H3545">
            <v>45439</v>
          </cell>
          <cell r="I3545">
            <v>0.44111111111111106</v>
          </cell>
          <cell r="J3545">
            <v>32.845555555555556</v>
          </cell>
        </row>
        <row r="3546">
          <cell r="B3546">
            <v>70.73</v>
          </cell>
          <cell r="C3546">
            <v>141.07</v>
          </cell>
          <cell r="D3546">
            <v>12.89</v>
          </cell>
          <cell r="E3546">
            <v>7.86</v>
          </cell>
          <cell r="H3546">
            <v>45439</v>
          </cell>
          <cell r="I3546">
            <v>0.45555555555555549</v>
          </cell>
          <cell r="J3546">
            <v>33.874444444444443</v>
          </cell>
        </row>
        <row r="3547">
          <cell r="B3547">
            <v>33.68</v>
          </cell>
          <cell r="C3547">
            <v>87.63</v>
          </cell>
          <cell r="D3547">
            <v>12.49</v>
          </cell>
          <cell r="E3547">
            <v>8.36</v>
          </cell>
          <cell r="H3547">
            <v>45439</v>
          </cell>
          <cell r="I3547">
            <v>0.47777777777777775</v>
          </cell>
          <cell r="J3547">
            <v>34.696666666666673</v>
          </cell>
        </row>
        <row r="3548">
          <cell r="B3548">
            <v>30.55</v>
          </cell>
          <cell r="C3548">
            <v>82.31</v>
          </cell>
          <cell r="D3548">
            <v>13.16</v>
          </cell>
          <cell r="E3548">
            <v>8.09</v>
          </cell>
          <cell r="H3548">
            <v>45439</v>
          </cell>
          <cell r="I3548">
            <v>0.50333333333333341</v>
          </cell>
          <cell r="J3548">
            <v>35.112222222222222</v>
          </cell>
        </row>
        <row r="3549">
          <cell r="B3549">
            <v>28.35</v>
          </cell>
          <cell r="C3549">
            <v>77.61</v>
          </cell>
          <cell r="D3549">
            <v>12.95</v>
          </cell>
          <cell r="E3549">
            <v>8.2799999999999994</v>
          </cell>
          <cell r="H3549">
            <v>45439</v>
          </cell>
          <cell r="I3549">
            <v>0.52444444444444449</v>
          </cell>
          <cell r="J3549">
            <v>35.041111111111107</v>
          </cell>
        </row>
        <row r="3550">
          <cell r="B3550">
            <v>31.42</v>
          </cell>
          <cell r="C3550">
            <v>80.709999999999994</v>
          </cell>
          <cell r="D3550">
            <v>12.89</v>
          </cell>
          <cell r="E3550">
            <v>8.0399999999999991</v>
          </cell>
          <cell r="H3550">
            <v>45439</v>
          </cell>
          <cell r="I3550">
            <v>0.54888888888888887</v>
          </cell>
          <cell r="J3550">
            <v>34.006666666666668</v>
          </cell>
        </row>
        <row r="3551">
          <cell r="B3551">
            <v>30.72</v>
          </cell>
          <cell r="C3551">
            <v>81.180000000000007</v>
          </cell>
          <cell r="D3551">
            <v>12.47</v>
          </cell>
          <cell r="E3551">
            <v>8.52</v>
          </cell>
          <cell r="H3551">
            <v>45439</v>
          </cell>
          <cell r="I3551">
            <v>0.56333333333333324</v>
          </cell>
          <cell r="J3551">
            <v>33.286666666666662</v>
          </cell>
        </row>
        <row r="3552">
          <cell r="B3552">
            <v>34.869999999999997</v>
          </cell>
          <cell r="C3552">
            <v>81.64</v>
          </cell>
          <cell r="D3552">
            <v>12.34</v>
          </cell>
          <cell r="E3552">
            <v>8.3800000000000008</v>
          </cell>
          <cell r="H3552">
            <v>45439</v>
          </cell>
          <cell r="I3552">
            <v>0.57666666666666666</v>
          </cell>
          <cell r="J3552">
            <v>32.406666666666666</v>
          </cell>
        </row>
        <row r="3553">
          <cell r="B3553">
            <v>30.53</v>
          </cell>
          <cell r="C3553">
            <v>72.64</v>
          </cell>
          <cell r="D3553">
            <v>11.81</v>
          </cell>
          <cell r="E3553">
            <v>8.18</v>
          </cell>
          <cell r="H3553">
            <v>45439</v>
          </cell>
          <cell r="I3553">
            <v>0.58666666666666667</v>
          </cell>
          <cell r="J3553">
            <v>31.37222222222222</v>
          </cell>
        </row>
        <row r="3554">
          <cell r="B3554">
            <v>28.96</v>
          </cell>
          <cell r="C3554">
            <v>69.97</v>
          </cell>
          <cell r="D3554">
            <v>11.63</v>
          </cell>
          <cell r="E3554">
            <v>7.67</v>
          </cell>
          <cell r="H3554">
            <v>45440</v>
          </cell>
          <cell r="I3554">
            <v>0.59888888888888892</v>
          </cell>
          <cell r="J3554">
            <v>30.405555555555551</v>
          </cell>
        </row>
        <row r="3555">
          <cell r="B3555">
            <v>29.41</v>
          </cell>
          <cell r="C3555">
            <v>66.37</v>
          </cell>
          <cell r="D3555">
            <v>11.3</v>
          </cell>
          <cell r="E3555">
            <v>7.7</v>
          </cell>
          <cell r="H3555">
            <v>45440</v>
          </cell>
          <cell r="I3555">
            <v>0.59111111111111114</v>
          </cell>
          <cell r="J3555">
            <v>29.725555555555552</v>
          </cell>
        </row>
        <row r="3556">
          <cell r="B3556">
            <v>25.86</v>
          </cell>
          <cell r="C3556">
            <v>60.36</v>
          </cell>
          <cell r="D3556">
            <v>11.24</v>
          </cell>
          <cell r="E3556">
            <v>7.37</v>
          </cell>
          <cell r="H3556">
            <v>45440</v>
          </cell>
          <cell r="I3556">
            <v>0.5788888888888889</v>
          </cell>
          <cell r="J3556">
            <v>29.16</v>
          </cell>
        </row>
        <row r="3557">
          <cell r="B3557">
            <v>25.39</v>
          </cell>
          <cell r="C3557">
            <v>54.45</v>
          </cell>
          <cell r="D3557">
            <v>11.83</v>
          </cell>
          <cell r="E3557">
            <v>7.69</v>
          </cell>
          <cell r="H3557">
            <v>45440</v>
          </cell>
          <cell r="I3557">
            <v>0.56444444444444442</v>
          </cell>
          <cell r="J3557">
            <v>28.716666666666658</v>
          </cell>
        </row>
        <row r="3558">
          <cell r="B3558">
            <v>28.25</v>
          </cell>
          <cell r="C3558">
            <v>55.68</v>
          </cell>
          <cell r="D3558">
            <v>12.02</v>
          </cell>
          <cell r="E3558">
            <v>7.81</v>
          </cell>
          <cell r="H3558">
            <v>45440</v>
          </cell>
          <cell r="I3558">
            <v>0.54999999999999993</v>
          </cell>
          <cell r="J3558">
            <v>28.492222222222225</v>
          </cell>
        </row>
        <row r="3559">
          <cell r="B3559">
            <v>26.18</v>
          </cell>
          <cell r="C3559">
            <v>56.05</v>
          </cell>
          <cell r="D3559">
            <v>12.34</v>
          </cell>
          <cell r="E3559">
            <v>8.14</v>
          </cell>
          <cell r="H3559">
            <v>45440</v>
          </cell>
          <cell r="I3559">
            <v>0.5377777777777778</v>
          </cell>
          <cell r="J3559">
            <v>28.478888888888889</v>
          </cell>
        </row>
        <row r="3560">
          <cell r="B3560">
            <v>25.98</v>
          </cell>
          <cell r="C3560">
            <v>57.45</v>
          </cell>
          <cell r="D3560">
            <v>12.63</v>
          </cell>
          <cell r="E3560">
            <v>7.92</v>
          </cell>
          <cell r="H3560">
            <v>45440</v>
          </cell>
          <cell r="I3560">
            <v>0.53888888888888886</v>
          </cell>
          <cell r="J3560">
            <v>28.101111111111109</v>
          </cell>
        </row>
        <row r="3561">
          <cell r="B3561">
            <v>30.75</v>
          </cell>
          <cell r="C3561">
            <v>65.58</v>
          </cell>
          <cell r="D3561">
            <v>12.47</v>
          </cell>
          <cell r="E3561">
            <v>7.96</v>
          </cell>
          <cell r="H3561">
            <v>45440</v>
          </cell>
          <cell r="I3561">
            <v>0.54555555555555557</v>
          </cell>
          <cell r="J3561">
            <v>27.762222222222224</v>
          </cell>
        </row>
        <row r="3562">
          <cell r="B3562">
            <v>30.32</v>
          </cell>
          <cell r="C3562">
            <v>63.74</v>
          </cell>
          <cell r="D3562">
            <v>12.21</v>
          </cell>
          <cell r="E3562">
            <v>7.27</v>
          </cell>
          <cell r="H3562">
            <v>45440</v>
          </cell>
          <cell r="I3562">
            <v>0.55333333333333323</v>
          </cell>
          <cell r="J3562">
            <v>27.342222222222219</v>
          </cell>
        </row>
        <row r="3563">
          <cell r="B3563">
            <v>27.9</v>
          </cell>
          <cell r="C3563">
            <v>71.959999999999994</v>
          </cell>
          <cell r="D3563">
            <v>13.64</v>
          </cell>
          <cell r="E3563">
            <v>7.54</v>
          </cell>
          <cell r="H3563">
            <v>45440</v>
          </cell>
          <cell r="I3563">
            <v>0.56111111111111112</v>
          </cell>
          <cell r="J3563">
            <v>27.258888888888887</v>
          </cell>
        </row>
        <row r="3564">
          <cell r="B3564">
            <v>23.05</v>
          </cell>
          <cell r="C3564">
            <v>65.92</v>
          </cell>
          <cell r="D3564">
            <v>13.91</v>
          </cell>
          <cell r="E3564">
            <v>7.79</v>
          </cell>
          <cell r="H3564">
            <v>45440</v>
          </cell>
          <cell r="I3564">
            <v>0.57000000000000006</v>
          </cell>
          <cell r="J3564">
            <v>27.543333333333333</v>
          </cell>
        </row>
        <row r="3565">
          <cell r="B3565">
            <v>20.75</v>
          </cell>
          <cell r="C3565">
            <v>62.23</v>
          </cell>
          <cell r="D3565">
            <v>13.55</v>
          </cell>
          <cell r="E3565">
            <v>8.76</v>
          </cell>
          <cell r="H3565">
            <v>45440</v>
          </cell>
          <cell r="I3565">
            <v>0.57666666666666666</v>
          </cell>
          <cell r="J3565">
            <v>27.968888888888888</v>
          </cell>
        </row>
        <row r="3566">
          <cell r="B3566">
            <v>23.57</v>
          </cell>
          <cell r="C3566">
            <v>63.03</v>
          </cell>
          <cell r="D3566">
            <v>12.6</v>
          </cell>
          <cell r="E3566">
            <v>8.7899999999999991</v>
          </cell>
          <cell r="H3566">
            <v>45440</v>
          </cell>
          <cell r="I3566">
            <v>0.58333333333333348</v>
          </cell>
          <cell r="J3566">
            <v>29.111111111111104</v>
          </cell>
        </row>
        <row r="3567">
          <cell r="B3567">
            <v>23.83</v>
          </cell>
          <cell r="C3567">
            <v>64.290000000000006</v>
          </cell>
          <cell r="D3567">
            <v>12.59</v>
          </cell>
          <cell r="E3567">
            <v>8.5</v>
          </cell>
          <cell r="H3567">
            <v>45440</v>
          </cell>
          <cell r="I3567">
            <v>0.58666666666666667</v>
          </cell>
          <cell r="J3567">
            <v>30.492222222222225</v>
          </cell>
        </row>
        <row r="3568">
          <cell r="B3568">
            <v>24.59</v>
          </cell>
          <cell r="C3568">
            <v>65.95</v>
          </cell>
          <cell r="D3568">
            <v>12.3</v>
          </cell>
          <cell r="E3568">
            <v>9.39</v>
          </cell>
          <cell r="H3568">
            <v>45440</v>
          </cell>
          <cell r="I3568">
            <v>0.58666666666666656</v>
          </cell>
          <cell r="J3568">
            <v>32.383333333333333</v>
          </cell>
        </row>
        <row r="3569">
          <cell r="B3569">
            <v>24.53</v>
          </cell>
          <cell r="C3569">
            <v>68.97</v>
          </cell>
          <cell r="D3569">
            <v>12.2</v>
          </cell>
          <cell r="E3569">
            <v>10.039999999999999</v>
          </cell>
          <cell r="H3569">
            <v>45440</v>
          </cell>
          <cell r="I3569">
            <v>0.57999999999999996</v>
          </cell>
          <cell r="J3569">
            <v>33.728888888888889</v>
          </cell>
        </row>
        <row r="3570">
          <cell r="B3570">
            <v>26</v>
          </cell>
          <cell r="C3570">
            <v>72.489999999999995</v>
          </cell>
          <cell r="D3570">
            <v>12.39</v>
          </cell>
          <cell r="E3570">
            <v>9.7799999999999994</v>
          </cell>
          <cell r="H3570">
            <v>45440</v>
          </cell>
          <cell r="I3570">
            <v>0.57000000000000006</v>
          </cell>
          <cell r="J3570">
            <v>34.68888888888889</v>
          </cell>
        </row>
        <row r="3571">
          <cell r="B3571">
            <v>27</v>
          </cell>
          <cell r="C3571">
            <v>75.569999999999993</v>
          </cell>
          <cell r="D3571">
            <v>12.48</v>
          </cell>
          <cell r="E3571">
            <v>8.6300000000000008</v>
          </cell>
          <cell r="H3571">
            <v>45440</v>
          </cell>
          <cell r="I3571">
            <v>0.56555555555555559</v>
          </cell>
          <cell r="J3571">
            <v>35.54</v>
          </cell>
        </row>
        <row r="3572">
          <cell r="B3572">
            <v>28.6</v>
          </cell>
          <cell r="C3572">
            <v>77.52</v>
          </cell>
          <cell r="D3572">
            <v>12.23</v>
          </cell>
          <cell r="E3572">
            <v>8.5399999999999991</v>
          </cell>
          <cell r="H3572">
            <v>45440</v>
          </cell>
          <cell r="I3572">
            <v>0.56777777777777771</v>
          </cell>
          <cell r="J3572">
            <v>35.80777777777778</v>
          </cell>
        </row>
        <row r="3573">
          <cell r="B3573">
            <v>29.77</v>
          </cell>
          <cell r="C3573">
            <v>78.2</v>
          </cell>
          <cell r="D3573">
            <v>13.22</v>
          </cell>
          <cell r="E3573">
            <v>8.69</v>
          </cell>
          <cell r="H3573">
            <v>45440</v>
          </cell>
          <cell r="I3573">
            <v>0.58111111111111113</v>
          </cell>
          <cell r="J3573">
            <v>35.415555555555564</v>
          </cell>
        </row>
        <row r="3574">
          <cell r="B3574">
            <v>32.380000000000003</v>
          </cell>
          <cell r="C3574">
            <v>81.64</v>
          </cell>
          <cell r="D3574">
            <v>13.28</v>
          </cell>
          <cell r="E3574">
            <v>8.7899999999999991</v>
          </cell>
          <cell r="H3574">
            <v>45440</v>
          </cell>
          <cell r="I3574">
            <v>0.58888888888888891</v>
          </cell>
          <cell r="J3574">
            <v>34.841111111111118</v>
          </cell>
        </row>
        <row r="3575">
          <cell r="B3575">
            <v>30.58</v>
          </cell>
          <cell r="C3575">
            <v>73.650000000000006</v>
          </cell>
          <cell r="D3575">
            <v>12.52</v>
          </cell>
          <cell r="E3575">
            <v>8.59</v>
          </cell>
          <cell r="H3575">
            <v>45440</v>
          </cell>
          <cell r="I3575">
            <v>0.59222222222222221</v>
          </cell>
          <cell r="J3575">
            <v>33.677777777777777</v>
          </cell>
        </row>
        <row r="3576">
          <cell r="B3576">
            <v>27.03</v>
          </cell>
          <cell r="C3576">
            <v>65.33</v>
          </cell>
          <cell r="D3576">
            <v>11.8</v>
          </cell>
          <cell r="E3576">
            <v>8.69</v>
          </cell>
          <cell r="H3576">
            <v>45440</v>
          </cell>
          <cell r="I3576">
            <v>0.59333333333333327</v>
          </cell>
          <cell r="J3576">
            <v>32.345555555555549</v>
          </cell>
        </row>
        <row r="3577">
          <cell r="B3577">
            <v>26.63</v>
          </cell>
          <cell r="C3577">
            <v>64.819999999999993</v>
          </cell>
          <cell r="D3577">
            <v>12.02</v>
          </cell>
          <cell r="E3577">
            <v>8.32</v>
          </cell>
          <cell r="H3577">
            <v>45440</v>
          </cell>
          <cell r="I3577">
            <v>0.59222222222222221</v>
          </cell>
          <cell r="J3577">
            <v>30.667777777777776</v>
          </cell>
        </row>
        <row r="3578">
          <cell r="B3578">
            <v>25.54</v>
          </cell>
          <cell r="C3578">
            <v>59.44</v>
          </cell>
          <cell r="D3578">
            <v>11.84</v>
          </cell>
          <cell r="E3578">
            <v>7.92</v>
          </cell>
          <cell r="H3578">
            <v>45441</v>
          </cell>
          <cell r="I3578">
            <v>0.59222222222222232</v>
          </cell>
          <cell r="J3578">
            <v>29.653333333333332</v>
          </cell>
        </row>
        <row r="3579">
          <cell r="B3579">
            <v>24.56</v>
          </cell>
          <cell r="C3579">
            <v>59.38</v>
          </cell>
          <cell r="D3579">
            <v>11.44</v>
          </cell>
          <cell r="E3579">
            <v>7.69</v>
          </cell>
          <cell r="H3579">
            <v>45441</v>
          </cell>
          <cell r="I3579">
            <v>0.59111111111111114</v>
          </cell>
          <cell r="J3579">
            <v>28.872222222222224</v>
          </cell>
        </row>
        <row r="3580">
          <cell r="B3580">
            <v>21.31</v>
          </cell>
          <cell r="C3580">
            <v>46.52</v>
          </cell>
          <cell r="D3580">
            <v>11.4</v>
          </cell>
          <cell r="E3580">
            <v>7.28</v>
          </cell>
          <cell r="H3580">
            <v>45441</v>
          </cell>
          <cell r="I3580">
            <v>0.58666666666666667</v>
          </cell>
          <cell r="J3580">
            <v>28.147777777777776</v>
          </cell>
        </row>
        <row r="3581">
          <cell r="B3581">
            <v>18.63</v>
          </cell>
          <cell r="C3581">
            <v>41.9</v>
          </cell>
          <cell r="D3581">
            <v>11.26</v>
          </cell>
          <cell r="E3581">
            <v>7.42</v>
          </cell>
          <cell r="H3581">
            <v>45441</v>
          </cell>
          <cell r="I3581">
            <v>0.57333333333333336</v>
          </cell>
          <cell r="J3581">
            <v>27.63666666666667</v>
          </cell>
        </row>
        <row r="3582">
          <cell r="B3582">
            <v>18.43</v>
          </cell>
          <cell r="C3582">
            <v>41.18</v>
          </cell>
          <cell r="D3582">
            <v>11.28</v>
          </cell>
          <cell r="E3582">
            <v>7.39</v>
          </cell>
          <cell r="H3582">
            <v>45441</v>
          </cell>
          <cell r="I3582">
            <v>0.55333333333333334</v>
          </cell>
          <cell r="J3582">
            <v>27.529999999999998</v>
          </cell>
        </row>
        <row r="3583">
          <cell r="B3583">
            <v>17.48</v>
          </cell>
          <cell r="C3583">
            <v>43.58</v>
          </cell>
          <cell r="D3583">
            <v>11.69</v>
          </cell>
          <cell r="E3583">
            <v>7.34</v>
          </cell>
          <cell r="H3583">
            <v>45441</v>
          </cell>
          <cell r="I3583">
            <v>0.54222222222222216</v>
          </cell>
          <cell r="J3583">
            <v>27.481111111111115</v>
          </cell>
        </row>
        <row r="3584">
          <cell r="B3584">
            <v>19.899999999999999</v>
          </cell>
          <cell r="C3584">
            <v>46.39</v>
          </cell>
          <cell r="D3584">
            <v>11.8</v>
          </cell>
          <cell r="E3584">
            <v>7.16</v>
          </cell>
          <cell r="H3584">
            <v>45441</v>
          </cell>
          <cell r="I3584">
            <v>0.53666666666666663</v>
          </cell>
          <cell r="J3584">
            <v>27.193333333333335</v>
          </cell>
        </row>
        <row r="3585">
          <cell r="B3585">
            <v>21.47</v>
          </cell>
          <cell r="C3585">
            <v>51.96</v>
          </cell>
          <cell r="D3585">
            <v>12.38</v>
          </cell>
          <cell r="E3585">
            <v>6.99</v>
          </cell>
          <cell r="H3585">
            <v>45441</v>
          </cell>
          <cell r="I3585">
            <v>0.5377777777777778</v>
          </cell>
          <cell r="J3585">
            <v>26.994444444444447</v>
          </cell>
        </row>
        <row r="3586">
          <cell r="B3586">
            <v>20.41</v>
          </cell>
          <cell r="C3586">
            <v>52.17</v>
          </cell>
          <cell r="D3586">
            <v>12.47</v>
          </cell>
          <cell r="E3586">
            <v>6.67</v>
          </cell>
          <cell r="H3586">
            <v>45441</v>
          </cell>
          <cell r="I3586">
            <v>0.5377777777777778</v>
          </cell>
          <cell r="J3586">
            <v>26.812222222222221</v>
          </cell>
        </row>
        <row r="3587">
          <cell r="B3587">
            <v>19.440000000000001</v>
          </cell>
          <cell r="C3587">
            <v>54.25</v>
          </cell>
          <cell r="D3587">
            <v>12.97</v>
          </cell>
          <cell r="E3587">
            <v>7.17</v>
          </cell>
          <cell r="H3587">
            <v>45441</v>
          </cell>
          <cell r="I3587">
            <v>0.54111111111111121</v>
          </cell>
          <cell r="J3587">
            <v>26.86</v>
          </cell>
        </row>
        <row r="3588">
          <cell r="B3588">
            <v>18.489999999999998</v>
          </cell>
          <cell r="C3588">
            <v>54.74</v>
          </cell>
          <cell r="D3588">
            <v>13.15</v>
          </cell>
          <cell r="E3588">
            <v>7.28</v>
          </cell>
          <cell r="H3588">
            <v>45441</v>
          </cell>
          <cell r="I3588">
            <v>0.5444444444444444</v>
          </cell>
          <cell r="J3588">
            <v>27.146666666666668</v>
          </cell>
        </row>
        <row r="3589">
          <cell r="B3589">
            <v>17.43</v>
          </cell>
          <cell r="C3589">
            <v>55.62</v>
          </cell>
          <cell r="D3589">
            <v>12.48</v>
          </cell>
          <cell r="E3589">
            <v>7.75</v>
          </cell>
          <cell r="H3589">
            <v>45441</v>
          </cell>
          <cell r="I3589">
            <v>0.54555555555555557</v>
          </cell>
          <cell r="J3589">
            <v>27.692222222222224</v>
          </cell>
        </row>
        <row r="3590">
          <cell r="B3590">
            <v>21.59</v>
          </cell>
          <cell r="C3590">
            <v>57.58</v>
          </cell>
          <cell r="D3590">
            <v>13.1</v>
          </cell>
          <cell r="E3590">
            <v>8.08</v>
          </cell>
          <cell r="H3590">
            <v>45441</v>
          </cell>
          <cell r="I3590">
            <v>0.55333333333333334</v>
          </cell>
          <cell r="J3590">
            <v>29.108888888888892</v>
          </cell>
        </row>
        <row r="3591">
          <cell r="B3591">
            <v>26.58</v>
          </cell>
          <cell r="C3591">
            <v>67.13</v>
          </cell>
          <cell r="D3591">
            <v>13.86</v>
          </cell>
          <cell r="E3591">
            <v>7.49</v>
          </cell>
          <cell r="H3591">
            <v>45441</v>
          </cell>
          <cell r="I3591">
            <v>0.55777777777777771</v>
          </cell>
          <cell r="J3591">
            <v>30.337777777777781</v>
          </cell>
        </row>
        <row r="3592">
          <cell r="B3592">
            <v>26.06</v>
          </cell>
          <cell r="C3592">
            <v>70.02</v>
          </cell>
          <cell r="D3592">
            <v>13.28</v>
          </cell>
          <cell r="E3592">
            <v>7.45</v>
          </cell>
          <cell r="H3592">
            <v>45441</v>
          </cell>
          <cell r="I3592">
            <v>0.55888888888888877</v>
          </cell>
          <cell r="J3592">
            <v>31.744444444444444</v>
          </cell>
        </row>
        <row r="3593">
          <cell r="B3593">
            <v>28.24</v>
          </cell>
          <cell r="C3593">
            <v>75.81</v>
          </cell>
          <cell r="D3593">
            <v>14.08</v>
          </cell>
          <cell r="E3593">
            <v>7.34</v>
          </cell>
          <cell r="H3593">
            <v>45441</v>
          </cell>
          <cell r="I3593">
            <v>0.56444444444444442</v>
          </cell>
          <cell r="J3593">
            <v>33.25</v>
          </cell>
        </row>
        <row r="3594">
          <cell r="B3594">
            <v>30.18</v>
          </cell>
          <cell r="C3594">
            <v>88.13</v>
          </cell>
          <cell r="D3594">
            <v>14.52</v>
          </cell>
          <cell r="E3594">
            <v>6.94</v>
          </cell>
          <cell r="H3594">
            <v>45441</v>
          </cell>
          <cell r="I3594">
            <v>0.56666666666666665</v>
          </cell>
          <cell r="J3594">
            <v>34.5</v>
          </cell>
        </row>
        <row r="3595">
          <cell r="B3595">
            <v>30.36</v>
          </cell>
          <cell r="C3595">
            <v>85.94</v>
          </cell>
          <cell r="D3595">
            <v>14.68</v>
          </cell>
          <cell r="E3595">
            <v>7.35</v>
          </cell>
          <cell r="H3595">
            <v>45441</v>
          </cell>
          <cell r="I3595">
            <v>0.57444444444444442</v>
          </cell>
          <cell r="J3595">
            <v>35.332222222222221</v>
          </cell>
        </row>
        <row r="3596">
          <cell r="B3596">
            <v>31.96</v>
          </cell>
          <cell r="C3596">
            <v>89.28</v>
          </cell>
          <cell r="D3596">
            <v>15.66</v>
          </cell>
          <cell r="E3596">
            <v>7.36</v>
          </cell>
          <cell r="H3596">
            <v>45441</v>
          </cell>
          <cell r="I3596">
            <v>0.58888888888888891</v>
          </cell>
          <cell r="J3596">
            <v>35.698888888888888</v>
          </cell>
        </row>
        <row r="3597">
          <cell r="B3597">
            <v>39.659999999999997</v>
          </cell>
          <cell r="C3597">
            <v>102.88</v>
          </cell>
          <cell r="D3597">
            <v>17.43</v>
          </cell>
          <cell r="E3597">
            <v>7.7</v>
          </cell>
          <cell r="H3597">
            <v>45441</v>
          </cell>
          <cell r="I3597">
            <v>0.62555555555555553</v>
          </cell>
          <cell r="J3597">
            <v>35.212222222222231</v>
          </cell>
        </row>
        <row r="3598">
          <cell r="B3598">
            <v>56.18</v>
          </cell>
          <cell r="C3598">
            <v>129.55000000000001</v>
          </cell>
          <cell r="D3598">
            <v>16.13</v>
          </cell>
          <cell r="E3598">
            <v>7.63</v>
          </cell>
          <cell r="H3598">
            <v>45441</v>
          </cell>
          <cell r="I3598">
            <v>0.6511111111111112</v>
          </cell>
          <cell r="J3598">
            <v>34.644444444444446</v>
          </cell>
        </row>
        <row r="3599">
          <cell r="B3599">
            <v>39.21</v>
          </cell>
          <cell r="C3599">
            <v>86.32</v>
          </cell>
          <cell r="D3599">
            <v>14.86</v>
          </cell>
          <cell r="E3599">
            <v>7.88</v>
          </cell>
          <cell r="H3599">
            <v>45441</v>
          </cell>
          <cell r="I3599">
            <v>0.65888888888888886</v>
          </cell>
          <cell r="J3599">
            <v>33.296666666666667</v>
          </cell>
        </row>
        <row r="3600">
          <cell r="B3600">
            <v>34.79</v>
          </cell>
          <cell r="C3600">
            <v>77.37</v>
          </cell>
          <cell r="D3600">
            <v>13.37</v>
          </cell>
          <cell r="E3600">
            <v>8.1199999999999992</v>
          </cell>
          <cell r="H3600">
            <v>45441</v>
          </cell>
          <cell r="I3600">
            <v>0.66222222222222227</v>
          </cell>
          <cell r="J3600">
            <v>32.061111111111103</v>
          </cell>
        </row>
        <row r="3601">
          <cell r="B3601">
            <v>28.67</v>
          </cell>
          <cell r="C3601">
            <v>62.97</v>
          </cell>
          <cell r="D3601">
            <v>12.49</v>
          </cell>
          <cell r="E3601">
            <v>8.0399999999999991</v>
          </cell>
          <cell r="H3601">
            <v>45441</v>
          </cell>
          <cell r="I3601">
            <v>0.66111111111111109</v>
          </cell>
          <cell r="J3601">
            <v>30.742222222222217</v>
          </cell>
        </row>
        <row r="3602">
          <cell r="B3602">
            <v>24.01</v>
          </cell>
          <cell r="C3602">
            <v>52.47</v>
          </cell>
          <cell r="D3602">
            <v>11.86</v>
          </cell>
          <cell r="E3602">
            <v>7.98</v>
          </cell>
          <cell r="H3602">
            <v>45442</v>
          </cell>
          <cell r="I3602">
            <v>0.65999999999999992</v>
          </cell>
          <cell r="J3602">
            <v>29.412222222222219</v>
          </cell>
        </row>
        <row r="3603">
          <cell r="B3603">
            <v>22.58</v>
          </cell>
          <cell r="C3603">
            <v>49.23</v>
          </cell>
          <cell r="D3603">
            <v>12</v>
          </cell>
          <cell r="E3603">
            <v>7.91</v>
          </cell>
          <cell r="H3603">
            <v>45442</v>
          </cell>
          <cell r="I3603">
            <v>0.65999999999999992</v>
          </cell>
          <cell r="J3603">
            <v>28.193333333333332</v>
          </cell>
        </row>
        <row r="3604">
          <cell r="B3604">
            <v>18.88</v>
          </cell>
          <cell r="C3604">
            <v>43.22</v>
          </cell>
          <cell r="D3604">
            <v>11.77</v>
          </cell>
          <cell r="E3604">
            <v>8.02</v>
          </cell>
          <cell r="H3604">
            <v>45442</v>
          </cell>
          <cell r="I3604">
            <v>0.6511111111111112</v>
          </cell>
          <cell r="J3604">
            <v>27.232222222222223</v>
          </cell>
        </row>
        <row r="3605">
          <cell r="B3605">
            <v>17.93</v>
          </cell>
          <cell r="C3605">
            <v>39.409999999999997</v>
          </cell>
          <cell r="D3605">
            <v>11.57</v>
          </cell>
          <cell r="E3605">
            <v>7.75</v>
          </cell>
          <cell r="H3605">
            <v>45442</v>
          </cell>
          <cell r="I3605">
            <v>0.63444444444444448</v>
          </cell>
          <cell r="J3605">
            <v>26.545555555555559</v>
          </cell>
        </row>
        <row r="3606">
          <cell r="B3606">
            <v>21.75</v>
          </cell>
          <cell r="C3606">
            <v>41.1</v>
          </cell>
          <cell r="D3606">
            <v>11.36</v>
          </cell>
          <cell r="E3606">
            <v>7.68</v>
          </cell>
          <cell r="H3606">
            <v>45442</v>
          </cell>
          <cell r="I3606">
            <v>0.60111111111111115</v>
          </cell>
          <cell r="J3606">
            <v>26.463333333333335</v>
          </cell>
        </row>
        <row r="3607">
          <cell r="B3607">
            <v>25.7</v>
          </cell>
          <cell r="C3607">
            <v>50.12</v>
          </cell>
          <cell r="D3607">
            <v>11.99</v>
          </cell>
          <cell r="E3607">
            <v>7.54</v>
          </cell>
          <cell r="H3607">
            <v>45442</v>
          </cell>
          <cell r="I3607">
            <v>0.57999999999999996</v>
          </cell>
          <cell r="J3607">
            <v>26.108888888888892</v>
          </cell>
        </row>
        <row r="3608">
          <cell r="B3608">
            <v>29.26</v>
          </cell>
          <cell r="C3608">
            <v>62.22</v>
          </cell>
          <cell r="D3608">
            <v>12.98</v>
          </cell>
          <cell r="E3608">
            <v>7.63</v>
          </cell>
          <cell r="H3608">
            <v>45442</v>
          </cell>
          <cell r="I3608">
            <v>0.57777777777777783</v>
          </cell>
          <cell r="J3608">
            <v>25.632222222222218</v>
          </cell>
        </row>
        <row r="3609">
          <cell r="B3609">
            <v>25.47</v>
          </cell>
          <cell r="C3609">
            <v>71.819999999999993</v>
          </cell>
          <cell r="D3609">
            <v>13.65</v>
          </cell>
          <cell r="E3609">
            <v>7.87</v>
          </cell>
          <cell r="H3609">
            <v>45442</v>
          </cell>
          <cell r="I3609">
            <v>0.58333333333333337</v>
          </cell>
          <cell r="J3609">
            <v>25.393333333333331</v>
          </cell>
        </row>
        <row r="3610">
          <cell r="B3610">
            <v>18.86</v>
          </cell>
          <cell r="C3610">
            <v>51.02</v>
          </cell>
          <cell r="D3610">
            <v>13.84</v>
          </cell>
          <cell r="E3610">
            <v>7.29</v>
          </cell>
          <cell r="H3610">
            <v>45442</v>
          </cell>
          <cell r="I3610">
            <v>0.59444444444444444</v>
          </cell>
          <cell r="J3610">
            <v>25.293333333333333</v>
          </cell>
        </row>
        <row r="3611">
          <cell r="B3611">
            <v>16.100000000000001</v>
          </cell>
          <cell r="C3611">
            <v>54.12</v>
          </cell>
          <cell r="D3611">
            <v>13.63</v>
          </cell>
          <cell r="E3611">
            <v>7.94</v>
          </cell>
          <cell r="H3611">
            <v>45442</v>
          </cell>
          <cell r="I3611">
            <v>0.59777777777777774</v>
          </cell>
          <cell r="J3611">
            <v>25.694444444444443</v>
          </cell>
        </row>
        <row r="3612">
          <cell r="B3612">
            <v>17.82</v>
          </cell>
          <cell r="C3612">
            <v>51.68</v>
          </cell>
          <cell r="D3612">
            <v>14.61</v>
          </cell>
          <cell r="E3612">
            <v>7.47</v>
          </cell>
          <cell r="H3612">
            <v>45442</v>
          </cell>
          <cell r="I3612">
            <v>0.60000000000000009</v>
          </cell>
          <cell r="J3612">
            <v>26.658888888888889</v>
          </cell>
        </row>
        <row r="3613">
          <cell r="B3613">
            <v>18.02</v>
          </cell>
          <cell r="C3613">
            <v>55.69</v>
          </cell>
          <cell r="D3613">
            <v>14.86</v>
          </cell>
          <cell r="E3613">
            <v>9.27</v>
          </cell>
          <cell r="H3613">
            <v>45442</v>
          </cell>
          <cell r="I3613">
            <v>0.60333333333333339</v>
          </cell>
          <cell r="J3613">
            <v>27.921111111111109</v>
          </cell>
        </row>
        <row r="3614">
          <cell r="B3614">
            <v>22.98</v>
          </cell>
          <cell r="C3614">
            <v>65.7</v>
          </cell>
          <cell r="D3614">
            <v>14.65</v>
          </cell>
          <cell r="E3614">
            <v>9.8699999999999992</v>
          </cell>
          <cell r="H3614">
            <v>45442</v>
          </cell>
          <cell r="I3614">
            <v>0.60555555555555562</v>
          </cell>
          <cell r="J3614">
            <v>29.133333333333333</v>
          </cell>
        </row>
        <row r="3615">
          <cell r="B3615">
            <v>36.67</v>
          </cell>
          <cell r="C3615">
            <v>90.8</v>
          </cell>
          <cell r="D3615">
            <v>15.06</v>
          </cell>
          <cell r="E3615">
            <v>9.92</v>
          </cell>
          <cell r="H3615">
            <v>45442</v>
          </cell>
          <cell r="I3615">
            <v>0.61</v>
          </cell>
          <cell r="J3615">
            <v>31.129999999999995</v>
          </cell>
        </row>
        <row r="3616">
          <cell r="B3616">
            <v>27.29</v>
          </cell>
          <cell r="C3616">
            <v>80.22</v>
          </cell>
          <cell r="D3616">
            <v>14.61</v>
          </cell>
          <cell r="E3616">
            <v>9.2100000000000009</v>
          </cell>
          <cell r="H3616">
            <v>45442</v>
          </cell>
          <cell r="I3616">
            <v>0.62222222222222223</v>
          </cell>
          <cell r="J3616">
            <v>32.755555555555553</v>
          </cell>
        </row>
        <row r="3617">
          <cell r="B3617">
            <v>20.83</v>
          </cell>
          <cell r="C3617">
            <v>64.900000000000006</v>
          </cell>
          <cell r="D3617">
            <v>15.53</v>
          </cell>
          <cell r="E3617">
            <v>9.1</v>
          </cell>
          <cell r="H3617">
            <v>45442</v>
          </cell>
          <cell r="I3617">
            <v>0.61777777777777776</v>
          </cell>
          <cell r="J3617">
            <v>34.565555555555555</v>
          </cell>
        </row>
        <row r="3618">
          <cell r="B3618">
            <v>20.9</v>
          </cell>
          <cell r="C3618">
            <v>61.9</v>
          </cell>
          <cell r="D3618">
            <v>14.56</v>
          </cell>
          <cell r="E3618">
            <v>8.89</v>
          </cell>
          <cell r="H3618">
            <v>45442</v>
          </cell>
          <cell r="I3618">
            <v>0.61333333333333329</v>
          </cell>
          <cell r="J3618">
            <v>35.99777777777777</v>
          </cell>
        </row>
        <row r="3619">
          <cell r="B3619">
            <v>23.3</v>
          </cell>
          <cell r="C3619">
            <v>70.83</v>
          </cell>
          <cell r="D3619">
            <v>14.05</v>
          </cell>
          <cell r="E3619">
            <v>9.06</v>
          </cell>
          <cell r="H3619">
            <v>45442</v>
          </cell>
          <cell r="I3619">
            <v>0.60888888888888881</v>
          </cell>
          <cell r="J3619">
            <v>37.056666666666665</v>
          </cell>
        </row>
        <row r="3620">
          <cell r="B3620">
            <v>28.53</v>
          </cell>
          <cell r="C3620">
            <v>82.03</v>
          </cell>
          <cell r="D3620">
            <v>14.93</v>
          </cell>
          <cell r="E3620">
            <v>9.35</v>
          </cell>
          <cell r="H3620">
            <v>45442</v>
          </cell>
          <cell r="I3620">
            <v>0.61111111111111116</v>
          </cell>
          <cell r="J3620">
            <v>37.565555555555562</v>
          </cell>
        </row>
        <row r="3621">
          <cell r="B3621">
            <v>27.64</v>
          </cell>
          <cell r="C3621">
            <v>83.07</v>
          </cell>
          <cell r="D3621">
            <v>15.76</v>
          </cell>
          <cell r="E3621">
            <v>9.2100000000000009</v>
          </cell>
          <cell r="H3621">
            <v>45442</v>
          </cell>
          <cell r="I3621">
            <v>0.62444444444444436</v>
          </cell>
          <cell r="J3621">
            <v>37.289999999999992</v>
          </cell>
        </row>
        <row r="3622">
          <cell r="B3622">
            <v>32.020000000000003</v>
          </cell>
          <cell r="C3622">
            <v>91.13</v>
          </cell>
          <cell r="D3622">
            <v>16.64</v>
          </cell>
          <cell r="E3622">
            <v>9.2100000000000009</v>
          </cell>
          <cell r="H3622">
            <v>45442</v>
          </cell>
          <cell r="I3622">
            <v>0.64666666666666661</v>
          </cell>
          <cell r="J3622">
            <v>36.61333333333333</v>
          </cell>
        </row>
        <row r="3623">
          <cell r="B3623">
            <v>35.6</v>
          </cell>
          <cell r="C3623">
            <v>90.69</v>
          </cell>
          <cell r="D3623">
            <v>16.47</v>
          </cell>
          <cell r="E3623">
            <v>9.56</v>
          </cell>
          <cell r="H3623">
            <v>45442</v>
          </cell>
          <cell r="I3623">
            <v>0.66333333333333333</v>
          </cell>
          <cell r="J3623">
            <v>35.851111111111116</v>
          </cell>
        </row>
        <row r="3624">
          <cell r="B3624">
            <v>32.049999999999997</v>
          </cell>
          <cell r="C3624">
            <v>83.56</v>
          </cell>
          <cell r="D3624">
            <v>14.74</v>
          </cell>
          <cell r="E3624">
            <v>9.02</v>
          </cell>
          <cell r="H3624">
            <v>45442</v>
          </cell>
          <cell r="I3624">
            <v>0.65888888888888886</v>
          </cell>
          <cell r="J3624">
            <v>34.148888888888884</v>
          </cell>
        </row>
        <row r="3625">
          <cell r="B3625">
            <v>25.38</v>
          </cell>
          <cell r="C3625">
            <v>69.02</v>
          </cell>
          <cell r="D3625">
            <v>13.5</v>
          </cell>
          <cell r="E3625">
            <v>9.68</v>
          </cell>
          <cell r="H3625">
            <v>45442</v>
          </cell>
          <cell r="I3625">
            <v>0.63777777777777767</v>
          </cell>
          <cell r="J3625">
            <v>32.902222222222221</v>
          </cell>
        </row>
        <row r="3626">
          <cell r="B3626">
            <v>24.32</v>
          </cell>
          <cell r="C3626">
            <v>57.13</v>
          </cell>
          <cell r="D3626">
            <v>12.34</v>
          </cell>
          <cell r="E3626">
            <v>9.18</v>
          </cell>
          <cell r="H3626">
            <v>45443</v>
          </cell>
          <cell r="I3626">
            <v>0.62999999999999989</v>
          </cell>
          <cell r="J3626">
            <v>31.545555555555559</v>
          </cell>
        </row>
        <row r="3627">
          <cell r="B3627">
            <v>21.68</v>
          </cell>
          <cell r="C3627">
            <v>56.87</v>
          </cell>
          <cell r="D3627">
            <v>11.88</v>
          </cell>
          <cell r="E3627">
            <v>7.45</v>
          </cell>
          <cell r="H3627">
            <v>45443</v>
          </cell>
          <cell r="I3627">
            <v>0.62444444444444436</v>
          </cell>
          <cell r="J3627">
            <v>30.235555555555557</v>
          </cell>
        </row>
        <row r="3628">
          <cell r="B3628">
            <v>21.32</v>
          </cell>
          <cell r="C3628">
            <v>52</v>
          </cell>
          <cell r="D3628">
            <v>12.19</v>
          </cell>
          <cell r="E3628">
            <v>7.4</v>
          </cell>
          <cell r="H3628">
            <v>45443</v>
          </cell>
          <cell r="I3628">
            <v>0.61777777777777776</v>
          </cell>
          <cell r="J3628">
            <v>29.207777777777778</v>
          </cell>
        </row>
        <row r="3629">
          <cell r="B3629">
            <v>20.7</v>
          </cell>
          <cell r="C3629">
            <v>50.49</v>
          </cell>
          <cell r="D3629">
            <v>12.04</v>
          </cell>
          <cell r="E3629">
            <v>7.4</v>
          </cell>
          <cell r="H3629">
            <v>45443</v>
          </cell>
          <cell r="I3629">
            <v>0.60444444444444445</v>
          </cell>
          <cell r="J3629">
            <v>28.25888888888889</v>
          </cell>
        </row>
        <row r="3630">
          <cell r="B3630">
            <v>19.27</v>
          </cell>
          <cell r="C3630">
            <v>45.05</v>
          </cell>
          <cell r="D3630">
            <v>12.08</v>
          </cell>
          <cell r="E3630">
            <v>7.24</v>
          </cell>
          <cell r="H3630">
            <v>45443</v>
          </cell>
          <cell r="I3630">
            <v>0.58444444444444443</v>
          </cell>
          <cell r="J3630">
            <v>27.531111111111112</v>
          </cell>
        </row>
        <row r="3631">
          <cell r="B3631">
            <v>20.43</v>
          </cell>
          <cell r="C3631">
            <v>52.22</v>
          </cell>
          <cell r="D3631">
            <v>12.2</v>
          </cell>
          <cell r="E3631">
            <v>7.4</v>
          </cell>
          <cell r="H3631">
            <v>45443</v>
          </cell>
          <cell r="I3631">
            <v>0.56555555555555559</v>
          </cell>
          <cell r="J3631">
            <v>26.865555555555559</v>
          </cell>
        </row>
        <row r="3632">
          <cell r="B3632">
            <v>20.46</v>
          </cell>
          <cell r="C3632">
            <v>55.43</v>
          </cell>
          <cell r="D3632">
            <v>13.39</v>
          </cell>
          <cell r="E3632">
            <v>7.55</v>
          </cell>
          <cell r="H3632">
            <v>45443</v>
          </cell>
          <cell r="I3632">
            <v>0.55444444444444452</v>
          </cell>
          <cell r="J3632">
            <v>26.27</v>
          </cell>
        </row>
        <row r="3633">
          <cell r="B3633">
            <v>23.82</v>
          </cell>
          <cell r="C3633">
            <v>82.13</v>
          </cell>
          <cell r="D3633">
            <v>13.79</v>
          </cell>
          <cell r="E3633">
            <v>7.7</v>
          </cell>
          <cell r="H3633">
            <v>45443</v>
          </cell>
          <cell r="I3633">
            <v>0.56333333333333324</v>
          </cell>
          <cell r="J3633">
            <v>25.987777777777779</v>
          </cell>
        </row>
        <row r="3634">
          <cell r="B3634">
            <v>22.47</v>
          </cell>
          <cell r="C3634">
            <v>60.62</v>
          </cell>
          <cell r="D3634">
            <v>14.7</v>
          </cell>
          <cell r="E3634">
            <v>7.82</v>
          </cell>
          <cell r="H3634">
            <v>45443</v>
          </cell>
          <cell r="I3634">
            <v>0.57777777777777772</v>
          </cell>
          <cell r="J3634">
            <v>26.007777777777779</v>
          </cell>
        </row>
        <row r="3635">
          <cell r="B3635">
            <v>23.45</v>
          </cell>
          <cell r="C3635">
            <v>65.48</v>
          </cell>
          <cell r="D3635">
            <v>15.31</v>
          </cell>
          <cell r="E3635">
            <v>7.49</v>
          </cell>
          <cell r="H3635">
            <v>45443</v>
          </cell>
          <cell r="I3635">
            <v>0.59111111111111103</v>
          </cell>
          <cell r="J3635">
            <v>26.585555555555555</v>
          </cell>
        </row>
        <row r="3636">
          <cell r="B3636">
            <v>22.52</v>
          </cell>
          <cell r="C3636">
            <v>67.95</v>
          </cell>
          <cell r="D3636">
            <v>15.27</v>
          </cell>
          <cell r="E3636">
            <v>7.92</v>
          </cell>
          <cell r="H3636">
            <v>45443</v>
          </cell>
          <cell r="I3636">
            <v>0.59888888888888892</v>
          </cell>
          <cell r="J3636">
            <v>27.457777777777775</v>
          </cell>
        </row>
        <row r="3637">
          <cell r="B3637">
            <v>21.52</v>
          </cell>
          <cell r="C3637">
            <v>67.930000000000007</v>
          </cell>
          <cell r="D3637">
            <v>15.83</v>
          </cell>
          <cell r="E3637">
            <v>8.0399999999999991</v>
          </cell>
          <cell r="H3637">
            <v>45443</v>
          </cell>
          <cell r="I3637">
            <v>0.60777777777777786</v>
          </cell>
          <cell r="J3637">
            <v>28.64222222222222</v>
          </cell>
        </row>
        <row r="3638">
          <cell r="B3638">
            <v>21.98</v>
          </cell>
          <cell r="C3638">
            <v>66.010000000000005</v>
          </cell>
          <cell r="D3638">
            <v>14.86</v>
          </cell>
          <cell r="E3638">
            <v>7.67</v>
          </cell>
          <cell r="H3638">
            <v>45443</v>
          </cell>
          <cell r="I3638">
            <v>0.61888888888888893</v>
          </cell>
          <cell r="J3638">
            <v>30.517777777777781</v>
          </cell>
        </row>
        <row r="3639">
          <cell r="B3639">
            <v>21.05</v>
          </cell>
          <cell r="C3639">
            <v>66</v>
          </cell>
          <cell r="D3639">
            <v>14.47</v>
          </cell>
          <cell r="E3639">
            <v>7.59</v>
          </cell>
          <cell r="H3639">
            <v>45443</v>
          </cell>
          <cell r="I3639">
            <v>0.62555555555555553</v>
          </cell>
          <cell r="J3639">
            <v>32.86333333333333</v>
          </cell>
        </row>
        <row r="3640">
          <cell r="B3640">
            <v>22.69</v>
          </cell>
          <cell r="C3640">
            <v>65.88</v>
          </cell>
          <cell r="D3640">
            <v>14.46</v>
          </cell>
          <cell r="E3640">
            <v>6.82</v>
          </cell>
          <cell r="H3640">
            <v>45443</v>
          </cell>
          <cell r="I3640">
            <v>0.62444444444444447</v>
          </cell>
          <cell r="J3640">
            <v>35.347777777777779</v>
          </cell>
        </row>
        <row r="3641">
          <cell r="B3641">
            <v>25.27</v>
          </cell>
          <cell r="C3641">
            <v>69.69</v>
          </cell>
          <cell r="D3641">
            <v>13.9</v>
          </cell>
          <cell r="E3641">
            <v>7.41</v>
          </cell>
          <cell r="H3641">
            <v>45443</v>
          </cell>
          <cell r="I3641">
            <v>0.62777777777777777</v>
          </cell>
          <cell r="J3641">
            <v>37.418888888888887</v>
          </cell>
        </row>
        <row r="3642">
          <cell r="B3642">
            <v>26.08</v>
          </cell>
          <cell r="C3642">
            <v>65.78</v>
          </cell>
          <cell r="D3642">
            <v>13.31</v>
          </cell>
          <cell r="E3642">
            <v>7.6</v>
          </cell>
          <cell r="H3642">
            <v>45443</v>
          </cell>
          <cell r="I3642">
            <v>0.62555555555555553</v>
          </cell>
          <cell r="J3642">
            <v>39.44777777777778</v>
          </cell>
        </row>
        <row r="3643">
          <cell r="B3643">
            <v>28.3</v>
          </cell>
          <cell r="C3643">
            <v>78.040000000000006</v>
          </cell>
          <cell r="D3643">
            <v>15.07</v>
          </cell>
          <cell r="E3643">
            <v>7.95</v>
          </cell>
          <cell r="H3643">
            <v>45443</v>
          </cell>
          <cell r="I3643">
            <v>0.62666666666666659</v>
          </cell>
          <cell r="J3643">
            <v>40.778888888888879</v>
          </cell>
        </row>
        <row r="3644">
          <cell r="B3644">
            <v>31.31</v>
          </cell>
          <cell r="C3644">
            <v>89.21</v>
          </cell>
          <cell r="D3644">
            <v>16.02</v>
          </cell>
          <cell r="E3644">
            <v>7.76</v>
          </cell>
          <cell r="H3644">
            <v>45443</v>
          </cell>
          <cell r="I3644">
            <v>0.6366666666666666</v>
          </cell>
          <cell r="J3644">
            <v>41.039999999999992</v>
          </cell>
        </row>
        <row r="3645">
          <cell r="B3645">
            <v>31.39</v>
          </cell>
          <cell r="C3645">
            <v>90.7</v>
          </cell>
          <cell r="D3645">
            <v>16.55</v>
          </cell>
          <cell r="E3645">
            <v>8.01</v>
          </cell>
          <cell r="H3645">
            <v>45443</v>
          </cell>
          <cell r="I3645">
            <v>0.65666666666666673</v>
          </cell>
          <cell r="J3645">
            <v>40.941111111111105</v>
          </cell>
        </row>
        <row r="3646">
          <cell r="B3646">
            <v>34.799999999999997</v>
          </cell>
          <cell r="C3646">
            <v>97.46</v>
          </cell>
          <cell r="D3646">
            <v>17.12</v>
          </cell>
          <cell r="E3646">
            <v>7.78</v>
          </cell>
          <cell r="H3646">
            <v>45443</v>
          </cell>
          <cell r="I3646">
            <v>0.67222222222222217</v>
          </cell>
          <cell r="J3646">
            <v>40.06</v>
          </cell>
        </row>
        <row r="3647">
          <cell r="B3647">
            <v>33.94</v>
          </cell>
          <cell r="C3647">
            <v>96.24</v>
          </cell>
          <cell r="D3647">
            <v>18.170000000000002</v>
          </cell>
          <cell r="E3647">
            <v>8.1</v>
          </cell>
          <cell r="H3647">
            <v>45443</v>
          </cell>
          <cell r="I3647">
            <v>0.68777777777777771</v>
          </cell>
          <cell r="J3647">
            <v>38.132222222222218</v>
          </cell>
        </row>
        <row r="3648">
          <cell r="B3648">
            <v>35.200000000000003</v>
          </cell>
          <cell r="C3648">
            <v>97.47</v>
          </cell>
          <cell r="D3648">
            <v>18.47</v>
          </cell>
          <cell r="E3648">
            <v>8.16</v>
          </cell>
          <cell r="H3648">
            <v>45443</v>
          </cell>
          <cell r="I3648">
            <v>0.71000000000000008</v>
          </cell>
          <cell r="J3648">
            <v>35.537777777777784</v>
          </cell>
        </row>
        <row r="3649">
          <cell r="B3649">
            <v>39</v>
          </cell>
          <cell r="C3649">
            <v>99.07</v>
          </cell>
          <cell r="D3649">
            <v>16.7</v>
          </cell>
          <cell r="E3649">
            <v>8.35</v>
          </cell>
          <cell r="H3649">
            <v>45443</v>
          </cell>
          <cell r="I3649">
            <v>0.72000000000000008</v>
          </cell>
          <cell r="J3649">
            <v>33.242222222222232</v>
          </cell>
        </row>
        <row r="3650">
          <cell r="B3650">
            <v>34.89</v>
          </cell>
          <cell r="C3650">
            <v>84.12</v>
          </cell>
          <cell r="D3650">
            <v>13.63</v>
          </cell>
          <cell r="E3650">
            <v>7.31</v>
          </cell>
          <cell r="H3650">
            <v>45444</v>
          </cell>
          <cell r="I3650">
            <v>0.71444444444444444</v>
          </cell>
          <cell r="J3650">
            <v>31.602222222222224</v>
          </cell>
        </row>
        <row r="3651">
          <cell r="B3651">
            <v>30.77</v>
          </cell>
          <cell r="C3651">
            <v>71.41</v>
          </cell>
          <cell r="D3651">
            <v>12.72</v>
          </cell>
          <cell r="E3651">
            <v>7.04</v>
          </cell>
          <cell r="H3651">
            <v>45444</v>
          </cell>
          <cell r="I3651">
            <v>0.70888888888888879</v>
          </cell>
          <cell r="J3651">
            <v>29.779999999999998</v>
          </cell>
        </row>
        <row r="3652">
          <cell r="B3652">
            <v>27.85</v>
          </cell>
          <cell r="C3652">
            <v>62.96</v>
          </cell>
          <cell r="D3652">
            <v>12.52</v>
          </cell>
          <cell r="E3652">
            <v>7.05</v>
          </cell>
          <cell r="H3652">
            <v>45444</v>
          </cell>
          <cell r="I3652">
            <v>0.69444444444444442</v>
          </cell>
          <cell r="J3652">
            <v>28.342222222222219</v>
          </cell>
        </row>
        <row r="3653">
          <cell r="B3653">
            <v>23.02</v>
          </cell>
          <cell r="C3653">
            <v>55.92</v>
          </cell>
          <cell r="D3653">
            <v>12.49</v>
          </cell>
          <cell r="E3653">
            <v>6.89</v>
          </cell>
          <cell r="H3653">
            <v>45444</v>
          </cell>
          <cell r="I3653">
            <v>0.67111111111111099</v>
          </cell>
          <cell r="J3653">
            <v>27.3</v>
          </cell>
        </row>
        <row r="3654">
          <cell r="B3654">
            <v>22.45</v>
          </cell>
          <cell r="C3654">
            <v>54.61</v>
          </cell>
          <cell r="D3654">
            <v>12.55</v>
          </cell>
          <cell r="E3654">
            <v>6.44</v>
          </cell>
          <cell r="H3654">
            <v>45444</v>
          </cell>
          <cell r="I3654">
            <v>0.63777777777777778</v>
          </cell>
          <cell r="J3654">
            <v>26.362222222222226</v>
          </cell>
        </row>
        <row r="3655">
          <cell r="B3655">
            <v>23.8</v>
          </cell>
          <cell r="C3655">
            <v>57.76</v>
          </cell>
          <cell r="D3655">
            <v>12.5</v>
          </cell>
          <cell r="E3655">
            <v>7.2</v>
          </cell>
          <cell r="H3655">
            <v>45444</v>
          </cell>
          <cell r="I3655">
            <v>0.61444444444444446</v>
          </cell>
          <cell r="J3655">
            <v>25.696666666666673</v>
          </cell>
        </row>
        <row r="3656">
          <cell r="B3656">
            <v>24.63</v>
          </cell>
          <cell r="C3656">
            <v>61.65</v>
          </cell>
          <cell r="D3656">
            <v>12.87</v>
          </cell>
          <cell r="E3656">
            <v>6.54</v>
          </cell>
          <cell r="H3656">
            <v>45444</v>
          </cell>
          <cell r="I3656">
            <v>0.59222222222222221</v>
          </cell>
          <cell r="J3656">
            <v>25.342222222222226</v>
          </cell>
        </row>
        <row r="3657">
          <cell r="B3657">
            <v>25.58</v>
          </cell>
          <cell r="C3657">
            <v>65.819999999999993</v>
          </cell>
          <cell r="D3657">
            <v>13.53</v>
          </cell>
          <cell r="E3657">
            <v>7.04</v>
          </cell>
          <cell r="H3657">
            <v>45444</v>
          </cell>
          <cell r="I3657">
            <v>0.56666666666666676</v>
          </cell>
          <cell r="J3657">
            <v>25.392222222222223</v>
          </cell>
        </row>
        <row r="3658">
          <cell r="B3658">
            <v>22.84</v>
          </cell>
          <cell r="C3658">
            <v>59.58</v>
          </cell>
          <cell r="D3658">
            <v>13.37</v>
          </cell>
          <cell r="E3658">
            <v>6.77</v>
          </cell>
          <cell r="H3658">
            <v>45444</v>
          </cell>
          <cell r="I3658">
            <v>0.55555555555555547</v>
          </cell>
          <cell r="J3658">
            <v>25.237777777777776</v>
          </cell>
        </row>
        <row r="3659">
          <cell r="B3659">
            <v>22.82</v>
          </cell>
          <cell r="C3659">
            <v>60.17</v>
          </cell>
          <cell r="D3659">
            <v>13.48</v>
          </cell>
          <cell r="E3659">
            <v>6.62</v>
          </cell>
          <cell r="H3659">
            <v>45444</v>
          </cell>
          <cell r="I3659">
            <v>0.55333333333333334</v>
          </cell>
          <cell r="J3659">
            <v>25.585555555555558</v>
          </cell>
        </row>
        <row r="3660">
          <cell r="B3660">
            <v>23.97</v>
          </cell>
          <cell r="C3660">
            <v>65.38</v>
          </cell>
          <cell r="D3660">
            <v>14.24</v>
          </cell>
          <cell r="E3660">
            <v>6.18</v>
          </cell>
          <cell r="H3660">
            <v>45444</v>
          </cell>
          <cell r="I3660">
            <v>0.55777777777777771</v>
          </cell>
          <cell r="J3660">
            <v>26.894444444444446</v>
          </cell>
        </row>
        <row r="3661">
          <cell r="B3661">
            <v>23.97</v>
          </cell>
          <cell r="C3661">
            <v>67.78</v>
          </cell>
          <cell r="D3661">
            <v>13.97</v>
          </cell>
          <cell r="E3661">
            <v>7.05</v>
          </cell>
          <cell r="H3661">
            <v>45444</v>
          </cell>
          <cell r="I3661">
            <v>0.57333333333333336</v>
          </cell>
          <cell r="J3661">
            <v>28.682222222222222</v>
          </cell>
        </row>
        <row r="3662">
          <cell r="B3662">
            <v>22.98</v>
          </cell>
          <cell r="C3662">
            <v>63.28</v>
          </cell>
          <cell r="D3662">
            <v>14.05</v>
          </cell>
          <cell r="E3662">
            <v>7.35</v>
          </cell>
          <cell r="H3662">
            <v>45444</v>
          </cell>
          <cell r="I3662">
            <v>0.59333333333333327</v>
          </cell>
          <cell r="J3662">
            <v>30.767777777777773</v>
          </cell>
        </row>
        <row r="3663">
          <cell r="B3663">
            <v>24.1</v>
          </cell>
          <cell r="C3663">
            <v>66.83</v>
          </cell>
          <cell r="D3663">
            <v>14.7</v>
          </cell>
          <cell r="E3663">
            <v>6.8</v>
          </cell>
          <cell r="H3663">
            <v>45444</v>
          </cell>
          <cell r="I3663">
            <v>0.61888888888888882</v>
          </cell>
          <cell r="J3663">
            <v>33.315555555555562</v>
          </cell>
        </row>
        <row r="3664">
          <cell r="B3664">
            <v>25.81</v>
          </cell>
          <cell r="C3664">
            <v>73.22</v>
          </cell>
          <cell r="D3664">
            <v>14.27</v>
          </cell>
          <cell r="E3664">
            <v>6.46</v>
          </cell>
          <cell r="H3664">
            <v>45444</v>
          </cell>
          <cell r="I3664">
            <v>0.63777777777777767</v>
          </cell>
          <cell r="J3664">
            <v>35.252222222222223</v>
          </cell>
        </row>
        <row r="3665">
          <cell r="B3665">
            <v>29.84</v>
          </cell>
          <cell r="C3665">
            <v>72.92</v>
          </cell>
          <cell r="D3665">
            <v>12.43</v>
          </cell>
          <cell r="E3665">
            <v>6.47</v>
          </cell>
          <cell r="H3665">
            <v>45444</v>
          </cell>
          <cell r="I3665">
            <v>0.64777777777777779</v>
          </cell>
          <cell r="J3665">
            <v>36.936666666666667</v>
          </cell>
        </row>
        <row r="3666">
          <cell r="B3666">
            <v>23.6</v>
          </cell>
          <cell r="C3666">
            <v>47.62</v>
          </cell>
          <cell r="D3666">
            <v>14.18</v>
          </cell>
          <cell r="E3666">
            <v>7.82</v>
          </cell>
          <cell r="H3666">
            <v>45444</v>
          </cell>
          <cell r="I3666">
            <v>0.65555555555555556</v>
          </cell>
          <cell r="J3666">
            <v>37.966666666666669</v>
          </cell>
        </row>
        <row r="3667">
          <cell r="B3667">
            <v>25.16</v>
          </cell>
          <cell r="C3667">
            <v>49.36</v>
          </cell>
          <cell r="D3667">
            <v>15.17</v>
          </cell>
          <cell r="E3667">
            <v>8.43</v>
          </cell>
          <cell r="H3667">
            <v>45444</v>
          </cell>
          <cell r="I3667">
            <v>0.67444444444444451</v>
          </cell>
          <cell r="J3667">
            <v>38.195555555555558</v>
          </cell>
        </row>
        <row r="3668">
          <cell r="B3668">
            <v>22.2</v>
          </cell>
          <cell r="C3668">
            <v>40.549999999999997</v>
          </cell>
          <cell r="D3668">
            <v>16.86</v>
          </cell>
          <cell r="E3668">
            <v>8.69</v>
          </cell>
          <cell r="H3668">
            <v>45444</v>
          </cell>
          <cell r="I3668">
            <v>0.7122222222222222</v>
          </cell>
          <cell r="J3668">
            <v>36.965555555555547</v>
          </cell>
        </row>
        <row r="3669">
          <cell r="B3669">
            <v>24.41</v>
          </cell>
          <cell r="C3669">
            <v>44.03</v>
          </cell>
          <cell r="D3669">
            <v>17.59</v>
          </cell>
          <cell r="E3669">
            <v>9.24</v>
          </cell>
          <cell r="H3669">
            <v>45444</v>
          </cell>
          <cell r="I3669">
            <v>0.74555555555555553</v>
          </cell>
          <cell r="J3669">
            <v>35.191111111111105</v>
          </cell>
        </row>
        <row r="3670">
          <cell r="B3670">
            <v>20.079999999999998</v>
          </cell>
          <cell r="C3670">
            <v>42.44</v>
          </cell>
          <cell r="D3670">
            <v>14.84</v>
          </cell>
          <cell r="E3670">
            <v>7.16</v>
          </cell>
          <cell r="H3670">
            <v>45444</v>
          </cell>
          <cell r="I3670">
            <v>0.74777777777777776</v>
          </cell>
          <cell r="J3670">
            <v>33.154444444444444</v>
          </cell>
        </row>
        <row r="3671">
          <cell r="B3671">
            <v>14.06</v>
          </cell>
          <cell r="C3671">
            <v>29.66</v>
          </cell>
          <cell r="D3671">
            <v>15.24</v>
          </cell>
          <cell r="E3671">
            <v>9.01</v>
          </cell>
          <cell r="H3671">
            <v>45444</v>
          </cell>
          <cell r="I3671">
            <v>0.73666666666666658</v>
          </cell>
          <cell r="J3671">
            <v>31.230000000000004</v>
          </cell>
        </row>
        <row r="3672">
          <cell r="B3672">
            <v>13.07</v>
          </cell>
          <cell r="C3672">
            <v>26.15</v>
          </cell>
          <cell r="D3672">
            <v>16.13</v>
          </cell>
          <cell r="E3672">
            <v>8.9700000000000006</v>
          </cell>
          <cell r="H3672">
            <v>45444</v>
          </cell>
          <cell r="I3672">
            <v>0.72111111111111104</v>
          </cell>
          <cell r="J3672">
            <v>28.965555555555561</v>
          </cell>
        </row>
        <row r="3673">
          <cell r="B3673">
            <v>18.309999999999999</v>
          </cell>
          <cell r="C3673">
            <v>33.44</v>
          </cell>
          <cell r="D3673">
            <v>15.45</v>
          </cell>
          <cell r="E3673">
            <v>8.6300000000000008</v>
          </cell>
          <cell r="H3673">
            <v>45444</v>
          </cell>
          <cell r="I3673">
            <v>0.72111111111111115</v>
          </cell>
          <cell r="J3673">
            <v>27.686666666666664</v>
          </cell>
        </row>
        <row r="3674">
          <cell r="B3674">
            <v>18.649999999999999</v>
          </cell>
          <cell r="C3674">
            <v>34.15</v>
          </cell>
          <cell r="D3674">
            <v>14.66</v>
          </cell>
          <cell r="E3674">
            <v>8.98</v>
          </cell>
          <cell r="H3674">
            <v>45445</v>
          </cell>
          <cell r="I3674">
            <v>0.71555555555555561</v>
          </cell>
          <cell r="J3674">
            <v>26.783333333333335</v>
          </cell>
        </row>
        <row r="3675">
          <cell r="B3675">
            <v>13.91</v>
          </cell>
          <cell r="C3675">
            <v>29.2</v>
          </cell>
          <cell r="D3675">
            <v>13.83</v>
          </cell>
          <cell r="E3675">
            <v>7.2</v>
          </cell>
          <cell r="H3675">
            <v>45445</v>
          </cell>
          <cell r="I3675">
            <v>0.70444444444444443</v>
          </cell>
          <cell r="J3675">
            <v>26.756666666666668</v>
          </cell>
        </row>
        <row r="3676">
          <cell r="B3676">
            <v>12.26</v>
          </cell>
          <cell r="C3676">
            <v>26.15</v>
          </cell>
          <cell r="D3676">
            <v>13.96</v>
          </cell>
          <cell r="E3676">
            <v>7.08</v>
          </cell>
          <cell r="H3676">
            <v>45445</v>
          </cell>
          <cell r="I3676">
            <v>0.67888888888888888</v>
          </cell>
          <cell r="J3676">
            <v>27.227777777777774</v>
          </cell>
        </row>
        <row r="3677">
          <cell r="B3677">
            <v>14.27</v>
          </cell>
          <cell r="C3677">
            <v>29.48</v>
          </cell>
          <cell r="D3677">
            <v>14.06</v>
          </cell>
          <cell r="E3677">
            <v>7.14</v>
          </cell>
          <cell r="H3677">
            <v>45445</v>
          </cell>
          <cell r="I3677">
            <v>0.63666666666666671</v>
          </cell>
          <cell r="J3677">
            <v>28.027777777777775</v>
          </cell>
        </row>
        <row r="3678">
          <cell r="B3678">
            <v>16.61</v>
          </cell>
          <cell r="C3678">
            <v>32.58</v>
          </cell>
          <cell r="D3678">
            <v>14.31</v>
          </cell>
          <cell r="E3678">
            <v>7.17</v>
          </cell>
          <cell r="H3678">
            <v>45445</v>
          </cell>
          <cell r="I3678">
            <v>0.59444444444444455</v>
          </cell>
          <cell r="J3678">
            <v>28.407777777777774</v>
          </cell>
        </row>
        <row r="3679">
          <cell r="B3679">
            <v>17.170000000000002</v>
          </cell>
          <cell r="C3679">
            <v>34.130000000000003</v>
          </cell>
          <cell r="D3679">
            <v>13.62</v>
          </cell>
          <cell r="E3679">
            <v>6.91</v>
          </cell>
          <cell r="H3679">
            <v>45445</v>
          </cell>
          <cell r="I3679">
            <v>0.58777777777777773</v>
          </cell>
          <cell r="J3679">
            <v>28.952222222222222</v>
          </cell>
        </row>
        <row r="3680">
          <cell r="B3680">
            <v>18.13</v>
          </cell>
          <cell r="C3680">
            <v>35.549999999999997</v>
          </cell>
          <cell r="D3680">
            <v>14.15</v>
          </cell>
          <cell r="E3680">
            <v>6.81</v>
          </cell>
          <cell r="H3680">
            <v>45445</v>
          </cell>
          <cell r="I3680">
            <v>0.59444444444444455</v>
          </cell>
          <cell r="J3680">
            <v>28.831111111111106</v>
          </cell>
        </row>
        <row r="3681">
          <cell r="B3681">
            <v>18.8</v>
          </cell>
          <cell r="C3681">
            <v>39.19</v>
          </cell>
          <cell r="D3681">
            <v>14.81</v>
          </cell>
          <cell r="E3681">
            <v>6.71</v>
          </cell>
          <cell r="H3681">
            <v>45445</v>
          </cell>
          <cell r="I3681">
            <v>0.60333333333333339</v>
          </cell>
          <cell r="J3681">
            <v>29.06666666666667</v>
          </cell>
        </row>
        <row r="3682">
          <cell r="B3682">
            <v>18.600000000000001</v>
          </cell>
          <cell r="C3682">
            <v>41.44</v>
          </cell>
          <cell r="D3682">
            <v>14.62</v>
          </cell>
          <cell r="E3682">
            <v>6.52</v>
          </cell>
          <cell r="H3682">
            <v>45445</v>
          </cell>
          <cell r="I3682">
            <v>0.60222222222222233</v>
          </cell>
          <cell r="J3682">
            <v>29.426666666666662</v>
          </cell>
        </row>
        <row r="3683">
          <cell r="B3683">
            <v>17.59</v>
          </cell>
          <cell r="C3683">
            <v>40.61</v>
          </cell>
          <cell r="D3683">
            <v>14.08</v>
          </cell>
          <cell r="E3683">
            <v>6.25</v>
          </cell>
          <cell r="H3683">
            <v>45445</v>
          </cell>
          <cell r="I3683">
            <v>0.6166666666666667</v>
          </cell>
          <cell r="J3683">
            <v>30.535555555555561</v>
          </cell>
        </row>
        <row r="3684">
          <cell r="B3684">
            <v>17.11</v>
          </cell>
          <cell r="C3684">
            <v>38.35</v>
          </cell>
          <cell r="D3684">
            <v>14.42</v>
          </cell>
          <cell r="E3684">
            <v>6.47</v>
          </cell>
          <cell r="H3684">
            <v>45445</v>
          </cell>
          <cell r="I3684">
            <v>0.63666666666666671</v>
          </cell>
          <cell r="J3684">
            <v>31.39222222222222</v>
          </cell>
        </row>
        <row r="3685">
          <cell r="B3685">
            <v>15.26</v>
          </cell>
          <cell r="C3685">
            <v>34.299999999999997</v>
          </cell>
          <cell r="D3685">
            <v>14.52</v>
          </cell>
          <cell r="E3685">
            <v>7.87</v>
          </cell>
          <cell r="H3685">
            <v>45445</v>
          </cell>
          <cell r="I3685">
            <v>0.66111111111111098</v>
          </cell>
          <cell r="J3685">
            <v>32.815555555555562</v>
          </cell>
        </row>
        <row r="3686">
          <cell r="B3686">
            <v>14.77</v>
          </cell>
          <cell r="C3686">
            <v>32.33</v>
          </cell>
          <cell r="D3686">
            <v>14.77</v>
          </cell>
          <cell r="E3686">
            <v>8.1300000000000008</v>
          </cell>
          <cell r="H3686">
            <v>45445</v>
          </cell>
          <cell r="I3686">
            <v>0.68</v>
          </cell>
          <cell r="J3686">
            <v>34.42</v>
          </cell>
        </row>
        <row r="3687">
          <cell r="B3687">
            <v>14.02</v>
          </cell>
          <cell r="C3687">
            <v>32.47</v>
          </cell>
          <cell r="D3687">
            <v>15.08</v>
          </cell>
          <cell r="E3687">
            <v>8.42</v>
          </cell>
          <cell r="H3687">
            <v>45445</v>
          </cell>
          <cell r="I3687">
            <v>0.70222222222222219</v>
          </cell>
          <cell r="J3687">
            <v>35.666666666666671</v>
          </cell>
        </row>
        <row r="3688">
          <cell r="B3688">
            <v>14.42</v>
          </cell>
          <cell r="C3688">
            <v>32.549999999999997</v>
          </cell>
          <cell r="D3688">
            <v>14.82</v>
          </cell>
          <cell r="E3688">
            <v>8.1300000000000008</v>
          </cell>
          <cell r="H3688">
            <v>45445</v>
          </cell>
          <cell r="I3688">
            <v>0.71777777777777774</v>
          </cell>
          <cell r="J3688">
            <v>36.527777777777779</v>
          </cell>
        </row>
        <row r="3689">
          <cell r="B3689">
            <v>15.76</v>
          </cell>
          <cell r="C3689">
            <v>33.82</v>
          </cell>
          <cell r="D3689">
            <v>15</v>
          </cell>
          <cell r="E3689">
            <v>8.4499999999999993</v>
          </cell>
          <cell r="H3689">
            <v>45445</v>
          </cell>
          <cell r="I3689">
            <v>0.73111111111111116</v>
          </cell>
          <cell r="J3689">
            <v>37.99</v>
          </cell>
        </row>
        <row r="3690">
          <cell r="B3690">
            <v>15.71</v>
          </cell>
          <cell r="C3690">
            <v>35.79</v>
          </cell>
          <cell r="D3690">
            <v>13.89</v>
          </cell>
          <cell r="E3690">
            <v>7.66</v>
          </cell>
          <cell r="H3690">
            <v>45445</v>
          </cell>
          <cell r="I3690">
            <v>0.74</v>
          </cell>
          <cell r="J3690">
            <v>39.488888888888887</v>
          </cell>
        </row>
        <row r="3691">
          <cell r="B3691">
            <v>17.28</v>
          </cell>
          <cell r="C3691">
            <v>97.66</v>
          </cell>
          <cell r="D3691">
            <v>15.05</v>
          </cell>
          <cell r="E3691">
            <v>7.44</v>
          </cell>
          <cell r="H3691">
            <v>45445</v>
          </cell>
          <cell r="I3691">
            <v>0.74555555555555542</v>
          </cell>
          <cell r="J3691">
            <v>40.311111111111103</v>
          </cell>
        </row>
        <row r="3692">
          <cell r="B3692">
            <v>19.72</v>
          </cell>
          <cell r="C3692">
            <v>111</v>
          </cell>
          <cell r="D3692">
            <v>14.77</v>
          </cell>
          <cell r="E3692">
            <v>7.69</v>
          </cell>
          <cell r="H3692">
            <v>45445</v>
          </cell>
          <cell r="I3692">
            <v>0.75111111111111117</v>
          </cell>
          <cell r="J3692">
            <v>40.414444444444442</v>
          </cell>
        </row>
        <row r="3693">
          <cell r="B3693">
            <v>105.32</v>
          </cell>
          <cell r="C3693">
            <v>65.8</v>
          </cell>
          <cell r="D3693">
            <v>14.23</v>
          </cell>
          <cell r="E3693">
            <v>8.06</v>
          </cell>
          <cell r="H3693">
            <v>45445</v>
          </cell>
          <cell r="I3693">
            <v>0.7533333333333333</v>
          </cell>
          <cell r="J3693">
            <v>39.67</v>
          </cell>
        </row>
        <row r="3694">
          <cell r="B3694">
            <v>28.61</v>
          </cell>
          <cell r="C3694">
            <v>56.86</v>
          </cell>
          <cell r="D3694">
            <v>16.32</v>
          </cell>
          <cell r="E3694">
            <v>6.64</v>
          </cell>
          <cell r="H3694">
            <v>45445</v>
          </cell>
          <cell r="I3694">
            <v>0.76</v>
          </cell>
          <cell r="J3694">
            <v>38.354444444444447</v>
          </cell>
        </row>
        <row r="3695">
          <cell r="B3695">
            <v>16.63</v>
          </cell>
          <cell r="C3695">
            <v>29.99</v>
          </cell>
          <cell r="D3695">
            <v>15.79</v>
          </cell>
          <cell r="E3695">
            <v>7.43</v>
          </cell>
          <cell r="H3695">
            <v>45445</v>
          </cell>
          <cell r="I3695">
            <v>0.77444444444444449</v>
          </cell>
          <cell r="J3695">
            <v>37.31111111111111</v>
          </cell>
        </row>
        <row r="3696">
          <cell r="B3696">
            <v>18.2</v>
          </cell>
          <cell r="C3696">
            <v>42.48</v>
          </cell>
          <cell r="D3696">
            <v>15.56</v>
          </cell>
          <cell r="E3696">
            <v>7.24</v>
          </cell>
          <cell r="H3696">
            <v>45445</v>
          </cell>
          <cell r="I3696">
            <v>0.78333333333333344</v>
          </cell>
          <cell r="J3696">
            <v>36.86</v>
          </cell>
        </row>
        <row r="3697">
          <cell r="B3697">
            <v>15.59</v>
          </cell>
          <cell r="C3697">
            <v>40.28</v>
          </cell>
          <cell r="D3697">
            <v>15.12</v>
          </cell>
          <cell r="E3697">
            <v>6.94</v>
          </cell>
          <cell r="H3697">
            <v>45445</v>
          </cell>
          <cell r="I3697">
            <v>0.7977777777777777</v>
          </cell>
          <cell r="J3697">
            <v>36.565555555555555</v>
          </cell>
        </row>
        <row r="3698">
          <cell r="B3698">
            <v>12.23</v>
          </cell>
          <cell r="C3698">
            <v>22.65</v>
          </cell>
          <cell r="D3698">
            <v>14.16</v>
          </cell>
          <cell r="E3698">
            <v>6.49</v>
          </cell>
          <cell r="H3698">
            <v>45446</v>
          </cell>
          <cell r="I3698">
            <v>0.79222222222222216</v>
          </cell>
          <cell r="J3698">
            <v>35.921111111111109</v>
          </cell>
        </row>
        <row r="3699">
          <cell r="B3699">
            <v>13.08</v>
          </cell>
          <cell r="C3699">
            <v>22.62</v>
          </cell>
          <cell r="D3699">
            <v>13.95</v>
          </cell>
          <cell r="E3699">
            <v>6.43</v>
          </cell>
          <cell r="H3699">
            <v>45446</v>
          </cell>
          <cell r="I3699">
            <v>0.77555555555555544</v>
          </cell>
          <cell r="J3699">
            <v>34.872222222222227</v>
          </cell>
        </row>
        <row r="3700">
          <cell r="B3700">
            <v>12.91</v>
          </cell>
          <cell r="C3700">
            <v>21.66</v>
          </cell>
          <cell r="D3700">
            <v>13.85</v>
          </cell>
          <cell r="E3700">
            <v>5.82</v>
          </cell>
          <cell r="H3700">
            <v>45446</v>
          </cell>
          <cell r="I3700">
            <v>0.78111111111111109</v>
          </cell>
          <cell r="J3700">
            <v>34.084444444444443</v>
          </cell>
        </row>
        <row r="3701">
          <cell r="B3701">
            <v>11.5</v>
          </cell>
          <cell r="C3701">
            <v>23.45</v>
          </cell>
          <cell r="D3701">
            <v>13.86</v>
          </cell>
          <cell r="E3701">
            <v>5.75</v>
          </cell>
          <cell r="H3701">
            <v>45446</v>
          </cell>
          <cell r="I3701">
            <v>0.76111111111111118</v>
          </cell>
          <cell r="J3701">
            <v>32.804444444444442</v>
          </cell>
        </row>
        <row r="3702">
          <cell r="B3702">
            <v>13.48</v>
          </cell>
          <cell r="C3702">
            <v>26.94</v>
          </cell>
          <cell r="D3702">
            <v>14</v>
          </cell>
          <cell r="E3702">
            <v>5.59</v>
          </cell>
          <cell r="H3702">
            <v>45446</v>
          </cell>
          <cell r="I3702">
            <v>0.74777777777777787</v>
          </cell>
          <cell r="J3702">
            <v>31.943333333333335</v>
          </cell>
        </row>
        <row r="3703">
          <cell r="B3703">
            <v>13.11</v>
          </cell>
          <cell r="C3703">
            <v>27.13</v>
          </cell>
          <cell r="D3703">
            <v>14.39</v>
          </cell>
          <cell r="E3703">
            <v>5.81</v>
          </cell>
          <cell r="H3703">
            <v>45446</v>
          </cell>
          <cell r="I3703">
            <v>0.74444444444444446</v>
          </cell>
          <cell r="J3703">
            <v>31.097777777777779</v>
          </cell>
        </row>
        <row r="3704">
          <cell r="B3704">
            <v>16.190000000000001</v>
          </cell>
          <cell r="C3704">
            <v>35.28</v>
          </cell>
          <cell r="D3704">
            <v>14.59</v>
          </cell>
          <cell r="E3704">
            <v>6.37</v>
          </cell>
          <cell r="H3704">
            <v>45446</v>
          </cell>
          <cell r="I3704">
            <v>0.7466666666666667</v>
          </cell>
          <cell r="J3704">
            <v>30.314444444444447</v>
          </cell>
        </row>
        <row r="3705">
          <cell r="B3705">
            <v>17.920000000000002</v>
          </cell>
          <cell r="C3705">
            <v>39.78</v>
          </cell>
          <cell r="D3705">
            <v>15.24</v>
          </cell>
          <cell r="E3705">
            <v>6.28</v>
          </cell>
          <cell r="H3705">
            <v>45446</v>
          </cell>
          <cell r="I3705">
            <v>0.7466666666666667</v>
          </cell>
          <cell r="J3705">
            <v>29.472222222222229</v>
          </cell>
        </row>
        <row r="3706">
          <cell r="B3706">
            <v>23.25</v>
          </cell>
          <cell r="C3706">
            <v>54.28</v>
          </cell>
          <cell r="D3706">
            <v>15.07</v>
          </cell>
          <cell r="E3706">
            <v>6.01</v>
          </cell>
          <cell r="H3706">
            <v>45446</v>
          </cell>
          <cell r="I3706">
            <v>0.73666666666666669</v>
          </cell>
          <cell r="J3706">
            <v>28.417777777777779</v>
          </cell>
        </row>
        <row r="3707">
          <cell r="B3707">
            <v>15.47</v>
          </cell>
          <cell r="C3707">
            <v>39.9</v>
          </cell>
          <cell r="D3707">
            <v>16.21</v>
          </cell>
          <cell r="E3707">
            <v>6.88</v>
          </cell>
          <cell r="H3707">
            <v>45446</v>
          </cell>
          <cell r="I3707">
            <v>0.73777777777777787</v>
          </cell>
          <cell r="J3707">
            <v>28.393333333333331</v>
          </cell>
        </row>
        <row r="3708">
          <cell r="B3708">
            <v>14.62</v>
          </cell>
          <cell r="C3708">
            <v>43.74</v>
          </cell>
          <cell r="D3708">
            <v>16.190000000000001</v>
          </cell>
          <cell r="E3708">
            <v>7.53</v>
          </cell>
          <cell r="H3708">
            <v>45446</v>
          </cell>
          <cell r="I3708">
            <v>0.74555555555555542</v>
          </cell>
          <cell r="J3708">
            <v>28.297777777777778</v>
          </cell>
        </row>
        <row r="3709">
          <cell r="B3709">
            <v>13.23</v>
          </cell>
          <cell r="C3709">
            <v>48.1</v>
          </cell>
          <cell r="D3709">
            <v>18.3</v>
          </cell>
          <cell r="E3709">
            <v>6.94</v>
          </cell>
          <cell r="H3709">
            <v>45446</v>
          </cell>
          <cell r="I3709">
            <v>0.72888888888888892</v>
          </cell>
          <cell r="J3709">
            <v>28.82</v>
          </cell>
        </row>
        <row r="3710">
          <cell r="B3710">
            <v>15.6</v>
          </cell>
          <cell r="C3710">
            <v>52.75</v>
          </cell>
          <cell r="D3710">
            <v>17.239999999999998</v>
          </cell>
          <cell r="E3710">
            <v>6.74</v>
          </cell>
          <cell r="H3710">
            <v>45446</v>
          </cell>
          <cell r="I3710">
            <v>0.79666666666666675</v>
          </cell>
          <cell r="J3710">
            <v>30.18666666666666</v>
          </cell>
        </row>
        <row r="3711">
          <cell r="B3711">
            <v>17.59</v>
          </cell>
          <cell r="C3711">
            <v>58.73</v>
          </cell>
          <cell r="D3711">
            <v>17.25</v>
          </cell>
          <cell r="E3711">
            <v>7.38</v>
          </cell>
          <cell r="H3711">
            <v>45446</v>
          </cell>
          <cell r="I3711">
            <v>0.80444444444444452</v>
          </cell>
          <cell r="J3711">
            <v>32.193333333333335</v>
          </cell>
        </row>
        <row r="3712">
          <cell r="B3712">
            <v>20.87</v>
          </cell>
          <cell r="C3712">
            <v>70.150000000000006</v>
          </cell>
          <cell r="D3712">
            <v>17</v>
          </cell>
          <cell r="E3712">
            <v>8.24</v>
          </cell>
          <cell r="H3712">
            <v>45446</v>
          </cell>
          <cell r="I3712">
            <v>0.78666666666666663</v>
          </cell>
          <cell r="J3712">
            <v>34.482222222222227</v>
          </cell>
        </row>
        <row r="3713">
          <cell r="B3713">
            <v>19.87</v>
          </cell>
          <cell r="C3713">
            <v>42.79</v>
          </cell>
          <cell r="D3713">
            <v>16.559999999999999</v>
          </cell>
          <cell r="E3713">
            <v>7.22</v>
          </cell>
          <cell r="H3713">
            <v>45446</v>
          </cell>
          <cell r="I3713">
            <v>0.76000000000000012</v>
          </cell>
          <cell r="J3713">
            <v>37.379999999999995</v>
          </cell>
        </row>
        <row r="3714">
          <cell r="B3714">
            <v>19.87</v>
          </cell>
          <cell r="C3714">
            <v>41.16</v>
          </cell>
          <cell r="D3714">
            <v>16.91</v>
          </cell>
          <cell r="E3714">
            <v>7.04</v>
          </cell>
          <cell r="H3714">
            <v>45446</v>
          </cell>
          <cell r="I3714">
            <v>0.73444444444444446</v>
          </cell>
          <cell r="J3714">
            <v>40.077777777777776</v>
          </cell>
        </row>
        <row r="3715">
          <cell r="B3715">
            <v>18.86</v>
          </cell>
          <cell r="C3715">
            <v>43.92</v>
          </cell>
          <cell r="D3715">
            <v>15.28</v>
          </cell>
          <cell r="E3715">
            <v>6.91</v>
          </cell>
          <cell r="H3715">
            <v>45446</v>
          </cell>
          <cell r="I3715">
            <v>0.72000000000000008</v>
          </cell>
          <cell r="J3715">
            <v>42.276666666666671</v>
          </cell>
        </row>
        <row r="3716">
          <cell r="B3716">
            <v>20.309999999999999</v>
          </cell>
          <cell r="C3716">
            <v>47.68</v>
          </cell>
          <cell r="D3716">
            <v>15.3</v>
          </cell>
          <cell r="E3716">
            <v>6.78</v>
          </cell>
          <cell r="H3716">
            <v>45446</v>
          </cell>
          <cell r="I3716">
            <v>0.72555555555555562</v>
          </cell>
          <cell r="J3716">
            <v>42.558888888888887</v>
          </cell>
        </row>
        <row r="3717">
          <cell r="B3717">
            <v>25.99</v>
          </cell>
          <cell r="C3717">
            <v>70.44</v>
          </cell>
          <cell r="D3717">
            <v>16.600000000000001</v>
          </cell>
          <cell r="E3717">
            <v>7.14</v>
          </cell>
          <cell r="H3717">
            <v>45446</v>
          </cell>
          <cell r="I3717">
            <v>0.73777777777777787</v>
          </cell>
          <cell r="J3717">
            <v>42.115555555555552</v>
          </cell>
        </row>
        <row r="3718">
          <cell r="B3718">
            <v>28.77</v>
          </cell>
          <cell r="C3718">
            <v>72</v>
          </cell>
          <cell r="D3718">
            <v>14.54</v>
          </cell>
          <cell r="E3718">
            <v>9.61</v>
          </cell>
          <cell r="H3718">
            <v>45446</v>
          </cell>
          <cell r="I3718">
            <v>0.7366666666666668</v>
          </cell>
          <cell r="J3718">
            <v>41.317777777777778</v>
          </cell>
        </row>
        <row r="3719">
          <cell r="B3719">
            <v>20.97</v>
          </cell>
          <cell r="C3719">
            <v>52.83</v>
          </cell>
          <cell r="D3719">
            <v>14.51</v>
          </cell>
          <cell r="E3719">
            <v>7.15</v>
          </cell>
          <cell r="H3719">
            <v>45446</v>
          </cell>
          <cell r="I3719">
            <v>0.67</v>
          </cell>
          <cell r="J3719">
            <v>39.953333333333333</v>
          </cell>
        </row>
        <row r="3720">
          <cell r="B3720">
            <v>19.05</v>
          </cell>
          <cell r="C3720">
            <v>51.15</v>
          </cell>
          <cell r="D3720">
            <v>14.43</v>
          </cell>
          <cell r="E3720">
            <v>6.85</v>
          </cell>
          <cell r="H3720">
            <v>45446</v>
          </cell>
          <cell r="I3720">
            <v>0.6611111111111112</v>
          </cell>
          <cell r="J3720">
            <v>38.222222222222221</v>
          </cell>
        </row>
        <row r="3721">
          <cell r="B3721">
            <v>17.96</v>
          </cell>
          <cell r="C3721">
            <v>51.71</v>
          </cell>
          <cell r="D3721">
            <v>13.88</v>
          </cell>
          <cell r="E3721">
            <v>6.82</v>
          </cell>
          <cell r="H3721">
            <v>45446</v>
          </cell>
          <cell r="I3721">
            <v>0.65888888888888886</v>
          </cell>
          <cell r="J3721">
            <v>36.288888888888884</v>
          </cell>
        </row>
        <row r="3722">
          <cell r="B3722">
            <v>18.23</v>
          </cell>
          <cell r="C3722">
            <v>45.29</v>
          </cell>
          <cell r="D3722">
            <v>13.6</v>
          </cell>
          <cell r="E3722">
            <v>6.51</v>
          </cell>
          <cell r="H3722">
            <v>45447</v>
          </cell>
          <cell r="I3722">
            <v>0.65111111111111108</v>
          </cell>
          <cell r="J3722">
            <v>33.64</v>
          </cell>
        </row>
        <row r="3723">
          <cell r="B3723">
            <v>19.12</v>
          </cell>
          <cell r="C3723">
            <v>47.66</v>
          </cell>
          <cell r="D3723">
            <v>13.79</v>
          </cell>
          <cell r="E3723">
            <v>6.63</v>
          </cell>
          <cell r="H3723">
            <v>45447</v>
          </cell>
          <cell r="I3723">
            <v>0.65111111111111108</v>
          </cell>
          <cell r="J3723">
            <v>31.075555555555557</v>
          </cell>
        </row>
        <row r="3724">
          <cell r="B3724">
            <v>18.54</v>
          </cell>
          <cell r="C3724">
            <v>47.45</v>
          </cell>
          <cell r="D3724">
            <v>13.64</v>
          </cell>
          <cell r="E3724">
            <v>6.46</v>
          </cell>
          <cell r="H3724">
            <v>45447</v>
          </cell>
          <cell r="I3724">
            <v>0.64111111111111108</v>
          </cell>
          <cell r="J3724">
            <v>29.112222222222222</v>
          </cell>
        </row>
        <row r="3725">
          <cell r="B3725">
            <v>18.510000000000002</v>
          </cell>
          <cell r="C3725">
            <v>43.32</v>
          </cell>
          <cell r="D3725">
            <v>14.41</v>
          </cell>
          <cell r="E3725">
            <v>6.33</v>
          </cell>
          <cell r="H3725">
            <v>45447</v>
          </cell>
          <cell r="I3725">
            <v>0.62444444444444447</v>
          </cell>
          <cell r="J3725">
            <v>28.067777777777778</v>
          </cell>
        </row>
        <row r="3726">
          <cell r="B3726">
            <v>19.39</v>
          </cell>
          <cell r="C3726">
            <v>43.26</v>
          </cell>
          <cell r="D3726">
            <v>13.84</v>
          </cell>
          <cell r="E3726">
            <v>6.47</v>
          </cell>
          <cell r="H3726">
            <v>45447</v>
          </cell>
          <cell r="I3726">
            <v>0.60777777777777775</v>
          </cell>
          <cell r="J3726">
            <v>27.772222222222222</v>
          </cell>
        </row>
        <row r="3727">
          <cell r="B3727">
            <v>20.5</v>
          </cell>
          <cell r="C3727">
            <v>46.11</v>
          </cell>
          <cell r="D3727">
            <v>13.86</v>
          </cell>
          <cell r="E3727">
            <v>6.95</v>
          </cell>
          <cell r="H3727">
            <v>45447</v>
          </cell>
          <cell r="I3727">
            <v>0.60777777777777786</v>
          </cell>
          <cell r="J3727">
            <v>27.224444444444444</v>
          </cell>
        </row>
        <row r="3728">
          <cell r="B3728">
            <v>20.77</v>
          </cell>
          <cell r="C3728">
            <v>43.65</v>
          </cell>
          <cell r="D3728">
            <v>14.24</v>
          </cell>
          <cell r="E3728">
            <v>6.65</v>
          </cell>
          <cell r="H3728">
            <v>45447</v>
          </cell>
          <cell r="I3728">
            <v>0.61222222222222233</v>
          </cell>
          <cell r="J3728">
            <v>26.838888888888889</v>
          </cell>
        </row>
        <row r="3729">
          <cell r="B3729">
            <v>20.350000000000001</v>
          </cell>
          <cell r="C3729">
            <v>51.69</v>
          </cell>
          <cell r="D3729">
            <v>14.91</v>
          </cell>
          <cell r="E3729">
            <v>7.01</v>
          </cell>
          <cell r="H3729">
            <v>45447</v>
          </cell>
          <cell r="I3729">
            <v>0.61444444444444446</v>
          </cell>
          <cell r="J3729">
            <v>26.625555555555554</v>
          </cell>
        </row>
        <row r="3730">
          <cell r="B3730">
            <v>20.149999999999999</v>
          </cell>
          <cell r="C3730">
            <v>53.7</v>
          </cell>
          <cell r="D3730">
            <v>14.61</v>
          </cell>
          <cell r="E3730">
            <v>6.84</v>
          </cell>
          <cell r="H3730">
            <v>45447</v>
          </cell>
          <cell r="I3730">
            <v>0.62</v>
          </cell>
          <cell r="J3730">
            <v>26.55777777777778</v>
          </cell>
        </row>
        <row r="3731">
          <cell r="B3731">
            <v>20.440000000000001</v>
          </cell>
          <cell r="C3731">
            <v>48.48</v>
          </cell>
          <cell r="D3731">
            <v>14.62</v>
          </cell>
          <cell r="E3731">
            <v>9.59</v>
          </cell>
          <cell r="H3731">
            <v>45447</v>
          </cell>
          <cell r="I3731">
            <v>0.63111111111111118</v>
          </cell>
          <cell r="J3731">
            <v>26.78</v>
          </cell>
        </row>
        <row r="3732">
          <cell r="B3732">
            <v>19.649999999999999</v>
          </cell>
          <cell r="C3732">
            <v>50.37</v>
          </cell>
          <cell r="D3732">
            <v>14.8</v>
          </cell>
          <cell r="E3732">
            <v>11.35</v>
          </cell>
          <cell r="H3732">
            <v>45447</v>
          </cell>
          <cell r="I3732">
            <v>0.63111111111111118</v>
          </cell>
          <cell r="J3732">
            <v>27.545555555555563</v>
          </cell>
        </row>
        <row r="3733">
          <cell r="B3733">
            <v>19.510000000000002</v>
          </cell>
          <cell r="C3733">
            <v>48.5</v>
          </cell>
          <cell r="D3733">
            <v>15.07</v>
          </cell>
          <cell r="E3733">
            <v>10.81</v>
          </cell>
          <cell r="H3733">
            <v>45447</v>
          </cell>
          <cell r="I3733">
            <v>0.62888888888888894</v>
          </cell>
          <cell r="J3733">
            <v>28.617777777777778</v>
          </cell>
        </row>
        <row r="3734">
          <cell r="B3734">
            <v>18.86</v>
          </cell>
          <cell r="C3734">
            <v>44.4</v>
          </cell>
          <cell r="D3734">
            <v>14.59</v>
          </cell>
          <cell r="E3734">
            <v>10.39</v>
          </cell>
          <cell r="H3734">
            <v>45447</v>
          </cell>
          <cell r="I3734">
            <v>0.62555555555555542</v>
          </cell>
          <cell r="J3734">
            <v>30.165555555555557</v>
          </cell>
        </row>
        <row r="3735">
          <cell r="B3735">
            <v>17.98</v>
          </cell>
          <cell r="C3735">
            <v>40.67</v>
          </cell>
          <cell r="D3735">
            <v>14.25</v>
          </cell>
          <cell r="E3735">
            <v>10.72</v>
          </cell>
          <cell r="H3735">
            <v>45447</v>
          </cell>
          <cell r="I3735">
            <v>0.62444444444444447</v>
          </cell>
          <cell r="J3735">
            <v>32.078888888888891</v>
          </cell>
        </row>
        <row r="3736">
          <cell r="B3736">
            <v>16.52</v>
          </cell>
          <cell r="C3736">
            <v>37.96</v>
          </cell>
          <cell r="D3736">
            <v>13.93</v>
          </cell>
          <cell r="E3736">
            <v>10.84</v>
          </cell>
          <cell r="H3736">
            <v>45447</v>
          </cell>
          <cell r="I3736">
            <v>0.62111111111111117</v>
          </cell>
          <cell r="J3736">
            <v>33.874444444444443</v>
          </cell>
        </row>
        <row r="3737">
          <cell r="B3737">
            <v>16.64</v>
          </cell>
          <cell r="C3737">
            <v>36.08</v>
          </cell>
          <cell r="D3737">
            <v>14.56</v>
          </cell>
          <cell r="E3737">
            <v>11.12</v>
          </cell>
          <cell r="H3737">
            <v>45447</v>
          </cell>
          <cell r="I3737">
            <v>0.62111111111111117</v>
          </cell>
          <cell r="J3737">
            <v>35.234444444444442</v>
          </cell>
        </row>
        <row r="3738">
          <cell r="B3738">
            <v>18.440000000000001</v>
          </cell>
          <cell r="C3738">
            <v>42.58</v>
          </cell>
          <cell r="D3738">
            <v>14.34</v>
          </cell>
          <cell r="E3738">
            <v>11.22</v>
          </cell>
          <cell r="H3738">
            <v>45447</v>
          </cell>
          <cell r="I3738">
            <v>0.6166666666666667</v>
          </cell>
          <cell r="J3738">
            <v>36.404444444444444</v>
          </cell>
        </row>
        <row r="3739">
          <cell r="B3739">
            <v>19.149999999999999</v>
          </cell>
          <cell r="C3739">
            <v>42.64</v>
          </cell>
          <cell r="D3739">
            <v>16.59</v>
          </cell>
          <cell r="E3739">
            <v>11.11</v>
          </cell>
          <cell r="H3739">
            <v>45447</v>
          </cell>
          <cell r="I3739">
            <v>0.60777777777777775</v>
          </cell>
          <cell r="J3739">
            <v>37.453333333333326</v>
          </cell>
        </row>
        <row r="3740">
          <cell r="B3740">
            <v>19.88</v>
          </cell>
          <cell r="C3740">
            <v>42.07</v>
          </cell>
          <cell r="D3740">
            <v>17.260000000000002</v>
          </cell>
          <cell r="E3740">
            <v>11.16</v>
          </cell>
          <cell r="H3740">
            <v>45447</v>
          </cell>
          <cell r="I3740">
            <v>0.60555555555555562</v>
          </cell>
          <cell r="J3740">
            <v>38.092222222222219</v>
          </cell>
        </row>
        <row r="3741">
          <cell r="B3741">
            <v>22.47</v>
          </cell>
          <cell r="C3741">
            <v>46.67</v>
          </cell>
          <cell r="D3741">
            <v>17.760000000000002</v>
          </cell>
          <cell r="E3741">
            <v>10.9</v>
          </cell>
          <cell r="H3741">
            <v>45447</v>
          </cell>
          <cell r="I3741">
            <v>0.62333333333333341</v>
          </cell>
          <cell r="J3741">
            <v>37.716666666666669</v>
          </cell>
        </row>
        <row r="3742">
          <cell r="B3742">
            <v>25.05</v>
          </cell>
          <cell r="C3742">
            <v>50.2</v>
          </cell>
          <cell r="D3742">
            <v>17.91</v>
          </cell>
          <cell r="E3742">
            <v>10.79</v>
          </cell>
          <cell r="H3742">
            <v>45447</v>
          </cell>
          <cell r="I3742">
            <v>0.64222222222222214</v>
          </cell>
          <cell r="J3742">
            <v>36.908888888888889</v>
          </cell>
        </row>
        <row r="3743">
          <cell r="B3743">
            <v>23.96</v>
          </cell>
          <cell r="C3743">
            <v>47.72</v>
          </cell>
          <cell r="D3743">
            <v>17.350000000000001</v>
          </cell>
          <cell r="E3743">
            <v>10.83</v>
          </cell>
          <cell r="H3743">
            <v>45447</v>
          </cell>
          <cell r="I3743">
            <v>0.65222222222222215</v>
          </cell>
          <cell r="J3743">
            <v>35.62444444444445</v>
          </cell>
        </row>
        <row r="3744">
          <cell r="B3744">
            <v>23.21</v>
          </cell>
          <cell r="C3744">
            <v>45.85</v>
          </cell>
          <cell r="D3744">
            <v>18.309999999999999</v>
          </cell>
          <cell r="E3744">
            <v>10.82</v>
          </cell>
          <cell r="H3744">
            <v>45447</v>
          </cell>
          <cell r="I3744">
            <v>0.65666666666666673</v>
          </cell>
          <cell r="J3744">
            <v>33.952222222222218</v>
          </cell>
        </row>
        <row r="3745">
          <cell r="B3745">
            <v>22.28</v>
          </cell>
          <cell r="C3745">
            <v>53.91</v>
          </cell>
          <cell r="D3745">
            <v>17.3</v>
          </cell>
          <cell r="E3745">
            <v>11.31</v>
          </cell>
          <cell r="H3745">
            <v>45447</v>
          </cell>
          <cell r="I3745">
            <v>0.65333333333333332</v>
          </cell>
          <cell r="J3745">
            <v>32.72</v>
          </cell>
        </row>
        <row r="3746">
          <cell r="B3746">
            <v>20.51</v>
          </cell>
          <cell r="C3746">
            <v>50.31</v>
          </cell>
          <cell r="D3746">
            <v>17.239999999999998</v>
          </cell>
          <cell r="E3746">
            <v>10.95</v>
          </cell>
          <cell r="H3746">
            <v>45448</v>
          </cell>
          <cell r="I3746">
            <v>0.64333333333333331</v>
          </cell>
          <cell r="J3746">
            <v>31.624444444444446</v>
          </cell>
        </row>
        <row r="3747">
          <cell r="B3747">
            <v>20.079999999999998</v>
          </cell>
          <cell r="C3747">
            <v>48.83</v>
          </cell>
          <cell r="D3747">
            <v>17.100000000000001</v>
          </cell>
          <cell r="E3747">
            <v>8.23</v>
          </cell>
          <cell r="H3747">
            <v>45448</v>
          </cell>
          <cell r="I3747">
            <v>0.63444444444444459</v>
          </cell>
          <cell r="J3747">
            <v>30.59</v>
          </cell>
        </row>
        <row r="3748">
          <cell r="B3748">
            <v>18.559999999999999</v>
          </cell>
          <cell r="C3748">
            <v>36.799999999999997</v>
          </cell>
          <cell r="D3748">
            <v>16.95</v>
          </cell>
          <cell r="E3748">
            <v>7.66</v>
          </cell>
          <cell r="H3748">
            <v>45448</v>
          </cell>
          <cell r="I3748">
            <v>0.62888888888888894</v>
          </cell>
          <cell r="J3748">
            <v>29.484444444444446</v>
          </cell>
        </row>
        <row r="3749">
          <cell r="B3749">
            <v>16.23</v>
          </cell>
          <cell r="C3749">
            <v>35.229999999999997</v>
          </cell>
          <cell r="D3749">
            <v>17.39</v>
          </cell>
          <cell r="E3749">
            <v>8</v>
          </cell>
          <cell r="H3749">
            <v>45448</v>
          </cell>
          <cell r="I3749">
            <v>0.61777777777777776</v>
          </cell>
          <cell r="J3749">
            <v>28.611111111111111</v>
          </cell>
        </row>
        <row r="3750">
          <cell r="B3750">
            <v>17.25</v>
          </cell>
          <cell r="C3750">
            <v>38.78</v>
          </cell>
          <cell r="D3750">
            <v>17.510000000000002</v>
          </cell>
          <cell r="E3750">
            <v>7.65</v>
          </cell>
          <cell r="H3750">
            <v>45448</v>
          </cell>
          <cell r="I3750">
            <v>0.59444444444444444</v>
          </cell>
          <cell r="J3750">
            <v>28.117777777777778</v>
          </cell>
        </row>
        <row r="3751">
          <cell r="B3751">
            <v>20.23</v>
          </cell>
          <cell r="C3751">
            <v>45.6</v>
          </cell>
          <cell r="D3751">
            <v>17.11</v>
          </cell>
          <cell r="E3751">
            <v>7.89</v>
          </cell>
          <cell r="H3751">
            <v>45448</v>
          </cell>
          <cell r="I3751">
            <v>0.5855555555555555</v>
          </cell>
          <cell r="J3751">
            <v>27.611111111111107</v>
          </cell>
        </row>
        <row r="3752">
          <cell r="B3752">
            <v>20.350000000000001</v>
          </cell>
          <cell r="C3752">
            <v>43.69</v>
          </cell>
          <cell r="D3752">
            <v>17.47</v>
          </cell>
          <cell r="E3752">
            <v>7.75</v>
          </cell>
          <cell r="H3752">
            <v>45448</v>
          </cell>
          <cell r="I3752">
            <v>0.5788888888888889</v>
          </cell>
          <cell r="J3752">
            <v>26.997777777777781</v>
          </cell>
        </row>
        <row r="3753">
          <cell r="B3753">
            <v>22.85</v>
          </cell>
          <cell r="C3753">
            <v>68.02</v>
          </cell>
          <cell r="D3753">
            <v>17.87</v>
          </cell>
          <cell r="E3753">
            <v>7.27</v>
          </cell>
          <cell r="H3753">
            <v>45448</v>
          </cell>
          <cell r="I3753">
            <v>0.58111111111111113</v>
          </cell>
          <cell r="J3753">
            <v>26.547777777777778</v>
          </cell>
        </row>
        <row r="3754">
          <cell r="B3754">
            <v>22.75</v>
          </cell>
          <cell r="C3754">
            <v>65.19</v>
          </cell>
          <cell r="D3754">
            <v>18.010000000000002</v>
          </cell>
          <cell r="E3754">
            <v>7.48</v>
          </cell>
          <cell r="H3754">
            <v>45448</v>
          </cell>
          <cell r="I3754">
            <v>0.5822222222222222</v>
          </cell>
          <cell r="J3754">
            <v>26.063333333333336</v>
          </cell>
        </row>
        <row r="3755">
          <cell r="B3755">
            <v>19.36</v>
          </cell>
          <cell r="C3755">
            <v>54.2</v>
          </cell>
          <cell r="D3755">
            <v>17.62</v>
          </cell>
          <cell r="E3755">
            <v>7.46</v>
          </cell>
          <cell r="H3755">
            <v>45448</v>
          </cell>
          <cell r="I3755">
            <v>0.58333333333333337</v>
          </cell>
          <cell r="J3755">
            <v>26.267777777777777</v>
          </cell>
        </row>
        <row r="3756">
          <cell r="B3756">
            <v>18.690000000000001</v>
          </cell>
          <cell r="C3756">
            <v>53.72</v>
          </cell>
          <cell r="D3756">
            <v>16.37</v>
          </cell>
          <cell r="E3756">
            <v>7.79</v>
          </cell>
          <cell r="H3756">
            <v>45448</v>
          </cell>
          <cell r="I3756">
            <v>0.5855555555555555</v>
          </cell>
          <cell r="J3756">
            <v>26.577777777777776</v>
          </cell>
        </row>
        <row r="3757">
          <cell r="B3757">
            <v>18.02</v>
          </cell>
          <cell r="C3757">
            <v>53.29</v>
          </cell>
          <cell r="D3757">
            <v>15.27</v>
          </cell>
          <cell r="E3757">
            <v>7.99</v>
          </cell>
          <cell r="H3757">
            <v>45448</v>
          </cell>
          <cell r="I3757">
            <v>0.58888888888888891</v>
          </cell>
          <cell r="J3757">
            <v>27.187777777777779</v>
          </cell>
        </row>
        <row r="3758">
          <cell r="B3758">
            <v>17.41</v>
          </cell>
          <cell r="C3758">
            <v>44.58</v>
          </cell>
          <cell r="D3758">
            <v>14.9</v>
          </cell>
          <cell r="E3758">
            <v>7.98</v>
          </cell>
          <cell r="H3758">
            <v>45448</v>
          </cell>
          <cell r="I3758">
            <v>0.59111111111111114</v>
          </cell>
          <cell r="J3758">
            <v>28.387777777777778</v>
          </cell>
        </row>
        <row r="3759">
          <cell r="B3759">
            <v>17.8</v>
          </cell>
          <cell r="C3759">
            <v>46.21</v>
          </cell>
          <cell r="D3759">
            <v>15.31</v>
          </cell>
          <cell r="E3759">
            <v>7.93</v>
          </cell>
          <cell r="H3759">
            <v>45448</v>
          </cell>
          <cell r="I3759">
            <v>0.59111111111111114</v>
          </cell>
          <cell r="J3759">
            <v>29.483333333333334</v>
          </cell>
        </row>
        <row r="3760">
          <cell r="B3760">
            <v>18.399999999999999</v>
          </cell>
          <cell r="C3760">
            <v>46.27</v>
          </cell>
          <cell r="D3760">
            <v>15.47</v>
          </cell>
          <cell r="E3760">
            <v>8.0399999999999991</v>
          </cell>
          <cell r="H3760">
            <v>45448</v>
          </cell>
          <cell r="I3760">
            <v>0.58111111111111113</v>
          </cell>
          <cell r="J3760">
            <v>30.435555555555556</v>
          </cell>
        </row>
        <row r="3761">
          <cell r="B3761">
            <v>16.690000000000001</v>
          </cell>
          <cell r="C3761">
            <v>43.59</v>
          </cell>
          <cell r="D3761">
            <v>15.21</v>
          </cell>
          <cell r="E3761">
            <v>8.0500000000000007</v>
          </cell>
          <cell r="H3761">
            <v>45448</v>
          </cell>
          <cell r="I3761">
            <v>0.57333333333333336</v>
          </cell>
          <cell r="J3761">
            <v>31.557777777777776</v>
          </cell>
        </row>
        <row r="3762">
          <cell r="B3762">
            <v>18.72</v>
          </cell>
          <cell r="C3762">
            <v>47.73</v>
          </cell>
          <cell r="D3762">
            <v>15.36</v>
          </cell>
          <cell r="E3762">
            <v>8.39</v>
          </cell>
          <cell r="H3762">
            <v>45448</v>
          </cell>
          <cell r="I3762">
            <v>0.56444444444444442</v>
          </cell>
          <cell r="J3762">
            <v>32.682222222222222</v>
          </cell>
        </row>
        <row r="3763">
          <cell r="B3763">
            <v>19.36</v>
          </cell>
          <cell r="C3763">
            <v>53.04</v>
          </cell>
          <cell r="D3763">
            <v>15.73</v>
          </cell>
          <cell r="E3763">
            <v>7.54</v>
          </cell>
          <cell r="H3763">
            <v>45448</v>
          </cell>
          <cell r="I3763">
            <v>0.57333333333333336</v>
          </cell>
          <cell r="J3763">
            <v>33.148888888888891</v>
          </cell>
        </row>
        <row r="3764">
          <cell r="B3764">
            <v>23.73</v>
          </cell>
          <cell r="C3764">
            <v>75.040000000000006</v>
          </cell>
          <cell r="D3764">
            <v>15</v>
          </cell>
          <cell r="E3764">
            <v>7.42</v>
          </cell>
          <cell r="H3764">
            <v>45448</v>
          </cell>
          <cell r="I3764">
            <v>0.57999999999999996</v>
          </cell>
          <cell r="J3764">
            <v>33.038888888888891</v>
          </cell>
        </row>
        <row r="3765">
          <cell r="B3765">
            <v>19.91</v>
          </cell>
          <cell r="C3765">
            <v>42.74</v>
          </cell>
          <cell r="D3765">
            <v>12.92</v>
          </cell>
          <cell r="E3765">
            <v>7.9</v>
          </cell>
          <cell r="H3765">
            <v>45448</v>
          </cell>
          <cell r="I3765">
            <v>0.59222222222222221</v>
          </cell>
          <cell r="J3765">
            <v>32.587777777777774</v>
          </cell>
        </row>
        <row r="3766">
          <cell r="B3766">
            <v>18.12</v>
          </cell>
          <cell r="C3766">
            <v>39.56</v>
          </cell>
          <cell r="D3766">
            <v>14.6</v>
          </cell>
          <cell r="E3766">
            <v>7.34</v>
          </cell>
          <cell r="H3766">
            <v>45448</v>
          </cell>
          <cell r="I3766">
            <v>0.61</v>
          </cell>
          <cell r="J3766">
            <v>31.551111111111116</v>
          </cell>
        </row>
        <row r="3767">
          <cell r="B3767">
            <v>14.9</v>
          </cell>
          <cell r="C3767">
            <v>32.020000000000003</v>
          </cell>
          <cell r="D3767">
            <v>15.46</v>
          </cell>
          <cell r="E3767">
            <v>7.27</v>
          </cell>
          <cell r="H3767">
            <v>45448</v>
          </cell>
          <cell r="I3767">
            <v>0.6333333333333333</v>
          </cell>
          <cell r="J3767">
            <v>29.839999999999993</v>
          </cell>
        </row>
        <row r="3768">
          <cell r="B3768">
            <v>15.9</v>
          </cell>
          <cell r="C3768">
            <v>31.42</v>
          </cell>
          <cell r="D3768">
            <v>14.73</v>
          </cell>
          <cell r="E3768">
            <v>7.15</v>
          </cell>
          <cell r="H3768">
            <v>45448</v>
          </cell>
          <cell r="I3768">
            <v>0.66</v>
          </cell>
          <cell r="J3768">
            <v>28.463333333333335</v>
          </cell>
        </row>
        <row r="3769">
          <cell r="B3769">
            <v>16.8</v>
          </cell>
          <cell r="C3769">
            <v>36.06</v>
          </cell>
          <cell r="D3769">
            <v>15.08</v>
          </cell>
          <cell r="E3769">
            <v>7.17</v>
          </cell>
          <cell r="H3769">
            <v>45448</v>
          </cell>
          <cell r="I3769">
            <v>0.6777777777777777</v>
          </cell>
          <cell r="J3769">
            <v>27.277777777777779</v>
          </cell>
        </row>
        <row r="3770">
          <cell r="B3770">
            <v>15.97</v>
          </cell>
          <cell r="C3770">
            <v>39.840000000000003</v>
          </cell>
          <cell r="D3770">
            <v>14.43</v>
          </cell>
          <cell r="E3770">
            <v>7.25</v>
          </cell>
          <cell r="H3770">
            <v>45449</v>
          </cell>
          <cell r="I3770">
            <v>0.68333333333333335</v>
          </cell>
          <cell r="J3770">
            <v>26.152222222222221</v>
          </cell>
        </row>
        <row r="3771">
          <cell r="B3771">
            <v>15.24</v>
          </cell>
          <cell r="C3771">
            <v>37.44</v>
          </cell>
          <cell r="D3771">
            <v>13.74</v>
          </cell>
          <cell r="E3771">
            <v>7.56</v>
          </cell>
          <cell r="H3771">
            <v>45449</v>
          </cell>
          <cell r="I3771">
            <v>0.68444444444444441</v>
          </cell>
          <cell r="J3771">
            <v>24.86888888888889</v>
          </cell>
        </row>
        <row r="3772">
          <cell r="B3772">
            <v>14.03</v>
          </cell>
          <cell r="C3772">
            <v>35.22</v>
          </cell>
          <cell r="D3772">
            <v>13.41</v>
          </cell>
          <cell r="E3772">
            <v>7.2</v>
          </cell>
          <cell r="H3772">
            <v>45449</v>
          </cell>
          <cell r="I3772">
            <v>0.6744444444444444</v>
          </cell>
          <cell r="J3772">
            <v>24.051111111111108</v>
          </cell>
        </row>
        <row r="3773">
          <cell r="B3773">
            <v>13.44</v>
          </cell>
          <cell r="C3773">
            <v>34.32</v>
          </cell>
          <cell r="D3773">
            <v>13.16</v>
          </cell>
          <cell r="E3773">
            <v>7.84</v>
          </cell>
          <cell r="H3773">
            <v>45449</v>
          </cell>
          <cell r="I3773">
            <v>0.66555555555555557</v>
          </cell>
          <cell r="J3773">
            <v>23.432222222222222</v>
          </cell>
        </row>
        <row r="3774">
          <cell r="B3774">
            <v>15.71</v>
          </cell>
          <cell r="C3774">
            <v>33.119999999999997</v>
          </cell>
          <cell r="D3774">
            <v>13.58</v>
          </cell>
          <cell r="E3774">
            <v>7.68</v>
          </cell>
          <cell r="H3774">
            <v>45449</v>
          </cell>
          <cell r="I3774">
            <v>0.65999999999999992</v>
          </cell>
          <cell r="J3774">
            <v>22.998888888888885</v>
          </cell>
        </row>
        <row r="3775">
          <cell r="B3775">
            <v>18.760000000000002</v>
          </cell>
          <cell r="C3775">
            <v>46.57</v>
          </cell>
          <cell r="D3775">
            <v>13.6</v>
          </cell>
          <cell r="E3775">
            <v>7.89</v>
          </cell>
          <cell r="H3775">
            <v>45449</v>
          </cell>
          <cell r="I3775">
            <v>0.6511111111111112</v>
          </cell>
          <cell r="J3775">
            <v>22.923333333333332</v>
          </cell>
        </row>
        <row r="3776">
          <cell r="B3776">
            <v>20.07</v>
          </cell>
          <cell r="C3776">
            <v>53.78</v>
          </cell>
          <cell r="D3776">
            <v>17.55</v>
          </cell>
          <cell r="E3776">
            <v>7.44</v>
          </cell>
          <cell r="H3776">
            <v>45449</v>
          </cell>
          <cell r="I3776">
            <v>0.63555555555555554</v>
          </cell>
          <cell r="J3776">
            <v>22.928888888888892</v>
          </cell>
        </row>
        <row r="3777">
          <cell r="B3777">
            <v>21.22</v>
          </cell>
          <cell r="C3777">
            <v>61.35</v>
          </cell>
          <cell r="D3777">
            <v>17.89</v>
          </cell>
          <cell r="E3777">
            <v>7.31</v>
          </cell>
          <cell r="H3777">
            <v>45449</v>
          </cell>
          <cell r="I3777">
            <v>0.62222222222222223</v>
          </cell>
          <cell r="J3777">
            <v>22.841111111111111</v>
          </cell>
        </row>
        <row r="3778">
          <cell r="B3778">
            <v>19.62</v>
          </cell>
          <cell r="C3778">
            <v>58.7</v>
          </cell>
          <cell r="D3778">
            <v>18.18</v>
          </cell>
          <cell r="E3778">
            <v>7.61</v>
          </cell>
          <cell r="H3778">
            <v>45449</v>
          </cell>
          <cell r="I3778">
            <v>0.61444444444444446</v>
          </cell>
          <cell r="J3778">
            <v>22.902222222222221</v>
          </cell>
        </row>
        <row r="3779">
          <cell r="B3779">
            <v>18.940000000000001</v>
          </cell>
          <cell r="C3779">
            <v>59.06</v>
          </cell>
          <cell r="D3779">
            <v>17.670000000000002</v>
          </cell>
          <cell r="E3779">
            <v>8.1199999999999992</v>
          </cell>
          <cell r="H3779">
            <v>45449</v>
          </cell>
          <cell r="I3779">
            <v>0.61777777777777787</v>
          </cell>
          <cell r="J3779">
            <v>23.275555555555556</v>
          </cell>
        </row>
        <row r="3780">
          <cell r="B3780">
            <v>18.18</v>
          </cell>
          <cell r="C3780">
            <v>50.5</v>
          </cell>
          <cell r="D3780">
            <v>17.45</v>
          </cell>
          <cell r="E3780">
            <v>8.42</v>
          </cell>
          <cell r="H3780">
            <v>45449</v>
          </cell>
          <cell r="I3780">
            <v>0.62</v>
          </cell>
          <cell r="J3780">
            <v>23.785555555555554</v>
          </cell>
        </row>
        <row r="3781">
          <cell r="B3781">
            <v>16.41</v>
          </cell>
          <cell r="C3781">
            <v>47.94</v>
          </cell>
          <cell r="D3781">
            <v>15.95</v>
          </cell>
          <cell r="E3781">
            <v>8.32</v>
          </cell>
          <cell r="H3781">
            <v>45449</v>
          </cell>
          <cell r="I3781">
            <v>0.62222222222222223</v>
          </cell>
          <cell r="J3781">
            <v>24.53222222222222</v>
          </cell>
        </row>
        <row r="3782">
          <cell r="B3782">
            <v>15.38</v>
          </cell>
          <cell r="C3782">
            <v>49.54</v>
          </cell>
          <cell r="D3782">
            <v>16.32</v>
          </cell>
          <cell r="E3782">
            <v>8.31</v>
          </cell>
          <cell r="H3782">
            <v>45449</v>
          </cell>
          <cell r="I3782">
            <v>0.62444444444444447</v>
          </cell>
          <cell r="J3782">
            <v>25.426666666666666</v>
          </cell>
        </row>
        <row r="3783">
          <cell r="B3783">
            <v>14.98</v>
          </cell>
          <cell r="C3783">
            <v>46.06</v>
          </cell>
          <cell r="D3783">
            <v>16.72</v>
          </cell>
          <cell r="E3783">
            <v>8.5500000000000007</v>
          </cell>
          <cell r="H3783">
            <v>45449</v>
          </cell>
          <cell r="I3783">
            <v>0.62333333333333341</v>
          </cell>
          <cell r="J3783">
            <v>26.475555555555555</v>
          </cell>
        </row>
        <row r="3784">
          <cell r="B3784">
            <v>14.16</v>
          </cell>
          <cell r="C3784">
            <v>38.840000000000003</v>
          </cell>
          <cell r="D3784">
            <v>16.18</v>
          </cell>
          <cell r="E3784">
            <v>8.4700000000000006</v>
          </cell>
          <cell r="H3784">
            <v>45449</v>
          </cell>
          <cell r="I3784">
            <v>0.6166666666666667</v>
          </cell>
          <cell r="J3784">
            <v>27.434444444444445</v>
          </cell>
        </row>
        <row r="3785">
          <cell r="B3785">
            <v>12.94</v>
          </cell>
          <cell r="C3785">
            <v>32.75</v>
          </cell>
          <cell r="D3785">
            <v>17.39</v>
          </cell>
          <cell r="E3785">
            <v>7.91</v>
          </cell>
          <cell r="H3785">
            <v>45449</v>
          </cell>
          <cell r="I3785">
            <v>0.61777777777777787</v>
          </cell>
          <cell r="J3785">
            <v>28.684444444444441</v>
          </cell>
        </row>
        <row r="3786">
          <cell r="B3786">
            <v>10.5</v>
          </cell>
          <cell r="C3786">
            <v>35.36</v>
          </cell>
          <cell r="D3786">
            <v>18.260000000000002</v>
          </cell>
          <cell r="E3786">
            <v>7.2</v>
          </cell>
          <cell r="H3786">
            <v>45449</v>
          </cell>
          <cell r="I3786">
            <v>0.61333333333333329</v>
          </cell>
          <cell r="J3786">
            <v>29.807777777777776</v>
          </cell>
        </row>
        <row r="3787">
          <cell r="B3787">
            <v>11.54</v>
          </cell>
          <cell r="C3787">
            <v>38.54</v>
          </cell>
          <cell r="D3787">
            <v>17.52</v>
          </cell>
          <cell r="E3787">
            <v>7.02</v>
          </cell>
          <cell r="H3787">
            <v>45449</v>
          </cell>
          <cell r="I3787">
            <v>0.61444444444444446</v>
          </cell>
          <cell r="J3787">
            <v>30.710000000000004</v>
          </cell>
        </row>
        <row r="3788">
          <cell r="B3788">
            <v>12.91</v>
          </cell>
          <cell r="C3788">
            <v>36.76</v>
          </cell>
          <cell r="D3788">
            <v>17.309999999999999</v>
          </cell>
          <cell r="E3788">
            <v>7.55</v>
          </cell>
          <cell r="H3788">
            <v>45449</v>
          </cell>
          <cell r="I3788">
            <v>0.6166666666666667</v>
          </cell>
          <cell r="J3788">
            <v>30.88333333333334</v>
          </cell>
        </row>
        <row r="3789">
          <cell r="B3789">
            <v>13.34</v>
          </cell>
          <cell r="C3789">
            <v>39.770000000000003</v>
          </cell>
          <cell r="D3789">
            <v>12.14</v>
          </cell>
          <cell r="E3789">
            <v>9.2200000000000006</v>
          </cell>
          <cell r="H3789">
            <v>45449</v>
          </cell>
          <cell r="I3789">
            <v>0.61333333333333329</v>
          </cell>
          <cell r="J3789">
            <v>30.953333333333333</v>
          </cell>
        </row>
        <row r="3790">
          <cell r="B3790">
            <v>11.35</v>
          </cell>
          <cell r="C3790">
            <v>28.37</v>
          </cell>
          <cell r="D3790">
            <v>13.57</v>
          </cell>
          <cell r="E3790">
            <v>9.3699999999999992</v>
          </cell>
          <cell r="H3790">
            <v>45449</v>
          </cell>
          <cell r="I3790">
            <v>0.61888888888888882</v>
          </cell>
          <cell r="J3790">
            <v>30.477777777777778</v>
          </cell>
        </row>
        <row r="3791">
          <cell r="B3791">
            <v>12.92</v>
          </cell>
          <cell r="C3791">
            <v>25.43</v>
          </cell>
          <cell r="D3791">
            <v>13.25</v>
          </cell>
          <cell r="E3791">
            <v>9.85</v>
          </cell>
          <cell r="H3791">
            <v>45449</v>
          </cell>
          <cell r="I3791">
            <v>0.62666666666666671</v>
          </cell>
          <cell r="J3791">
            <v>29.602222222222224</v>
          </cell>
        </row>
        <row r="3792">
          <cell r="B3792">
            <v>9.66</v>
          </cell>
          <cell r="C3792">
            <v>24.58</v>
          </cell>
          <cell r="D3792">
            <v>13.55</v>
          </cell>
          <cell r="E3792">
            <v>9.4499999999999993</v>
          </cell>
          <cell r="H3792">
            <v>45449</v>
          </cell>
          <cell r="I3792">
            <v>0.63111111111111118</v>
          </cell>
          <cell r="J3792">
            <v>28.608888888888885</v>
          </cell>
        </row>
        <row r="3793">
          <cell r="B3793">
            <v>9.11</v>
          </cell>
          <cell r="C3793">
            <v>22.02</v>
          </cell>
          <cell r="D3793">
            <v>13.03</v>
          </cell>
          <cell r="E3793">
            <v>9.6</v>
          </cell>
          <cell r="H3793">
            <v>45449</v>
          </cell>
          <cell r="I3793">
            <v>0.63444444444444448</v>
          </cell>
          <cell r="J3793">
            <v>27.826666666666668</v>
          </cell>
        </row>
        <row r="3794">
          <cell r="B3794">
            <v>8.61</v>
          </cell>
          <cell r="C3794">
            <v>20.72</v>
          </cell>
          <cell r="D3794">
            <v>13.27</v>
          </cell>
          <cell r="E3794">
            <v>9.56</v>
          </cell>
          <cell r="H3794">
            <v>45450</v>
          </cell>
          <cell r="I3794">
            <v>0.62777777777777777</v>
          </cell>
          <cell r="J3794">
            <v>26.721111111111114</v>
          </cell>
        </row>
        <row r="3795">
          <cell r="B3795">
            <v>10.9</v>
          </cell>
          <cell r="C3795">
            <v>53</v>
          </cell>
          <cell r="D3795">
            <v>13.19</v>
          </cell>
          <cell r="E3795">
            <v>8.02</v>
          </cell>
          <cell r="H3795">
            <v>45450</v>
          </cell>
          <cell r="I3795">
            <v>0.62333333333333341</v>
          </cell>
          <cell r="J3795">
            <v>25.755555555555556</v>
          </cell>
        </row>
        <row r="3796">
          <cell r="B3796">
            <v>10.75</v>
          </cell>
          <cell r="C3796">
            <v>23.32</v>
          </cell>
          <cell r="D3796">
            <v>13.1</v>
          </cell>
          <cell r="E3796">
            <v>7.67</v>
          </cell>
          <cell r="H3796">
            <v>45450</v>
          </cell>
          <cell r="I3796">
            <v>0.61555555555555552</v>
          </cell>
          <cell r="J3796">
            <v>24.827777777777779</v>
          </cell>
        </row>
        <row r="3797">
          <cell r="B3797">
            <v>11.94</v>
          </cell>
          <cell r="C3797">
            <v>23.55</v>
          </cell>
          <cell r="D3797">
            <v>13.18</v>
          </cell>
          <cell r="E3797">
            <v>7.75</v>
          </cell>
          <cell r="H3797">
            <v>45450</v>
          </cell>
          <cell r="I3797">
            <v>0.60555555555555562</v>
          </cell>
          <cell r="J3797">
            <v>24.27</v>
          </cell>
        </row>
        <row r="3798">
          <cell r="B3798">
            <v>11.81</v>
          </cell>
          <cell r="C3798">
            <v>23.79</v>
          </cell>
          <cell r="D3798">
            <v>12.88</v>
          </cell>
          <cell r="E3798">
            <v>7.73</v>
          </cell>
          <cell r="H3798">
            <v>45450</v>
          </cell>
          <cell r="I3798">
            <v>0.60333333333333339</v>
          </cell>
          <cell r="J3798">
            <v>23.628888888888888</v>
          </cell>
        </row>
        <row r="3799">
          <cell r="B3799">
            <v>11.97</v>
          </cell>
          <cell r="C3799">
            <v>26.11</v>
          </cell>
          <cell r="D3799">
            <v>13.71</v>
          </cell>
          <cell r="E3799">
            <v>7.81</v>
          </cell>
          <cell r="H3799">
            <v>45450</v>
          </cell>
          <cell r="I3799">
            <v>0.59444444444444444</v>
          </cell>
          <cell r="J3799">
            <v>23.172222222222224</v>
          </cell>
        </row>
        <row r="3800">
          <cell r="B3800">
            <v>14.26</v>
          </cell>
          <cell r="C3800">
            <v>29.54</v>
          </cell>
          <cell r="D3800">
            <v>17.21</v>
          </cell>
          <cell r="E3800">
            <v>7.14</v>
          </cell>
          <cell r="H3800">
            <v>45450</v>
          </cell>
          <cell r="I3800">
            <v>0.5955555555555555</v>
          </cell>
          <cell r="J3800">
            <v>22.950000000000003</v>
          </cell>
        </row>
        <row r="3801">
          <cell r="B3801">
            <v>17.66</v>
          </cell>
          <cell r="C3801">
            <v>36.729999999999997</v>
          </cell>
          <cell r="D3801">
            <v>17.13</v>
          </cell>
          <cell r="E3801">
            <v>7.21</v>
          </cell>
          <cell r="H3801">
            <v>45450</v>
          </cell>
          <cell r="I3801">
            <v>0.5955555555555555</v>
          </cell>
          <cell r="J3801">
            <v>22.727777777777778</v>
          </cell>
        </row>
        <row r="3802">
          <cell r="B3802">
            <v>17.72</v>
          </cell>
          <cell r="C3802">
            <v>41.11</v>
          </cell>
          <cell r="D3802">
            <v>16.899999999999999</v>
          </cell>
          <cell r="E3802">
            <v>7.37</v>
          </cell>
          <cell r="H3802">
            <v>45450</v>
          </cell>
          <cell r="I3802">
            <v>0.5988888888888888</v>
          </cell>
          <cell r="J3802">
            <v>22.531111111111112</v>
          </cell>
        </row>
        <row r="3803">
          <cell r="B3803">
            <v>13.92</v>
          </cell>
          <cell r="C3803">
            <v>30.73</v>
          </cell>
          <cell r="D3803">
            <v>16.440000000000001</v>
          </cell>
          <cell r="E3803">
            <v>7.51</v>
          </cell>
          <cell r="H3803">
            <v>45450</v>
          </cell>
          <cell r="I3803">
            <v>0.60222222222222221</v>
          </cell>
          <cell r="J3803">
            <v>22.679999999999996</v>
          </cell>
        </row>
        <row r="3804">
          <cell r="B3804">
            <v>13.23</v>
          </cell>
          <cell r="C3804">
            <v>32.299999999999997</v>
          </cell>
          <cell r="D3804">
            <v>14.79</v>
          </cell>
          <cell r="E3804">
            <v>7.47</v>
          </cell>
          <cell r="H3804">
            <v>45450</v>
          </cell>
          <cell r="I3804">
            <v>0.59888888888888892</v>
          </cell>
          <cell r="J3804">
            <v>23</v>
          </cell>
        </row>
        <row r="3805">
          <cell r="B3805">
            <v>13.53</v>
          </cell>
          <cell r="C3805">
            <v>34.39</v>
          </cell>
          <cell r="D3805">
            <v>14.94</v>
          </cell>
          <cell r="E3805">
            <v>7.7</v>
          </cell>
          <cell r="H3805">
            <v>45450</v>
          </cell>
          <cell r="I3805">
            <v>0.59444444444444433</v>
          </cell>
          <cell r="J3805">
            <v>23.687777777777779</v>
          </cell>
        </row>
        <row r="3806">
          <cell r="B3806">
            <v>13.4</v>
          </cell>
          <cell r="C3806">
            <v>34.96</v>
          </cell>
          <cell r="D3806">
            <v>15.53</v>
          </cell>
          <cell r="E3806">
            <v>8.2100000000000009</v>
          </cell>
          <cell r="H3806">
            <v>45450</v>
          </cell>
          <cell r="I3806">
            <v>0.59000000000000008</v>
          </cell>
          <cell r="J3806">
            <v>24.461111111111109</v>
          </cell>
        </row>
        <row r="3807">
          <cell r="B3807">
            <v>12.51</v>
          </cell>
          <cell r="C3807">
            <v>30.7</v>
          </cell>
          <cell r="D3807">
            <v>15.85</v>
          </cell>
          <cell r="E3807">
            <v>8.0399999999999991</v>
          </cell>
          <cell r="H3807">
            <v>45450</v>
          </cell>
          <cell r="I3807">
            <v>0.59000000000000008</v>
          </cell>
          <cell r="J3807">
            <v>25.30222222222222</v>
          </cell>
        </row>
        <row r="3808">
          <cell r="B3808">
            <v>9.9600000000000009</v>
          </cell>
          <cell r="C3808">
            <v>27.39</v>
          </cell>
          <cell r="D3808">
            <v>16.03</v>
          </cell>
          <cell r="E3808">
            <v>8.02</v>
          </cell>
          <cell r="H3808">
            <v>45450</v>
          </cell>
          <cell r="I3808">
            <v>0.58444444444444454</v>
          </cell>
          <cell r="J3808">
            <v>26.504444444444445</v>
          </cell>
        </row>
        <row r="3809">
          <cell r="B3809">
            <v>11.68</v>
          </cell>
          <cell r="C3809">
            <v>29.9</v>
          </cell>
          <cell r="D3809">
            <v>16.14</v>
          </cell>
          <cell r="E3809">
            <v>7.72</v>
          </cell>
          <cell r="H3809">
            <v>45450</v>
          </cell>
          <cell r="I3809">
            <v>0.57444444444444454</v>
          </cell>
          <cell r="J3809">
            <v>27.432222222222222</v>
          </cell>
        </row>
        <row r="3810">
          <cell r="B3810">
            <v>15.07</v>
          </cell>
          <cell r="C3810">
            <v>32.42</v>
          </cell>
          <cell r="D3810">
            <v>16.399999999999999</v>
          </cell>
          <cell r="E3810">
            <v>7.86</v>
          </cell>
          <cell r="H3810">
            <v>45450</v>
          </cell>
          <cell r="I3810">
            <v>0.56999999999999995</v>
          </cell>
          <cell r="J3810">
            <v>28.346666666666668</v>
          </cell>
        </row>
        <row r="3811">
          <cell r="B3811">
            <v>15.62</v>
          </cell>
          <cell r="C3811">
            <v>35.35</v>
          </cell>
          <cell r="D3811">
            <v>17.29</v>
          </cell>
          <cell r="E3811">
            <v>8.4</v>
          </cell>
          <cell r="H3811">
            <v>45450</v>
          </cell>
          <cell r="I3811">
            <v>0.56555555555555559</v>
          </cell>
          <cell r="J3811">
            <v>28.560000000000002</v>
          </cell>
        </row>
        <row r="3812">
          <cell r="B3812">
            <v>14.64</v>
          </cell>
          <cell r="C3812">
            <v>29.86</v>
          </cell>
          <cell r="D3812">
            <v>17.48</v>
          </cell>
          <cell r="E3812">
            <v>8.7899999999999991</v>
          </cell>
          <cell r="H3812">
            <v>45450</v>
          </cell>
          <cell r="I3812">
            <v>0.56444444444444442</v>
          </cell>
          <cell r="J3812">
            <v>28.27333333333333</v>
          </cell>
        </row>
        <row r="3813">
          <cell r="B3813">
            <v>14.22</v>
          </cell>
          <cell r="C3813">
            <v>29.37</v>
          </cell>
          <cell r="D3813">
            <v>18.010000000000002</v>
          </cell>
          <cell r="E3813">
            <v>7.82</v>
          </cell>
          <cell r="H3813">
            <v>45450</v>
          </cell>
          <cell r="I3813">
            <v>0.57333333333333325</v>
          </cell>
          <cell r="J3813">
            <v>27.84</v>
          </cell>
        </row>
        <row r="3814">
          <cell r="B3814">
            <v>15.56</v>
          </cell>
          <cell r="C3814">
            <v>33.24</v>
          </cell>
          <cell r="D3814">
            <v>19.13</v>
          </cell>
          <cell r="E3814">
            <v>7.96</v>
          </cell>
          <cell r="H3814">
            <v>45450</v>
          </cell>
          <cell r="I3814">
            <v>0.58111111111111102</v>
          </cell>
          <cell r="J3814">
            <v>27.01</v>
          </cell>
        </row>
        <row r="3815">
          <cell r="B3815">
            <v>16.93</v>
          </cell>
          <cell r="C3815">
            <v>37.93</v>
          </cell>
          <cell r="D3815">
            <v>18.96</v>
          </cell>
          <cell r="E3815">
            <v>8.66</v>
          </cell>
          <cell r="H3815">
            <v>45450</v>
          </cell>
          <cell r="I3815">
            <v>0.5855555555555555</v>
          </cell>
          <cell r="J3815">
            <v>26.196666666666665</v>
          </cell>
        </row>
        <row r="3816">
          <cell r="B3816">
            <v>16.61</v>
          </cell>
          <cell r="C3816">
            <v>34.869999999999997</v>
          </cell>
          <cell r="D3816">
            <v>17.82</v>
          </cell>
          <cell r="E3816">
            <v>8.4600000000000009</v>
          </cell>
          <cell r="H3816">
            <v>45450</v>
          </cell>
          <cell r="I3816">
            <v>0.5822222222222222</v>
          </cell>
          <cell r="J3816">
            <v>25.601111111111113</v>
          </cell>
        </row>
        <row r="3817">
          <cell r="B3817">
            <v>16.73</v>
          </cell>
          <cell r="C3817">
            <v>34.25</v>
          </cell>
          <cell r="D3817">
            <v>17.36</v>
          </cell>
          <cell r="E3817">
            <v>8.4700000000000006</v>
          </cell>
          <cell r="H3817">
            <v>45450</v>
          </cell>
          <cell r="I3817">
            <v>0.5822222222222222</v>
          </cell>
          <cell r="J3817">
            <v>24.728888888888889</v>
          </cell>
        </row>
        <row r="3818">
          <cell r="B3818">
            <v>15.85</v>
          </cell>
          <cell r="C3818">
            <v>34.090000000000003</v>
          </cell>
          <cell r="D3818">
            <v>16.899999999999999</v>
          </cell>
          <cell r="E3818">
            <v>8.33</v>
          </cell>
          <cell r="H3818">
            <v>45451</v>
          </cell>
          <cell r="I3818">
            <v>0.5755555555555556</v>
          </cell>
          <cell r="J3818">
            <v>24.233333333333334</v>
          </cell>
        </row>
        <row r="3819">
          <cell r="B3819">
            <v>14.69</v>
          </cell>
          <cell r="C3819">
            <v>38.03</v>
          </cell>
          <cell r="D3819">
            <v>16.07</v>
          </cell>
          <cell r="E3819">
            <v>8.6199999999999992</v>
          </cell>
          <cell r="H3819">
            <v>45451</v>
          </cell>
          <cell r="I3819">
            <v>0.56666666666666665</v>
          </cell>
          <cell r="J3819">
            <v>23.741111111111113</v>
          </cell>
        </row>
        <row r="3820">
          <cell r="B3820">
            <v>11.67</v>
          </cell>
          <cell r="C3820">
            <v>32.65</v>
          </cell>
          <cell r="D3820">
            <v>15.88</v>
          </cell>
          <cell r="E3820">
            <v>8.69</v>
          </cell>
          <cell r="H3820">
            <v>45451</v>
          </cell>
          <cell r="I3820">
            <v>0.55666666666666664</v>
          </cell>
          <cell r="J3820">
            <v>23.941111111111113</v>
          </cell>
        </row>
        <row r="3821">
          <cell r="B3821">
            <v>11.06</v>
          </cell>
          <cell r="C3821">
            <v>31.11</v>
          </cell>
          <cell r="D3821">
            <v>15.68</v>
          </cell>
          <cell r="E3821">
            <v>8.94</v>
          </cell>
          <cell r="H3821">
            <v>45451</v>
          </cell>
          <cell r="I3821">
            <v>0.5477777777777777</v>
          </cell>
          <cell r="J3821">
            <v>24.33111111111111</v>
          </cell>
        </row>
        <row r="3822">
          <cell r="B3822">
            <v>12.81</v>
          </cell>
          <cell r="C3822">
            <v>32.270000000000003</v>
          </cell>
          <cell r="D3822">
            <v>15.89</v>
          </cell>
          <cell r="E3822">
            <v>8.9499999999999993</v>
          </cell>
          <cell r="H3822">
            <v>45451</v>
          </cell>
          <cell r="I3822">
            <v>0.53111111111111109</v>
          </cell>
          <cell r="J3822">
            <v>24.627777777777776</v>
          </cell>
        </row>
        <row r="3823">
          <cell r="B3823">
            <v>12.29</v>
          </cell>
          <cell r="C3823">
            <v>30.39</v>
          </cell>
          <cell r="D3823">
            <v>15.74</v>
          </cell>
          <cell r="E3823">
            <v>8.8699999999999992</v>
          </cell>
          <cell r="H3823">
            <v>45451</v>
          </cell>
          <cell r="I3823">
            <v>0.52111111111111119</v>
          </cell>
          <cell r="J3823">
            <v>25.01</v>
          </cell>
        </row>
        <row r="3824">
          <cell r="B3824">
            <v>13.34</v>
          </cell>
          <cell r="C3824">
            <v>38.840000000000003</v>
          </cell>
          <cell r="D3824">
            <v>16.36</v>
          </cell>
          <cell r="E3824">
            <v>8.56</v>
          </cell>
          <cell r="H3824">
            <v>45451</v>
          </cell>
          <cell r="I3824">
            <v>0.52</v>
          </cell>
          <cell r="J3824">
            <v>25.272222222222222</v>
          </cell>
        </row>
        <row r="3825">
          <cell r="B3825">
            <v>15.7</v>
          </cell>
          <cell r="C3825">
            <v>39.85</v>
          </cell>
          <cell r="D3825">
            <v>16.34</v>
          </cell>
          <cell r="E3825">
            <v>8.1999999999999993</v>
          </cell>
          <cell r="H3825">
            <v>45451</v>
          </cell>
          <cell r="I3825">
            <v>0.52444444444444449</v>
          </cell>
          <cell r="J3825">
            <v>25.492222222222221</v>
          </cell>
        </row>
        <row r="3826">
          <cell r="B3826">
            <v>16.239999999999998</v>
          </cell>
          <cell r="C3826">
            <v>36.97</v>
          </cell>
          <cell r="D3826">
            <v>16.46</v>
          </cell>
          <cell r="E3826">
            <v>8.33</v>
          </cell>
          <cell r="H3826">
            <v>45451</v>
          </cell>
          <cell r="I3826">
            <v>0.52888888888888896</v>
          </cell>
          <cell r="J3826">
            <v>25.908888888888892</v>
          </cell>
        </row>
        <row r="3827">
          <cell r="B3827">
            <v>14.34</v>
          </cell>
          <cell r="C3827">
            <v>35.83</v>
          </cell>
          <cell r="D3827">
            <v>16.14</v>
          </cell>
          <cell r="E3827">
            <v>8.26</v>
          </cell>
          <cell r="H3827">
            <v>45451</v>
          </cell>
          <cell r="I3827">
            <v>0.53555555555555556</v>
          </cell>
          <cell r="J3827">
            <v>26.63111111111111</v>
          </cell>
        </row>
        <row r="3828">
          <cell r="B3828">
            <v>14.24</v>
          </cell>
          <cell r="C3828">
            <v>36.83</v>
          </cell>
          <cell r="D3828">
            <v>15.2</v>
          </cell>
          <cell r="E3828">
            <v>8.52</v>
          </cell>
          <cell r="H3828">
            <v>45451</v>
          </cell>
          <cell r="I3828">
            <v>0.54111111111111121</v>
          </cell>
          <cell r="J3828">
            <v>27.456666666666667</v>
          </cell>
        </row>
        <row r="3829">
          <cell r="B3829">
            <v>15.5</v>
          </cell>
          <cell r="C3829">
            <v>38.96</v>
          </cell>
          <cell r="D3829">
            <v>15.42</v>
          </cell>
          <cell r="E3829">
            <v>8.11</v>
          </cell>
          <cell r="H3829">
            <v>45451</v>
          </cell>
          <cell r="I3829">
            <v>0.54555555555555546</v>
          </cell>
          <cell r="J3829">
            <v>28.072222222222219</v>
          </cell>
        </row>
        <row r="3830">
          <cell r="B3830">
            <v>15.92</v>
          </cell>
          <cell r="C3830">
            <v>41.9</v>
          </cell>
          <cell r="D3830">
            <v>15.78</v>
          </cell>
          <cell r="E3830">
            <v>7.85</v>
          </cell>
          <cell r="H3830">
            <v>45451</v>
          </cell>
          <cell r="I3830">
            <v>0.55000000000000004</v>
          </cell>
          <cell r="J3830">
            <v>28.587777777777781</v>
          </cell>
        </row>
        <row r="3831">
          <cell r="B3831">
            <v>15.35</v>
          </cell>
          <cell r="C3831">
            <v>40.229999999999997</v>
          </cell>
          <cell r="D3831">
            <v>16.14</v>
          </cell>
          <cell r="E3831">
            <v>8.17</v>
          </cell>
          <cell r="H3831">
            <v>45451</v>
          </cell>
          <cell r="I3831">
            <v>0.55555555555555558</v>
          </cell>
          <cell r="J3831">
            <v>29.758888888888887</v>
          </cell>
        </row>
        <row r="3832">
          <cell r="B3832">
            <v>14.61</v>
          </cell>
          <cell r="C3832">
            <v>39.46</v>
          </cell>
          <cell r="D3832">
            <v>16.239999999999998</v>
          </cell>
          <cell r="E3832">
            <v>7.76</v>
          </cell>
          <cell r="H3832">
            <v>45451</v>
          </cell>
          <cell r="I3832">
            <v>0.55555555555555558</v>
          </cell>
          <cell r="J3832">
            <v>31.087777777777774</v>
          </cell>
        </row>
        <row r="3833">
          <cell r="B3833">
            <v>14.61</v>
          </cell>
          <cell r="C3833">
            <v>37.89</v>
          </cell>
          <cell r="D3833">
            <v>16.41</v>
          </cell>
          <cell r="E3833">
            <v>8.1999999999999993</v>
          </cell>
          <cell r="H3833">
            <v>45451</v>
          </cell>
          <cell r="I3833">
            <v>0.55555555555555558</v>
          </cell>
          <cell r="J3833">
            <v>31.888888888888889</v>
          </cell>
        </row>
        <row r="3834">
          <cell r="B3834">
            <v>11.61</v>
          </cell>
          <cell r="C3834">
            <v>38.67</v>
          </cell>
          <cell r="D3834">
            <v>16.63</v>
          </cell>
          <cell r="E3834">
            <v>8.02</v>
          </cell>
          <cell r="H3834">
            <v>45451</v>
          </cell>
          <cell r="I3834">
            <v>0.55444444444444452</v>
          </cell>
          <cell r="J3834">
            <v>32.575555555555553</v>
          </cell>
        </row>
        <row r="3835">
          <cell r="B3835">
            <v>13.45</v>
          </cell>
          <cell r="C3835">
            <v>47.05</v>
          </cell>
          <cell r="D3835">
            <v>16.77</v>
          </cell>
          <cell r="E3835">
            <v>8.18</v>
          </cell>
          <cell r="H3835">
            <v>45451</v>
          </cell>
          <cell r="I3835">
            <v>0.55666666666666664</v>
          </cell>
          <cell r="J3835">
            <v>32.995555555555555</v>
          </cell>
        </row>
        <row r="3836">
          <cell r="B3836">
            <v>15.46</v>
          </cell>
          <cell r="C3836">
            <v>44.23</v>
          </cell>
          <cell r="D3836">
            <v>17.350000000000001</v>
          </cell>
          <cell r="E3836">
            <v>8.18</v>
          </cell>
          <cell r="H3836">
            <v>45451</v>
          </cell>
          <cell r="I3836">
            <v>0.56000000000000005</v>
          </cell>
          <cell r="J3836">
            <v>32.988888888888887</v>
          </cell>
        </row>
        <row r="3837">
          <cell r="B3837">
            <v>14.17</v>
          </cell>
          <cell r="C3837">
            <v>39.32</v>
          </cell>
          <cell r="D3837">
            <v>17.309999999999999</v>
          </cell>
          <cell r="E3837">
            <v>8.68</v>
          </cell>
          <cell r="H3837">
            <v>45451</v>
          </cell>
          <cell r="I3837">
            <v>0.56555555555555559</v>
          </cell>
          <cell r="J3837">
            <v>32.906666666666666</v>
          </cell>
        </row>
        <row r="3838">
          <cell r="B3838">
            <v>14.25</v>
          </cell>
          <cell r="C3838">
            <v>41.37</v>
          </cell>
          <cell r="D3838">
            <v>17.03</v>
          </cell>
          <cell r="E3838">
            <v>8.32</v>
          </cell>
          <cell r="H3838">
            <v>45451</v>
          </cell>
          <cell r="I3838">
            <v>0.57222222222222219</v>
          </cell>
          <cell r="J3838">
            <v>32.792222222222222</v>
          </cell>
        </row>
        <row r="3839">
          <cell r="B3839">
            <v>13.39</v>
          </cell>
          <cell r="C3839">
            <v>36.69</v>
          </cell>
          <cell r="D3839">
            <v>16.670000000000002</v>
          </cell>
          <cell r="E3839">
            <v>8.44</v>
          </cell>
          <cell r="H3839">
            <v>45451</v>
          </cell>
          <cell r="I3839">
            <v>0.57555555555555549</v>
          </cell>
          <cell r="J3839">
            <v>32.522222222222226</v>
          </cell>
        </row>
        <row r="3840">
          <cell r="B3840">
            <v>13.92</v>
          </cell>
          <cell r="C3840">
            <v>35.14</v>
          </cell>
          <cell r="D3840">
            <v>16.38</v>
          </cell>
          <cell r="E3840">
            <v>8.39</v>
          </cell>
          <cell r="H3840">
            <v>45451</v>
          </cell>
          <cell r="I3840">
            <v>0.58111111111111102</v>
          </cell>
          <cell r="J3840">
            <v>31.580000000000002</v>
          </cell>
        </row>
        <row r="3841">
          <cell r="B3841">
            <v>14.23</v>
          </cell>
          <cell r="C3841">
            <v>33.86</v>
          </cell>
          <cell r="D3841">
            <v>16.18</v>
          </cell>
          <cell r="E3841">
            <v>8.33</v>
          </cell>
          <cell r="H3841">
            <v>45451</v>
          </cell>
          <cell r="I3841">
            <v>0.58777777777777773</v>
          </cell>
          <cell r="J3841">
            <v>30.584444444444443</v>
          </cell>
        </row>
        <row r="3842">
          <cell r="B3842">
            <v>16.22</v>
          </cell>
          <cell r="C3842">
            <v>40.53</v>
          </cell>
          <cell r="D3842">
            <v>14.24</v>
          </cell>
          <cell r="E3842">
            <v>8.3800000000000008</v>
          </cell>
          <cell r="H3842">
            <v>45452</v>
          </cell>
          <cell r="I3842">
            <v>0.5855555555555555</v>
          </cell>
          <cell r="J3842">
            <v>30.11333333333333</v>
          </cell>
        </row>
        <row r="3843">
          <cell r="B3843">
            <v>23</v>
          </cell>
          <cell r="C3843">
            <v>52.63</v>
          </cell>
          <cell r="D3843">
            <v>15.73</v>
          </cell>
          <cell r="E3843">
            <v>9.31</v>
          </cell>
          <cell r="H3843">
            <v>45452</v>
          </cell>
          <cell r="I3843">
            <v>0.58444444444444443</v>
          </cell>
          <cell r="J3843">
            <v>29.651111111111113</v>
          </cell>
        </row>
        <row r="3844">
          <cell r="B3844">
            <v>25.16</v>
          </cell>
          <cell r="C3844">
            <v>52.23</v>
          </cell>
          <cell r="D3844">
            <v>15.49</v>
          </cell>
          <cell r="E3844">
            <v>8.98</v>
          </cell>
          <cell r="H3844">
            <v>45452</v>
          </cell>
          <cell r="I3844">
            <v>0.57999999999999996</v>
          </cell>
          <cell r="J3844">
            <v>29.242222222222217</v>
          </cell>
        </row>
        <row r="3845">
          <cell r="B3845">
            <v>18.39</v>
          </cell>
          <cell r="C3845">
            <v>39.909999999999997</v>
          </cell>
          <cell r="D3845">
            <v>16.23</v>
          </cell>
          <cell r="E3845">
            <v>8.4600000000000009</v>
          </cell>
          <cell r="H3845">
            <v>45452</v>
          </cell>
          <cell r="I3845">
            <v>0.57555555555555549</v>
          </cell>
          <cell r="J3845">
            <v>29.084444444444451</v>
          </cell>
        </row>
        <row r="3846">
          <cell r="B3846">
            <v>13.56</v>
          </cell>
          <cell r="C3846">
            <v>34.53</v>
          </cell>
          <cell r="D3846">
            <v>16.260000000000002</v>
          </cell>
          <cell r="E3846">
            <v>8.64</v>
          </cell>
          <cell r="H3846">
            <v>45452</v>
          </cell>
          <cell r="I3846">
            <v>0.56777777777777783</v>
          </cell>
          <cell r="J3846">
            <v>28.908888888888896</v>
          </cell>
        </row>
        <row r="3847">
          <cell r="B3847">
            <v>13.4</v>
          </cell>
          <cell r="C3847">
            <v>32.47</v>
          </cell>
          <cell r="D3847">
            <v>16.53</v>
          </cell>
          <cell r="E3847">
            <v>8.7100000000000009</v>
          </cell>
          <cell r="H3847">
            <v>45452</v>
          </cell>
          <cell r="I3847">
            <v>0.56222222222222218</v>
          </cell>
          <cell r="J3847">
            <v>28.901111111111113</v>
          </cell>
        </row>
        <row r="3848">
          <cell r="B3848">
            <v>15</v>
          </cell>
          <cell r="C3848">
            <v>36.700000000000003</v>
          </cell>
          <cell r="D3848">
            <v>17.489999999999998</v>
          </cell>
          <cell r="E3848">
            <v>8.75</v>
          </cell>
          <cell r="H3848">
            <v>45452</v>
          </cell>
          <cell r="I3848">
            <v>0.56333333333333335</v>
          </cell>
          <cell r="J3848">
            <v>29.029999999999998</v>
          </cell>
        </row>
        <row r="3849">
          <cell r="B3849">
            <v>14.85</v>
          </cell>
          <cell r="C3849">
            <v>38.869999999999997</v>
          </cell>
          <cell r="D3849">
            <v>17.59</v>
          </cell>
          <cell r="E3849">
            <v>8.6199999999999992</v>
          </cell>
          <cell r="H3849">
            <v>45452</v>
          </cell>
          <cell r="I3849">
            <v>0.56222222222222229</v>
          </cell>
          <cell r="J3849">
            <v>29.198888888888884</v>
          </cell>
        </row>
        <row r="3850">
          <cell r="B3850">
            <v>16.16</v>
          </cell>
          <cell r="C3850">
            <v>38.619999999999997</v>
          </cell>
          <cell r="D3850">
            <v>16.25</v>
          </cell>
          <cell r="E3850">
            <v>10.59</v>
          </cell>
          <cell r="H3850">
            <v>45452</v>
          </cell>
          <cell r="I3850">
            <v>0.56111111111111112</v>
          </cell>
          <cell r="J3850">
            <v>29.16</v>
          </cell>
        </row>
        <row r="3851">
          <cell r="B3851">
            <v>16.32</v>
          </cell>
          <cell r="C3851">
            <v>41.08</v>
          </cell>
          <cell r="D3851">
            <v>16.07</v>
          </cell>
          <cell r="E3851">
            <v>9.9600000000000009</v>
          </cell>
          <cell r="H3851">
            <v>45452</v>
          </cell>
          <cell r="I3851">
            <v>0.56444444444444442</v>
          </cell>
          <cell r="J3851">
            <v>29.217777777777776</v>
          </cell>
        </row>
        <row r="3852">
          <cell r="B3852">
            <v>14.71</v>
          </cell>
          <cell r="C3852">
            <v>41.27</v>
          </cell>
          <cell r="D3852">
            <v>15.14</v>
          </cell>
          <cell r="E3852">
            <v>10.4</v>
          </cell>
          <cell r="H3852">
            <v>45452</v>
          </cell>
          <cell r="I3852">
            <v>0.56555555555555559</v>
          </cell>
          <cell r="J3852">
            <v>29.317777777777778</v>
          </cell>
        </row>
        <row r="3853">
          <cell r="B3853">
            <v>15.11</v>
          </cell>
          <cell r="C3853">
            <v>39.909999999999997</v>
          </cell>
          <cell r="D3853">
            <v>15.44</v>
          </cell>
          <cell r="E3853">
            <v>10.26</v>
          </cell>
          <cell r="H3853">
            <v>45452</v>
          </cell>
          <cell r="I3853">
            <v>0.56888888888888889</v>
          </cell>
          <cell r="J3853">
            <v>29.678888888888885</v>
          </cell>
        </row>
        <row r="3854">
          <cell r="B3854">
            <v>15.21</v>
          </cell>
          <cell r="C3854">
            <v>40.549999999999997</v>
          </cell>
          <cell r="D3854">
            <v>16.48</v>
          </cell>
          <cell r="E3854">
            <v>10.64</v>
          </cell>
          <cell r="H3854">
            <v>45452</v>
          </cell>
          <cell r="I3854">
            <v>0.56777777777777771</v>
          </cell>
          <cell r="J3854">
            <v>29.578888888888887</v>
          </cell>
        </row>
        <row r="3855">
          <cell r="B3855">
            <v>13.87</v>
          </cell>
          <cell r="C3855">
            <v>39.19</v>
          </cell>
          <cell r="D3855">
            <v>16.02</v>
          </cell>
          <cell r="E3855">
            <v>11.05</v>
          </cell>
          <cell r="H3855">
            <v>45452</v>
          </cell>
          <cell r="I3855">
            <v>0.57111111111111112</v>
          </cell>
          <cell r="J3855">
            <v>29.521111111111111</v>
          </cell>
        </row>
        <row r="3856">
          <cell r="B3856">
            <v>15.9</v>
          </cell>
          <cell r="C3856">
            <v>35.56</v>
          </cell>
          <cell r="D3856">
            <v>15.14</v>
          </cell>
          <cell r="E3856">
            <v>11.01</v>
          </cell>
          <cell r="H3856">
            <v>45452</v>
          </cell>
          <cell r="I3856">
            <v>0.56999999999999995</v>
          </cell>
          <cell r="J3856">
            <v>29.45888888888889</v>
          </cell>
        </row>
        <row r="3857">
          <cell r="B3857">
            <v>11.68</v>
          </cell>
          <cell r="C3857">
            <v>25.44</v>
          </cell>
          <cell r="D3857">
            <v>14.4</v>
          </cell>
          <cell r="E3857">
            <v>11.17</v>
          </cell>
          <cell r="H3857">
            <v>45452</v>
          </cell>
          <cell r="I3857">
            <v>0.56777777777777771</v>
          </cell>
          <cell r="J3857">
            <v>29.364444444444441</v>
          </cell>
        </row>
        <row r="3858">
          <cell r="B3858">
            <v>12.64</v>
          </cell>
          <cell r="C3858">
            <v>23.84</v>
          </cell>
          <cell r="D3858">
            <v>15.7</v>
          </cell>
          <cell r="E3858">
            <v>10.87</v>
          </cell>
          <cell r="H3858">
            <v>45452</v>
          </cell>
          <cell r="I3858">
            <v>0.5644444444444443</v>
          </cell>
          <cell r="J3858">
            <v>29.322222222222226</v>
          </cell>
        </row>
        <row r="3859">
          <cell r="B3859">
            <v>13.23</v>
          </cell>
          <cell r="C3859">
            <v>25.17</v>
          </cell>
          <cell r="D3859">
            <v>16.02</v>
          </cell>
          <cell r="E3859">
            <v>10.62</v>
          </cell>
          <cell r="H3859">
            <v>45452</v>
          </cell>
          <cell r="I3859">
            <v>0.56222222222222207</v>
          </cell>
          <cell r="J3859">
            <v>29.361111111111111</v>
          </cell>
        </row>
        <row r="3860">
          <cell r="B3860">
            <v>12.71</v>
          </cell>
          <cell r="C3860">
            <v>27.39</v>
          </cell>
          <cell r="D3860">
            <v>15.99</v>
          </cell>
          <cell r="E3860">
            <v>10.81</v>
          </cell>
          <cell r="H3860">
            <v>45452</v>
          </cell>
          <cell r="I3860">
            <v>0.56333333333333335</v>
          </cell>
          <cell r="J3860">
            <v>29.377777777777776</v>
          </cell>
        </row>
        <row r="3861">
          <cell r="B3861">
            <v>12.4</v>
          </cell>
          <cell r="C3861">
            <v>29.57</v>
          </cell>
          <cell r="D3861">
            <v>16.260000000000002</v>
          </cell>
          <cell r="E3861">
            <v>10.28</v>
          </cell>
          <cell r="H3861">
            <v>45452</v>
          </cell>
          <cell r="I3861">
            <v>0.56666666666666654</v>
          </cell>
          <cell r="J3861">
            <v>29.241111111111106</v>
          </cell>
        </row>
        <row r="3862">
          <cell r="B3862">
            <v>12.8</v>
          </cell>
          <cell r="C3862">
            <v>31.79</v>
          </cell>
          <cell r="D3862">
            <v>16.37</v>
          </cell>
          <cell r="E3862">
            <v>9.76</v>
          </cell>
          <cell r="H3862">
            <v>45452</v>
          </cell>
          <cell r="I3862">
            <v>0.56888888888888889</v>
          </cell>
          <cell r="J3862">
            <v>28.77</v>
          </cell>
        </row>
        <row r="3863">
          <cell r="B3863">
            <v>13.98</v>
          </cell>
          <cell r="C3863">
            <v>34.07</v>
          </cell>
          <cell r="D3863">
            <v>16.32</v>
          </cell>
          <cell r="E3863">
            <v>10.34</v>
          </cell>
          <cell r="H3863">
            <v>45452</v>
          </cell>
          <cell r="I3863">
            <v>0.57111111111111112</v>
          </cell>
          <cell r="J3863">
            <v>28.536666666666665</v>
          </cell>
        </row>
        <row r="3864">
          <cell r="B3864">
            <v>13.21</v>
          </cell>
          <cell r="C3864">
            <v>31.77</v>
          </cell>
          <cell r="D3864">
            <v>15.84</v>
          </cell>
          <cell r="E3864">
            <v>10.68</v>
          </cell>
          <cell r="H3864">
            <v>45452</v>
          </cell>
          <cell r="I3864">
            <v>0.57333333333333336</v>
          </cell>
          <cell r="J3864">
            <v>28.297777777777778</v>
          </cell>
        </row>
        <row r="3865">
          <cell r="B3865">
            <v>12.28</v>
          </cell>
          <cell r="C3865">
            <v>32.130000000000003</v>
          </cell>
          <cell r="D3865">
            <v>15.68</v>
          </cell>
          <cell r="E3865">
            <v>10.35</v>
          </cell>
          <cell r="H3865">
            <v>45452</v>
          </cell>
          <cell r="I3865">
            <v>0.57777777777777783</v>
          </cell>
          <cell r="J3865">
            <v>28.05</v>
          </cell>
        </row>
        <row r="3866">
          <cell r="B3866">
            <v>13.42</v>
          </cell>
          <cell r="C3866">
            <v>33.11</v>
          </cell>
          <cell r="D3866">
            <v>15.83</v>
          </cell>
          <cell r="E3866">
            <v>9.89</v>
          </cell>
          <cell r="H3866">
            <v>45453</v>
          </cell>
          <cell r="I3866">
            <v>0.57777777777777783</v>
          </cell>
          <cell r="J3866">
            <v>27.971111111111114</v>
          </cell>
        </row>
        <row r="3867">
          <cell r="B3867">
            <v>12.62</v>
          </cell>
          <cell r="C3867">
            <v>32.22</v>
          </cell>
          <cell r="D3867">
            <v>15.7</v>
          </cell>
          <cell r="E3867">
            <v>8.8699999999999992</v>
          </cell>
          <cell r="H3867">
            <v>45453</v>
          </cell>
          <cell r="I3867">
            <v>0.57888888888888901</v>
          </cell>
          <cell r="J3867">
            <v>27.860000000000003</v>
          </cell>
        </row>
        <row r="3868">
          <cell r="B3868">
            <v>11.88</v>
          </cell>
          <cell r="C3868">
            <v>28.4</v>
          </cell>
          <cell r="D3868">
            <v>15.5</v>
          </cell>
          <cell r="E3868">
            <v>8.93</v>
          </cell>
          <cell r="H3868">
            <v>45453</v>
          </cell>
          <cell r="I3868">
            <v>0.57888888888888901</v>
          </cell>
          <cell r="J3868">
            <v>27.756666666666671</v>
          </cell>
        </row>
        <row r="3869">
          <cell r="B3869">
            <v>11.66</v>
          </cell>
          <cell r="C3869">
            <v>28.16</v>
          </cell>
          <cell r="D3869">
            <v>15.59</v>
          </cell>
          <cell r="E3869">
            <v>8.59</v>
          </cell>
          <cell r="H3869">
            <v>45453</v>
          </cell>
          <cell r="I3869">
            <v>0.57888888888888901</v>
          </cell>
          <cell r="J3869">
            <v>27.57555555555556</v>
          </cell>
        </row>
        <row r="3870">
          <cell r="B3870">
            <v>11.84</v>
          </cell>
          <cell r="C3870">
            <v>28.31</v>
          </cell>
          <cell r="D3870">
            <v>15.17</v>
          </cell>
          <cell r="E3870">
            <v>8.4700000000000006</v>
          </cell>
          <cell r="H3870">
            <v>45453</v>
          </cell>
          <cell r="I3870">
            <v>0.57666666666666666</v>
          </cell>
          <cell r="J3870">
            <v>27.556666666666672</v>
          </cell>
        </row>
        <row r="3871">
          <cell r="B3871">
            <v>12.03</v>
          </cell>
          <cell r="C3871">
            <v>28.97</v>
          </cell>
          <cell r="D3871">
            <v>15.4</v>
          </cell>
          <cell r="E3871">
            <v>8.5</v>
          </cell>
          <cell r="H3871">
            <v>45453</v>
          </cell>
          <cell r="I3871">
            <v>0.57333333333333336</v>
          </cell>
          <cell r="J3871">
            <v>27.631111111111114</v>
          </cell>
        </row>
        <row r="3872">
          <cell r="B3872">
            <v>13.57</v>
          </cell>
          <cell r="C3872">
            <v>33.11</v>
          </cell>
          <cell r="D3872">
            <v>15.71</v>
          </cell>
          <cell r="E3872">
            <v>8.58</v>
          </cell>
          <cell r="H3872">
            <v>45453</v>
          </cell>
          <cell r="I3872">
            <v>0.57444444444444442</v>
          </cell>
          <cell r="J3872">
            <v>27.635555555555555</v>
          </cell>
        </row>
        <row r="3873">
          <cell r="B3873">
            <v>13.55</v>
          </cell>
          <cell r="C3873">
            <v>33.92</v>
          </cell>
          <cell r="D3873">
            <v>15.79</v>
          </cell>
          <cell r="E3873">
            <v>9.52</v>
          </cell>
          <cell r="H3873">
            <v>45453</v>
          </cell>
          <cell r="I3873">
            <v>0.57666666666666666</v>
          </cell>
          <cell r="J3873">
            <v>27.748888888888889</v>
          </cell>
        </row>
        <row r="3874">
          <cell r="B3874">
            <v>14.06</v>
          </cell>
          <cell r="C3874">
            <v>37.619999999999997</v>
          </cell>
          <cell r="D3874">
            <v>16.21</v>
          </cell>
          <cell r="E3874">
            <v>9.14</v>
          </cell>
          <cell r="H3874">
            <v>45453</v>
          </cell>
          <cell r="I3874">
            <v>0.58111111111111113</v>
          </cell>
          <cell r="J3874">
            <v>27.956666666666667</v>
          </cell>
        </row>
        <row r="3875">
          <cell r="B3875">
            <v>14.36</v>
          </cell>
          <cell r="C3875">
            <v>41.23</v>
          </cell>
          <cell r="D3875">
            <v>16.239999999999998</v>
          </cell>
          <cell r="E3875">
            <v>9.4700000000000006</v>
          </cell>
          <cell r="H3875">
            <v>45453</v>
          </cell>
          <cell r="I3875">
            <v>0.58888888888888891</v>
          </cell>
          <cell r="J3875">
            <v>28.370000000000005</v>
          </cell>
        </row>
        <row r="3876">
          <cell r="B3876">
            <v>11.99</v>
          </cell>
          <cell r="C3876">
            <v>39.700000000000003</v>
          </cell>
          <cell r="D3876">
            <v>14.82</v>
          </cell>
          <cell r="E3876">
            <v>9.1</v>
          </cell>
          <cell r="H3876">
            <v>45453</v>
          </cell>
          <cell r="I3876">
            <v>0.62111111111111095</v>
          </cell>
          <cell r="J3876">
            <v>28.615555555555559</v>
          </cell>
        </row>
        <row r="3877">
          <cell r="B3877">
            <v>12.6</v>
          </cell>
          <cell r="C3877">
            <v>37.44</v>
          </cell>
          <cell r="D3877">
            <v>15.12</v>
          </cell>
          <cell r="E3877">
            <v>9.43</v>
          </cell>
          <cell r="H3877">
            <v>45453</v>
          </cell>
          <cell r="I3877">
            <v>0.64777777777777767</v>
          </cell>
          <cell r="J3877">
            <v>29.217777777777783</v>
          </cell>
        </row>
        <row r="3878">
          <cell r="B3878">
            <v>14.38</v>
          </cell>
          <cell r="C3878">
            <v>37.75</v>
          </cell>
          <cell r="D3878">
            <v>15.7</v>
          </cell>
          <cell r="E3878">
            <v>9.36</v>
          </cell>
          <cell r="H3878">
            <v>45453</v>
          </cell>
          <cell r="I3878">
            <v>0.64777777777777779</v>
          </cell>
          <cell r="J3878">
            <v>29.631111111111107</v>
          </cell>
        </row>
        <row r="3879">
          <cell r="B3879">
            <v>14.17</v>
          </cell>
          <cell r="C3879">
            <v>39.590000000000003</v>
          </cell>
          <cell r="D3879">
            <v>15.97</v>
          </cell>
          <cell r="E3879">
            <v>9.3800000000000008</v>
          </cell>
          <cell r="H3879">
            <v>45453</v>
          </cell>
          <cell r="I3879">
            <v>0.64666666666666672</v>
          </cell>
          <cell r="J3879">
            <v>29.995555555555555</v>
          </cell>
        </row>
        <row r="3880">
          <cell r="B3880">
            <v>13.51</v>
          </cell>
          <cell r="C3880">
            <v>51.51</v>
          </cell>
          <cell r="D3880">
            <v>16.55</v>
          </cell>
          <cell r="E3880">
            <v>8.67</v>
          </cell>
          <cell r="H3880">
            <v>45453</v>
          </cell>
          <cell r="I3880">
            <v>0.6511111111111112</v>
          </cell>
          <cell r="J3880">
            <v>30.223333333333333</v>
          </cell>
        </row>
        <row r="3881">
          <cell r="B3881">
            <v>12.37</v>
          </cell>
          <cell r="C3881">
            <v>31.79</v>
          </cell>
          <cell r="D3881">
            <v>16.38</v>
          </cell>
          <cell r="E3881">
            <v>8.9</v>
          </cell>
          <cell r="H3881">
            <v>45453</v>
          </cell>
          <cell r="I3881">
            <v>0.65777777777777791</v>
          </cell>
          <cell r="J3881">
            <v>30.494444444444444</v>
          </cell>
        </row>
        <row r="3882">
          <cell r="B3882">
            <v>11.67</v>
          </cell>
          <cell r="C3882">
            <v>33.979999999999997</v>
          </cell>
          <cell r="D3882">
            <v>16.100000000000001</v>
          </cell>
          <cell r="E3882">
            <v>9.26</v>
          </cell>
          <cell r="H3882">
            <v>45453</v>
          </cell>
          <cell r="I3882">
            <v>0.67222222222222228</v>
          </cell>
          <cell r="J3882">
            <v>30.751111111111111</v>
          </cell>
        </row>
        <row r="3883">
          <cell r="B3883">
            <v>10.59</v>
          </cell>
          <cell r="C3883">
            <v>32.32</v>
          </cell>
          <cell r="D3883">
            <v>16.39</v>
          </cell>
          <cell r="E3883">
            <v>9.18</v>
          </cell>
          <cell r="H3883">
            <v>45453</v>
          </cell>
          <cell r="I3883">
            <v>0.67999999999999994</v>
          </cell>
          <cell r="J3883">
            <v>30.876666666666665</v>
          </cell>
        </row>
        <row r="3884">
          <cell r="B3884">
            <v>11.82</v>
          </cell>
          <cell r="C3884">
            <v>35.729999999999997</v>
          </cell>
          <cell r="D3884">
            <v>16.690000000000001</v>
          </cell>
          <cell r="E3884">
            <v>9.26</v>
          </cell>
          <cell r="H3884">
            <v>45453</v>
          </cell>
          <cell r="I3884">
            <v>0.67444444444444451</v>
          </cell>
          <cell r="J3884">
            <v>30.678888888888885</v>
          </cell>
        </row>
        <row r="3885">
          <cell r="B3885">
            <v>13.56</v>
          </cell>
          <cell r="C3885">
            <v>40</v>
          </cell>
          <cell r="D3885">
            <v>17.05</v>
          </cell>
          <cell r="E3885">
            <v>9.19</v>
          </cell>
          <cell r="H3885">
            <v>45453</v>
          </cell>
          <cell r="I3885">
            <v>0.66888888888888876</v>
          </cell>
          <cell r="J3885">
            <v>30.57</v>
          </cell>
        </row>
        <row r="3886">
          <cell r="B3886">
            <v>13.85</v>
          </cell>
          <cell r="C3886">
            <v>41.31</v>
          </cell>
          <cell r="D3886">
            <v>17.260000000000002</v>
          </cell>
          <cell r="E3886">
            <v>8.89</v>
          </cell>
          <cell r="H3886">
            <v>45453</v>
          </cell>
          <cell r="I3886">
            <v>0.7022222222222223</v>
          </cell>
          <cell r="J3886">
            <v>30.128888888888884</v>
          </cell>
        </row>
        <row r="3887">
          <cell r="B3887">
            <v>14.77</v>
          </cell>
          <cell r="C3887">
            <v>42.59</v>
          </cell>
          <cell r="D3887">
            <v>17</v>
          </cell>
          <cell r="E3887">
            <v>8.8000000000000007</v>
          </cell>
          <cell r="H3887">
            <v>45453</v>
          </cell>
          <cell r="I3887">
            <v>0.70444444444444443</v>
          </cell>
          <cell r="J3887">
            <v>29.88666666666667</v>
          </cell>
        </row>
        <row r="3888">
          <cell r="B3888">
            <v>15.09</v>
          </cell>
          <cell r="C3888">
            <v>41.8</v>
          </cell>
          <cell r="D3888">
            <v>16.63</v>
          </cell>
          <cell r="E3888">
            <v>8.48</v>
          </cell>
          <cell r="H3888">
            <v>45453</v>
          </cell>
          <cell r="I3888">
            <v>0.72444444444444445</v>
          </cell>
          <cell r="J3888">
            <v>29.661111111111111</v>
          </cell>
        </row>
        <row r="3889">
          <cell r="B3889">
            <v>15.16</v>
          </cell>
          <cell r="C3889">
            <v>39.619999999999997</v>
          </cell>
          <cell r="D3889">
            <v>16</v>
          </cell>
          <cell r="E3889">
            <v>8.2899999999999991</v>
          </cell>
          <cell r="H3889">
            <v>45453</v>
          </cell>
          <cell r="I3889">
            <v>0.71777777777777774</v>
          </cell>
          <cell r="J3889">
            <v>29.549999999999997</v>
          </cell>
        </row>
        <row r="3890">
          <cell r="B3890">
            <v>16.329999999999998</v>
          </cell>
          <cell r="C3890">
            <v>38.119999999999997</v>
          </cell>
          <cell r="D3890">
            <v>15.38</v>
          </cell>
          <cell r="E3890">
            <v>7.88</v>
          </cell>
          <cell r="H3890">
            <v>45454</v>
          </cell>
          <cell r="I3890">
            <v>0.70888888888888901</v>
          </cell>
          <cell r="J3890">
            <v>29.347777777777779</v>
          </cell>
        </row>
        <row r="3891">
          <cell r="B3891">
            <v>13.82</v>
          </cell>
          <cell r="C3891">
            <v>34.22</v>
          </cell>
          <cell r="D3891">
            <v>15.63</v>
          </cell>
          <cell r="E3891">
            <v>7.01</v>
          </cell>
          <cell r="H3891">
            <v>45454</v>
          </cell>
          <cell r="I3891">
            <v>0.68777777777777782</v>
          </cell>
          <cell r="J3891">
            <v>28.965555555555554</v>
          </cell>
        </row>
        <row r="3892">
          <cell r="B3892">
            <v>14.46</v>
          </cell>
          <cell r="C3892">
            <v>33.1</v>
          </cell>
          <cell r="D3892">
            <v>15.5</v>
          </cell>
          <cell r="E3892">
            <v>6.36</v>
          </cell>
          <cell r="H3892">
            <v>45454</v>
          </cell>
          <cell r="I3892">
            <v>0.66888888888888909</v>
          </cell>
          <cell r="J3892">
            <v>28.584444444444443</v>
          </cell>
        </row>
        <row r="3893">
          <cell r="B3893">
            <v>14.09</v>
          </cell>
          <cell r="C3893">
            <v>33.68</v>
          </cell>
          <cell r="D3893">
            <v>15.57</v>
          </cell>
          <cell r="E3893">
            <v>6.46</v>
          </cell>
          <cell r="H3893">
            <v>45454</v>
          </cell>
          <cell r="I3893">
            <v>0.66555555555555557</v>
          </cell>
          <cell r="J3893">
            <v>28.265555555555554</v>
          </cell>
        </row>
        <row r="3894">
          <cell r="B3894">
            <v>12.98</v>
          </cell>
          <cell r="C3894">
            <v>32.700000000000003</v>
          </cell>
          <cell r="D3894">
            <v>15.69</v>
          </cell>
          <cell r="E3894">
            <v>6.42</v>
          </cell>
          <cell r="H3894">
            <v>45454</v>
          </cell>
          <cell r="I3894">
            <v>0.63222222222222235</v>
          </cell>
          <cell r="J3894">
            <v>28.021111111111111</v>
          </cell>
        </row>
        <row r="3895">
          <cell r="B3895">
            <v>12.53</v>
          </cell>
          <cell r="C3895">
            <v>32.64</v>
          </cell>
          <cell r="D3895">
            <v>15.8</v>
          </cell>
          <cell r="E3895">
            <v>6.19</v>
          </cell>
          <cell r="H3895">
            <v>45454</v>
          </cell>
          <cell r="I3895">
            <v>0.56666666666666665</v>
          </cell>
          <cell r="J3895">
            <v>27.811111111111114</v>
          </cell>
        </row>
        <row r="3896">
          <cell r="B3896">
            <v>14.44</v>
          </cell>
          <cell r="C3896">
            <v>35.86</v>
          </cell>
          <cell r="D3896">
            <v>15.91</v>
          </cell>
          <cell r="E3896">
            <v>6.16</v>
          </cell>
          <cell r="H3896">
            <v>45454</v>
          </cell>
          <cell r="I3896">
            <v>0.55888888888888888</v>
          </cell>
          <cell r="J3896">
            <v>27.565555555555559</v>
          </cell>
        </row>
        <row r="3897">
          <cell r="B3897">
            <v>13.19</v>
          </cell>
          <cell r="C3897">
            <v>36.18</v>
          </cell>
          <cell r="D3897">
            <v>14.81</v>
          </cell>
          <cell r="E3897">
            <v>6.26</v>
          </cell>
          <cell r="H3897">
            <v>45454</v>
          </cell>
          <cell r="I3897">
            <v>0.53333333333333344</v>
          </cell>
          <cell r="J3897">
            <v>27.39777777777778</v>
          </cell>
        </row>
        <row r="3898">
          <cell r="B3898">
            <v>15.34</v>
          </cell>
          <cell r="C3898">
            <v>40.299999999999997</v>
          </cell>
          <cell r="D3898">
            <v>16.71</v>
          </cell>
          <cell r="E3898">
            <v>6.54</v>
          </cell>
          <cell r="H3898">
            <v>45454</v>
          </cell>
          <cell r="I3898">
            <v>0.60333333333333328</v>
          </cell>
          <cell r="J3898">
            <v>27.174444444444447</v>
          </cell>
        </row>
        <row r="3899">
          <cell r="B3899">
            <v>15.65</v>
          </cell>
          <cell r="C3899">
            <v>43.43</v>
          </cell>
          <cell r="D3899">
            <v>16.760000000000002</v>
          </cell>
          <cell r="E3899">
            <v>6.96</v>
          </cell>
          <cell r="H3899">
            <v>45454</v>
          </cell>
          <cell r="I3899">
            <v>0.60444444444444445</v>
          </cell>
          <cell r="J3899">
            <v>27.257777777777779</v>
          </cell>
        </row>
        <row r="3900">
          <cell r="B3900">
            <v>14.98</v>
          </cell>
          <cell r="C3900">
            <v>43.34</v>
          </cell>
          <cell r="D3900">
            <v>16.309999999999999</v>
          </cell>
          <cell r="E3900">
            <v>6.48</v>
          </cell>
          <cell r="H3900">
            <v>45454</v>
          </cell>
          <cell r="I3900">
            <v>0.60555555555555562</v>
          </cell>
          <cell r="J3900">
            <v>27.45888888888889</v>
          </cell>
        </row>
        <row r="3901">
          <cell r="B3901">
            <v>13.52</v>
          </cell>
          <cell r="C3901">
            <v>44.52</v>
          </cell>
          <cell r="D3901">
            <v>16.02</v>
          </cell>
          <cell r="E3901">
            <v>7.33</v>
          </cell>
          <cell r="H3901">
            <v>45454</v>
          </cell>
          <cell r="I3901">
            <v>0.61</v>
          </cell>
          <cell r="J3901">
            <v>27.83111111111111</v>
          </cell>
        </row>
        <row r="3902">
          <cell r="B3902">
            <v>14.33</v>
          </cell>
          <cell r="C3902">
            <v>43.62</v>
          </cell>
          <cell r="D3902">
            <v>16.22</v>
          </cell>
          <cell r="E3902">
            <v>7.95</v>
          </cell>
          <cell r="H3902">
            <v>45454</v>
          </cell>
          <cell r="I3902">
            <v>0.64555555555555555</v>
          </cell>
          <cell r="J3902">
            <v>28.279999999999998</v>
          </cell>
        </row>
        <row r="3903">
          <cell r="B3903">
            <v>12.22</v>
          </cell>
          <cell r="C3903">
            <v>42.83</v>
          </cell>
          <cell r="D3903">
            <v>15.03</v>
          </cell>
          <cell r="E3903">
            <v>7.87</v>
          </cell>
          <cell r="H3903">
            <v>45454</v>
          </cell>
          <cell r="I3903">
            <v>0.65444444444444438</v>
          </cell>
          <cell r="J3903">
            <v>28.823333333333331</v>
          </cell>
        </row>
        <row r="3904">
          <cell r="B3904">
            <v>13.13</v>
          </cell>
          <cell r="C3904">
            <v>36.94</v>
          </cell>
          <cell r="D3904">
            <v>16.350000000000001</v>
          </cell>
          <cell r="E3904">
            <v>7.72</v>
          </cell>
          <cell r="H3904">
            <v>45454</v>
          </cell>
          <cell r="I3904">
            <v>0.66333333333333333</v>
          </cell>
          <cell r="J3904">
            <v>29.512222222222224</v>
          </cell>
        </row>
        <row r="3905">
          <cell r="B3905">
            <v>13.08</v>
          </cell>
          <cell r="C3905">
            <v>37.61</v>
          </cell>
          <cell r="D3905">
            <v>16.760000000000002</v>
          </cell>
          <cell r="E3905">
            <v>7.63</v>
          </cell>
          <cell r="H3905">
            <v>45454</v>
          </cell>
          <cell r="I3905">
            <v>0.67333333333333334</v>
          </cell>
          <cell r="J3905">
            <v>30.21222222222222</v>
          </cell>
        </row>
        <row r="3906">
          <cell r="B3906">
            <v>12.49</v>
          </cell>
          <cell r="C3906">
            <v>40.54</v>
          </cell>
          <cell r="D3906">
            <v>16.37</v>
          </cell>
          <cell r="E3906">
            <v>8.1</v>
          </cell>
          <cell r="H3906">
            <v>45454</v>
          </cell>
          <cell r="I3906">
            <v>0.69</v>
          </cell>
          <cell r="J3906">
            <v>30.777777777777779</v>
          </cell>
        </row>
        <row r="3907">
          <cell r="B3907">
            <v>12.27</v>
          </cell>
          <cell r="C3907">
            <v>39.92</v>
          </cell>
          <cell r="D3907">
            <v>17.22</v>
          </cell>
          <cell r="E3907">
            <v>7.84</v>
          </cell>
          <cell r="H3907">
            <v>45454</v>
          </cell>
          <cell r="I3907">
            <v>0.63888888888888884</v>
          </cell>
          <cell r="J3907">
            <v>31.207777777777778</v>
          </cell>
        </row>
        <row r="3908">
          <cell r="B3908">
            <v>12.43</v>
          </cell>
          <cell r="C3908">
            <v>37.21</v>
          </cell>
          <cell r="D3908">
            <v>17.809999999999999</v>
          </cell>
          <cell r="E3908">
            <v>7.32</v>
          </cell>
          <cell r="H3908">
            <v>45454</v>
          </cell>
          <cell r="I3908">
            <v>0.66222222222222227</v>
          </cell>
          <cell r="J3908">
            <v>31.197777777777773</v>
          </cell>
        </row>
        <row r="3909">
          <cell r="B3909">
            <v>13.63</v>
          </cell>
          <cell r="C3909">
            <v>39.54</v>
          </cell>
          <cell r="D3909">
            <v>17.75</v>
          </cell>
          <cell r="E3909">
            <v>7.57</v>
          </cell>
          <cell r="H3909">
            <v>45454</v>
          </cell>
          <cell r="I3909">
            <v>0.68333333333333335</v>
          </cell>
          <cell r="J3909">
            <v>31.080000000000002</v>
          </cell>
        </row>
        <row r="3910">
          <cell r="B3910">
            <v>15.57</v>
          </cell>
          <cell r="C3910">
            <v>41.28</v>
          </cell>
          <cell r="D3910">
            <v>17.399999999999999</v>
          </cell>
          <cell r="E3910">
            <v>7.27</v>
          </cell>
          <cell r="H3910">
            <v>45454</v>
          </cell>
          <cell r="I3910">
            <v>0.7</v>
          </cell>
          <cell r="J3910">
            <v>30.875555555555554</v>
          </cell>
        </row>
        <row r="3911">
          <cell r="B3911">
            <v>16.02</v>
          </cell>
          <cell r="C3911">
            <v>42.11</v>
          </cell>
          <cell r="D3911">
            <v>17.079999999999998</v>
          </cell>
          <cell r="E3911">
            <v>8.11</v>
          </cell>
          <cell r="H3911">
            <v>45454</v>
          </cell>
          <cell r="I3911">
            <v>0.69</v>
          </cell>
          <cell r="J3911">
            <v>30.591111111111111</v>
          </cell>
        </row>
        <row r="3912">
          <cell r="B3912">
            <v>14.86</v>
          </cell>
          <cell r="C3912">
            <v>40.119999999999997</v>
          </cell>
          <cell r="D3912">
            <v>16.66</v>
          </cell>
          <cell r="E3912">
            <v>7.87</v>
          </cell>
          <cell r="H3912">
            <v>45454</v>
          </cell>
          <cell r="I3912">
            <v>0.69777777777777783</v>
          </cell>
          <cell r="J3912">
            <v>30.412222222222219</v>
          </cell>
        </row>
        <row r="3913">
          <cell r="B3913">
            <v>13.64</v>
          </cell>
          <cell r="C3913">
            <v>39.96</v>
          </cell>
          <cell r="D3913">
            <v>16.36</v>
          </cell>
          <cell r="E3913">
            <v>7.78</v>
          </cell>
          <cell r="H3913">
            <v>45454</v>
          </cell>
          <cell r="I3913">
            <v>0.71000000000000008</v>
          </cell>
          <cell r="J3913">
            <v>30.165555555555549</v>
          </cell>
        </row>
        <row r="3914">
          <cell r="B3914">
            <v>13.42</v>
          </cell>
          <cell r="C3914">
            <v>35.619999999999997</v>
          </cell>
          <cell r="D3914">
            <v>15.71</v>
          </cell>
          <cell r="E3914">
            <v>7.23</v>
          </cell>
          <cell r="H3914">
            <v>45455</v>
          </cell>
          <cell r="I3914">
            <v>0.71111111111111114</v>
          </cell>
          <cell r="J3914">
            <v>29.864444444444448</v>
          </cell>
        </row>
        <row r="3915">
          <cell r="B3915">
            <v>13.9</v>
          </cell>
          <cell r="C3915">
            <v>36.1</v>
          </cell>
          <cell r="D3915">
            <v>15.75</v>
          </cell>
          <cell r="E3915">
            <v>8.66</v>
          </cell>
          <cell r="H3915">
            <v>45455</v>
          </cell>
          <cell r="I3915">
            <v>0.7122222222222222</v>
          </cell>
          <cell r="J3915">
            <v>29.641111111111108</v>
          </cell>
        </row>
        <row r="3916">
          <cell r="B3916">
            <v>13.39</v>
          </cell>
          <cell r="C3916">
            <v>36.51</v>
          </cell>
          <cell r="D3916">
            <v>15.66</v>
          </cell>
          <cell r="E3916">
            <v>9.11</v>
          </cell>
          <cell r="H3916">
            <v>45455</v>
          </cell>
          <cell r="I3916">
            <v>0.71</v>
          </cell>
          <cell r="J3916">
            <v>29.454444444444448</v>
          </cell>
        </row>
        <row r="3917">
          <cell r="B3917">
            <v>11.38</v>
          </cell>
          <cell r="C3917">
            <v>33.31</v>
          </cell>
          <cell r="D3917">
            <v>15.72</v>
          </cell>
          <cell r="E3917">
            <v>9.09</v>
          </cell>
          <cell r="H3917">
            <v>45455</v>
          </cell>
          <cell r="I3917">
            <v>0.69555555555555548</v>
          </cell>
          <cell r="J3917">
            <v>29.454444444444448</v>
          </cell>
        </row>
        <row r="3918">
          <cell r="B3918">
            <v>12.21</v>
          </cell>
          <cell r="C3918">
            <v>30.68</v>
          </cell>
          <cell r="D3918">
            <v>16.010000000000002</v>
          </cell>
          <cell r="E3918">
            <v>8.76</v>
          </cell>
          <cell r="H3918">
            <v>45455</v>
          </cell>
          <cell r="I3918">
            <v>0.68555555555555558</v>
          </cell>
          <cell r="J3918">
            <v>29.446666666666673</v>
          </cell>
        </row>
        <row r="3919">
          <cell r="B3919">
            <v>14.71</v>
          </cell>
          <cell r="C3919">
            <v>33.68</v>
          </cell>
          <cell r="D3919">
            <v>16.16</v>
          </cell>
          <cell r="E3919">
            <v>8.59</v>
          </cell>
          <cell r="H3919">
            <v>45455</v>
          </cell>
          <cell r="I3919">
            <v>0.68555555555555558</v>
          </cell>
          <cell r="J3919">
            <v>29.34</v>
          </cell>
        </row>
        <row r="3920">
          <cell r="B3920">
            <v>13.45</v>
          </cell>
          <cell r="C3920">
            <v>35.81</v>
          </cell>
          <cell r="D3920">
            <v>16.75</v>
          </cell>
          <cell r="E3920">
            <v>8.66</v>
          </cell>
          <cell r="H3920">
            <v>45455</v>
          </cell>
          <cell r="I3920">
            <v>0.67888888888888899</v>
          </cell>
          <cell r="J3920">
            <v>29.248888888888889</v>
          </cell>
        </row>
        <row r="3921">
          <cell r="B3921">
            <v>14.54</v>
          </cell>
          <cell r="C3921">
            <v>38.86</v>
          </cell>
          <cell r="D3921">
            <v>17.21</v>
          </cell>
          <cell r="E3921">
            <v>8.5</v>
          </cell>
          <cell r="H3921">
            <v>45455</v>
          </cell>
          <cell r="I3921">
            <v>0.68333333333333313</v>
          </cell>
          <cell r="J3921">
            <v>28.971111111111114</v>
          </cell>
        </row>
        <row r="3922">
          <cell r="B3922">
            <v>16.21</v>
          </cell>
          <cell r="C3922">
            <v>42.32</v>
          </cell>
          <cell r="D3922">
            <v>16.97</v>
          </cell>
          <cell r="E3922">
            <v>8.44</v>
          </cell>
          <cell r="H3922">
            <v>45455</v>
          </cell>
          <cell r="I3922">
            <v>0.73999999999999988</v>
          </cell>
          <cell r="J3922">
            <v>28.657777777777781</v>
          </cell>
        </row>
        <row r="3923">
          <cell r="B3923">
            <v>15.57</v>
          </cell>
          <cell r="C3923">
            <v>44.89</v>
          </cell>
          <cell r="D3923">
            <v>17.21</v>
          </cell>
          <cell r="E3923">
            <v>8.76</v>
          </cell>
          <cell r="H3923">
            <v>45455</v>
          </cell>
          <cell r="I3923">
            <v>0.75333333333333341</v>
          </cell>
          <cell r="J3923">
            <v>28.551111111111116</v>
          </cell>
        </row>
        <row r="3924">
          <cell r="B3924">
            <v>15.4</v>
          </cell>
          <cell r="C3924">
            <v>39.72</v>
          </cell>
          <cell r="D3924">
            <v>16.440000000000001</v>
          </cell>
          <cell r="E3924">
            <v>9.15</v>
          </cell>
          <cell r="H3924">
            <v>45455</v>
          </cell>
          <cell r="I3924">
            <v>0.76333333333333342</v>
          </cell>
          <cell r="J3924">
            <v>28.590000000000007</v>
          </cell>
        </row>
        <row r="3925">
          <cell r="B3925">
            <v>14.98</v>
          </cell>
          <cell r="C3925">
            <v>40.630000000000003</v>
          </cell>
          <cell r="D3925">
            <v>15.77</v>
          </cell>
          <cell r="E3925">
            <v>9.1300000000000008</v>
          </cell>
          <cell r="H3925">
            <v>45455</v>
          </cell>
          <cell r="I3925">
            <v>0.76333333333333331</v>
          </cell>
          <cell r="J3925">
            <v>28.818888888888889</v>
          </cell>
        </row>
        <row r="3926">
          <cell r="B3926">
            <v>14.15</v>
          </cell>
          <cell r="C3926">
            <v>40.29</v>
          </cell>
          <cell r="D3926">
            <v>15.99</v>
          </cell>
          <cell r="E3926">
            <v>9.07</v>
          </cell>
          <cell r="H3926">
            <v>45455</v>
          </cell>
          <cell r="I3926">
            <v>0.77</v>
          </cell>
          <cell r="J3926">
            <v>29.091111111111118</v>
          </cell>
        </row>
        <row r="3927">
          <cell r="B3927">
            <v>14.3</v>
          </cell>
          <cell r="C3927">
            <v>45.43</v>
          </cell>
          <cell r="D3927">
            <v>16.7</v>
          </cell>
          <cell r="E3927">
            <v>9.25</v>
          </cell>
          <cell r="H3927">
            <v>45455</v>
          </cell>
          <cell r="I3927">
            <v>0.77</v>
          </cell>
          <cell r="J3927">
            <v>29.811111111111114</v>
          </cell>
        </row>
        <row r="3928">
          <cell r="B3928">
            <v>14.17</v>
          </cell>
          <cell r="C3928">
            <v>40.83</v>
          </cell>
          <cell r="D3928">
            <v>17.690000000000001</v>
          </cell>
          <cell r="E3928">
            <v>8.75</v>
          </cell>
          <cell r="H3928">
            <v>45455</v>
          </cell>
          <cell r="I3928">
            <v>0.76666666666666672</v>
          </cell>
          <cell r="J3928">
            <v>30.573333333333338</v>
          </cell>
        </row>
        <row r="3929">
          <cell r="B3929">
            <v>15.96</v>
          </cell>
          <cell r="C3929">
            <v>40.49</v>
          </cell>
          <cell r="D3929">
            <v>16.89</v>
          </cell>
          <cell r="E3929">
            <v>8.65</v>
          </cell>
          <cell r="H3929">
            <v>45455</v>
          </cell>
          <cell r="I3929">
            <v>0.76222222222222213</v>
          </cell>
          <cell r="J3929">
            <v>30.841111111111111</v>
          </cell>
        </row>
        <row r="3930">
          <cell r="B3930">
            <v>13.95</v>
          </cell>
          <cell r="C3930">
            <v>43.3</v>
          </cell>
          <cell r="D3930">
            <v>18.13</v>
          </cell>
          <cell r="E3930">
            <v>8.99</v>
          </cell>
          <cell r="H3930">
            <v>45455</v>
          </cell>
          <cell r="I3930">
            <v>0.75777777777777777</v>
          </cell>
          <cell r="J3930">
            <v>31.161111111111111</v>
          </cell>
        </row>
        <row r="3931">
          <cell r="B3931">
            <v>12.85</v>
          </cell>
          <cell r="C3931">
            <v>44.38</v>
          </cell>
          <cell r="D3931">
            <v>18.07</v>
          </cell>
          <cell r="E3931">
            <v>8.82</v>
          </cell>
          <cell r="H3931">
            <v>45455</v>
          </cell>
          <cell r="I3931">
            <v>0.68888888888888877</v>
          </cell>
          <cell r="J3931">
            <v>31.473333333333333</v>
          </cell>
        </row>
        <row r="3932">
          <cell r="B3932">
            <v>12.69</v>
          </cell>
          <cell r="C3932">
            <v>46.92</v>
          </cell>
          <cell r="D3932">
            <v>18.899999999999999</v>
          </cell>
          <cell r="E3932">
            <v>8.81</v>
          </cell>
          <cell r="H3932">
            <v>45455</v>
          </cell>
          <cell r="I3932">
            <v>0.67555555555555558</v>
          </cell>
          <cell r="J3932">
            <v>31.57</v>
          </cell>
        </row>
        <row r="3933">
          <cell r="B3933">
            <v>13.02</v>
          </cell>
          <cell r="C3933">
            <v>48.66</v>
          </cell>
          <cell r="D3933">
            <v>19.37</v>
          </cell>
          <cell r="E3933">
            <v>9.09</v>
          </cell>
          <cell r="H3933">
            <v>45455</v>
          </cell>
          <cell r="I3933">
            <v>0.67111111111111099</v>
          </cell>
          <cell r="J3933">
            <v>31.522222222222226</v>
          </cell>
        </row>
        <row r="3934">
          <cell r="B3934">
            <v>12.41</v>
          </cell>
          <cell r="C3934">
            <v>45.65</v>
          </cell>
          <cell r="D3934">
            <v>19.149999999999999</v>
          </cell>
          <cell r="E3934">
            <v>8.9600000000000009</v>
          </cell>
          <cell r="H3934">
            <v>45455</v>
          </cell>
          <cell r="I3934">
            <v>0.6677777777777778</v>
          </cell>
          <cell r="J3934">
            <v>31.624444444444446</v>
          </cell>
        </row>
        <row r="3935">
          <cell r="B3935">
            <v>12.12</v>
          </cell>
          <cell r="C3935">
            <v>42.86</v>
          </cell>
          <cell r="D3935">
            <v>19.09</v>
          </cell>
          <cell r="E3935">
            <v>9.17</v>
          </cell>
          <cell r="H3935">
            <v>45455</v>
          </cell>
          <cell r="I3935">
            <v>0.65444444444444438</v>
          </cell>
          <cell r="J3935">
            <v>31.649999999999995</v>
          </cell>
        </row>
        <row r="3936">
          <cell r="B3936">
            <v>11.27</v>
          </cell>
          <cell r="C3936">
            <v>40.9</v>
          </cell>
          <cell r="D3936">
            <v>19.05</v>
          </cell>
          <cell r="E3936">
            <v>7.67</v>
          </cell>
          <cell r="H3936">
            <v>45455</v>
          </cell>
          <cell r="I3936">
            <v>0.64666666666666661</v>
          </cell>
          <cell r="J3936">
            <v>31.247777777777774</v>
          </cell>
        </row>
        <row r="3937">
          <cell r="B3937">
            <v>11.45</v>
          </cell>
          <cell r="C3937">
            <v>40.18</v>
          </cell>
          <cell r="D3937">
            <v>18.12</v>
          </cell>
          <cell r="E3937">
            <v>8</v>
          </cell>
          <cell r="H3937">
            <v>45455</v>
          </cell>
          <cell r="I3937">
            <v>0.63444444444444448</v>
          </cell>
          <cell r="J3937">
            <v>30.677777777777781</v>
          </cell>
        </row>
        <row r="3938">
          <cell r="B3938">
            <v>12.47</v>
          </cell>
          <cell r="C3938">
            <v>36.81</v>
          </cell>
          <cell r="D3938">
            <v>17.62</v>
          </cell>
          <cell r="E3938">
            <v>7.79</v>
          </cell>
          <cell r="H3938">
            <v>45456</v>
          </cell>
          <cell r="I3938">
            <v>0.6133333333333334</v>
          </cell>
          <cell r="J3938">
            <v>30.514444444444443</v>
          </cell>
        </row>
        <row r="3939">
          <cell r="B3939">
            <v>14.41</v>
          </cell>
          <cell r="C3939">
            <v>38.25</v>
          </cell>
          <cell r="D3939">
            <v>17.28</v>
          </cell>
          <cell r="E3939">
            <v>7.91</v>
          </cell>
          <cell r="H3939">
            <v>45456</v>
          </cell>
          <cell r="I3939">
            <v>0.59777777777777774</v>
          </cell>
          <cell r="J3939">
            <v>30.279999999999998</v>
          </cell>
        </row>
        <row r="3940">
          <cell r="B3940">
            <v>12.31</v>
          </cell>
          <cell r="C3940">
            <v>35.22</v>
          </cell>
          <cell r="D3940">
            <v>17.18</v>
          </cell>
          <cell r="E3940">
            <v>8.23</v>
          </cell>
          <cell r="H3940">
            <v>45456</v>
          </cell>
          <cell r="I3940">
            <v>0.58666666666666656</v>
          </cell>
          <cell r="J3940">
            <v>29.98</v>
          </cell>
        </row>
        <row r="3941">
          <cell r="B3941">
            <v>11.27</v>
          </cell>
          <cell r="C3941">
            <v>32.93</v>
          </cell>
          <cell r="D3941">
            <v>18.28</v>
          </cell>
          <cell r="E3941">
            <v>8.17</v>
          </cell>
          <cell r="H3941">
            <v>45456</v>
          </cell>
          <cell r="I3941">
            <v>0.57555555555555549</v>
          </cell>
          <cell r="J3941">
            <v>29.837777777777774</v>
          </cell>
        </row>
        <row r="3942">
          <cell r="B3942">
            <v>11.56</v>
          </cell>
          <cell r="C3942">
            <v>32.39</v>
          </cell>
          <cell r="D3942">
            <v>18.350000000000001</v>
          </cell>
          <cell r="E3942">
            <v>8.25</v>
          </cell>
          <cell r="H3942">
            <v>45456</v>
          </cell>
          <cell r="I3942">
            <v>0.55222222222222228</v>
          </cell>
          <cell r="J3942">
            <v>29.634444444444441</v>
          </cell>
        </row>
        <row r="3943">
          <cell r="B3943">
            <v>12.64</v>
          </cell>
          <cell r="C3943">
            <v>33.479999999999997</v>
          </cell>
          <cell r="D3943">
            <v>18.170000000000002</v>
          </cell>
          <cell r="E3943">
            <v>8.4</v>
          </cell>
          <cell r="H3943">
            <v>45456</v>
          </cell>
          <cell r="I3943">
            <v>0.53666666666666674</v>
          </cell>
          <cell r="J3943">
            <v>29.209999999999997</v>
          </cell>
        </row>
        <row r="3944">
          <cell r="B3944">
            <v>12.74</v>
          </cell>
          <cell r="C3944">
            <v>35.6</v>
          </cell>
          <cell r="D3944">
            <v>18.559999999999999</v>
          </cell>
          <cell r="E3944">
            <v>8.4499999999999993</v>
          </cell>
          <cell r="H3944">
            <v>45456</v>
          </cell>
          <cell r="I3944">
            <v>0.53555555555555556</v>
          </cell>
          <cell r="J3944">
            <v>28.807777777777776</v>
          </cell>
        </row>
        <row r="3945">
          <cell r="B3945">
            <v>14.01</v>
          </cell>
          <cell r="C3945">
            <v>40.75</v>
          </cell>
          <cell r="D3945">
            <v>18.670000000000002</v>
          </cell>
          <cell r="E3945">
            <v>8.4</v>
          </cell>
          <cell r="H3945">
            <v>45456</v>
          </cell>
          <cell r="I3945">
            <v>0.5377777777777778</v>
          </cell>
          <cell r="J3945">
            <v>28.441111111111113</v>
          </cell>
        </row>
        <row r="3946">
          <cell r="B3946">
            <v>14.11</v>
          </cell>
          <cell r="C3946">
            <v>42.52</v>
          </cell>
          <cell r="D3946">
            <v>18.37</v>
          </cell>
          <cell r="E3946">
            <v>8.1199999999999992</v>
          </cell>
          <cell r="H3946">
            <v>45456</v>
          </cell>
          <cell r="I3946">
            <v>0.5411111111111111</v>
          </cell>
          <cell r="J3946">
            <v>28.344444444444445</v>
          </cell>
        </row>
        <row r="3947">
          <cell r="B3947">
            <v>16.850000000000001</v>
          </cell>
          <cell r="C3947">
            <v>51.38</v>
          </cell>
          <cell r="D3947">
            <v>18.09</v>
          </cell>
          <cell r="E3947">
            <v>7.96</v>
          </cell>
          <cell r="H3947">
            <v>45456</v>
          </cell>
          <cell r="I3947">
            <v>0.55111111111111111</v>
          </cell>
          <cell r="J3947">
            <v>28.177777777777777</v>
          </cell>
        </row>
        <row r="3948">
          <cell r="B3948">
            <v>15.11</v>
          </cell>
          <cell r="C3948">
            <v>52.38</v>
          </cell>
          <cell r="D3948">
            <v>16.579999999999998</v>
          </cell>
          <cell r="E3948">
            <v>8.17</v>
          </cell>
          <cell r="H3948">
            <v>45456</v>
          </cell>
          <cell r="I3948">
            <v>0.56777777777777783</v>
          </cell>
          <cell r="J3948">
            <v>28.173333333333332</v>
          </cell>
        </row>
        <row r="3949">
          <cell r="B3949">
            <v>14.93</v>
          </cell>
          <cell r="C3949">
            <v>50.06</v>
          </cell>
          <cell r="D3949">
            <v>16.77</v>
          </cell>
          <cell r="E3949">
            <v>9.02</v>
          </cell>
          <cell r="H3949">
            <v>45456</v>
          </cell>
          <cell r="I3949">
            <v>0.57111111111111112</v>
          </cell>
          <cell r="J3949">
            <v>28.348888888888887</v>
          </cell>
        </row>
        <row r="3950">
          <cell r="B3950">
            <v>14.32</v>
          </cell>
          <cell r="C3950">
            <v>47.74</v>
          </cell>
          <cell r="D3950">
            <v>17.09</v>
          </cell>
          <cell r="E3950">
            <v>8.59</v>
          </cell>
          <cell r="H3950">
            <v>45456</v>
          </cell>
          <cell r="I3950">
            <v>0.56777777777777771</v>
          </cell>
          <cell r="J3950">
            <v>28.483333333333334</v>
          </cell>
        </row>
        <row r="3951">
          <cell r="B3951">
            <v>13.17</v>
          </cell>
          <cell r="C3951">
            <v>46.01</v>
          </cell>
          <cell r="D3951">
            <v>17.34</v>
          </cell>
          <cell r="E3951">
            <v>8.84</v>
          </cell>
          <cell r="H3951">
            <v>45456</v>
          </cell>
          <cell r="I3951">
            <v>0.57444444444444442</v>
          </cell>
          <cell r="J3951">
            <v>28.763333333333335</v>
          </cell>
        </row>
        <row r="3952">
          <cell r="B3952">
            <v>12.88</v>
          </cell>
          <cell r="C3952">
            <v>46.67</v>
          </cell>
          <cell r="D3952">
            <v>17.54</v>
          </cell>
          <cell r="E3952">
            <v>8.98</v>
          </cell>
          <cell r="H3952">
            <v>45456</v>
          </cell>
          <cell r="I3952">
            <v>0.58333333333333348</v>
          </cell>
          <cell r="J3952">
            <v>29.099999999999998</v>
          </cell>
        </row>
        <row r="3953">
          <cell r="B3953">
            <v>13.93</v>
          </cell>
          <cell r="C3953">
            <v>46.71</v>
          </cell>
          <cell r="D3953">
            <v>16.13</v>
          </cell>
          <cell r="E3953">
            <v>8.85</v>
          </cell>
          <cell r="H3953">
            <v>45456</v>
          </cell>
          <cell r="I3953">
            <v>0.58666666666666667</v>
          </cell>
          <cell r="J3953">
            <v>29.441111111111109</v>
          </cell>
        </row>
        <row r="3954">
          <cell r="B3954">
            <v>13.86</v>
          </cell>
          <cell r="C3954">
            <v>39.97</v>
          </cell>
          <cell r="D3954">
            <v>16.72</v>
          </cell>
          <cell r="E3954">
            <v>8.33</v>
          </cell>
          <cell r="H3954">
            <v>45456</v>
          </cell>
          <cell r="I3954">
            <v>0.58444444444444454</v>
          </cell>
          <cell r="J3954">
            <v>29.742222222222217</v>
          </cell>
        </row>
        <row r="3955">
          <cell r="B3955">
            <v>14.86</v>
          </cell>
          <cell r="C3955">
            <v>37.9</v>
          </cell>
          <cell r="D3955">
            <v>16.45</v>
          </cell>
          <cell r="E3955">
            <v>8.33</v>
          </cell>
          <cell r="H3955">
            <v>45456</v>
          </cell>
          <cell r="I3955">
            <v>0.60777777777777786</v>
          </cell>
          <cell r="J3955">
            <v>29.798888888888889</v>
          </cell>
        </row>
        <row r="3956">
          <cell r="B3956">
            <v>16.68</v>
          </cell>
          <cell r="C3956">
            <v>42.13</v>
          </cell>
          <cell r="D3956">
            <v>17.420000000000002</v>
          </cell>
          <cell r="E3956">
            <v>8.6999999999999993</v>
          </cell>
          <cell r="H3956">
            <v>45456</v>
          </cell>
          <cell r="I3956">
            <v>0.64444444444444449</v>
          </cell>
          <cell r="J3956">
            <v>29.790000000000003</v>
          </cell>
        </row>
        <row r="3957">
          <cell r="B3957">
            <v>20.9</v>
          </cell>
          <cell r="C3957">
            <v>49.71</v>
          </cell>
          <cell r="D3957">
            <v>19.61</v>
          </cell>
          <cell r="E3957">
            <v>9</v>
          </cell>
          <cell r="H3957">
            <v>45456</v>
          </cell>
          <cell r="I3957">
            <v>0.67222222222222217</v>
          </cell>
          <cell r="J3957">
            <v>29.52</v>
          </cell>
        </row>
        <row r="3958">
          <cell r="B3958">
            <v>23.12</v>
          </cell>
          <cell r="C3958">
            <v>52.2</v>
          </cell>
          <cell r="D3958">
            <v>19.93</v>
          </cell>
          <cell r="E3958">
            <v>9.14</v>
          </cell>
          <cell r="H3958">
            <v>45456</v>
          </cell>
          <cell r="I3958">
            <v>0.70333333333333337</v>
          </cell>
          <cell r="J3958">
            <v>29.261111111111113</v>
          </cell>
        </row>
        <row r="3959">
          <cell r="B3959">
            <v>21.22</v>
          </cell>
          <cell r="C3959">
            <v>47.84</v>
          </cell>
          <cell r="D3959">
            <v>17.61</v>
          </cell>
          <cell r="E3959">
            <v>9.36</v>
          </cell>
          <cell r="H3959">
            <v>45456</v>
          </cell>
          <cell r="I3959">
            <v>0.72888888888888892</v>
          </cell>
          <cell r="J3959">
            <v>28.964444444444446</v>
          </cell>
        </row>
        <row r="3960">
          <cell r="B3960">
            <v>18.63</v>
          </cell>
          <cell r="C3960">
            <v>41.5</v>
          </cell>
          <cell r="D3960">
            <v>16.53</v>
          </cell>
          <cell r="E3960">
            <v>8.4499999999999993</v>
          </cell>
          <cell r="H3960">
            <v>45456</v>
          </cell>
          <cell r="I3960">
            <v>0.73777777777777787</v>
          </cell>
          <cell r="J3960">
            <v>28.586666666666662</v>
          </cell>
        </row>
        <row r="3961">
          <cell r="B3961">
            <v>17.059999999999999</v>
          </cell>
          <cell r="C3961">
            <v>40.18</v>
          </cell>
          <cell r="D3961">
            <v>15.16</v>
          </cell>
          <cell r="E3961">
            <v>8.75</v>
          </cell>
          <cell r="H3961">
            <v>45456</v>
          </cell>
          <cell r="I3961">
            <v>0.73444444444444434</v>
          </cell>
          <cell r="J3961">
            <v>28.047777777777775</v>
          </cell>
        </row>
        <row r="3962">
          <cell r="B3962">
            <v>15.86</v>
          </cell>
          <cell r="C3962">
            <v>36.869999999999997</v>
          </cell>
          <cell r="D3962">
            <v>13.71</v>
          </cell>
          <cell r="E3962">
            <v>8.23</v>
          </cell>
          <cell r="H3962">
            <v>45457</v>
          </cell>
          <cell r="I3962">
            <v>0.72000000000000008</v>
          </cell>
          <cell r="J3962">
            <v>27.585555555555558</v>
          </cell>
        </row>
        <row r="3963">
          <cell r="B3963">
            <v>15.22</v>
          </cell>
          <cell r="C3963">
            <v>35.67</v>
          </cell>
          <cell r="D3963">
            <v>13.89</v>
          </cell>
          <cell r="E3963">
            <v>7.45</v>
          </cell>
          <cell r="H3963">
            <v>45457</v>
          </cell>
          <cell r="I3963">
            <v>0.71444444444444455</v>
          </cell>
          <cell r="J3963">
            <v>27.179999999999996</v>
          </cell>
        </row>
        <row r="3964">
          <cell r="B3964">
            <v>16</v>
          </cell>
          <cell r="C3964">
            <v>33.14</v>
          </cell>
          <cell r="D3964">
            <v>13.75</v>
          </cell>
          <cell r="E3964">
            <v>6.9</v>
          </cell>
          <cell r="H3964">
            <v>45457</v>
          </cell>
          <cell r="I3964">
            <v>0.68666666666666665</v>
          </cell>
          <cell r="J3964">
            <v>26.900000000000002</v>
          </cell>
        </row>
        <row r="3965">
          <cell r="B3965">
            <v>14.59</v>
          </cell>
          <cell r="C3965">
            <v>34.25</v>
          </cell>
          <cell r="D3965">
            <v>13.22</v>
          </cell>
          <cell r="E3965">
            <v>7.26</v>
          </cell>
          <cell r="H3965">
            <v>45457</v>
          </cell>
          <cell r="I3965">
            <v>0.64666666666666672</v>
          </cell>
          <cell r="J3965">
            <v>26.79</v>
          </cell>
        </row>
        <row r="3966">
          <cell r="B3966">
            <v>15.47</v>
          </cell>
          <cell r="C3966">
            <v>36.9</v>
          </cell>
          <cell r="D3966">
            <v>13.51</v>
          </cell>
          <cell r="E3966">
            <v>7.18</v>
          </cell>
          <cell r="H3966">
            <v>45457</v>
          </cell>
          <cell r="I3966">
            <v>0.60555555555555562</v>
          </cell>
          <cell r="J3966">
            <v>26.84888888888889</v>
          </cell>
        </row>
        <row r="3967">
          <cell r="B3967">
            <v>16.68</v>
          </cell>
          <cell r="C3967">
            <v>39.42</v>
          </cell>
          <cell r="D3967">
            <v>13.98</v>
          </cell>
          <cell r="E3967">
            <v>7.26</v>
          </cell>
          <cell r="H3967">
            <v>45457</v>
          </cell>
          <cell r="I3967">
            <v>0.57888888888888901</v>
          </cell>
          <cell r="J3967">
            <v>26.81111111111111</v>
          </cell>
        </row>
        <row r="3968">
          <cell r="B3968">
            <v>17.100000000000001</v>
          </cell>
          <cell r="C3968">
            <v>41.49</v>
          </cell>
          <cell r="D3968">
            <v>14.12</v>
          </cell>
          <cell r="E3968">
            <v>7.17</v>
          </cell>
          <cell r="H3968">
            <v>45457</v>
          </cell>
          <cell r="I3968">
            <v>0.56111111111111123</v>
          </cell>
          <cell r="J3968">
            <v>26.743333333333329</v>
          </cell>
        </row>
        <row r="3969">
          <cell r="B3969">
            <v>18.86</v>
          </cell>
          <cell r="C3969">
            <v>45.71</v>
          </cell>
          <cell r="D3969">
            <v>14.42</v>
          </cell>
          <cell r="E3969">
            <v>7.6</v>
          </cell>
          <cell r="H3969">
            <v>45457</v>
          </cell>
          <cell r="I3969">
            <v>0.55333333333333334</v>
          </cell>
          <cell r="J3969">
            <v>26.604444444444443</v>
          </cell>
        </row>
        <row r="3970">
          <cell r="B3970">
            <v>19.02</v>
          </cell>
          <cell r="C3970">
            <v>48.33</v>
          </cell>
          <cell r="D3970">
            <v>14.3</v>
          </cell>
          <cell r="E3970">
            <v>7.4</v>
          </cell>
          <cell r="H3970">
            <v>45457</v>
          </cell>
          <cell r="I3970">
            <v>0.55444444444444452</v>
          </cell>
          <cell r="J3970">
            <v>26.658888888888882</v>
          </cell>
        </row>
        <row r="3971">
          <cell r="B3971">
            <v>18.34</v>
          </cell>
          <cell r="C3971">
            <v>54.25</v>
          </cell>
          <cell r="D3971">
            <v>15.72</v>
          </cell>
          <cell r="E3971">
            <v>7.81</v>
          </cell>
          <cell r="H3971">
            <v>45457</v>
          </cell>
          <cell r="I3971">
            <v>0.57444444444444442</v>
          </cell>
          <cell r="J3971">
            <v>26.864444444444445</v>
          </cell>
        </row>
        <row r="3972">
          <cell r="B3972">
            <v>17.27</v>
          </cell>
          <cell r="C3972">
            <v>58.84</v>
          </cell>
          <cell r="D3972">
            <v>15.06</v>
          </cell>
          <cell r="E3972">
            <v>7.64</v>
          </cell>
          <cell r="H3972">
            <v>45457</v>
          </cell>
          <cell r="I3972">
            <v>0.60000000000000009</v>
          </cell>
          <cell r="J3972">
            <v>27.114444444444445</v>
          </cell>
        </row>
        <row r="3973">
          <cell r="B3973">
            <v>17.41</v>
          </cell>
          <cell r="C3973">
            <v>63.37</v>
          </cell>
          <cell r="D3973">
            <v>16.010000000000002</v>
          </cell>
          <cell r="E3973">
            <v>7.68</v>
          </cell>
          <cell r="H3973">
            <v>45457</v>
          </cell>
          <cell r="I3973">
            <v>0.60555555555555562</v>
          </cell>
          <cell r="J3973">
            <v>27.41333333333333</v>
          </cell>
        </row>
        <row r="3974">
          <cell r="B3974">
            <v>18.440000000000001</v>
          </cell>
          <cell r="C3974">
            <v>67.73</v>
          </cell>
          <cell r="D3974">
            <v>15.91</v>
          </cell>
          <cell r="E3974">
            <v>7.86</v>
          </cell>
          <cell r="H3974">
            <v>45457</v>
          </cell>
          <cell r="I3974">
            <v>0.60999999999999988</v>
          </cell>
          <cell r="J3974">
            <v>27.827777777777776</v>
          </cell>
        </row>
        <row r="3975">
          <cell r="B3975">
            <v>18.649999999999999</v>
          </cell>
          <cell r="C3975">
            <v>62.46</v>
          </cell>
          <cell r="D3975">
            <v>16.739999999999998</v>
          </cell>
          <cell r="E3975">
            <v>8.1</v>
          </cell>
          <cell r="H3975">
            <v>45457</v>
          </cell>
          <cell r="I3975">
            <v>0.62666666666666648</v>
          </cell>
          <cell r="J3975">
            <v>28.896666666666665</v>
          </cell>
        </row>
        <row r="3976">
          <cell r="B3976">
            <v>18.41</v>
          </cell>
          <cell r="C3976">
            <v>62.12</v>
          </cell>
          <cell r="D3976">
            <v>16.100000000000001</v>
          </cell>
          <cell r="E3976">
            <v>8.4700000000000006</v>
          </cell>
          <cell r="H3976">
            <v>45457</v>
          </cell>
          <cell r="I3976">
            <v>0.64</v>
          </cell>
          <cell r="J3976">
            <v>29.586666666666662</v>
          </cell>
        </row>
        <row r="3977">
          <cell r="B3977">
            <v>17.66</v>
          </cell>
          <cell r="C3977">
            <v>57.45</v>
          </cell>
          <cell r="D3977">
            <v>16.14</v>
          </cell>
          <cell r="E3977">
            <v>8.61</v>
          </cell>
          <cell r="H3977">
            <v>45457</v>
          </cell>
          <cell r="I3977">
            <v>0.65222222222222215</v>
          </cell>
          <cell r="J3977">
            <v>30.292222222222222</v>
          </cell>
        </row>
        <row r="3978">
          <cell r="B3978">
            <v>18.63</v>
          </cell>
          <cell r="C3978">
            <v>60.39</v>
          </cell>
          <cell r="D3978">
            <v>15.77</v>
          </cell>
          <cell r="E3978">
            <v>8.1199999999999992</v>
          </cell>
          <cell r="H3978">
            <v>45457</v>
          </cell>
          <cell r="I3978">
            <v>0.66555555555555546</v>
          </cell>
          <cell r="J3978">
            <v>30.815555555555559</v>
          </cell>
        </row>
        <row r="3979">
          <cell r="B3979">
            <v>40.380000000000003</v>
          </cell>
          <cell r="C3979">
            <v>50.95</v>
          </cell>
          <cell r="D3979">
            <v>15.41</v>
          </cell>
          <cell r="E3979">
            <v>8.44</v>
          </cell>
          <cell r="H3979">
            <v>45457</v>
          </cell>
          <cell r="I3979">
            <v>0.68888888888888877</v>
          </cell>
          <cell r="J3979">
            <v>31.235555555555557</v>
          </cell>
        </row>
        <row r="3980">
          <cell r="B3980">
            <v>106.94</v>
          </cell>
          <cell r="C3980">
            <v>51.49</v>
          </cell>
          <cell r="D3980">
            <v>15.24</v>
          </cell>
          <cell r="E3980">
            <v>8.44</v>
          </cell>
          <cell r="H3980">
            <v>45457</v>
          </cell>
          <cell r="I3980">
            <v>0.7088888888888889</v>
          </cell>
          <cell r="J3980">
            <v>31.25333333333333</v>
          </cell>
        </row>
        <row r="3981">
          <cell r="B3981">
            <v>106.74</v>
          </cell>
          <cell r="C3981">
            <v>52.76</v>
          </cell>
          <cell r="D3981">
            <v>16.34</v>
          </cell>
          <cell r="E3981">
            <v>8.59</v>
          </cell>
          <cell r="H3981">
            <v>45457</v>
          </cell>
          <cell r="I3981">
            <v>0.71888888888888891</v>
          </cell>
          <cell r="J3981">
            <v>31.013333333333328</v>
          </cell>
        </row>
        <row r="3982">
          <cell r="B3982">
            <v>100.75</v>
          </cell>
          <cell r="C3982">
            <v>63.71</v>
          </cell>
          <cell r="D3982">
            <v>17.940000000000001</v>
          </cell>
          <cell r="E3982">
            <v>8.43</v>
          </cell>
          <cell r="H3982">
            <v>45457</v>
          </cell>
          <cell r="I3982">
            <v>0.75666666666666671</v>
          </cell>
          <cell r="J3982">
            <v>30.439999999999998</v>
          </cell>
        </row>
        <row r="3983">
          <cell r="B3983">
            <v>28.83</v>
          </cell>
          <cell r="C3983">
            <v>73.989999999999995</v>
          </cell>
          <cell r="D3983">
            <v>19.5</v>
          </cell>
          <cell r="E3983">
            <v>8.82</v>
          </cell>
          <cell r="H3983">
            <v>45457</v>
          </cell>
          <cell r="I3983">
            <v>0.79333333333333345</v>
          </cell>
          <cell r="J3983">
            <v>29.95888888888889</v>
          </cell>
        </row>
        <row r="3984">
          <cell r="B3984">
            <v>27.65</v>
          </cell>
          <cell r="C3984">
            <v>76.38</v>
          </cell>
          <cell r="D3984">
            <v>19.170000000000002</v>
          </cell>
          <cell r="E3984">
            <v>8.9700000000000006</v>
          </cell>
          <cell r="H3984">
            <v>45457</v>
          </cell>
          <cell r="I3984">
            <v>0.8</v>
          </cell>
          <cell r="J3984">
            <v>28.91</v>
          </cell>
        </row>
        <row r="3985">
          <cell r="B3985">
            <v>25.12</v>
          </cell>
          <cell r="C3985">
            <v>72.06</v>
          </cell>
          <cell r="D3985">
            <v>16.989999999999998</v>
          </cell>
          <cell r="E3985">
            <v>8.8000000000000007</v>
          </cell>
          <cell r="H3985">
            <v>45457</v>
          </cell>
          <cell r="I3985">
            <v>0.80666666666666664</v>
          </cell>
          <cell r="J3985">
            <v>28.217777777777783</v>
          </cell>
        </row>
        <row r="3986">
          <cell r="B3986">
            <v>25.5</v>
          </cell>
          <cell r="C3986">
            <v>65.92</v>
          </cell>
          <cell r="D3986">
            <v>16.010000000000002</v>
          </cell>
          <cell r="E3986">
            <v>8.23</v>
          </cell>
          <cell r="H3986">
            <v>45458</v>
          </cell>
          <cell r="I3986">
            <v>0.81333333333333335</v>
          </cell>
          <cell r="J3986">
            <v>27.617777777777782</v>
          </cell>
        </row>
        <row r="3987">
          <cell r="B3987">
            <v>22.89</v>
          </cell>
          <cell r="C3987">
            <v>57.48</v>
          </cell>
          <cell r="D3987">
            <v>15.27</v>
          </cell>
          <cell r="E3987">
            <v>7.68</v>
          </cell>
          <cell r="H3987">
            <v>45458</v>
          </cell>
          <cell r="I3987">
            <v>0.80666666666666675</v>
          </cell>
          <cell r="J3987">
            <v>27.201111111111114</v>
          </cell>
        </row>
        <row r="3988">
          <cell r="B3988">
            <v>23.06</v>
          </cell>
          <cell r="C3988">
            <v>56.64</v>
          </cell>
          <cell r="D3988">
            <v>14.98</v>
          </cell>
          <cell r="E3988">
            <v>7.36</v>
          </cell>
          <cell r="H3988">
            <v>45458</v>
          </cell>
          <cell r="I3988">
            <v>0.79555555555555568</v>
          </cell>
          <cell r="J3988">
            <v>26.794444444444444</v>
          </cell>
        </row>
        <row r="3989">
          <cell r="B3989">
            <v>22.93</v>
          </cell>
          <cell r="C3989">
            <v>49.09</v>
          </cell>
          <cell r="D3989">
            <v>15.13</v>
          </cell>
          <cell r="E3989">
            <v>7.46</v>
          </cell>
          <cell r="H3989">
            <v>45458</v>
          </cell>
          <cell r="I3989">
            <v>0.7777777777777779</v>
          </cell>
          <cell r="J3989">
            <v>26.58111111111111</v>
          </cell>
        </row>
        <row r="3990">
          <cell r="B3990">
            <v>21.68</v>
          </cell>
          <cell r="C3990">
            <v>51.77</v>
          </cell>
          <cell r="D3990">
            <v>15.14</v>
          </cell>
          <cell r="E3990">
            <v>7.21</v>
          </cell>
          <cell r="H3990">
            <v>45458</v>
          </cell>
          <cell r="I3990">
            <v>0.75666666666666671</v>
          </cell>
          <cell r="J3990">
            <v>26.519999999999996</v>
          </cell>
        </row>
        <row r="3991">
          <cell r="B3991">
            <v>21.13</v>
          </cell>
          <cell r="C3991">
            <v>52.09</v>
          </cell>
          <cell r="D3991">
            <v>14.81</v>
          </cell>
          <cell r="E3991">
            <v>7.4</v>
          </cell>
          <cell r="H3991">
            <v>45458</v>
          </cell>
          <cell r="I3991">
            <v>0.72888888888888881</v>
          </cell>
          <cell r="J3991">
            <v>26.791111111111107</v>
          </cell>
        </row>
        <row r="3992">
          <cell r="B3992">
            <v>21.28</v>
          </cell>
          <cell r="C3992">
            <v>55.69</v>
          </cell>
          <cell r="D3992">
            <v>15.16</v>
          </cell>
          <cell r="E3992">
            <v>7.34</v>
          </cell>
          <cell r="H3992">
            <v>45458</v>
          </cell>
          <cell r="I3992">
            <v>0.70666666666666655</v>
          </cell>
          <cell r="J3992">
            <v>26.814444444444444</v>
          </cell>
        </row>
        <row r="3993">
          <cell r="B3993">
            <v>23.92</v>
          </cell>
          <cell r="C3993">
            <v>60.06</v>
          </cell>
          <cell r="D3993">
            <v>14.82</v>
          </cell>
          <cell r="E3993">
            <v>7.15</v>
          </cell>
          <cell r="H3993">
            <v>45458</v>
          </cell>
          <cell r="I3993">
            <v>0.698888888888889</v>
          </cell>
          <cell r="J3993">
            <v>26.74</v>
          </cell>
        </row>
        <row r="3994">
          <cell r="B3994">
            <v>23.08</v>
          </cell>
          <cell r="C3994">
            <v>59.66</v>
          </cell>
          <cell r="D3994">
            <v>14.75</v>
          </cell>
          <cell r="E3994">
            <v>7.44</v>
          </cell>
          <cell r="H3994">
            <v>45458</v>
          </cell>
          <cell r="I3994">
            <v>0.6877777777777776</v>
          </cell>
          <cell r="J3994">
            <v>26.748888888888889</v>
          </cell>
        </row>
        <row r="3995">
          <cell r="B3995">
            <v>21.57</v>
          </cell>
          <cell r="C3995">
            <v>58.23</v>
          </cell>
          <cell r="D3995">
            <v>15.08</v>
          </cell>
          <cell r="E3995">
            <v>7.64</v>
          </cell>
          <cell r="H3995">
            <v>45458</v>
          </cell>
          <cell r="I3995">
            <v>0.67777777777777781</v>
          </cell>
          <cell r="J3995">
            <v>26.788888888888891</v>
          </cell>
        </row>
        <row r="3996">
          <cell r="B3996">
            <v>19.190000000000001</v>
          </cell>
          <cell r="C3996">
            <v>54.13</v>
          </cell>
          <cell r="D3996">
            <v>15.31</v>
          </cell>
          <cell r="E3996">
            <v>9.19</v>
          </cell>
          <cell r="H3996">
            <v>45458</v>
          </cell>
          <cell r="I3996">
            <v>0.68</v>
          </cell>
          <cell r="J3996">
            <v>27.03</v>
          </cell>
        </row>
        <row r="3997">
          <cell r="B3997">
            <v>17.5</v>
          </cell>
          <cell r="C3997">
            <v>48.81</v>
          </cell>
          <cell r="D3997">
            <v>15.64</v>
          </cell>
          <cell r="E3997">
            <v>9.81</v>
          </cell>
          <cell r="H3997">
            <v>45458</v>
          </cell>
          <cell r="I3997">
            <v>0.67333333333333334</v>
          </cell>
          <cell r="J3997">
            <v>27.328888888888887</v>
          </cell>
        </row>
        <row r="3998">
          <cell r="B3998">
            <v>18.32</v>
          </cell>
          <cell r="C3998">
            <v>50.32</v>
          </cell>
          <cell r="D3998">
            <v>15.31</v>
          </cell>
          <cell r="E3998">
            <v>10.039999999999999</v>
          </cell>
          <cell r="H3998">
            <v>45458</v>
          </cell>
          <cell r="I3998">
            <v>0.6677777777777778</v>
          </cell>
          <cell r="J3998">
            <v>27.73</v>
          </cell>
        </row>
        <row r="3999">
          <cell r="B3999">
            <v>19.75</v>
          </cell>
          <cell r="C3999">
            <v>55.41</v>
          </cell>
          <cell r="D3999">
            <v>15.69</v>
          </cell>
          <cell r="E3999">
            <v>9.8800000000000008</v>
          </cell>
          <cell r="H3999">
            <v>45458</v>
          </cell>
          <cell r="I3999">
            <v>0.66222222222222227</v>
          </cell>
          <cell r="J3999">
            <v>28.181111111111107</v>
          </cell>
        </row>
        <row r="4000">
          <cell r="B4000">
            <v>18.260000000000002</v>
          </cell>
          <cell r="C4000">
            <v>55</v>
          </cell>
          <cell r="D4000">
            <v>15.72</v>
          </cell>
          <cell r="E4000">
            <v>9.84</v>
          </cell>
          <cell r="H4000">
            <v>45458</v>
          </cell>
          <cell r="I4000">
            <v>0.65222222222222226</v>
          </cell>
          <cell r="J4000">
            <v>28.675555555555555</v>
          </cell>
        </row>
        <row r="4001">
          <cell r="B4001">
            <v>17.97</v>
          </cell>
          <cell r="C4001">
            <v>50.65</v>
          </cell>
          <cell r="D4001">
            <v>15.34</v>
          </cell>
          <cell r="E4001">
            <v>10.039999999999999</v>
          </cell>
          <cell r="H4001">
            <v>45458</v>
          </cell>
          <cell r="I4001">
            <v>0.65555555555555556</v>
          </cell>
          <cell r="J4001">
            <v>29.037777777777777</v>
          </cell>
        </row>
        <row r="4002">
          <cell r="B4002">
            <v>18.34</v>
          </cell>
          <cell r="C4002">
            <v>52.99</v>
          </cell>
          <cell r="D4002">
            <v>16.309999999999999</v>
          </cell>
          <cell r="E4002">
            <v>9.93</v>
          </cell>
          <cell r="H4002">
            <v>45458</v>
          </cell>
          <cell r="I4002">
            <v>0.65666666666666673</v>
          </cell>
          <cell r="J4002">
            <v>29.718888888888884</v>
          </cell>
        </row>
        <row r="4003">
          <cell r="B4003">
            <v>19.63</v>
          </cell>
          <cell r="C4003">
            <v>58.42</v>
          </cell>
          <cell r="D4003">
            <v>16.47</v>
          </cell>
          <cell r="E4003">
            <v>9.8800000000000008</v>
          </cell>
          <cell r="H4003">
            <v>45458</v>
          </cell>
          <cell r="I4003">
            <v>0.66555555555555546</v>
          </cell>
          <cell r="J4003">
            <v>30.310000000000002</v>
          </cell>
        </row>
        <row r="4004">
          <cell r="B4004">
            <v>20.83</v>
          </cell>
          <cell r="C4004">
            <v>59.94</v>
          </cell>
          <cell r="D4004">
            <v>15.88</v>
          </cell>
          <cell r="E4004">
            <v>9.58</v>
          </cell>
          <cell r="H4004">
            <v>45458</v>
          </cell>
          <cell r="I4004">
            <v>0.67777777777777759</v>
          </cell>
          <cell r="J4004">
            <v>30.700000000000003</v>
          </cell>
        </row>
        <row r="4005">
          <cell r="B4005">
            <v>19.850000000000001</v>
          </cell>
          <cell r="C4005">
            <v>54.28</v>
          </cell>
          <cell r="D4005">
            <v>15.27</v>
          </cell>
          <cell r="E4005">
            <v>9.52</v>
          </cell>
          <cell r="H4005">
            <v>45458</v>
          </cell>
          <cell r="I4005">
            <v>0.67999999999999994</v>
          </cell>
          <cell r="J4005">
            <v>30.68333333333333</v>
          </cell>
        </row>
        <row r="4006">
          <cell r="B4006">
            <v>18.36</v>
          </cell>
          <cell r="C4006">
            <v>48.64</v>
          </cell>
          <cell r="D4006">
            <v>15.45</v>
          </cell>
          <cell r="E4006">
            <v>9.35</v>
          </cell>
          <cell r="H4006">
            <v>45458</v>
          </cell>
          <cell r="I4006">
            <v>0.69111111111111123</v>
          </cell>
          <cell r="J4006">
            <v>30.64</v>
          </cell>
        </row>
        <row r="4007">
          <cell r="B4007">
            <v>19.670000000000002</v>
          </cell>
          <cell r="C4007">
            <v>51.03</v>
          </cell>
          <cell r="D4007">
            <v>15.84</v>
          </cell>
          <cell r="E4007">
            <v>9.48</v>
          </cell>
          <cell r="H4007">
            <v>45458</v>
          </cell>
          <cell r="I4007">
            <v>0.72</v>
          </cell>
          <cell r="J4007">
            <v>30.435555555555556</v>
          </cell>
        </row>
        <row r="4008">
          <cell r="B4008">
            <v>22.19</v>
          </cell>
          <cell r="C4008">
            <v>55.58</v>
          </cell>
          <cell r="D4008">
            <v>15.86</v>
          </cell>
          <cell r="E4008">
            <v>9.2799999999999994</v>
          </cell>
          <cell r="H4008">
            <v>45458</v>
          </cell>
          <cell r="I4008">
            <v>0.74</v>
          </cell>
          <cell r="J4008">
            <v>30.098888888888894</v>
          </cell>
        </row>
        <row r="4009">
          <cell r="B4009">
            <v>27.48</v>
          </cell>
          <cell r="C4009">
            <v>64.06</v>
          </cell>
          <cell r="D4009">
            <v>15.36</v>
          </cell>
          <cell r="E4009">
            <v>9.4600000000000009</v>
          </cell>
          <cell r="H4009">
            <v>45458</v>
          </cell>
          <cell r="I4009">
            <v>0.74777777777777765</v>
          </cell>
          <cell r="J4009">
            <v>29.714444444444446</v>
          </cell>
        </row>
        <row r="4010">
          <cell r="B4010">
            <v>26.1</v>
          </cell>
          <cell r="C4010">
            <v>63.73</v>
          </cell>
          <cell r="D4010">
            <v>15.34</v>
          </cell>
          <cell r="E4010">
            <v>9.17</v>
          </cell>
          <cell r="H4010">
            <v>45459</v>
          </cell>
          <cell r="I4010">
            <v>0.73666666666666658</v>
          </cell>
          <cell r="J4010">
            <v>29.538888888888891</v>
          </cell>
        </row>
        <row r="4011">
          <cell r="B4011">
            <v>21.99</v>
          </cell>
          <cell r="C4011">
            <v>56.19</v>
          </cell>
          <cell r="D4011">
            <v>15.13</v>
          </cell>
          <cell r="E4011">
            <v>9.02</v>
          </cell>
          <cell r="H4011">
            <v>45459</v>
          </cell>
          <cell r="I4011">
            <v>0.73222222222222233</v>
          </cell>
          <cell r="J4011">
            <v>29.036666666666672</v>
          </cell>
        </row>
        <row r="4012">
          <cell r="B4012">
            <v>21.32</v>
          </cell>
          <cell r="C4012">
            <v>51.56</v>
          </cell>
          <cell r="D4012">
            <v>14.98</v>
          </cell>
          <cell r="E4012">
            <v>8.33</v>
          </cell>
          <cell r="H4012">
            <v>45459</v>
          </cell>
          <cell r="I4012">
            <v>0.72333333333333327</v>
          </cell>
          <cell r="J4012">
            <v>28.43</v>
          </cell>
        </row>
        <row r="4013">
          <cell r="B4013">
            <v>20.85</v>
          </cell>
          <cell r="C4013">
            <v>50.56</v>
          </cell>
          <cell r="D4013">
            <v>14.84</v>
          </cell>
          <cell r="E4013">
            <v>8.5</v>
          </cell>
          <cell r="H4013">
            <v>45459</v>
          </cell>
          <cell r="I4013">
            <v>0.70666666666666667</v>
          </cell>
          <cell r="J4013">
            <v>27.923333333333332</v>
          </cell>
        </row>
        <row r="4014">
          <cell r="B4014">
            <v>18.88</v>
          </cell>
          <cell r="C4014">
            <v>49.09</v>
          </cell>
          <cell r="D4014">
            <v>15</v>
          </cell>
          <cell r="E4014">
            <v>8.44</v>
          </cell>
          <cell r="H4014">
            <v>45459</v>
          </cell>
          <cell r="I4014">
            <v>0.69666666666666666</v>
          </cell>
          <cell r="J4014">
            <v>27.658888888888889</v>
          </cell>
        </row>
        <row r="4015">
          <cell r="B4015">
            <v>19.64</v>
          </cell>
          <cell r="C4015">
            <v>48.6</v>
          </cell>
          <cell r="D4015">
            <v>14.97</v>
          </cell>
          <cell r="E4015">
            <v>8.5299999999999994</v>
          </cell>
          <cell r="H4015">
            <v>45459</v>
          </cell>
          <cell r="I4015">
            <v>0.69111111111111123</v>
          </cell>
          <cell r="J4015">
            <v>27.327777777777779</v>
          </cell>
        </row>
        <row r="4016">
          <cell r="B4016">
            <v>21.9</v>
          </cell>
          <cell r="C4016">
            <v>53.81</v>
          </cell>
          <cell r="D4016">
            <v>15.41</v>
          </cell>
          <cell r="E4016">
            <v>8.34</v>
          </cell>
          <cell r="H4016">
            <v>45459</v>
          </cell>
          <cell r="I4016">
            <v>0.66888888888888887</v>
          </cell>
          <cell r="J4016">
            <v>27.093333333333334</v>
          </cell>
        </row>
        <row r="4017">
          <cell r="B4017">
            <v>19.350000000000001</v>
          </cell>
          <cell r="C4017">
            <v>50.82</v>
          </cell>
          <cell r="D4017">
            <v>15.04</v>
          </cell>
          <cell r="E4017">
            <v>8.32</v>
          </cell>
          <cell r="H4017">
            <v>45459</v>
          </cell>
          <cell r="I4017">
            <v>0.65888888888888897</v>
          </cell>
          <cell r="J4017">
            <v>27.09</v>
          </cell>
        </row>
        <row r="4018">
          <cell r="B4018">
            <v>19.87</v>
          </cell>
          <cell r="C4018">
            <v>48.01</v>
          </cell>
          <cell r="D4018">
            <v>15.2</v>
          </cell>
          <cell r="E4018">
            <v>8.2799999999999994</v>
          </cell>
          <cell r="H4018">
            <v>45459</v>
          </cell>
          <cell r="I4018">
            <v>0.65888888888888886</v>
          </cell>
          <cell r="J4018">
            <v>27.097777777777779</v>
          </cell>
        </row>
        <row r="4019">
          <cell r="B4019">
            <v>18.14</v>
          </cell>
          <cell r="C4019">
            <v>46.95</v>
          </cell>
          <cell r="D4019">
            <v>15.3</v>
          </cell>
          <cell r="E4019">
            <v>8</v>
          </cell>
          <cell r="H4019">
            <v>45459</v>
          </cell>
          <cell r="I4019">
            <v>0.65666666666666662</v>
          </cell>
          <cell r="J4019">
            <v>27.148888888888891</v>
          </cell>
        </row>
        <row r="4020">
          <cell r="B4020">
            <v>16.059999999999999</v>
          </cell>
          <cell r="C4020">
            <v>47.04</v>
          </cell>
          <cell r="D4020">
            <v>15.41</v>
          </cell>
          <cell r="E4020">
            <v>8.06</v>
          </cell>
          <cell r="H4020">
            <v>45459</v>
          </cell>
          <cell r="I4020">
            <v>0.65444444444444438</v>
          </cell>
          <cell r="J4020">
            <v>27.253333333333334</v>
          </cell>
        </row>
        <row r="4021">
          <cell r="B4021">
            <v>13.6</v>
          </cell>
          <cell r="C4021">
            <v>43.65</v>
          </cell>
          <cell r="D4021">
            <v>14.43</v>
          </cell>
          <cell r="E4021">
            <v>8.11</v>
          </cell>
          <cell r="H4021">
            <v>45459</v>
          </cell>
          <cell r="I4021">
            <v>0.65666666666666673</v>
          </cell>
          <cell r="J4021">
            <v>27.451111111111111</v>
          </cell>
        </row>
        <row r="4022">
          <cell r="B4022">
            <v>14.54</v>
          </cell>
          <cell r="C4022">
            <v>45.36</v>
          </cell>
          <cell r="D4022">
            <v>14.42</v>
          </cell>
          <cell r="E4022">
            <v>8.67</v>
          </cell>
          <cell r="H4022">
            <v>45459</v>
          </cell>
          <cell r="I4022">
            <v>0.66111111111111109</v>
          </cell>
          <cell r="J4022">
            <v>27.68</v>
          </cell>
        </row>
        <row r="4023">
          <cell r="B4023">
            <v>13.75</v>
          </cell>
          <cell r="C4023">
            <v>46.63</v>
          </cell>
          <cell r="D4023">
            <v>14.54</v>
          </cell>
          <cell r="E4023">
            <v>8.4600000000000009</v>
          </cell>
          <cell r="H4023">
            <v>45459</v>
          </cell>
          <cell r="I4023">
            <v>0.66666666666666674</v>
          </cell>
          <cell r="J4023">
            <v>27.884444444444441</v>
          </cell>
        </row>
        <row r="4024">
          <cell r="B4024">
            <v>14.77</v>
          </cell>
          <cell r="C4024">
            <v>47.6</v>
          </cell>
          <cell r="D4024">
            <v>14.2</v>
          </cell>
          <cell r="E4024">
            <v>8.36</v>
          </cell>
          <cell r="H4024">
            <v>45459</v>
          </cell>
          <cell r="I4024">
            <v>0.66333333333333344</v>
          </cell>
          <cell r="J4024">
            <v>28.22</v>
          </cell>
        </row>
        <row r="4025">
          <cell r="B4025">
            <v>15.22</v>
          </cell>
          <cell r="C4025">
            <v>43.18</v>
          </cell>
          <cell r="D4025">
            <v>14.18</v>
          </cell>
          <cell r="E4025">
            <v>9.0399999999999991</v>
          </cell>
          <cell r="H4025">
            <v>45459</v>
          </cell>
          <cell r="I4025">
            <v>0.65777777777777779</v>
          </cell>
          <cell r="J4025">
            <v>28.632222222222222</v>
          </cell>
        </row>
        <row r="4026">
          <cell r="B4026">
            <v>13.33</v>
          </cell>
          <cell r="C4026">
            <v>41.24</v>
          </cell>
          <cell r="D4026">
            <v>14.47</v>
          </cell>
          <cell r="E4026">
            <v>9</v>
          </cell>
          <cell r="H4026">
            <v>45459</v>
          </cell>
          <cell r="I4026">
            <v>0.64999999999999991</v>
          </cell>
          <cell r="J4026">
            <v>28.918888888888887</v>
          </cell>
        </row>
        <row r="4027">
          <cell r="B4027">
            <v>13.32</v>
          </cell>
          <cell r="C4027">
            <v>43.44</v>
          </cell>
          <cell r="D4027">
            <v>14.53</v>
          </cell>
          <cell r="E4027">
            <v>9.08</v>
          </cell>
          <cell r="H4027">
            <v>45459</v>
          </cell>
          <cell r="I4027">
            <v>0.64555555555555555</v>
          </cell>
          <cell r="J4027">
            <v>29.19777777777778</v>
          </cell>
        </row>
        <row r="4028">
          <cell r="B4028">
            <v>14.01</v>
          </cell>
          <cell r="C4028">
            <v>40.479999999999997</v>
          </cell>
          <cell r="D4028">
            <v>16.190000000000001</v>
          </cell>
          <cell r="E4028">
            <v>9.17</v>
          </cell>
          <cell r="H4028">
            <v>45459</v>
          </cell>
          <cell r="I4028">
            <v>0.64999999999999991</v>
          </cell>
          <cell r="J4028">
            <v>29.204444444444441</v>
          </cell>
        </row>
        <row r="4029">
          <cell r="B4029">
            <v>13.68</v>
          </cell>
          <cell r="C4029">
            <v>37.479999999999997</v>
          </cell>
          <cell r="D4029">
            <v>16.12</v>
          </cell>
          <cell r="E4029">
            <v>8.82</v>
          </cell>
          <cell r="H4029">
            <v>45459</v>
          </cell>
          <cell r="I4029">
            <v>0.65444444444444438</v>
          </cell>
          <cell r="J4029">
            <v>29.263333333333335</v>
          </cell>
        </row>
        <row r="4030">
          <cell r="B4030">
            <v>14.69</v>
          </cell>
          <cell r="C4030">
            <v>39.700000000000003</v>
          </cell>
          <cell r="D4030">
            <v>16.53</v>
          </cell>
          <cell r="E4030">
            <v>8.56</v>
          </cell>
          <cell r="H4030">
            <v>45459</v>
          </cell>
          <cell r="I4030">
            <v>0.66333333333333344</v>
          </cell>
          <cell r="J4030">
            <v>29.277777777777779</v>
          </cell>
        </row>
        <row r="4031">
          <cell r="B4031">
            <v>14.46</v>
          </cell>
          <cell r="C4031">
            <v>39.08</v>
          </cell>
          <cell r="D4031">
            <v>16.309999999999999</v>
          </cell>
          <cell r="E4031">
            <v>8.59</v>
          </cell>
          <cell r="H4031">
            <v>45459</v>
          </cell>
          <cell r="I4031">
            <v>0.66777777777777791</v>
          </cell>
          <cell r="J4031">
            <v>29.294444444444441</v>
          </cell>
        </row>
        <row r="4032">
          <cell r="B4032">
            <v>12.86</v>
          </cell>
          <cell r="C4032">
            <v>37.299999999999997</v>
          </cell>
          <cell r="D4032">
            <v>15.6</v>
          </cell>
          <cell r="E4032">
            <v>8.68</v>
          </cell>
          <cell r="H4032">
            <v>45459</v>
          </cell>
          <cell r="I4032">
            <v>0.6677777777777778</v>
          </cell>
          <cell r="J4032">
            <v>29.303333333333335</v>
          </cell>
        </row>
        <row r="4033">
          <cell r="B4033">
            <v>12.92</v>
          </cell>
          <cell r="C4033">
            <v>38.21</v>
          </cell>
          <cell r="D4033">
            <v>15.68</v>
          </cell>
          <cell r="E4033">
            <v>8.73</v>
          </cell>
          <cell r="H4033">
            <v>45459</v>
          </cell>
          <cell r="I4033">
            <v>0.66555555555555546</v>
          </cell>
          <cell r="J4033">
            <v>29.228888888888889</v>
          </cell>
        </row>
        <row r="4034">
          <cell r="B4034">
            <v>15.73</v>
          </cell>
          <cell r="C4034">
            <v>37.79</v>
          </cell>
          <cell r="D4034">
            <v>15.11</v>
          </cell>
          <cell r="E4034">
            <v>8.6199999999999992</v>
          </cell>
          <cell r="H4034">
            <v>45460</v>
          </cell>
          <cell r="I4034">
            <v>0.6644444444444445</v>
          </cell>
          <cell r="J4034">
            <v>29.015555555555554</v>
          </cell>
        </row>
        <row r="4035">
          <cell r="B4035">
            <v>14.8</v>
          </cell>
          <cell r="C4035">
            <v>33.83</v>
          </cell>
          <cell r="D4035">
            <v>15.28</v>
          </cell>
          <cell r="E4035">
            <v>8.52</v>
          </cell>
          <cell r="H4035">
            <v>45460</v>
          </cell>
          <cell r="I4035">
            <v>0.66999999999999993</v>
          </cell>
          <cell r="J4035">
            <v>28.786666666666665</v>
          </cell>
        </row>
        <row r="4036">
          <cell r="B4036">
            <v>12.46</v>
          </cell>
          <cell r="C4036">
            <v>31.98</v>
          </cell>
          <cell r="D4036">
            <v>15.25</v>
          </cell>
          <cell r="E4036">
            <v>8.42</v>
          </cell>
          <cell r="H4036">
            <v>45460</v>
          </cell>
          <cell r="I4036">
            <v>0.67333333333333323</v>
          </cell>
          <cell r="J4036">
            <v>28.502222222222219</v>
          </cell>
        </row>
        <row r="4037">
          <cell r="B4037">
            <v>11.84</v>
          </cell>
          <cell r="C4037">
            <v>30.84</v>
          </cell>
          <cell r="D4037">
            <v>14.81</v>
          </cell>
          <cell r="E4037">
            <v>8.01</v>
          </cell>
          <cell r="H4037">
            <v>45460</v>
          </cell>
          <cell r="I4037">
            <v>0.67111111111111121</v>
          </cell>
          <cell r="J4037">
            <v>28.375555555555554</v>
          </cell>
        </row>
        <row r="4038">
          <cell r="B4038">
            <v>12.3</v>
          </cell>
          <cell r="C4038">
            <v>32.15</v>
          </cell>
          <cell r="D4038">
            <v>15.01</v>
          </cell>
          <cell r="E4038">
            <v>7.97</v>
          </cell>
          <cell r="H4038">
            <v>45460</v>
          </cell>
          <cell r="I4038">
            <v>0.6711111111111111</v>
          </cell>
          <cell r="J4038">
            <v>28.164444444444442</v>
          </cell>
        </row>
        <row r="4039">
          <cell r="B4039">
            <v>14.15</v>
          </cell>
          <cell r="C4039">
            <v>34.44</v>
          </cell>
          <cell r="D4039">
            <v>15.29</v>
          </cell>
          <cell r="E4039">
            <v>8.1999999999999993</v>
          </cell>
          <cell r="H4039">
            <v>45460</v>
          </cell>
          <cell r="I4039">
            <v>0.66444444444444439</v>
          </cell>
          <cell r="J4039">
            <v>27.946666666666669</v>
          </cell>
        </row>
        <row r="4040">
          <cell r="B4040">
            <v>14.75</v>
          </cell>
          <cell r="C4040">
            <v>35.39</v>
          </cell>
          <cell r="D4040">
            <v>15.61</v>
          </cell>
          <cell r="E4040">
            <v>8.41</v>
          </cell>
          <cell r="H4040">
            <v>45460</v>
          </cell>
          <cell r="I4040">
            <v>0.66555555555555557</v>
          </cell>
          <cell r="J4040">
            <v>27.7</v>
          </cell>
        </row>
        <row r="4041">
          <cell r="B4041">
            <v>16.350000000000001</v>
          </cell>
          <cell r="C4041">
            <v>40.76</v>
          </cell>
          <cell r="D4041">
            <v>15.62</v>
          </cell>
          <cell r="E4041">
            <v>7.79</v>
          </cell>
          <cell r="H4041">
            <v>45460</v>
          </cell>
          <cell r="I4041">
            <v>0.6711111111111111</v>
          </cell>
          <cell r="J4041">
            <v>27.569999999999997</v>
          </cell>
        </row>
        <row r="4042">
          <cell r="B4042">
            <v>17.510000000000002</v>
          </cell>
          <cell r="C4042">
            <v>44.9</v>
          </cell>
          <cell r="D4042">
            <v>15.32</v>
          </cell>
          <cell r="E4042">
            <v>8.3000000000000007</v>
          </cell>
          <cell r="H4042">
            <v>45460</v>
          </cell>
          <cell r="I4042">
            <v>0.67333333333333334</v>
          </cell>
          <cell r="J4042">
            <v>27.472222222222221</v>
          </cell>
        </row>
        <row r="4043">
          <cell r="B4043">
            <v>17.68</v>
          </cell>
          <cell r="C4043">
            <v>44.62</v>
          </cell>
          <cell r="D4043">
            <v>15.57</v>
          </cell>
          <cell r="E4043">
            <v>8.2100000000000009</v>
          </cell>
          <cell r="H4043">
            <v>45460</v>
          </cell>
          <cell r="I4043">
            <v>0.67888888888888888</v>
          </cell>
          <cell r="J4043">
            <v>27.616666666666667</v>
          </cell>
        </row>
        <row r="4044">
          <cell r="B4044">
            <v>16.23</v>
          </cell>
          <cell r="C4044">
            <v>44.19</v>
          </cell>
          <cell r="D4044">
            <v>15.66</v>
          </cell>
          <cell r="E4044">
            <v>7.87</v>
          </cell>
          <cell r="H4044">
            <v>45460</v>
          </cell>
          <cell r="I4044">
            <v>0.68111111111111111</v>
          </cell>
          <cell r="J4044">
            <v>27.781111111111112</v>
          </cell>
        </row>
        <row r="4045">
          <cell r="B4045">
            <v>14.16</v>
          </cell>
          <cell r="C4045">
            <v>42.6</v>
          </cell>
          <cell r="D4045">
            <v>15.65</v>
          </cell>
          <cell r="E4045">
            <v>8.0299999999999994</v>
          </cell>
          <cell r="H4045">
            <v>45460</v>
          </cell>
          <cell r="I4045">
            <v>0.68222222222222217</v>
          </cell>
          <cell r="J4045">
            <v>28.025555555555556</v>
          </cell>
        </row>
        <row r="4046">
          <cell r="B4046">
            <v>14.65</v>
          </cell>
          <cell r="C4046">
            <v>45.17</v>
          </cell>
          <cell r="D4046">
            <v>15.83</v>
          </cell>
          <cell r="E4046">
            <v>8.2799999999999994</v>
          </cell>
          <cell r="H4046">
            <v>45460</v>
          </cell>
          <cell r="I4046">
            <v>0.6777777777777777</v>
          </cell>
          <cell r="J4046">
            <v>28.468888888888891</v>
          </cell>
        </row>
        <row r="4047">
          <cell r="B4047">
            <v>14.26</v>
          </cell>
          <cell r="C4047">
            <v>42.29</v>
          </cell>
          <cell r="D4047">
            <v>15.33</v>
          </cell>
          <cell r="E4047">
            <v>8.42</v>
          </cell>
          <cell r="H4047">
            <v>45460</v>
          </cell>
          <cell r="I4047">
            <v>0.67333333333333334</v>
          </cell>
          <cell r="J4047">
            <v>28.966666666666665</v>
          </cell>
        </row>
        <row r="4048">
          <cell r="B4048">
            <v>14.86</v>
          </cell>
          <cell r="C4048">
            <v>41.93</v>
          </cell>
          <cell r="D4048">
            <v>15.21</v>
          </cell>
          <cell r="E4048">
            <v>8.44</v>
          </cell>
          <cell r="H4048">
            <v>45460</v>
          </cell>
          <cell r="I4048">
            <v>0.67444444444444451</v>
          </cell>
          <cell r="J4048">
            <v>29.582222222222224</v>
          </cell>
        </row>
        <row r="4049">
          <cell r="B4049">
            <v>15.8</v>
          </cell>
          <cell r="C4049">
            <v>42.59</v>
          </cell>
          <cell r="D4049">
            <v>15.65</v>
          </cell>
          <cell r="E4049">
            <v>8.19</v>
          </cell>
          <cell r="H4049">
            <v>45460</v>
          </cell>
          <cell r="I4049">
            <v>0.67333333333333323</v>
          </cell>
          <cell r="J4049">
            <v>30.192222222222224</v>
          </cell>
        </row>
        <row r="4050">
          <cell r="B4050">
            <v>16.14</v>
          </cell>
          <cell r="C4050">
            <v>43.99</v>
          </cell>
          <cell r="D4050">
            <v>15.56</v>
          </cell>
          <cell r="E4050">
            <v>8.39</v>
          </cell>
          <cell r="H4050">
            <v>45460</v>
          </cell>
          <cell r="I4050">
            <v>0.6744444444444444</v>
          </cell>
          <cell r="J4050">
            <v>30.53777777777778</v>
          </cell>
        </row>
        <row r="4051">
          <cell r="B4051">
            <v>13.62</v>
          </cell>
          <cell r="C4051">
            <v>39.83</v>
          </cell>
          <cell r="D4051">
            <v>15.55</v>
          </cell>
          <cell r="E4051">
            <v>8.49</v>
          </cell>
          <cell r="H4051">
            <v>45460</v>
          </cell>
          <cell r="I4051">
            <v>0.67888888888888888</v>
          </cell>
          <cell r="J4051">
            <v>31.058888888888887</v>
          </cell>
        </row>
        <row r="4052">
          <cell r="B4052">
            <v>13.84</v>
          </cell>
          <cell r="C4052">
            <v>41.76</v>
          </cell>
          <cell r="D4052">
            <v>15.43</v>
          </cell>
          <cell r="E4052">
            <v>8.42</v>
          </cell>
          <cell r="H4052">
            <v>45460</v>
          </cell>
          <cell r="I4052">
            <v>0.68222222222222217</v>
          </cell>
          <cell r="J4052">
            <v>31.325555555555557</v>
          </cell>
        </row>
        <row r="4053">
          <cell r="B4053">
            <v>15.88</v>
          </cell>
          <cell r="C4053">
            <v>43.51</v>
          </cell>
          <cell r="D4053">
            <v>15.99</v>
          </cell>
          <cell r="E4053">
            <v>8.01</v>
          </cell>
          <cell r="H4053">
            <v>45460</v>
          </cell>
          <cell r="I4053">
            <v>0.68666666666666665</v>
          </cell>
          <cell r="J4053">
            <v>31.391111111111115</v>
          </cell>
        </row>
        <row r="4054">
          <cell r="B4054">
            <v>17.28</v>
          </cell>
          <cell r="C4054">
            <v>42.61</v>
          </cell>
          <cell r="D4054">
            <v>15.4</v>
          </cell>
          <cell r="E4054">
            <v>8.1199999999999992</v>
          </cell>
          <cell r="H4054">
            <v>45460</v>
          </cell>
          <cell r="I4054">
            <v>0.69555555555555548</v>
          </cell>
          <cell r="J4054">
            <v>31.511111111111113</v>
          </cell>
        </row>
        <row r="4055">
          <cell r="B4055">
            <v>16.190000000000001</v>
          </cell>
          <cell r="C4055">
            <v>39.270000000000003</v>
          </cell>
          <cell r="D4055">
            <v>15.33</v>
          </cell>
          <cell r="E4055">
            <v>8.26</v>
          </cell>
          <cell r="H4055">
            <v>45460</v>
          </cell>
          <cell r="I4055">
            <v>0.70333333333333337</v>
          </cell>
          <cell r="J4055">
            <v>31.546666666666667</v>
          </cell>
        </row>
        <row r="4056">
          <cell r="B4056">
            <v>14.16</v>
          </cell>
          <cell r="C4056">
            <v>36.200000000000003</v>
          </cell>
          <cell r="D4056">
            <v>15.04</v>
          </cell>
          <cell r="E4056">
            <v>8.14</v>
          </cell>
          <cell r="H4056">
            <v>45460</v>
          </cell>
          <cell r="I4056">
            <v>0.70999999999999985</v>
          </cell>
          <cell r="J4056">
            <v>31.60777777777778</v>
          </cell>
        </row>
        <row r="4057">
          <cell r="B4057">
            <v>13.31</v>
          </cell>
          <cell r="C4057">
            <v>36.5</v>
          </cell>
          <cell r="D4057">
            <v>14.36</v>
          </cell>
          <cell r="E4057">
            <v>8.4499999999999993</v>
          </cell>
          <cell r="H4057">
            <v>45460</v>
          </cell>
          <cell r="I4057">
            <v>0.70777777777777773</v>
          </cell>
          <cell r="J4057">
            <v>31.534444444444446</v>
          </cell>
        </row>
        <row r="4058">
          <cell r="B4058">
            <v>13.79</v>
          </cell>
          <cell r="C4058">
            <v>37.020000000000003</v>
          </cell>
          <cell r="D4058">
            <v>14.14</v>
          </cell>
          <cell r="E4058">
            <v>8.07</v>
          </cell>
          <cell r="H4058">
            <v>45461</v>
          </cell>
          <cell r="I4058">
            <v>0.70333333333333337</v>
          </cell>
          <cell r="J4058">
            <v>31.498888888888885</v>
          </cell>
        </row>
        <row r="4059">
          <cell r="B4059">
            <v>11.89</v>
          </cell>
          <cell r="C4059">
            <v>35.96</v>
          </cell>
          <cell r="D4059">
            <v>14.05</v>
          </cell>
          <cell r="E4059">
            <v>8.07</v>
          </cell>
          <cell r="H4059">
            <v>45461</v>
          </cell>
          <cell r="I4059">
            <v>0.69555555555555548</v>
          </cell>
          <cell r="J4059">
            <v>31.545555555555552</v>
          </cell>
        </row>
        <row r="4060">
          <cell r="B4060">
            <v>12.03</v>
          </cell>
          <cell r="C4060">
            <v>31.62</v>
          </cell>
          <cell r="D4060">
            <v>13.88</v>
          </cell>
          <cell r="E4060">
            <v>8.1999999999999993</v>
          </cell>
          <cell r="H4060">
            <v>45461</v>
          </cell>
          <cell r="I4060">
            <v>0.68888888888888877</v>
          </cell>
          <cell r="J4060">
            <v>31.292222222222222</v>
          </cell>
        </row>
        <row r="4061">
          <cell r="B4061">
            <v>12.18</v>
          </cell>
          <cell r="C4061">
            <v>29.36</v>
          </cell>
          <cell r="D4061">
            <v>13.88</v>
          </cell>
          <cell r="E4061">
            <v>7.83</v>
          </cell>
          <cell r="H4061">
            <v>45461</v>
          </cell>
          <cell r="I4061">
            <v>0.67999999999999994</v>
          </cell>
          <cell r="J4061">
            <v>31.047777777777778</v>
          </cell>
        </row>
        <row r="4062">
          <cell r="B4062">
            <v>11.55</v>
          </cell>
          <cell r="C4062">
            <v>29.68</v>
          </cell>
          <cell r="D4062">
            <v>13.77</v>
          </cell>
          <cell r="E4062">
            <v>7.83</v>
          </cell>
          <cell r="H4062">
            <v>45461</v>
          </cell>
          <cell r="I4062">
            <v>0.66555555555555546</v>
          </cell>
          <cell r="J4062">
            <v>30.921111111111113</v>
          </cell>
        </row>
        <row r="4063">
          <cell r="B4063">
            <v>13.37</v>
          </cell>
          <cell r="C4063">
            <v>32.450000000000003</v>
          </cell>
          <cell r="D4063">
            <v>14.03</v>
          </cell>
          <cell r="E4063">
            <v>7.79</v>
          </cell>
          <cell r="H4063">
            <v>45461</v>
          </cell>
          <cell r="I4063">
            <v>0.65222222222222226</v>
          </cell>
          <cell r="J4063">
            <v>30.580000000000002</v>
          </cell>
        </row>
        <row r="4064">
          <cell r="B4064">
            <v>13.84</v>
          </cell>
          <cell r="C4064">
            <v>34.19</v>
          </cell>
          <cell r="D4064">
            <v>14.26</v>
          </cell>
          <cell r="E4064">
            <v>7.84</v>
          </cell>
          <cell r="H4064">
            <v>45461</v>
          </cell>
          <cell r="I4064">
            <v>0.64555555555555555</v>
          </cell>
          <cell r="J4064">
            <v>30.132222222222222</v>
          </cell>
        </row>
        <row r="4065">
          <cell r="B4065">
            <v>14.74</v>
          </cell>
          <cell r="C4065">
            <v>38.18</v>
          </cell>
          <cell r="D4065">
            <v>14.52</v>
          </cell>
          <cell r="E4065">
            <v>8.1199999999999992</v>
          </cell>
          <cell r="H4065">
            <v>45461</v>
          </cell>
          <cell r="I4065">
            <v>0.64333333333333331</v>
          </cell>
          <cell r="J4065">
            <v>29.577777777777776</v>
          </cell>
        </row>
        <row r="4066">
          <cell r="B4066">
            <v>16.97</v>
          </cell>
          <cell r="C4066">
            <v>39.24</v>
          </cell>
          <cell r="D4066">
            <v>14.75</v>
          </cell>
          <cell r="E4066">
            <v>8.26</v>
          </cell>
          <cell r="H4066">
            <v>45461</v>
          </cell>
          <cell r="I4066">
            <v>0.64333333333333331</v>
          </cell>
          <cell r="J4066">
            <v>29.156666666666663</v>
          </cell>
        </row>
        <row r="4067">
          <cell r="B4067">
            <v>16.440000000000001</v>
          </cell>
          <cell r="C4067">
            <v>40.53</v>
          </cell>
          <cell r="D4067">
            <v>14.66</v>
          </cell>
          <cell r="E4067">
            <v>8.25</v>
          </cell>
          <cell r="H4067">
            <v>45461</v>
          </cell>
          <cell r="I4067">
            <v>0.64666666666666672</v>
          </cell>
          <cell r="J4067">
            <v>29.013333333333335</v>
          </cell>
        </row>
        <row r="4068">
          <cell r="B4068">
            <v>15.27</v>
          </cell>
          <cell r="C4068">
            <v>41.17</v>
          </cell>
          <cell r="D4068">
            <v>15.31</v>
          </cell>
          <cell r="E4068">
            <v>8</v>
          </cell>
          <cell r="H4068">
            <v>45461</v>
          </cell>
          <cell r="I4068">
            <v>0.64888888888888885</v>
          </cell>
          <cell r="J4068">
            <v>29.164444444444445</v>
          </cell>
        </row>
        <row r="4069">
          <cell r="B4069">
            <v>15.15</v>
          </cell>
          <cell r="C4069">
            <v>44.8</v>
          </cell>
          <cell r="D4069">
            <v>16.03</v>
          </cell>
          <cell r="E4069">
            <v>8.52</v>
          </cell>
          <cell r="H4069">
            <v>45461</v>
          </cell>
          <cell r="I4069">
            <v>0.65</v>
          </cell>
          <cell r="J4069">
            <v>29.745555555555555</v>
          </cell>
        </row>
        <row r="4070">
          <cell r="B4070">
            <v>15.56</v>
          </cell>
          <cell r="C4070">
            <v>46.64</v>
          </cell>
          <cell r="D4070">
            <v>15.68</v>
          </cell>
          <cell r="E4070">
            <v>8.33</v>
          </cell>
          <cell r="H4070">
            <v>45461</v>
          </cell>
          <cell r="I4070">
            <v>0.64888888888888896</v>
          </cell>
          <cell r="J4070">
            <v>30.382222222222214</v>
          </cell>
        </row>
        <row r="4071">
          <cell r="B4071">
            <v>13.76</v>
          </cell>
          <cell r="C4071">
            <v>41.48</v>
          </cell>
          <cell r="D4071">
            <v>15.69</v>
          </cell>
          <cell r="E4071">
            <v>8.68</v>
          </cell>
          <cell r="H4071">
            <v>45461</v>
          </cell>
          <cell r="I4071">
            <v>0.6477777777777779</v>
          </cell>
          <cell r="J4071">
            <v>30.897777777777776</v>
          </cell>
        </row>
        <row r="4072">
          <cell r="B4072">
            <v>13.27</v>
          </cell>
          <cell r="C4072">
            <v>40.479999999999997</v>
          </cell>
          <cell r="D4072">
            <v>15.57</v>
          </cell>
          <cell r="E4072">
            <v>8.7200000000000006</v>
          </cell>
          <cell r="H4072">
            <v>45461</v>
          </cell>
          <cell r="I4072">
            <v>0.64777777777777779</v>
          </cell>
          <cell r="J4072">
            <v>31.845555555555556</v>
          </cell>
        </row>
        <row r="4073">
          <cell r="B4073">
            <v>14</v>
          </cell>
          <cell r="C4073">
            <v>41.75</v>
          </cell>
          <cell r="D4073">
            <v>15.58</v>
          </cell>
          <cell r="E4073">
            <v>8.68</v>
          </cell>
          <cell r="H4073">
            <v>45461</v>
          </cell>
          <cell r="I4073">
            <v>0.64333333333333331</v>
          </cell>
          <cell r="J4073">
            <v>32.718888888888884</v>
          </cell>
        </row>
        <row r="4074">
          <cell r="B4074">
            <v>13.35</v>
          </cell>
          <cell r="C4074">
            <v>35.590000000000003</v>
          </cell>
          <cell r="D4074">
            <v>15.61</v>
          </cell>
          <cell r="E4074">
            <v>9.1999999999999993</v>
          </cell>
          <cell r="H4074">
            <v>45461</v>
          </cell>
          <cell r="I4074">
            <v>0.64222222222222225</v>
          </cell>
          <cell r="J4074">
            <v>33.630000000000003</v>
          </cell>
        </row>
        <row r="4075">
          <cell r="B4075">
            <v>14.24</v>
          </cell>
          <cell r="C4075">
            <v>40.130000000000003</v>
          </cell>
          <cell r="D4075">
            <v>15.65</v>
          </cell>
          <cell r="E4075">
            <v>9.25</v>
          </cell>
          <cell r="H4075">
            <v>45461</v>
          </cell>
          <cell r="I4075">
            <v>0.64555555555555566</v>
          </cell>
          <cell r="J4075">
            <v>34.598888888888887</v>
          </cell>
        </row>
        <row r="4076">
          <cell r="B4076">
            <v>13.62</v>
          </cell>
          <cell r="C4076">
            <v>39.14</v>
          </cell>
          <cell r="D4076">
            <v>15.78</v>
          </cell>
          <cell r="E4076">
            <v>8.6999999999999993</v>
          </cell>
          <cell r="H4076">
            <v>45461</v>
          </cell>
          <cell r="I4076">
            <v>0.65777777777777779</v>
          </cell>
          <cell r="J4076">
            <v>34.848888888888887</v>
          </cell>
        </row>
        <row r="4077">
          <cell r="B4077">
            <v>13.74</v>
          </cell>
          <cell r="C4077">
            <v>48.28</v>
          </cell>
          <cell r="D4077">
            <v>17</v>
          </cell>
          <cell r="E4077">
            <v>8.57</v>
          </cell>
          <cell r="H4077">
            <v>45461</v>
          </cell>
          <cell r="I4077">
            <v>0.65777777777777779</v>
          </cell>
          <cell r="J4077">
            <v>34.585555555555551</v>
          </cell>
        </row>
        <row r="4078">
          <cell r="B4078">
            <v>16.28</v>
          </cell>
          <cell r="C4078">
            <v>44.44</v>
          </cell>
          <cell r="D4078">
            <v>15.52</v>
          </cell>
          <cell r="E4078">
            <v>8.15</v>
          </cell>
          <cell r="H4078">
            <v>45461</v>
          </cell>
          <cell r="I4078">
            <v>0.66333333333333344</v>
          </cell>
          <cell r="J4078">
            <v>33.927777777777777</v>
          </cell>
        </row>
        <row r="4079">
          <cell r="B4079">
            <v>15.3</v>
          </cell>
          <cell r="C4079">
            <v>39.74</v>
          </cell>
          <cell r="D4079">
            <v>15.81</v>
          </cell>
          <cell r="E4079">
            <v>8.24</v>
          </cell>
          <cell r="H4079">
            <v>45461</v>
          </cell>
          <cell r="I4079">
            <v>0.67111111111111121</v>
          </cell>
          <cell r="J4079">
            <v>33.186666666666667</v>
          </cell>
        </row>
        <row r="4080">
          <cell r="B4080">
            <v>16.54</v>
          </cell>
          <cell r="C4080">
            <v>41.66</v>
          </cell>
          <cell r="D4080">
            <v>15.16</v>
          </cell>
          <cell r="E4080">
            <v>8.08</v>
          </cell>
          <cell r="H4080">
            <v>45461</v>
          </cell>
          <cell r="I4080">
            <v>0.6744444444444444</v>
          </cell>
          <cell r="J4080">
            <v>32.737777777777779</v>
          </cell>
        </row>
        <row r="4081">
          <cell r="B4081">
            <v>15.35</v>
          </cell>
          <cell r="C4081">
            <v>40.270000000000003</v>
          </cell>
          <cell r="D4081">
            <v>14.97</v>
          </cell>
          <cell r="E4081">
            <v>8.43</v>
          </cell>
          <cell r="H4081">
            <v>45461</v>
          </cell>
          <cell r="I4081">
            <v>0.67111111111111121</v>
          </cell>
          <cell r="J4081">
            <v>31.946666666666665</v>
          </cell>
        </row>
        <row r="4082">
          <cell r="B4082">
            <v>14.17</v>
          </cell>
          <cell r="C4082">
            <v>37.5</v>
          </cell>
          <cell r="D4082">
            <v>14.4</v>
          </cell>
          <cell r="E4082">
            <v>8.56</v>
          </cell>
          <cell r="H4082">
            <v>45462</v>
          </cell>
          <cell r="I4082">
            <v>0.67333333333333334</v>
          </cell>
          <cell r="J4082">
            <v>31.351111111111113</v>
          </cell>
        </row>
        <row r="4083">
          <cell r="B4083">
            <v>13.37</v>
          </cell>
          <cell r="C4083">
            <v>34.35</v>
          </cell>
          <cell r="D4083">
            <v>14.02</v>
          </cell>
          <cell r="E4083">
            <v>8.31</v>
          </cell>
          <cell r="H4083">
            <v>45462</v>
          </cell>
          <cell r="I4083">
            <v>0.66888888888888898</v>
          </cell>
          <cell r="J4083">
            <v>30.695555555555554</v>
          </cell>
        </row>
        <row r="4084">
          <cell r="B4084">
            <v>12.33</v>
          </cell>
          <cell r="C4084">
            <v>31.66</v>
          </cell>
          <cell r="D4084">
            <v>14</v>
          </cell>
          <cell r="E4084">
            <v>7.85</v>
          </cell>
          <cell r="H4084">
            <v>45462</v>
          </cell>
          <cell r="I4084">
            <v>0.65888888888888908</v>
          </cell>
          <cell r="J4084">
            <v>29.867777777777778</v>
          </cell>
        </row>
        <row r="4085">
          <cell r="B4085">
            <v>11.06</v>
          </cell>
          <cell r="C4085">
            <v>30.04</v>
          </cell>
          <cell r="D4085">
            <v>14.47</v>
          </cell>
          <cell r="E4085">
            <v>8.26</v>
          </cell>
          <cell r="H4085">
            <v>45462</v>
          </cell>
          <cell r="I4085">
            <v>0.63888888888888884</v>
          </cell>
          <cell r="J4085">
            <v>29.437777777777779</v>
          </cell>
        </row>
        <row r="4086">
          <cell r="B4086">
            <v>11.36</v>
          </cell>
          <cell r="C4086">
            <v>32.42</v>
          </cell>
          <cell r="D4086">
            <v>14.23</v>
          </cell>
          <cell r="E4086">
            <v>8.31</v>
          </cell>
          <cell r="H4086">
            <v>45462</v>
          </cell>
          <cell r="I4086">
            <v>0.6333333333333333</v>
          </cell>
          <cell r="J4086">
            <v>29.293333333333333</v>
          </cell>
        </row>
        <row r="4087">
          <cell r="B4087">
            <v>11.59</v>
          </cell>
          <cell r="C4087">
            <v>32.39</v>
          </cell>
          <cell r="D4087">
            <v>14.67</v>
          </cell>
          <cell r="E4087">
            <v>8.19</v>
          </cell>
          <cell r="H4087">
            <v>45462</v>
          </cell>
          <cell r="I4087">
            <v>0.62888888888888894</v>
          </cell>
          <cell r="J4087">
            <v>29.118888888888893</v>
          </cell>
        </row>
        <row r="4088">
          <cell r="B4088">
            <v>13.76</v>
          </cell>
          <cell r="C4088">
            <v>37.880000000000003</v>
          </cell>
          <cell r="D4088">
            <v>15.13</v>
          </cell>
          <cell r="E4088">
            <v>8.15</v>
          </cell>
          <cell r="H4088">
            <v>45462</v>
          </cell>
          <cell r="I4088">
            <v>0.62777777777777777</v>
          </cell>
          <cell r="J4088">
            <v>28.974444444444448</v>
          </cell>
        </row>
        <row r="4089">
          <cell r="B4089">
            <v>15.42</v>
          </cell>
          <cell r="C4089">
            <v>41</v>
          </cell>
          <cell r="D4089">
            <v>15.97</v>
          </cell>
          <cell r="E4089">
            <v>8.06</v>
          </cell>
          <cell r="H4089">
            <v>45462</v>
          </cell>
          <cell r="I4089">
            <v>0.63222222222222202</v>
          </cell>
          <cell r="J4089">
            <v>28.743333333333332</v>
          </cell>
        </row>
        <row r="4090">
          <cell r="B4090">
            <v>17</v>
          </cell>
          <cell r="C4090">
            <v>43.18</v>
          </cell>
          <cell r="D4090">
            <v>15.45</v>
          </cell>
          <cell r="E4090">
            <v>7.96</v>
          </cell>
          <cell r="H4090">
            <v>45462</v>
          </cell>
          <cell r="I4090">
            <v>0.65111111111111108</v>
          </cell>
          <cell r="J4090">
            <v>28.63111111111111</v>
          </cell>
        </row>
        <row r="4091">
          <cell r="B4091">
            <v>17.71</v>
          </cell>
          <cell r="C4091">
            <v>49.04</v>
          </cell>
          <cell r="D4091">
            <v>15.85</v>
          </cell>
          <cell r="E4091">
            <v>8.4</v>
          </cell>
          <cell r="H4091">
            <v>45462</v>
          </cell>
          <cell r="I4091">
            <v>0.65777777777777779</v>
          </cell>
          <cell r="J4091">
            <v>28.565555555555559</v>
          </cell>
        </row>
        <row r="4092">
          <cell r="B4092">
            <v>17.12</v>
          </cell>
          <cell r="C4092">
            <v>51.75</v>
          </cell>
          <cell r="D4092">
            <v>16.2</v>
          </cell>
          <cell r="E4092">
            <v>8.15</v>
          </cell>
          <cell r="H4092">
            <v>45462</v>
          </cell>
          <cell r="I4092">
            <v>0.67555555555555569</v>
          </cell>
          <cell r="J4092">
            <v>28.561111111111114</v>
          </cell>
        </row>
        <row r="4093">
          <cell r="B4093">
            <v>17.53</v>
          </cell>
          <cell r="C4093">
            <v>55.63</v>
          </cell>
          <cell r="D4093">
            <v>16.37</v>
          </cell>
          <cell r="E4093">
            <v>8.26</v>
          </cell>
          <cell r="H4093">
            <v>45462</v>
          </cell>
          <cell r="I4093">
            <v>0.67777777777777781</v>
          </cell>
          <cell r="J4093">
            <v>28.815555555555559</v>
          </cell>
        </row>
        <row r="4094">
          <cell r="B4094">
            <v>18.02</v>
          </cell>
          <cell r="C4094">
            <v>53.43</v>
          </cell>
          <cell r="D4094">
            <v>15.97</v>
          </cell>
          <cell r="E4094">
            <v>8.16</v>
          </cell>
          <cell r="H4094">
            <v>45462</v>
          </cell>
          <cell r="I4094">
            <v>0.68</v>
          </cell>
          <cell r="J4094">
            <v>29.34</v>
          </cell>
        </row>
        <row r="4095">
          <cell r="B4095">
            <v>19.28</v>
          </cell>
          <cell r="C4095">
            <v>56.48</v>
          </cell>
          <cell r="D4095">
            <v>16.989999999999998</v>
          </cell>
          <cell r="E4095">
            <v>7.18</v>
          </cell>
          <cell r="H4095">
            <v>45462</v>
          </cell>
          <cell r="I4095">
            <v>0.68111111111111111</v>
          </cell>
          <cell r="J4095">
            <v>29.85444444444445</v>
          </cell>
        </row>
        <row r="4096">
          <cell r="B4096">
            <v>18.59</v>
          </cell>
          <cell r="C4096">
            <v>53.95</v>
          </cell>
          <cell r="D4096">
            <v>16.29</v>
          </cell>
          <cell r="E4096">
            <v>6.92</v>
          </cell>
          <cell r="H4096">
            <v>45462</v>
          </cell>
          <cell r="I4096">
            <v>0.68333333333333324</v>
          </cell>
          <cell r="J4096">
            <v>30.37777777777778</v>
          </cell>
        </row>
        <row r="4097">
          <cell r="B4097">
            <v>18.47</v>
          </cell>
          <cell r="C4097">
            <v>52.86</v>
          </cell>
          <cell r="D4097">
            <v>15.92</v>
          </cell>
          <cell r="E4097">
            <v>7.51</v>
          </cell>
          <cell r="H4097">
            <v>45462</v>
          </cell>
          <cell r="I4097">
            <v>0.68222222222222217</v>
          </cell>
          <cell r="J4097">
            <v>30.945555555555554</v>
          </cell>
        </row>
        <row r="4098">
          <cell r="B4098">
            <v>19.38</v>
          </cell>
          <cell r="C4098">
            <v>53.94</v>
          </cell>
          <cell r="D4098">
            <v>16.04</v>
          </cell>
          <cell r="E4098">
            <v>7.52</v>
          </cell>
          <cell r="H4098">
            <v>45462</v>
          </cell>
          <cell r="I4098">
            <v>0.68666666666666665</v>
          </cell>
          <cell r="J4098">
            <v>31.517777777777773</v>
          </cell>
        </row>
        <row r="4099">
          <cell r="B4099">
            <v>20.27</v>
          </cell>
          <cell r="C4099">
            <v>62.17</v>
          </cell>
          <cell r="D4099">
            <v>17.41</v>
          </cell>
          <cell r="E4099">
            <v>7.79</v>
          </cell>
          <cell r="H4099">
            <v>45462</v>
          </cell>
          <cell r="I4099">
            <v>0.67333333333333334</v>
          </cell>
          <cell r="J4099">
            <v>31.943333333333335</v>
          </cell>
        </row>
        <row r="4100">
          <cell r="B4100">
            <v>18.420000000000002</v>
          </cell>
          <cell r="C4100">
            <v>59.16</v>
          </cell>
          <cell r="D4100">
            <v>17.420000000000002</v>
          </cell>
          <cell r="E4100">
            <v>9.31</v>
          </cell>
          <cell r="H4100">
            <v>45462</v>
          </cell>
          <cell r="I4100">
            <v>0.67444444444444451</v>
          </cell>
          <cell r="J4100">
            <v>32.152222222222221</v>
          </cell>
        </row>
        <row r="4101">
          <cell r="B4101">
            <v>16.350000000000001</v>
          </cell>
          <cell r="C4101">
            <v>54.46</v>
          </cell>
          <cell r="D4101">
            <v>16.809999999999999</v>
          </cell>
          <cell r="E4101">
            <v>10.61</v>
          </cell>
          <cell r="H4101">
            <v>45462</v>
          </cell>
          <cell r="I4101">
            <v>0.67555555555555558</v>
          </cell>
          <cell r="J4101">
            <v>32.130000000000003</v>
          </cell>
        </row>
        <row r="4102">
          <cell r="B4102">
            <v>17.68</v>
          </cell>
          <cell r="C4102">
            <v>47.81</v>
          </cell>
          <cell r="D4102">
            <v>16.11</v>
          </cell>
          <cell r="E4102">
            <v>10.3</v>
          </cell>
          <cell r="H4102">
            <v>45462</v>
          </cell>
          <cell r="I4102">
            <v>0.69</v>
          </cell>
          <cell r="J4102">
            <v>31.690000000000005</v>
          </cell>
        </row>
        <row r="4103">
          <cell r="B4103">
            <v>18.95</v>
          </cell>
          <cell r="C4103">
            <v>49.26</v>
          </cell>
          <cell r="D4103">
            <v>16.100000000000001</v>
          </cell>
          <cell r="E4103">
            <v>10.32</v>
          </cell>
          <cell r="H4103">
            <v>45462</v>
          </cell>
          <cell r="I4103">
            <v>0.69777777777777783</v>
          </cell>
          <cell r="J4103">
            <v>30.978888888888889</v>
          </cell>
        </row>
        <row r="4104">
          <cell r="B4104">
            <v>16.34</v>
          </cell>
          <cell r="C4104">
            <v>45.15</v>
          </cell>
          <cell r="D4104">
            <v>15.7</v>
          </cell>
          <cell r="E4104">
            <v>10</v>
          </cell>
          <cell r="H4104">
            <v>45462</v>
          </cell>
          <cell r="I4104">
            <v>0.70333333333333348</v>
          </cell>
          <cell r="J4104">
            <v>30.342222222222226</v>
          </cell>
        </row>
        <row r="4105">
          <cell r="B4105">
            <v>16.559999999999999</v>
          </cell>
          <cell r="C4105">
            <v>46.34</v>
          </cell>
          <cell r="D4105">
            <v>14.4</v>
          </cell>
          <cell r="E4105">
            <v>10.07</v>
          </cell>
          <cell r="H4105">
            <v>45462</v>
          </cell>
          <cell r="I4105">
            <v>0.70333333333333337</v>
          </cell>
          <cell r="J4105">
            <v>29.83666666666667</v>
          </cell>
        </row>
        <row r="4106">
          <cell r="B4106">
            <v>17.010000000000002</v>
          </cell>
          <cell r="C4106">
            <v>45.86</v>
          </cell>
          <cell r="D4106">
            <v>14.5</v>
          </cell>
          <cell r="E4106">
            <v>10.25</v>
          </cell>
          <cell r="H4106">
            <v>45463</v>
          </cell>
          <cell r="I4106">
            <v>0.7</v>
          </cell>
          <cell r="J4106">
            <v>29.328888888888894</v>
          </cell>
        </row>
        <row r="4107">
          <cell r="B4107">
            <v>18.68</v>
          </cell>
          <cell r="C4107">
            <v>47.72</v>
          </cell>
          <cell r="D4107">
            <v>13.9</v>
          </cell>
          <cell r="E4107">
            <v>8.77</v>
          </cell>
          <cell r="H4107">
            <v>45463</v>
          </cell>
          <cell r="I4107">
            <v>0.69555555555555548</v>
          </cell>
          <cell r="J4107">
            <v>28.81333333333334</v>
          </cell>
        </row>
        <row r="4108">
          <cell r="B4108">
            <v>17.87</v>
          </cell>
          <cell r="C4108">
            <v>44.59</v>
          </cell>
          <cell r="D4108">
            <v>14.02</v>
          </cell>
          <cell r="E4108">
            <v>8.59</v>
          </cell>
          <cell r="H4108">
            <v>45463</v>
          </cell>
          <cell r="I4108">
            <v>0.69777777777777772</v>
          </cell>
          <cell r="J4108">
            <v>28.38111111111111</v>
          </cell>
        </row>
        <row r="4109">
          <cell r="B4109">
            <v>16.309999999999999</v>
          </cell>
          <cell r="C4109">
            <v>41.45</v>
          </cell>
          <cell r="D4109">
            <v>14.48</v>
          </cell>
          <cell r="E4109">
            <v>8</v>
          </cell>
          <cell r="H4109">
            <v>45463</v>
          </cell>
          <cell r="I4109">
            <v>0.69666666666666666</v>
          </cell>
          <cell r="J4109">
            <v>27.921111111111109</v>
          </cell>
        </row>
        <row r="4110">
          <cell r="B4110">
            <v>17.98</v>
          </cell>
          <cell r="C4110">
            <v>41.44</v>
          </cell>
          <cell r="D4110">
            <v>13.9</v>
          </cell>
          <cell r="E4110">
            <v>8.3000000000000007</v>
          </cell>
          <cell r="H4110">
            <v>45463</v>
          </cell>
          <cell r="I4110">
            <v>0.68333333333333324</v>
          </cell>
          <cell r="J4110">
            <v>27.627777777777776</v>
          </cell>
        </row>
        <row r="4111">
          <cell r="B4111">
            <v>18.36</v>
          </cell>
          <cell r="C4111">
            <v>43.84</v>
          </cell>
          <cell r="D4111">
            <v>14.24</v>
          </cell>
          <cell r="E4111">
            <v>8.33</v>
          </cell>
          <cell r="H4111">
            <v>45463</v>
          </cell>
          <cell r="I4111">
            <v>0.67111111111111121</v>
          </cell>
          <cell r="J4111">
            <v>27.516666666666666</v>
          </cell>
        </row>
        <row r="4112">
          <cell r="B4112">
            <v>19.52</v>
          </cell>
          <cell r="C4112">
            <v>47.63</v>
          </cell>
          <cell r="D4112">
            <v>14.27</v>
          </cell>
          <cell r="E4112">
            <v>8.01</v>
          </cell>
          <cell r="H4112">
            <v>45463</v>
          </cell>
          <cell r="I4112">
            <v>0.6677777777777778</v>
          </cell>
          <cell r="J4112">
            <v>27.394444444444442</v>
          </cell>
        </row>
        <row r="4113">
          <cell r="B4113">
            <v>18.079999999999998</v>
          </cell>
          <cell r="C4113">
            <v>49.18</v>
          </cell>
          <cell r="D4113">
            <v>14.81</v>
          </cell>
          <cell r="E4113">
            <v>8.33</v>
          </cell>
          <cell r="H4113">
            <v>45463</v>
          </cell>
          <cell r="I4113">
            <v>0.67555555555555569</v>
          </cell>
          <cell r="J4113">
            <v>27.194444444444443</v>
          </cell>
        </row>
        <row r="4114">
          <cell r="B4114">
            <v>19.350000000000001</v>
          </cell>
          <cell r="C4114">
            <v>52.35</v>
          </cell>
          <cell r="D4114">
            <v>14.93</v>
          </cell>
          <cell r="E4114">
            <v>8.7899999999999991</v>
          </cell>
          <cell r="H4114">
            <v>45463</v>
          </cell>
          <cell r="I4114">
            <v>0.67555555555555558</v>
          </cell>
          <cell r="J4114">
            <v>27.056666666666668</v>
          </cell>
        </row>
        <row r="4115">
          <cell r="B4115">
            <v>20.03</v>
          </cell>
          <cell r="C4115">
            <v>53.25</v>
          </cell>
          <cell r="D4115">
            <v>15.25</v>
          </cell>
          <cell r="E4115">
            <v>8.64</v>
          </cell>
          <cell r="H4115">
            <v>45463</v>
          </cell>
          <cell r="I4115">
            <v>0.67777777777777781</v>
          </cell>
          <cell r="J4115">
            <v>27.005555555555556</v>
          </cell>
        </row>
        <row r="4116">
          <cell r="B4116">
            <v>18.77</v>
          </cell>
          <cell r="C4116">
            <v>53.86</v>
          </cell>
          <cell r="D4116">
            <v>15.18</v>
          </cell>
          <cell r="E4116">
            <v>8.49</v>
          </cell>
          <cell r="H4116">
            <v>45463</v>
          </cell>
          <cell r="I4116">
            <v>0.67888888888888888</v>
          </cell>
          <cell r="J4116">
            <v>27.152222222222221</v>
          </cell>
        </row>
        <row r="4117">
          <cell r="B4117">
            <v>18.48</v>
          </cell>
          <cell r="C4117">
            <v>54.01</v>
          </cell>
          <cell r="D4117">
            <v>15.59</v>
          </cell>
          <cell r="E4117">
            <v>8.68</v>
          </cell>
          <cell r="H4117">
            <v>45463</v>
          </cell>
          <cell r="I4117">
            <v>0.6744444444444444</v>
          </cell>
          <cell r="J4117">
            <v>27.447777777777777</v>
          </cell>
        </row>
        <row r="4118">
          <cell r="B4118">
            <v>18.91</v>
          </cell>
          <cell r="C4118">
            <v>54.37</v>
          </cell>
          <cell r="D4118">
            <v>15.45</v>
          </cell>
          <cell r="E4118">
            <v>8.83</v>
          </cell>
          <cell r="H4118">
            <v>45463</v>
          </cell>
          <cell r="I4118">
            <v>0.67111111111111099</v>
          </cell>
          <cell r="J4118">
            <v>27.922222222222224</v>
          </cell>
        </row>
        <row r="4119">
          <cell r="B4119">
            <v>19.37</v>
          </cell>
          <cell r="C4119">
            <v>55.57</v>
          </cell>
          <cell r="D4119">
            <v>15.38</v>
          </cell>
          <cell r="E4119">
            <v>9.06</v>
          </cell>
          <cell r="H4119">
            <v>45463</v>
          </cell>
          <cell r="I4119">
            <v>0.66888888888888887</v>
          </cell>
          <cell r="J4119">
            <v>28.835555555555558</v>
          </cell>
        </row>
        <row r="4120">
          <cell r="B4120">
            <v>19.829999999999998</v>
          </cell>
          <cell r="C4120">
            <v>57.9</v>
          </cell>
          <cell r="D4120">
            <v>15.07</v>
          </cell>
          <cell r="E4120">
            <v>8.61</v>
          </cell>
          <cell r="H4120">
            <v>45463</v>
          </cell>
          <cell r="I4120">
            <v>0.6677777777777778</v>
          </cell>
          <cell r="J4120">
            <v>29.796666666666667</v>
          </cell>
        </row>
        <row r="4121">
          <cell r="B4121">
            <v>20.079999999999998</v>
          </cell>
          <cell r="C4121">
            <v>59.42</v>
          </cell>
          <cell r="D4121">
            <v>15.4</v>
          </cell>
          <cell r="E4121">
            <v>8.77</v>
          </cell>
          <cell r="H4121">
            <v>45463</v>
          </cell>
          <cell r="I4121">
            <v>0.68111111111111111</v>
          </cell>
          <cell r="J4121">
            <v>30.511111111111113</v>
          </cell>
        </row>
        <row r="4122">
          <cell r="B4122">
            <v>19.63</v>
          </cell>
          <cell r="C4122">
            <v>49.24</v>
          </cell>
          <cell r="D4122">
            <v>15.59</v>
          </cell>
          <cell r="E4122">
            <v>8.86</v>
          </cell>
          <cell r="H4122">
            <v>45463</v>
          </cell>
          <cell r="I4122">
            <v>0.67666666666666675</v>
          </cell>
          <cell r="J4122">
            <v>30.983333333333331</v>
          </cell>
        </row>
        <row r="4123">
          <cell r="B4123">
            <v>18.05</v>
          </cell>
          <cell r="C4123">
            <v>47.4</v>
          </cell>
          <cell r="D4123">
            <v>15.67</v>
          </cell>
          <cell r="E4123">
            <v>8.9</v>
          </cell>
          <cell r="H4123">
            <v>45463</v>
          </cell>
          <cell r="I4123">
            <v>0.67666666666666675</v>
          </cell>
          <cell r="J4123">
            <v>31.308888888888887</v>
          </cell>
        </row>
        <row r="4124">
          <cell r="B4124">
            <v>18.190000000000001</v>
          </cell>
          <cell r="C4124">
            <v>51.75</v>
          </cell>
          <cell r="D4124">
            <v>17.27</v>
          </cell>
          <cell r="E4124">
            <v>8.44</v>
          </cell>
          <cell r="H4124">
            <v>45463</v>
          </cell>
          <cell r="I4124">
            <v>0.68111111111111122</v>
          </cell>
          <cell r="J4124">
            <v>31.468888888888891</v>
          </cell>
        </row>
        <row r="4125">
          <cell r="B4125">
            <v>18.690000000000001</v>
          </cell>
          <cell r="C4125">
            <v>51.3</v>
          </cell>
          <cell r="D4125">
            <v>16.39</v>
          </cell>
          <cell r="E4125">
            <v>8.5399999999999991</v>
          </cell>
          <cell r="H4125">
            <v>45463</v>
          </cell>
          <cell r="I4125">
            <v>0.7022222222222223</v>
          </cell>
          <cell r="J4125">
            <v>31.411111111111111</v>
          </cell>
        </row>
        <row r="4126">
          <cell r="B4126">
            <v>18.64</v>
          </cell>
          <cell r="C4126">
            <v>52.09</v>
          </cell>
          <cell r="D4126">
            <v>16.510000000000002</v>
          </cell>
          <cell r="E4126">
            <v>8.8000000000000007</v>
          </cell>
          <cell r="H4126">
            <v>45463</v>
          </cell>
          <cell r="I4126">
            <v>0.71666666666666656</v>
          </cell>
          <cell r="J4126">
            <v>31.32</v>
          </cell>
        </row>
        <row r="4127">
          <cell r="B4127">
            <v>18.57</v>
          </cell>
          <cell r="C4127">
            <v>48.05</v>
          </cell>
          <cell r="D4127">
            <v>16.329999999999998</v>
          </cell>
          <cell r="E4127">
            <v>9.2200000000000006</v>
          </cell>
          <cell r="H4127">
            <v>45463</v>
          </cell>
          <cell r="I4127">
            <v>0.72222222222222221</v>
          </cell>
          <cell r="J4127">
            <v>31.231111111111108</v>
          </cell>
        </row>
        <row r="4128">
          <cell r="B4128">
            <v>19.37</v>
          </cell>
          <cell r="C4128">
            <v>47.95</v>
          </cell>
          <cell r="D4128">
            <v>15.49</v>
          </cell>
          <cell r="E4128">
            <v>8.9</v>
          </cell>
          <cell r="H4128">
            <v>45463</v>
          </cell>
          <cell r="I4128">
            <v>0.71777777777777774</v>
          </cell>
          <cell r="J4128">
            <v>30.607777777777773</v>
          </cell>
        </row>
        <row r="4129">
          <cell r="B4129">
            <v>18.38</v>
          </cell>
          <cell r="C4129">
            <v>48.31</v>
          </cell>
          <cell r="D4129">
            <v>14.75</v>
          </cell>
          <cell r="E4129">
            <v>8.6999999999999993</v>
          </cell>
          <cell r="H4129">
            <v>45463</v>
          </cell>
          <cell r="I4129">
            <v>0.7155555555555555</v>
          </cell>
          <cell r="J4129">
            <v>30.007777777777775</v>
          </cell>
        </row>
        <row r="4130">
          <cell r="B4130">
            <v>17.36</v>
          </cell>
          <cell r="C4130">
            <v>44.92</v>
          </cell>
          <cell r="D4130">
            <v>14.21</v>
          </cell>
          <cell r="E4130">
            <v>8.4</v>
          </cell>
          <cell r="H4130">
            <v>45464</v>
          </cell>
          <cell r="I4130">
            <v>0.69333333333333336</v>
          </cell>
          <cell r="J4130">
            <v>29.712222222222223</v>
          </cell>
        </row>
        <row r="4131">
          <cell r="B4131">
            <v>16.03</v>
          </cell>
          <cell r="C4131">
            <v>42.59</v>
          </cell>
          <cell r="D4131">
            <v>14.27</v>
          </cell>
          <cell r="E4131">
            <v>8.26</v>
          </cell>
          <cell r="H4131">
            <v>45464</v>
          </cell>
          <cell r="I4131">
            <v>0.68666666666666665</v>
          </cell>
          <cell r="J4131">
            <v>29.61</v>
          </cell>
        </row>
        <row r="4132">
          <cell r="B4132">
            <v>16.559999999999999</v>
          </cell>
          <cell r="C4132">
            <v>43.01</v>
          </cell>
          <cell r="D4132">
            <v>14.2</v>
          </cell>
          <cell r="E4132">
            <v>7.97</v>
          </cell>
          <cell r="H4132">
            <v>45464</v>
          </cell>
          <cell r="I4132">
            <v>0.68333333333333324</v>
          </cell>
          <cell r="J4132">
            <v>29.495555555555555</v>
          </cell>
        </row>
        <row r="4133">
          <cell r="B4133">
            <v>16.8</v>
          </cell>
          <cell r="C4133">
            <v>44.13</v>
          </cell>
          <cell r="D4133">
            <v>14.42</v>
          </cell>
          <cell r="E4133">
            <v>8.2799999999999994</v>
          </cell>
          <cell r="H4133">
            <v>45464</v>
          </cell>
          <cell r="I4133">
            <v>0.67666666666666664</v>
          </cell>
          <cell r="J4133">
            <v>29.365555555555559</v>
          </cell>
        </row>
        <row r="4134">
          <cell r="B4134">
            <v>17.190000000000001</v>
          </cell>
          <cell r="C4134">
            <v>44.95</v>
          </cell>
          <cell r="D4134">
            <v>14.48</v>
          </cell>
          <cell r="E4134">
            <v>8.1999999999999993</v>
          </cell>
          <cell r="H4134">
            <v>45464</v>
          </cell>
          <cell r="I4134">
            <v>0.6511111111111112</v>
          </cell>
          <cell r="J4134">
            <v>29.192222222222224</v>
          </cell>
        </row>
        <row r="4135">
          <cell r="B4135">
            <v>18.62</v>
          </cell>
          <cell r="C4135">
            <v>46.81</v>
          </cell>
          <cell r="D4135">
            <v>14.78</v>
          </cell>
          <cell r="E4135">
            <v>8.16</v>
          </cell>
          <cell r="H4135">
            <v>45464</v>
          </cell>
          <cell r="I4135">
            <v>0.64111111111111108</v>
          </cell>
          <cell r="J4135">
            <v>28.828888888888887</v>
          </cell>
        </row>
        <row r="4136">
          <cell r="B4136">
            <v>18.75</v>
          </cell>
          <cell r="C4136">
            <v>46.72</v>
          </cell>
          <cell r="D4136">
            <v>15.13</v>
          </cell>
          <cell r="E4136">
            <v>8.5</v>
          </cell>
          <cell r="H4136">
            <v>45464</v>
          </cell>
          <cell r="I4136">
            <v>0.64</v>
          </cell>
          <cell r="J4136">
            <v>28.4</v>
          </cell>
        </row>
        <row r="4137">
          <cell r="B4137">
            <v>19.649999999999999</v>
          </cell>
          <cell r="C4137">
            <v>49.88</v>
          </cell>
          <cell r="D4137">
            <v>15.29</v>
          </cell>
          <cell r="E4137">
            <v>8.49</v>
          </cell>
          <cell r="H4137">
            <v>45464</v>
          </cell>
          <cell r="I4137">
            <v>0.65333333333333321</v>
          </cell>
          <cell r="J4137">
            <v>28.256666666666668</v>
          </cell>
        </row>
        <row r="4138">
          <cell r="B4138">
            <v>20.7</v>
          </cell>
          <cell r="C4138">
            <v>51.21</v>
          </cell>
          <cell r="D4138">
            <v>15.33</v>
          </cell>
          <cell r="E4138">
            <v>8.1</v>
          </cell>
          <cell r="H4138">
            <v>45464</v>
          </cell>
          <cell r="I4138">
            <v>0.65999999999999992</v>
          </cell>
          <cell r="J4138">
            <v>28.288888888888891</v>
          </cell>
        </row>
        <row r="4139">
          <cell r="B4139">
            <v>21.05</v>
          </cell>
          <cell r="C4139">
            <v>52.98</v>
          </cell>
          <cell r="D4139">
            <v>15.19</v>
          </cell>
          <cell r="E4139">
            <v>8.2200000000000006</v>
          </cell>
          <cell r="H4139">
            <v>45464</v>
          </cell>
          <cell r="I4139">
            <v>0.66666666666666663</v>
          </cell>
          <cell r="J4139">
            <v>28.348888888888887</v>
          </cell>
        </row>
        <row r="4140">
          <cell r="B4140">
            <v>18.39</v>
          </cell>
          <cell r="C4140">
            <v>52.48</v>
          </cell>
          <cell r="D4140">
            <v>15.67</v>
          </cell>
          <cell r="E4140">
            <v>8.2899999999999991</v>
          </cell>
          <cell r="H4140">
            <v>45464</v>
          </cell>
          <cell r="I4140">
            <v>0.66666666666666663</v>
          </cell>
          <cell r="J4140">
            <v>28.619999999999997</v>
          </cell>
        </row>
        <row r="4141">
          <cell r="B4141">
            <v>17.829999999999998</v>
          </cell>
          <cell r="C4141">
            <v>51.6</v>
          </cell>
          <cell r="D4141">
            <v>15.83</v>
          </cell>
          <cell r="E4141">
            <v>8.83</v>
          </cell>
          <cell r="H4141">
            <v>45464</v>
          </cell>
          <cell r="I4141">
            <v>0.66</v>
          </cell>
          <cell r="J4141">
            <v>29.369999999999997</v>
          </cell>
        </row>
        <row r="4142">
          <cell r="B4142">
            <v>19.670000000000002</v>
          </cell>
          <cell r="C4142">
            <v>54.5</v>
          </cell>
          <cell r="D4142">
            <v>15.59</v>
          </cell>
          <cell r="E4142">
            <v>8.9700000000000006</v>
          </cell>
          <cell r="H4142">
            <v>45464</v>
          </cell>
          <cell r="I4142">
            <v>0.66111111111111109</v>
          </cell>
          <cell r="J4142">
            <v>30.312222222222221</v>
          </cell>
        </row>
        <row r="4143">
          <cell r="B4143">
            <v>18.46</v>
          </cell>
          <cell r="C4143">
            <v>51.76</v>
          </cell>
          <cell r="D4143">
            <v>15.8</v>
          </cell>
          <cell r="E4143">
            <v>8.85</v>
          </cell>
          <cell r="H4143">
            <v>45464</v>
          </cell>
          <cell r="I4143">
            <v>0.66333333333333333</v>
          </cell>
          <cell r="J4143">
            <v>31.177777777777774</v>
          </cell>
        </row>
        <row r="4144">
          <cell r="B4144">
            <v>18.87</v>
          </cell>
          <cell r="C4144">
            <v>54.45</v>
          </cell>
          <cell r="D4144">
            <v>15.81</v>
          </cell>
          <cell r="E4144">
            <v>7.9</v>
          </cell>
          <cell r="H4144">
            <v>45464</v>
          </cell>
          <cell r="I4144">
            <v>0.65777777777777779</v>
          </cell>
          <cell r="J4144">
            <v>31.912222222222219</v>
          </cell>
        </row>
        <row r="4145">
          <cell r="B4145">
            <v>20.5</v>
          </cell>
          <cell r="C4145">
            <v>59.64</v>
          </cell>
          <cell r="D4145">
            <v>15.13</v>
          </cell>
          <cell r="E4145">
            <v>8.81</v>
          </cell>
          <cell r="H4145">
            <v>45464</v>
          </cell>
          <cell r="I4145">
            <v>0.65333333333333332</v>
          </cell>
          <cell r="J4145">
            <v>32.64</v>
          </cell>
        </row>
        <row r="4146">
          <cell r="B4146">
            <v>23.67</v>
          </cell>
          <cell r="C4146">
            <v>62.97</v>
          </cell>
          <cell r="D4146">
            <v>14.75</v>
          </cell>
          <cell r="E4146">
            <v>8.76</v>
          </cell>
          <cell r="H4146">
            <v>45464</v>
          </cell>
          <cell r="I4146">
            <v>0.64555555555555555</v>
          </cell>
          <cell r="J4146">
            <v>32.766666666666666</v>
          </cell>
        </row>
        <row r="4147">
          <cell r="B4147">
            <v>19.809999999999999</v>
          </cell>
          <cell r="C4147">
            <v>48.34</v>
          </cell>
          <cell r="D4147">
            <v>15.3</v>
          </cell>
          <cell r="E4147">
            <v>8.67</v>
          </cell>
          <cell r="H4147">
            <v>45464</v>
          </cell>
          <cell r="I4147">
            <v>0.6366666666666666</v>
          </cell>
          <cell r="J4147">
            <v>32.419999999999995</v>
          </cell>
        </row>
        <row r="4148">
          <cell r="B4148">
            <v>18.940000000000001</v>
          </cell>
          <cell r="C4148">
            <v>46.88</v>
          </cell>
          <cell r="D4148">
            <v>15.92</v>
          </cell>
          <cell r="E4148">
            <v>8.01</v>
          </cell>
          <cell r="H4148">
            <v>45464</v>
          </cell>
          <cell r="I4148">
            <v>0.64111111111111108</v>
          </cell>
          <cell r="J4148">
            <v>31.889999999999993</v>
          </cell>
        </row>
        <row r="4149">
          <cell r="B4149">
            <v>22.93</v>
          </cell>
          <cell r="C4149">
            <v>53.74</v>
          </cell>
          <cell r="D4149">
            <v>17.420000000000002</v>
          </cell>
          <cell r="E4149">
            <v>8.31</v>
          </cell>
          <cell r="H4149">
            <v>45464</v>
          </cell>
          <cell r="I4149">
            <v>0.6544444444444445</v>
          </cell>
          <cell r="J4149">
            <v>31.187777777777779</v>
          </cell>
        </row>
        <row r="4150">
          <cell r="B4150">
            <v>23.85</v>
          </cell>
          <cell r="C4150">
            <v>62.17</v>
          </cell>
          <cell r="D4150">
            <v>17.41</v>
          </cell>
          <cell r="E4150">
            <v>8.7200000000000006</v>
          </cell>
          <cell r="H4150">
            <v>45464</v>
          </cell>
          <cell r="I4150">
            <v>0.67111111111111121</v>
          </cell>
          <cell r="J4150">
            <v>29.995555555555558</v>
          </cell>
        </row>
        <row r="4151">
          <cell r="B4151">
            <v>23.12</v>
          </cell>
          <cell r="C4151">
            <v>65.41</v>
          </cell>
          <cell r="D4151">
            <v>16.670000000000002</v>
          </cell>
          <cell r="E4151">
            <v>8.73</v>
          </cell>
          <cell r="H4151">
            <v>45464</v>
          </cell>
          <cell r="I4151">
            <v>0.67444444444444451</v>
          </cell>
          <cell r="J4151">
            <v>28.724444444444444</v>
          </cell>
        </row>
        <row r="4152">
          <cell r="B4152">
            <v>22.4</v>
          </cell>
          <cell r="C4152">
            <v>58.57</v>
          </cell>
          <cell r="D4152">
            <v>15.64</v>
          </cell>
          <cell r="E4152">
            <v>8.69</v>
          </cell>
          <cell r="H4152">
            <v>45464</v>
          </cell>
          <cell r="I4152">
            <v>0.67</v>
          </cell>
          <cell r="J4152">
            <v>27.668888888888887</v>
          </cell>
        </row>
        <row r="4153">
          <cell r="B4153">
            <v>21.3</v>
          </cell>
          <cell r="C4153">
            <v>53.37</v>
          </cell>
          <cell r="D4153">
            <v>14.76</v>
          </cell>
          <cell r="E4153">
            <v>8.14</v>
          </cell>
          <cell r="H4153">
            <v>45464</v>
          </cell>
          <cell r="I4153">
            <v>0.66888888888888887</v>
          </cell>
          <cell r="J4153">
            <v>26.887777777777774</v>
          </cell>
        </row>
        <row r="4154">
          <cell r="B4154">
            <v>20.63</v>
          </cell>
          <cell r="C4154">
            <v>51.18</v>
          </cell>
          <cell r="D4154">
            <v>14.24</v>
          </cell>
          <cell r="E4154">
            <v>7.53</v>
          </cell>
          <cell r="H4154">
            <v>45465</v>
          </cell>
          <cell r="I4154">
            <v>0.66222222222222227</v>
          </cell>
          <cell r="J4154">
            <v>26.155555555555551</v>
          </cell>
        </row>
        <row r="4155">
          <cell r="B4155">
            <v>22.71</v>
          </cell>
          <cell r="C4155">
            <v>50.44</v>
          </cell>
          <cell r="D4155">
            <v>14.14</v>
          </cell>
          <cell r="E4155">
            <v>7.78</v>
          </cell>
          <cell r="H4155">
            <v>45465</v>
          </cell>
          <cell r="I4155">
            <v>0.6611111111111112</v>
          </cell>
          <cell r="J4155">
            <v>25.855555555555561</v>
          </cell>
        </row>
        <row r="4156">
          <cell r="B4156">
            <v>22.12</v>
          </cell>
          <cell r="C4156">
            <v>49.02</v>
          </cell>
          <cell r="D4156">
            <v>14.63</v>
          </cell>
          <cell r="E4156">
            <v>8.26</v>
          </cell>
          <cell r="H4156">
            <v>45465</v>
          </cell>
          <cell r="I4156">
            <v>0.66</v>
          </cell>
          <cell r="J4156">
            <v>25.752222222222223</v>
          </cell>
        </row>
        <row r="4157">
          <cell r="B4157">
            <v>21.08</v>
          </cell>
          <cell r="C4157">
            <v>44.63</v>
          </cell>
          <cell r="D4157">
            <v>14.46</v>
          </cell>
          <cell r="E4157">
            <v>8.48</v>
          </cell>
          <cell r="H4157">
            <v>45465</v>
          </cell>
          <cell r="I4157">
            <v>0.65222222222222226</v>
          </cell>
          <cell r="J4157">
            <v>25.978888888888893</v>
          </cell>
        </row>
        <row r="4158">
          <cell r="B4158">
            <v>19.149999999999999</v>
          </cell>
          <cell r="C4158">
            <v>43.33</v>
          </cell>
          <cell r="D4158">
            <v>14.25</v>
          </cell>
          <cell r="E4158">
            <v>8.4499999999999993</v>
          </cell>
          <cell r="H4158">
            <v>45465</v>
          </cell>
          <cell r="I4158">
            <v>0.63888888888888884</v>
          </cell>
          <cell r="J4158">
            <v>26.231111111111108</v>
          </cell>
        </row>
        <row r="4159">
          <cell r="B4159">
            <v>20.420000000000002</v>
          </cell>
          <cell r="C4159">
            <v>45.45</v>
          </cell>
          <cell r="D4159">
            <v>14.62</v>
          </cell>
          <cell r="E4159">
            <v>8.7799999999999994</v>
          </cell>
          <cell r="H4159">
            <v>45465</v>
          </cell>
          <cell r="I4159">
            <v>0.62666666666666659</v>
          </cell>
          <cell r="J4159">
            <v>26.571111111111108</v>
          </cell>
        </row>
        <row r="4160">
          <cell r="B4160">
            <v>20.25</v>
          </cell>
          <cell r="C4160">
            <v>43.67</v>
          </cell>
          <cell r="D4160">
            <v>14.55</v>
          </cell>
          <cell r="E4160">
            <v>8.67</v>
          </cell>
          <cell r="H4160">
            <v>45465</v>
          </cell>
          <cell r="I4160">
            <v>0.62111111111111106</v>
          </cell>
          <cell r="J4160">
            <v>26.848888888888887</v>
          </cell>
        </row>
        <row r="4161">
          <cell r="B4161">
            <v>18.84</v>
          </cell>
          <cell r="C4161">
            <v>42.92</v>
          </cell>
          <cell r="D4161">
            <v>14.73</v>
          </cell>
          <cell r="E4161">
            <v>8.64</v>
          </cell>
          <cell r="H4161">
            <v>45465</v>
          </cell>
          <cell r="I4161">
            <v>0.62555555555555553</v>
          </cell>
          <cell r="J4161">
            <v>27.134444444444444</v>
          </cell>
        </row>
        <row r="4162">
          <cell r="B4162">
            <v>19.23</v>
          </cell>
          <cell r="C4162">
            <v>47.69</v>
          </cell>
          <cell r="D4162">
            <v>14.6</v>
          </cell>
          <cell r="E4162">
            <v>8.6199999999999992</v>
          </cell>
          <cell r="H4162">
            <v>45465</v>
          </cell>
          <cell r="I4162">
            <v>0.6366666666666666</v>
          </cell>
          <cell r="J4162">
            <v>27.332222222222224</v>
          </cell>
        </row>
        <row r="4163">
          <cell r="B4163">
            <v>19.420000000000002</v>
          </cell>
          <cell r="C4163">
            <v>49.39</v>
          </cell>
          <cell r="D4163">
            <v>14.92</v>
          </cell>
          <cell r="E4163">
            <v>8.34</v>
          </cell>
          <cell r="H4163">
            <v>45465</v>
          </cell>
          <cell r="I4163">
            <v>0.6677777777777778</v>
          </cell>
          <cell r="J4163">
            <v>27.392222222222227</v>
          </cell>
        </row>
        <row r="4164">
          <cell r="B4164">
            <v>18.98</v>
          </cell>
          <cell r="C4164">
            <v>49.63</v>
          </cell>
          <cell r="D4164">
            <v>14.77</v>
          </cell>
          <cell r="E4164">
            <v>8.3000000000000007</v>
          </cell>
          <cell r="H4164">
            <v>45465</v>
          </cell>
          <cell r="I4164">
            <v>0.6644444444444445</v>
          </cell>
          <cell r="J4164">
            <v>27.493333333333332</v>
          </cell>
        </row>
        <row r="4165">
          <cell r="B4165">
            <v>20.54</v>
          </cell>
          <cell r="C4165">
            <v>49.08</v>
          </cell>
          <cell r="D4165">
            <v>15.99</v>
          </cell>
          <cell r="E4165">
            <v>7.59</v>
          </cell>
          <cell r="H4165">
            <v>45465</v>
          </cell>
          <cell r="I4165">
            <v>0.66666666666666674</v>
          </cell>
          <cell r="J4165">
            <v>27.956666666666667</v>
          </cell>
        </row>
        <row r="4166">
          <cell r="B4166">
            <v>21.64</v>
          </cell>
          <cell r="C4166">
            <v>51.37</v>
          </cell>
          <cell r="D4166">
            <v>16.3</v>
          </cell>
          <cell r="E4166">
            <v>7.8</v>
          </cell>
          <cell r="H4166">
            <v>45465</v>
          </cell>
          <cell r="I4166">
            <v>0.66666666666666674</v>
          </cell>
          <cell r="J4166">
            <v>28.161111111111111</v>
          </cell>
        </row>
        <row r="4167">
          <cell r="B4167">
            <v>20.059999999999999</v>
          </cell>
          <cell r="C4167">
            <v>51.05</v>
          </cell>
          <cell r="D4167">
            <v>16.52</v>
          </cell>
          <cell r="E4167">
            <v>7.78</v>
          </cell>
          <cell r="H4167">
            <v>45465</v>
          </cell>
          <cell r="I4167">
            <v>0.66333333333333344</v>
          </cell>
          <cell r="J4167">
            <v>28.354444444444443</v>
          </cell>
        </row>
        <row r="4168">
          <cell r="B4168">
            <v>18.89</v>
          </cell>
          <cell r="C4168">
            <v>49.16</v>
          </cell>
          <cell r="D4168">
            <v>16.05</v>
          </cell>
          <cell r="E4168">
            <v>7.65</v>
          </cell>
          <cell r="H4168">
            <v>45465</v>
          </cell>
          <cell r="I4168">
            <v>0.66</v>
          </cell>
          <cell r="J4168">
            <v>28.374444444444443</v>
          </cell>
        </row>
        <row r="4169">
          <cell r="B4169">
            <v>16.739999999999998</v>
          </cell>
          <cell r="C4169">
            <v>51.86</v>
          </cell>
          <cell r="D4169">
            <v>15.72</v>
          </cell>
          <cell r="E4169">
            <v>9.67</v>
          </cell>
          <cell r="H4169">
            <v>45465</v>
          </cell>
          <cell r="I4169">
            <v>0.65888888888888886</v>
          </cell>
          <cell r="J4169">
            <v>28.394444444444446</v>
          </cell>
        </row>
        <row r="4170">
          <cell r="B4170">
            <v>17.02</v>
          </cell>
          <cell r="C4170">
            <v>55.53</v>
          </cell>
          <cell r="D4170">
            <v>16.72</v>
          </cell>
          <cell r="E4170">
            <v>9.6999999999999993</v>
          </cell>
          <cell r="H4170">
            <v>45465</v>
          </cell>
          <cell r="I4170">
            <v>0.69666666666666666</v>
          </cell>
          <cell r="J4170">
            <v>28.963333333333335</v>
          </cell>
        </row>
        <row r="4171">
          <cell r="B4171">
            <v>18.989999999999998</v>
          </cell>
          <cell r="C4171">
            <v>58.39</v>
          </cell>
          <cell r="D4171">
            <v>16.46</v>
          </cell>
          <cell r="E4171">
            <v>9.8699999999999992</v>
          </cell>
          <cell r="H4171">
            <v>45465</v>
          </cell>
          <cell r="I4171">
            <v>0.72222222222222221</v>
          </cell>
          <cell r="J4171">
            <v>29.338888888888889</v>
          </cell>
        </row>
        <row r="4172">
          <cell r="B4172">
            <v>20.27</v>
          </cell>
          <cell r="C4172">
            <v>54.33</v>
          </cell>
          <cell r="D4172">
            <v>16.38</v>
          </cell>
          <cell r="E4172">
            <v>9.89</v>
          </cell>
          <cell r="H4172">
            <v>45465</v>
          </cell>
          <cell r="I4172">
            <v>0.70111111111111113</v>
          </cell>
          <cell r="J4172">
            <v>29.695555555555561</v>
          </cell>
        </row>
        <row r="4173">
          <cell r="B4173">
            <v>19.62</v>
          </cell>
          <cell r="C4173">
            <v>57.35</v>
          </cell>
          <cell r="D4173">
            <v>16.54</v>
          </cell>
          <cell r="E4173">
            <v>9.94</v>
          </cell>
          <cell r="H4173">
            <v>45465</v>
          </cell>
          <cell r="I4173">
            <v>0.70666666666666667</v>
          </cell>
          <cell r="J4173">
            <v>29.981111111111108</v>
          </cell>
        </row>
        <row r="4174">
          <cell r="B4174">
            <v>19.48</v>
          </cell>
          <cell r="C4174">
            <v>51.85</v>
          </cell>
          <cell r="D4174">
            <v>18.04</v>
          </cell>
          <cell r="E4174">
            <v>9.84</v>
          </cell>
          <cell r="H4174">
            <v>45465</v>
          </cell>
          <cell r="I4174">
            <v>0.71333333333333337</v>
          </cell>
          <cell r="J4174">
            <v>29.905555555555559</v>
          </cell>
        </row>
        <row r="4175">
          <cell r="B4175">
            <v>21.65</v>
          </cell>
          <cell r="C4175">
            <v>52.95</v>
          </cell>
          <cell r="D4175">
            <v>16.66</v>
          </cell>
          <cell r="E4175">
            <v>9.99</v>
          </cell>
          <cell r="H4175">
            <v>45465</v>
          </cell>
          <cell r="I4175">
            <v>0.7122222222222222</v>
          </cell>
          <cell r="J4175">
            <v>29.936666666666667</v>
          </cell>
        </row>
        <row r="4176">
          <cell r="B4176">
            <v>20.84</v>
          </cell>
          <cell r="C4176">
            <v>51.8</v>
          </cell>
          <cell r="D4176">
            <v>16.3</v>
          </cell>
          <cell r="E4176">
            <v>10.31</v>
          </cell>
          <cell r="H4176">
            <v>45465</v>
          </cell>
          <cell r="I4176">
            <v>0.72222222222222221</v>
          </cell>
          <cell r="J4176">
            <v>30.016666666666669</v>
          </cell>
        </row>
        <row r="4177">
          <cell r="B4177">
            <v>20.68</v>
          </cell>
          <cell r="C4177">
            <v>47.4</v>
          </cell>
          <cell r="D4177">
            <v>15.82</v>
          </cell>
          <cell r="E4177">
            <v>10.210000000000001</v>
          </cell>
          <cell r="H4177">
            <v>45465</v>
          </cell>
          <cell r="I4177">
            <v>0.73</v>
          </cell>
          <cell r="J4177">
            <v>30.178888888888892</v>
          </cell>
        </row>
        <row r="4178">
          <cell r="B4178">
            <v>20.47</v>
          </cell>
          <cell r="C4178">
            <v>48.36</v>
          </cell>
          <cell r="D4178">
            <v>15.1</v>
          </cell>
          <cell r="E4178">
            <v>9.9600000000000009</v>
          </cell>
          <cell r="H4178">
            <v>45466</v>
          </cell>
          <cell r="I4178">
            <v>0.73222222222222222</v>
          </cell>
          <cell r="J4178">
            <v>30.563333333333333</v>
          </cell>
        </row>
        <row r="4179">
          <cell r="B4179">
            <v>18.260000000000002</v>
          </cell>
          <cell r="C4179">
            <v>45.2</v>
          </cell>
          <cell r="D4179">
            <v>14.89</v>
          </cell>
          <cell r="E4179">
            <v>7.11</v>
          </cell>
          <cell r="H4179">
            <v>45466</v>
          </cell>
          <cell r="I4179">
            <v>0.68777777777777771</v>
          </cell>
          <cell r="J4179">
            <v>30.362222222222222</v>
          </cell>
        </row>
        <row r="4180">
          <cell r="B4180">
            <v>18.7</v>
          </cell>
          <cell r="C4180">
            <v>44.32</v>
          </cell>
          <cell r="D4180">
            <v>15.7</v>
          </cell>
          <cell r="E4180">
            <v>6.75</v>
          </cell>
          <cell r="H4180">
            <v>45466</v>
          </cell>
          <cell r="I4180">
            <v>0.6511111111111112</v>
          </cell>
          <cell r="J4180">
            <v>30.344444444444449</v>
          </cell>
        </row>
        <row r="4181">
          <cell r="B4181">
            <v>17.25</v>
          </cell>
          <cell r="C4181">
            <v>40.96</v>
          </cell>
          <cell r="D4181">
            <v>15.32</v>
          </cell>
          <cell r="E4181">
            <v>7.15</v>
          </cell>
          <cell r="H4181">
            <v>45466</v>
          </cell>
          <cell r="I4181">
            <v>0.64333333333333331</v>
          </cell>
          <cell r="J4181">
            <v>30.435555555555556</v>
          </cell>
        </row>
        <row r="4182">
          <cell r="B4182">
            <v>16.559999999999999</v>
          </cell>
          <cell r="C4182">
            <v>36.71</v>
          </cell>
          <cell r="D4182">
            <v>14.37</v>
          </cell>
          <cell r="E4182">
            <v>6.83</v>
          </cell>
          <cell r="H4182">
            <v>45466</v>
          </cell>
          <cell r="I4182">
            <v>0.63555555555555543</v>
          </cell>
          <cell r="J4182">
            <v>30.658888888888896</v>
          </cell>
        </row>
        <row r="4183">
          <cell r="B4183">
            <v>15.59</v>
          </cell>
          <cell r="C4183">
            <v>39.43</v>
          </cell>
          <cell r="D4183">
            <v>14.82</v>
          </cell>
          <cell r="E4183">
            <v>6.97</v>
          </cell>
          <cell r="H4183">
            <v>45466</v>
          </cell>
          <cell r="I4183">
            <v>0.6333333333333333</v>
          </cell>
          <cell r="J4183">
            <v>30.822222222222219</v>
          </cell>
        </row>
        <row r="4184">
          <cell r="B4184">
            <v>14.71</v>
          </cell>
          <cell r="C4184">
            <v>40.03</v>
          </cell>
          <cell r="D4184">
            <v>14.93</v>
          </cell>
          <cell r="E4184">
            <v>7.37</v>
          </cell>
          <cell r="H4184">
            <v>45466</v>
          </cell>
          <cell r="I4184">
            <v>0.63777777777777789</v>
          </cell>
          <cell r="J4184">
            <v>30.847777777777779</v>
          </cell>
        </row>
        <row r="4185">
          <cell r="B4185">
            <v>15.9</v>
          </cell>
          <cell r="C4185">
            <v>41.76</v>
          </cell>
          <cell r="D4185">
            <v>14.91</v>
          </cell>
          <cell r="E4185">
            <v>7.95</v>
          </cell>
          <cell r="H4185">
            <v>45466</v>
          </cell>
          <cell r="I4185">
            <v>0.63111111111111118</v>
          </cell>
          <cell r="J4185">
            <v>30.84333333333333</v>
          </cell>
        </row>
        <row r="4186">
          <cell r="B4186">
            <v>15.96</v>
          </cell>
          <cell r="C4186">
            <v>41.51</v>
          </cell>
          <cell r="D4186">
            <v>15.32</v>
          </cell>
          <cell r="E4186">
            <v>7.89</v>
          </cell>
          <cell r="H4186">
            <v>45466</v>
          </cell>
          <cell r="I4186">
            <v>0.62555555555555553</v>
          </cell>
          <cell r="J4186">
            <v>30.954444444444441</v>
          </cell>
        </row>
        <row r="4187">
          <cell r="B4187">
            <v>15.62</v>
          </cell>
          <cell r="C4187">
            <v>36.409999999999997</v>
          </cell>
          <cell r="D4187">
            <v>14.8</v>
          </cell>
          <cell r="E4187">
            <v>6.49</v>
          </cell>
          <cell r="H4187">
            <v>45466</v>
          </cell>
          <cell r="I4187">
            <v>0.62333333333333341</v>
          </cell>
          <cell r="J4187">
            <v>31.177777777777781</v>
          </cell>
        </row>
        <row r="4188">
          <cell r="B4188">
            <v>15.92</v>
          </cell>
          <cell r="C4188">
            <v>38.07</v>
          </cell>
          <cell r="D4188">
            <v>15.45</v>
          </cell>
          <cell r="E4188">
            <v>6.61</v>
          </cell>
          <cell r="H4188">
            <v>45466</v>
          </cell>
          <cell r="I4188">
            <v>0.6166666666666667</v>
          </cell>
          <cell r="J4188">
            <v>31.497777777777774</v>
          </cell>
        </row>
        <row r="4189">
          <cell r="B4189">
            <v>14.08</v>
          </cell>
          <cell r="C4189">
            <v>35.71</v>
          </cell>
          <cell r="D4189">
            <v>13.37</v>
          </cell>
          <cell r="E4189">
            <v>6.75</v>
          </cell>
          <cell r="H4189">
            <v>45466</v>
          </cell>
          <cell r="I4189">
            <v>0.60666666666666669</v>
          </cell>
          <cell r="J4189">
            <v>31.825555555555557</v>
          </cell>
        </row>
        <row r="4190">
          <cell r="B4190">
            <v>14.17</v>
          </cell>
          <cell r="C4190">
            <v>36.22</v>
          </cell>
          <cell r="D4190">
            <v>13.21</v>
          </cell>
          <cell r="E4190">
            <v>6.98</v>
          </cell>
          <cell r="H4190">
            <v>45466</v>
          </cell>
          <cell r="I4190">
            <v>0.59666666666666668</v>
          </cell>
          <cell r="J4190">
            <v>32.172222222222224</v>
          </cell>
        </row>
        <row r="4191">
          <cell r="B4191">
            <v>13.3</v>
          </cell>
          <cell r="C4191">
            <v>33.94</v>
          </cell>
          <cell r="D4191">
            <v>13.23</v>
          </cell>
          <cell r="E4191">
            <v>7.88</v>
          </cell>
          <cell r="H4191">
            <v>45466</v>
          </cell>
          <cell r="I4191">
            <v>0.58777777777777784</v>
          </cell>
          <cell r="J4191">
            <v>33.516666666666666</v>
          </cell>
        </row>
        <row r="4192">
          <cell r="B4192">
            <v>13.53</v>
          </cell>
          <cell r="C4192">
            <v>35.33</v>
          </cell>
          <cell r="D4192">
            <v>12.41</v>
          </cell>
          <cell r="E4192">
            <v>8.02</v>
          </cell>
          <cell r="H4192">
            <v>45466</v>
          </cell>
          <cell r="I4192">
            <v>0.57777777777777795</v>
          </cell>
          <cell r="J4192">
            <v>34.111111111111107</v>
          </cell>
        </row>
        <row r="4193">
          <cell r="B4193">
            <v>13.12</v>
          </cell>
          <cell r="C4193">
            <v>34.69</v>
          </cell>
          <cell r="D4193">
            <v>12.46</v>
          </cell>
          <cell r="E4193">
            <v>8.0399999999999991</v>
          </cell>
          <cell r="H4193">
            <v>45466</v>
          </cell>
          <cell r="I4193">
            <v>0.56666666666666665</v>
          </cell>
          <cell r="J4193">
            <v>34.474444444444444</v>
          </cell>
        </row>
        <row r="4194">
          <cell r="B4194">
            <v>13.18</v>
          </cell>
          <cell r="C4194">
            <v>31.92</v>
          </cell>
          <cell r="D4194">
            <v>11.74</v>
          </cell>
          <cell r="E4194">
            <v>8.11</v>
          </cell>
          <cell r="H4194">
            <v>45466</v>
          </cell>
          <cell r="I4194">
            <v>0.55333333333333334</v>
          </cell>
          <cell r="J4194">
            <v>34.641111111111115</v>
          </cell>
        </row>
        <row r="4195">
          <cell r="B4195">
            <v>14.76</v>
          </cell>
          <cell r="C4195">
            <v>34.15</v>
          </cell>
          <cell r="D4195">
            <v>13.67</v>
          </cell>
          <cell r="E4195">
            <v>8.1</v>
          </cell>
          <cell r="H4195">
            <v>45466</v>
          </cell>
          <cell r="I4195">
            <v>0.54333333333333333</v>
          </cell>
          <cell r="J4195">
            <v>34.667777777777786</v>
          </cell>
        </row>
        <row r="4196">
          <cell r="B4196">
            <v>14.38</v>
          </cell>
          <cell r="C4196">
            <v>31.29</v>
          </cell>
          <cell r="D4196">
            <v>13.94</v>
          </cell>
          <cell r="E4196">
            <v>8.07</v>
          </cell>
          <cell r="H4196">
            <v>45466</v>
          </cell>
          <cell r="I4196">
            <v>0.53555555555555556</v>
          </cell>
          <cell r="J4196">
            <v>34.31666666666667</v>
          </cell>
        </row>
        <row r="4197">
          <cell r="B4197">
            <v>14.75</v>
          </cell>
          <cell r="C4197">
            <v>29.86</v>
          </cell>
          <cell r="D4197">
            <v>14.01</v>
          </cell>
          <cell r="E4197">
            <v>7.6</v>
          </cell>
          <cell r="H4197">
            <v>45466</v>
          </cell>
          <cell r="I4197">
            <v>0.53999999999999992</v>
          </cell>
          <cell r="J4197">
            <v>33.794444444444451</v>
          </cell>
        </row>
        <row r="4198">
          <cell r="B4198">
            <v>16.010000000000002</v>
          </cell>
          <cell r="C4198">
            <v>32.24</v>
          </cell>
          <cell r="D4198">
            <v>14</v>
          </cell>
          <cell r="E4198">
            <v>7.78</v>
          </cell>
          <cell r="H4198">
            <v>45466</v>
          </cell>
          <cell r="I4198">
            <v>0.55000000000000004</v>
          </cell>
          <cell r="J4198">
            <v>33.171111111111117</v>
          </cell>
        </row>
        <row r="4199">
          <cell r="B4199">
            <v>17.559999999999999</v>
          </cell>
          <cell r="C4199">
            <v>36.25</v>
          </cell>
          <cell r="D4199">
            <v>13.75</v>
          </cell>
          <cell r="E4199">
            <v>7.6</v>
          </cell>
          <cell r="H4199">
            <v>45466</v>
          </cell>
          <cell r="I4199">
            <v>0.55444444444444452</v>
          </cell>
          <cell r="J4199">
            <v>32.635555555555555</v>
          </cell>
        </row>
        <row r="4200">
          <cell r="B4200">
            <v>17.11</v>
          </cell>
          <cell r="C4200">
            <v>34.58</v>
          </cell>
          <cell r="D4200">
            <v>13.73</v>
          </cell>
          <cell r="E4200">
            <v>7.36</v>
          </cell>
          <cell r="H4200">
            <v>45466</v>
          </cell>
          <cell r="I4200">
            <v>0.55444444444444452</v>
          </cell>
          <cell r="J4200">
            <v>30.965555555555554</v>
          </cell>
        </row>
        <row r="4201">
          <cell r="B4201">
            <v>14.46</v>
          </cell>
          <cell r="C4201">
            <v>30.79</v>
          </cell>
          <cell r="D4201">
            <v>13.53</v>
          </cell>
          <cell r="E4201">
            <v>7.51</v>
          </cell>
          <cell r="H4201">
            <v>45466</v>
          </cell>
          <cell r="I4201">
            <v>0.55222222222222217</v>
          </cell>
          <cell r="J4201">
            <v>30.234444444444446</v>
          </cell>
        </row>
        <row r="4202">
          <cell r="B4202">
            <v>14.8</v>
          </cell>
          <cell r="C4202">
            <v>29.24</v>
          </cell>
          <cell r="D4202">
            <v>13.23</v>
          </cell>
          <cell r="E4202">
            <v>7.35</v>
          </cell>
          <cell r="H4202">
            <v>45467</v>
          </cell>
          <cell r="I4202">
            <v>0.54888888888888887</v>
          </cell>
          <cell r="J4202">
            <v>29.786666666666665</v>
          </cell>
        </row>
        <row r="4203">
          <cell r="B4203">
            <v>13.08</v>
          </cell>
          <cell r="C4203">
            <v>23.91</v>
          </cell>
          <cell r="D4203">
            <v>12.79</v>
          </cell>
          <cell r="E4203">
            <v>8.1300000000000008</v>
          </cell>
          <cell r="H4203">
            <v>45467</v>
          </cell>
          <cell r="I4203">
            <v>0.54888888888888887</v>
          </cell>
          <cell r="J4203">
            <v>29.677777777777781</v>
          </cell>
        </row>
        <row r="4204">
          <cell r="B4204">
            <v>11.58</v>
          </cell>
          <cell r="C4204">
            <v>21.36</v>
          </cell>
          <cell r="D4204">
            <v>12.88</v>
          </cell>
          <cell r="E4204">
            <v>7.88</v>
          </cell>
          <cell r="H4204">
            <v>45467</v>
          </cell>
          <cell r="I4204">
            <v>0.54666666666666663</v>
          </cell>
          <cell r="J4204">
            <v>29.723333333333333</v>
          </cell>
        </row>
        <row r="4205">
          <cell r="B4205">
            <v>12.38</v>
          </cell>
          <cell r="C4205">
            <v>21.41</v>
          </cell>
          <cell r="D4205">
            <v>13.33</v>
          </cell>
          <cell r="E4205">
            <v>8.14</v>
          </cell>
          <cell r="H4205">
            <v>45467</v>
          </cell>
          <cell r="I4205">
            <v>0.54555555555555557</v>
          </cell>
          <cell r="J4205">
            <v>30.077777777777776</v>
          </cell>
        </row>
        <row r="4206">
          <cell r="B4206">
            <v>12.62</v>
          </cell>
          <cell r="C4206">
            <v>22.91</v>
          </cell>
          <cell r="D4206">
            <v>13.21</v>
          </cell>
          <cell r="E4206">
            <v>7.9</v>
          </cell>
          <cell r="H4206">
            <v>45467</v>
          </cell>
          <cell r="I4206">
            <v>0.5411111111111111</v>
          </cell>
          <cell r="J4206">
            <v>30.506666666666661</v>
          </cell>
        </row>
        <row r="4207">
          <cell r="B4207">
            <v>12.18</v>
          </cell>
          <cell r="C4207">
            <v>24.8</v>
          </cell>
          <cell r="D4207">
            <v>13.51</v>
          </cell>
          <cell r="E4207">
            <v>7.87</v>
          </cell>
          <cell r="H4207">
            <v>45467</v>
          </cell>
          <cell r="I4207">
            <v>0.53555555555555556</v>
          </cell>
          <cell r="J4207">
            <v>30.940000000000005</v>
          </cell>
        </row>
        <row r="4208">
          <cell r="B4208">
            <v>12.95</v>
          </cell>
          <cell r="C4208">
            <v>31.59</v>
          </cell>
          <cell r="D4208">
            <v>13.75</v>
          </cell>
          <cell r="E4208">
            <v>8</v>
          </cell>
          <cell r="H4208">
            <v>45467</v>
          </cell>
          <cell r="I4208">
            <v>0.54</v>
          </cell>
          <cell r="J4208">
            <v>31.197777777777773</v>
          </cell>
        </row>
        <row r="4209">
          <cell r="B4209">
            <v>13.69</v>
          </cell>
          <cell r="C4209">
            <v>32.369999999999997</v>
          </cell>
          <cell r="D4209">
            <v>14.17</v>
          </cell>
          <cell r="E4209">
            <v>7.87</v>
          </cell>
          <cell r="H4209">
            <v>45467</v>
          </cell>
          <cell r="I4209">
            <v>0.54333333333333333</v>
          </cell>
          <cell r="J4209">
            <v>31.234444444444438</v>
          </cell>
        </row>
        <row r="4210">
          <cell r="B4210">
            <v>15.68</v>
          </cell>
          <cell r="C4210">
            <v>37.229999999999997</v>
          </cell>
          <cell r="D4210">
            <v>14.42</v>
          </cell>
          <cell r="E4210">
            <v>7.97</v>
          </cell>
          <cell r="H4210">
            <v>45467</v>
          </cell>
          <cell r="I4210">
            <v>0.5444444444444444</v>
          </cell>
          <cell r="J4210">
            <v>31.5</v>
          </cell>
        </row>
        <row r="4211">
          <cell r="B4211">
            <v>16.59</v>
          </cell>
          <cell r="C4211">
            <v>46.36</v>
          </cell>
          <cell r="D4211">
            <v>15.06</v>
          </cell>
          <cell r="E4211">
            <v>9.0399999999999991</v>
          </cell>
          <cell r="H4211">
            <v>45467</v>
          </cell>
          <cell r="I4211">
            <v>0.55000000000000004</v>
          </cell>
          <cell r="J4211">
            <v>32.193333333333335</v>
          </cell>
        </row>
        <row r="4212">
          <cell r="B4212">
            <v>17.059999999999999</v>
          </cell>
          <cell r="C4212">
            <v>46.17</v>
          </cell>
          <cell r="D4212">
            <v>15.65</v>
          </cell>
          <cell r="E4212">
            <v>8.89</v>
          </cell>
          <cell r="H4212">
            <v>45467</v>
          </cell>
          <cell r="I4212">
            <v>0.55444444444444452</v>
          </cell>
          <cell r="J4212">
            <v>32.500000000000007</v>
          </cell>
        </row>
        <row r="4213">
          <cell r="B4213">
            <v>16.72</v>
          </cell>
          <cell r="C4213">
            <v>48.25</v>
          </cell>
          <cell r="D4213">
            <v>14.95</v>
          </cell>
          <cell r="E4213">
            <v>8.6999999999999993</v>
          </cell>
          <cell r="H4213">
            <v>45467</v>
          </cell>
          <cell r="I4213">
            <v>0.56888888888888878</v>
          </cell>
          <cell r="J4213">
            <v>32.981111111111119</v>
          </cell>
        </row>
        <row r="4214">
          <cell r="B4214">
            <v>17.21</v>
          </cell>
          <cell r="C4214">
            <v>50.93</v>
          </cell>
          <cell r="D4214">
            <v>15.05</v>
          </cell>
          <cell r="E4214">
            <v>9.3000000000000007</v>
          </cell>
          <cell r="H4214">
            <v>45467</v>
          </cell>
          <cell r="I4214">
            <v>0.57333333333333325</v>
          </cell>
          <cell r="J4214">
            <v>33.245555555555555</v>
          </cell>
        </row>
        <row r="4215">
          <cell r="B4215">
            <v>17.79</v>
          </cell>
          <cell r="C4215">
            <v>49.96</v>
          </cell>
          <cell r="D4215">
            <v>15.15</v>
          </cell>
          <cell r="E4215">
            <v>8.91</v>
          </cell>
          <cell r="H4215">
            <v>45467</v>
          </cell>
          <cell r="I4215">
            <v>0.57444444444444442</v>
          </cell>
          <cell r="J4215">
            <v>33.861111111111114</v>
          </cell>
        </row>
        <row r="4216">
          <cell r="B4216">
            <v>16.03</v>
          </cell>
          <cell r="C4216">
            <v>53.05</v>
          </cell>
          <cell r="D4216">
            <v>13.29</v>
          </cell>
          <cell r="E4216">
            <v>10.52</v>
          </cell>
          <cell r="H4216">
            <v>45467</v>
          </cell>
          <cell r="I4216">
            <v>0.57333333333333336</v>
          </cell>
          <cell r="J4216">
            <v>34.283333333333331</v>
          </cell>
        </row>
        <row r="4217">
          <cell r="B4217">
            <v>15.63</v>
          </cell>
          <cell r="C4217">
            <v>53.83</v>
          </cell>
          <cell r="D4217">
            <v>15.07</v>
          </cell>
          <cell r="E4217">
            <v>9.77</v>
          </cell>
          <cell r="H4217">
            <v>45467</v>
          </cell>
          <cell r="I4217">
            <v>0.57000000000000006</v>
          </cell>
          <cell r="J4217">
            <v>35.05555555555555</v>
          </cell>
        </row>
        <row r="4218">
          <cell r="B4218">
            <v>16.920000000000002</v>
          </cell>
          <cell r="C4218">
            <v>53.95</v>
          </cell>
          <cell r="D4218">
            <v>15.29</v>
          </cell>
          <cell r="E4218">
            <v>9.89</v>
          </cell>
          <cell r="H4218">
            <v>45467</v>
          </cell>
          <cell r="I4218">
            <v>0.57444444444444442</v>
          </cell>
          <cell r="J4218">
            <v>35.864444444444445</v>
          </cell>
        </row>
        <row r="4219">
          <cell r="B4219">
            <v>18.12</v>
          </cell>
          <cell r="C4219">
            <v>53.63</v>
          </cell>
          <cell r="D4219">
            <v>15.25</v>
          </cell>
          <cell r="E4219">
            <v>9.5</v>
          </cell>
          <cell r="H4219">
            <v>45467</v>
          </cell>
          <cell r="I4219">
            <v>0.58777777777777773</v>
          </cell>
          <cell r="J4219">
            <v>36.141111111111108</v>
          </cell>
        </row>
        <row r="4220">
          <cell r="B4220">
            <v>19.350000000000001</v>
          </cell>
          <cell r="C4220">
            <v>56.39</v>
          </cell>
          <cell r="D4220">
            <v>15.27</v>
          </cell>
          <cell r="E4220">
            <v>9.26</v>
          </cell>
          <cell r="H4220">
            <v>45467</v>
          </cell>
          <cell r="I4220">
            <v>0.59777777777777785</v>
          </cell>
          <cell r="J4220">
            <v>35.902222222222221</v>
          </cell>
        </row>
        <row r="4221">
          <cell r="B4221">
            <v>17.489999999999998</v>
          </cell>
          <cell r="C4221">
            <v>51.7</v>
          </cell>
          <cell r="D4221">
            <v>15.75</v>
          </cell>
          <cell r="E4221">
            <v>9.0399999999999991</v>
          </cell>
          <cell r="H4221">
            <v>45467</v>
          </cell>
          <cell r="I4221">
            <v>0.61111111111111116</v>
          </cell>
          <cell r="J4221">
            <v>35.762222222222221</v>
          </cell>
        </row>
        <row r="4222">
          <cell r="B4222">
            <v>17.29</v>
          </cell>
          <cell r="C4222">
            <v>51.79</v>
          </cell>
          <cell r="D4222">
            <v>15.13</v>
          </cell>
          <cell r="E4222">
            <v>8.7899999999999991</v>
          </cell>
          <cell r="H4222">
            <v>45467</v>
          </cell>
          <cell r="I4222">
            <v>0.61999999999999988</v>
          </cell>
          <cell r="J4222">
            <v>35.272222222222226</v>
          </cell>
        </row>
        <row r="4223">
          <cell r="B4223">
            <v>17.79</v>
          </cell>
          <cell r="C4223">
            <v>47.43</v>
          </cell>
          <cell r="D4223">
            <v>14.66</v>
          </cell>
          <cell r="E4223">
            <v>8.56</v>
          </cell>
          <cell r="H4223">
            <v>45467</v>
          </cell>
          <cell r="I4223">
            <v>0.63222222222222213</v>
          </cell>
          <cell r="J4223">
            <v>34.76</v>
          </cell>
        </row>
        <row r="4224">
          <cell r="B4224">
            <v>17.53</v>
          </cell>
          <cell r="C4224">
            <v>42.61</v>
          </cell>
          <cell r="D4224">
            <v>14.73</v>
          </cell>
          <cell r="E4224">
            <v>8.86</v>
          </cell>
          <cell r="H4224">
            <v>45467</v>
          </cell>
          <cell r="I4224">
            <v>0.64888888888888896</v>
          </cell>
          <cell r="J4224">
            <v>33.710000000000008</v>
          </cell>
        </row>
        <row r="4225">
          <cell r="B4225">
            <v>16.41</v>
          </cell>
          <cell r="C4225">
            <v>38.06</v>
          </cell>
          <cell r="D4225">
            <v>14.22</v>
          </cell>
          <cell r="E4225">
            <v>9.1999999999999993</v>
          </cell>
          <cell r="H4225">
            <v>45467</v>
          </cell>
          <cell r="I4225">
            <v>0.66555555555555557</v>
          </cell>
          <cell r="J4225">
            <v>32.994444444444447</v>
          </cell>
        </row>
        <row r="4226">
          <cell r="B4226">
            <v>16.22</v>
          </cell>
          <cell r="C4226">
            <v>36.19</v>
          </cell>
          <cell r="D4226">
            <v>13.89</v>
          </cell>
          <cell r="E4226">
            <v>9.23</v>
          </cell>
          <cell r="H4226">
            <v>45468</v>
          </cell>
          <cell r="I4226">
            <v>0.67888888888888888</v>
          </cell>
          <cell r="J4226">
            <v>32.058888888888887</v>
          </cell>
        </row>
        <row r="4227">
          <cell r="B4227">
            <v>19.46</v>
          </cell>
          <cell r="C4227">
            <v>42.15</v>
          </cell>
          <cell r="D4227">
            <v>13.89</v>
          </cell>
          <cell r="E4227">
            <v>8.9</v>
          </cell>
          <cell r="H4227">
            <v>45468</v>
          </cell>
          <cell r="I4227">
            <v>0.68111111111111122</v>
          </cell>
          <cell r="J4227">
            <v>31.301111111111108</v>
          </cell>
        </row>
        <row r="4228">
          <cell r="B4228">
            <v>21.39</v>
          </cell>
          <cell r="C4228">
            <v>46.35</v>
          </cell>
          <cell r="D4228">
            <v>13.46</v>
          </cell>
          <cell r="E4228">
            <v>8.4499999999999993</v>
          </cell>
          <cell r="H4228">
            <v>45468</v>
          </cell>
          <cell r="I4228">
            <v>0.67555555555555558</v>
          </cell>
          <cell r="J4228">
            <v>30.716666666666672</v>
          </cell>
        </row>
        <row r="4229">
          <cell r="B4229">
            <v>17.13</v>
          </cell>
          <cell r="C4229">
            <v>38.840000000000003</v>
          </cell>
          <cell r="D4229">
            <v>13.86</v>
          </cell>
          <cell r="E4229">
            <v>8.2200000000000006</v>
          </cell>
          <cell r="H4229">
            <v>45468</v>
          </cell>
          <cell r="I4229">
            <v>0.66888888888888887</v>
          </cell>
          <cell r="J4229">
            <v>30.28777777777778</v>
          </cell>
        </row>
        <row r="4230">
          <cell r="B4230">
            <v>15.21</v>
          </cell>
          <cell r="C4230">
            <v>35.950000000000003</v>
          </cell>
          <cell r="D4230">
            <v>13.96</v>
          </cell>
          <cell r="E4230">
            <v>8.18</v>
          </cell>
          <cell r="H4230">
            <v>45468</v>
          </cell>
          <cell r="I4230">
            <v>0.65999999999999992</v>
          </cell>
          <cell r="J4230">
            <v>29.992222222222225</v>
          </cell>
        </row>
        <row r="4231">
          <cell r="B4231">
            <v>16.16</v>
          </cell>
          <cell r="C4231">
            <v>37.21</v>
          </cell>
          <cell r="D4231">
            <v>14.43</v>
          </cell>
          <cell r="E4231">
            <v>8.15</v>
          </cell>
          <cell r="H4231">
            <v>45468</v>
          </cell>
          <cell r="I4231">
            <v>0.65111111111111097</v>
          </cell>
          <cell r="J4231">
            <v>29.738888888888887</v>
          </cell>
        </row>
        <row r="4232">
          <cell r="B4232">
            <v>16.670000000000002</v>
          </cell>
          <cell r="C4232">
            <v>38.24</v>
          </cell>
          <cell r="D4232">
            <v>14.12</v>
          </cell>
          <cell r="E4232">
            <v>8.34</v>
          </cell>
          <cell r="H4232">
            <v>45468</v>
          </cell>
          <cell r="I4232">
            <v>0.64555555555555555</v>
          </cell>
          <cell r="J4232">
            <v>29.434444444444441</v>
          </cell>
        </row>
        <row r="4233">
          <cell r="B4233">
            <v>17.34</v>
          </cell>
          <cell r="C4233">
            <v>40.21</v>
          </cell>
          <cell r="D4233">
            <v>14.37</v>
          </cell>
          <cell r="E4233">
            <v>8.5299999999999994</v>
          </cell>
          <cell r="H4233">
            <v>45468</v>
          </cell>
          <cell r="I4233">
            <v>0.64111111111111108</v>
          </cell>
          <cell r="J4233">
            <v>29.278888888888886</v>
          </cell>
        </row>
        <row r="4234">
          <cell r="B4234">
            <v>18.32</v>
          </cell>
          <cell r="C4234">
            <v>41.39</v>
          </cell>
          <cell r="D4234">
            <v>15.14</v>
          </cell>
          <cell r="E4234">
            <v>8.4700000000000006</v>
          </cell>
          <cell r="H4234">
            <v>45468</v>
          </cell>
          <cell r="I4234">
            <v>0.64111111111111119</v>
          </cell>
          <cell r="J4234">
            <v>29.162222222222219</v>
          </cell>
        </row>
        <row r="4235">
          <cell r="B4235">
            <v>17.12</v>
          </cell>
          <cell r="C4235">
            <v>42.68</v>
          </cell>
          <cell r="D4235">
            <v>15.47</v>
          </cell>
          <cell r="E4235">
            <v>8.42</v>
          </cell>
          <cell r="H4235">
            <v>45468</v>
          </cell>
          <cell r="I4235">
            <v>0.63777777777777789</v>
          </cell>
          <cell r="J4235">
            <v>29.202222222222222</v>
          </cell>
        </row>
        <row r="4236">
          <cell r="B4236">
            <v>18.600000000000001</v>
          </cell>
          <cell r="C4236">
            <v>51.07</v>
          </cell>
          <cell r="D4236">
            <v>15.28</v>
          </cell>
          <cell r="E4236">
            <v>8.86</v>
          </cell>
          <cell r="H4236">
            <v>45468</v>
          </cell>
          <cell r="I4236">
            <v>0.6511111111111112</v>
          </cell>
          <cell r="J4236">
            <v>29.271111111111111</v>
          </cell>
        </row>
        <row r="4237">
          <cell r="B4237">
            <v>18.55</v>
          </cell>
          <cell r="C4237">
            <v>53.3</v>
          </cell>
          <cell r="D4237">
            <v>15.49</v>
          </cell>
          <cell r="E4237">
            <v>8.7100000000000009</v>
          </cell>
          <cell r="H4237">
            <v>45468</v>
          </cell>
          <cell r="I4237">
            <v>0.6511111111111112</v>
          </cell>
          <cell r="J4237">
            <v>29.615555555555559</v>
          </cell>
        </row>
        <row r="4238">
          <cell r="B4238">
            <v>18.57</v>
          </cell>
          <cell r="C4238">
            <v>51.9</v>
          </cell>
          <cell r="D4238">
            <v>16</v>
          </cell>
          <cell r="E4238">
            <v>8.42</v>
          </cell>
          <cell r="H4238">
            <v>45468</v>
          </cell>
          <cell r="I4238">
            <v>0.64999999999999991</v>
          </cell>
          <cell r="J4238">
            <v>30.031111111111109</v>
          </cell>
        </row>
        <row r="4239">
          <cell r="B4239">
            <v>18.82</v>
          </cell>
          <cell r="C4239">
            <v>55.86</v>
          </cell>
          <cell r="D4239">
            <v>14.79</v>
          </cell>
          <cell r="E4239">
            <v>8.66</v>
          </cell>
          <cell r="H4239">
            <v>45468</v>
          </cell>
          <cell r="I4239">
            <v>0.65333333333333332</v>
          </cell>
          <cell r="J4239">
            <v>30.548888888888889</v>
          </cell>
        </row>
        <row r="4240">
          <cell r="B4240">
            <v>18.87</v>
          </cell>
          <cell r="C4240">
            <v>59.12</v>
          </cell>
          <cell r="D4240">
            <v>15.01</v>
          </cell>
          <cell r="E4240">
            <v>8.5</v>
          </cell>
          <cell r="H4240">
            <v>45468</v>
          </cell>
          <cell r="I4240">
            <v>0.65222222222222215</v>
          </cell>
          <cell r="J4240">
            <v>31.067777777777774</v>
          </cell>
        </row>
        <row r="4241">
          <cell r="B4241">
            <v>19.96</v>
          </cell>
          <cell r="C4241">
            <v>57.91</v>
          </cell>
          <cell r="D4241">
            <v>15.08</v>
          </cell>
          <cell r="E4241">
            <v>9.0299999999999994</v>
          </cell>
          <cell r="H4241">
            <v>45468</v>
          </cell>
          <cell r="I4241">
            <v>0.64777777777777767</v>
          </cell>
          <cell r="J4241">
            <v>31.461111111111109</v>
          </cell>
        </row>
        <row r="4242">
          <cell r="B4242">
            <v>19.170000000000002</v>
          </cell>
          <cell r="C4242">
            <v>54.22</v>
          </cell>
          <cell r="D4242">
            <v>15.39</v>
          </cell>
          <cell r="E4242">
            <v>9.36</v>
          </cell>
          <cell r="H4242">
            <v>45468</v>
          </cell>
          <cell r="I4242">
            <v>0.64111111111111108</v>
          </cell>
          <cell r="J4242">
            <v>31.784444444444446</v>
          </cell>
        </row>
        <row r="4243">
          <cell r="B4243">
            <v>18.79</v>
          </cell>
          <cell r="C4243">
            <v>54.04</v>
          </cell>
          <cell r="D4243">
            <v>15.18</v>
          </cell>
          <cell r="E4243">
            <v>9.73</v>
          </cell>
          <cell r="H4243">
            <v>45468</v>
          </cell>
          <cell r="I4243">
            <v>0.6333333333333333</v>
          </cell>
          <cell r="J4243">
            <v>31.806666666666665</v>
          </cell>
        </row>
        <row r="4244">
          <cell r="B4244">
            <v>20.78</v>
          </cell>
          <cell r="C4244">
            <v>55.8</v>
          </cell>
          <cell r="D4244">
            <v>15.5</v>
          </cell>
          <cell r="E4244">
            <v>9.7200000000000006</v>
          </cell>
          <cell r="H4244">
            <v>45468</v>
          </cell>
          <cell r="I4244">
            <v>0.6333333333333333</v>
          </cell>
          <cell r="J4244">
            <v>31.565555555555559</v>
          </cell>
        </row>
        <row r="4245">
          <cell r="B4245">
            <v>22.42</v>
          </cell>
          <cell r="C4245">
            <v>60.94</v>
          </cell>
          <cell r="D4245">
            <v>15.32</v>
          </cell>
          <cell r="E4245">
            <v>9.0299999999999994</v>
          </cell>
          <cell r="H4245">
            <v>45468</v>
          </cell>
          <cell r="I4245">
            <v>0.62777777777777777</v>
          </cell>
          <cell r="J4245">
            <v>31.209999999999997</v>
          </cell>
        </row>
        <row r="4246">
          <cell r="B4246">
            <v>23.02</v>
          </cell>
          <cell r="C4246">
            <v>64.58</v>
          </cell>
          <cell r="D4246">
            <v>15.44</v>
          </cell>
          <cell r="E4246">
            <v>8.6300000000000008</v>
          </cell>
          <cell r="H4246">
            <v>45468</v>
          </cell>
          <cell r="I4246">
            <v>0.63111111111111118</v>
          </cell>
          <cell r="J4246">
            <v>30.544444444444448</v>
          </cell>
        </row>
        <row r="4247">
          <cell r="B4247">
            <v>18.45</v>
          </cell>
          <cell r="C4247">
            <v>44.19</v>
          </cell>
          <cell r="D4247">
            <v>15.45</v>
          </cell>
          <cell r="E4247">
            <v>8.9</v>
          </cell>
          <cell r="H4247">
            <v>45468</v>
          </cell>
          <cell r="I4247">
            <v>0.63777777777777778</v>
          </cell>
          <cell r="J4247">
            <v>29.795555555555559</v>
          </cell>
        </row>
        <row r="4248">
          <cell r="B4248">
            <v>22.1</v>
          </cell>
          <cell r="C4248">
            <v>45.74</v>
          </cell>
          <cell r="D4248">
            <v>14.77</v>
          </cell>
          <cell r="E4248">
            <v>8.65</v>
          </cell>
          <cell r="H4248">
            <v>45468</v>
          </cell>
          <cell r="I4248">
            <v>0.63666666666666671</v>
          </cell>
          <cell r="J4248">
            <v>29.068888888888889</v>
          </cell>
        </row>
        <row r="4249">
          <cell r="B4249">
            <v>22.55</v>
          </cell>
          <cell r="C4249">
            <v>43.58</v>
          </cell>
          <cell r="D4249">
            <v>14.15</v>
          </cell>
          <cell r="E4249">
            <v>8.66</v>
          </cell>
          <cell r="H4249">
            <v>45468</v>
          </cell>
          <cell r="I4249">
            <v>0.63222222222222224</v>
          </cell>
          <cell r="J4249">
            <v>28.488888888888894</v>
          </cell>
        </row>
        <row r="4250">
          <cell r="B4250">
            <v>14.99</v>
          </cell>
          <cell r="C4250">
            <v>34.68</v>
          </cell>
          <cell r="D4250">
            <v>13.84</v>
          </cell>
          <cell r="E4250">
            <v>9.09</v>
          </cell>
          <cell r="H4250">
            <v>45469</v>
          </cell>
          <cell r="I4250">
            <v>0.63444444444444448</v>
          </cell>
          <cell r="J4250">
            <v>28.254444444444445</v>
          </cell>
        </row>
        <row r="4251">
          <cell r="B4251">
            <v>20.97</v>
          </cell>
          <cell r="C4251">
            <v>39.19</v>
          </cell>
          <cell r="D4251">
            <v>14.15</v>
          </cell>
          <cell r="E4251">
            <v>8.86</v>
          </cell>
          <cell r="H4251">
            <v>45469</v>
          </cell>
          <cell r="I4251">
            <v>0.63000000000000012</v>
          </cell>
          <cell r="J4251">
            <v>28.061111111111114</v>
          </cell>
        </row>
        <row r="4252">
          <cell r="B4252">
            <v>20.69</v>
          </cell>
          <cell r="C4252">
            <v>38.51</v>
          </cell>
          <cell r="D4252">
            <v>13.98</v>
          </cell>
          <cell r="E4252">
            <v>8.6199999999999992</v>
          </cell>
          <cell r="H4252">
            <v>45469</v>
          </cell>
          <cell r="I4252">
            <v>0.62666666666666671</v>
          </cell>
          <cell r="J4252">
            <v>28.081111111111113</v>
          </cell>
        </row>
        <row r="4253">
          <cell r="B4253">
            <v>13.42</v>
          </cell>
          <cell r="C4253">
            <v>31.34</v>
          </cell>
          <cell r="D4253">
            <v>14.52</v>
          </cell>
          <cell r="E4253">
            <v>8.83</v>
          </cell>
          <cell r="H4253">
            <v>45469</v>
          </cell>
          <cell r="I4253">
            <v>0.62333333333333341</v>
          </cell>
          <cell r="J4253">
            <v>28.154444444444451</v>
          </cell>
        </row>
        <row r="4254">
          <cell r="B4254">
            <v>13.3</v>
          </cell>
          <cell r="C4254">
            <v>31.08</v>
          </cell>
          <cell r="D4254">
            <v>14.58</v>
          </cell>
          <cell r="E4254">
            <v>8.7100000000000009</v>
          </cell>
          <cell r="H4254">
            <v>45469</v>
          </cell>
          <cell r="I4254">
            <v>0.6166666666666667</v>
          </cell>
          <cell r="J4254">
            <v>28.33111111111111</v>
          </cell>
        </row>
        <row r="4255">
          <cell r="B4255">
            <v>13.46</v>
          </cell>
          <cell r="C4255">
            <v>29.26</v>
          </cell>
          <cell r="D4255">
            <v>14.51</v>
          </cell>
          <cell r="E4255">
            <v>8.7100000000000009</v>
          </cell>
          <cell r="H4255">
            <v>45469</v>
          </cell>
          <cell r="I4255">
            <v>0.6166666666666667</v>
          </cell>
          <cell r="J4255">
            <v>28.537777777777777</v>
          </cell>
        </row>
        <row r="4256">
          <cell r="B4256">
            <v>18.54</v>
          </cell>
          <cell r="C4256">
            <v>33.049999999999997</v>
          </cell>
          <cell r="D4256">
            <v>14.61</v>
          </cell>
          <cell r="E4256">
            <v>8.65</v>
          </cell>
          <cell r="H4256">
            <v>45469</v>
          </cell>
          <cell r="I4256">
            <v>0.6133333333333334</v>
          </cell>
          <cell r="J4256">
            <v>28.577777777777776</v>
          </cell>
        </row>
        <row r="4257">
          <cell r="B4257">
            <v>19.649999999999999</v>
          </cell>
          <cell r="C4257">
            <v>37.74</v>
          </cell>
          <cell r="D4257">
            <v>14.61</v>
          </cell>
          <cell r="E4257">
            <v>8.89</v>
          </cell>
          <cell r="H4257">
            <v>45469</v>
          </cell>
          <cell r="I4257">
            <v>0.62222222222222223</v>
          </cell>
          <cell r="J4257">
            <v>28.527777777777779</v>
          </cell>
        </row>
        <row r="4258">
          <cell r="B4258">
            <v>16.059999999999999</v>
          </cell>
          <cell r="C4258">
            <v>40.119999999999997</v>
          </cell>
          <cell r="D4258">
            <v>15.12</v>
          </cell>
          <cell r="E4258">
            <v>9.06</v>
          </cell>
          <cell r="H4258">
            <v>45469</v>
          </cell>
          <cell r="I4258">
            <v>0.63444444444444448</v>
          </cell>
          <cell r="J4258">
            <v>28.44222222222222</v>
          </cell>
        </row>
        <row r="4259">
          <cell r="B4259">
            <v>16.010000000000002</v>
          </cell>
          <cell r="C4259">
            <v>39.340000000000003</v>
          </cell>
          <cell r="D4259">
            <v>15.34</v>
          </cell>
          <cell r="E4259">
            <v>8.52</v>
          </cell>
          <cell r="H4259">
            <v>45469</v>
          </cell>
          <cell r="I4259">
            <v>0.6366666666666666</v>
          </cell>
          <cell r="J4259">
            <v>28.284444444444446</v>
          </cell>
        </row>
        <row r="4260">
          <cell r="B4260">
            <v>16.350000000000001</v>
          </cell>
          <cell r="C4260">
            <v>40.97</v>
          </cell>
          <cell r="D4260">
            <v>15.1</v>
          </cell>
          <cell r="E4260">
            <v>8.61</v>
          </cell>
          <cell r="H4260">
            <v>45469</v>
          </cell>
          <cell r="I4260">
            <v>0.64222222222222225</v>
          </cell>
          <cell r="J4260">
            <v>28.376666666666665</v>
          </cell>
        </row>
        <row r="4261">
          <cell r="B4261">
            <v>15.72</v>
          </cell>
          <cell r="C4261">
            <v>44.48</v>
          </cell>
          <cell r="D4261">
            <v>15.43</v>
          </cell>
          <cell r="E4261">
            <v>8.41</v>
          </cell>
          <cell r="H4261">
            <v>45469</v>
          </cell>
          <cell r="I4261">
            <v>0.64</v>
          </cell>
          <cell r="J4261">
            <v>28.728888888888889</v>
          </cell>
        </row>
        <row r="4262">
          <cell r="B4262">
            <v>18.809999999999999</v>
          </cell>
          <cell r="C4262">
            <v>48.79</v>
          </cell>
          <cell r="D4262">
            <v>14.97</v>
          </cell>
          <cell r="E4262">
            <v>8.18</v>
          </cell>
          <cell r="H4262">
            <v>45469</v>
          </cell>
          <cell r="I4262">
            <v>0.63777777777777767</v>
          </cell>
          <cell r="J4262">
            <v>29.542222222222222</v>
          </cell>
        </row>
        <row r="4263">
          <cell r="B4263">
            <v>16.41</v>
          </cell>
          <cell r="C4263">
            <v>49.95</v>
          </cell>
          <cell r="D4263">
            <v>15.29</v>
          </cell>
          <cell r="E4263">
            <v>8.17</v>
          </cell>
          <cell r="H4263">
            <v>45469</v>
          </cell>
          <cell r="I4263">
            <v>0.63666666666666671</v>
          </cell>
          <cell r="J4263">
            <v>30.27333333333333</v>
          </cell>
        </row>
        <row r="4264">
          <cell r="B4264">
            <v>15.41</v>
          </cell>
          <cell r="C4264">
            <v>42.51</v>
          </cell>
          <cell r="D4264">
            <v>15.24</v>
          </cell>
          <cell r="E4264">
            <v>8.33</v>
          </cell>
          <cell r="H4264">
            <v>45469</v>
          </cell>
          <cell r="I4264">
            <v>0.63111111111111107</v>
          </cell>
          <cell r="J4264">
            <v>30.608888888888892</v>
          </cell>
        </row>
        <row r="4265">
          <cell r="B4265">
            <v>17.72</v>
          </cell>
          <cell r="C4265">
            <v>46.01</v>
          </cell>
          <cell r="D4265">
            <v>15.37</v>
          </cell>
          <cell r="E4265">
            <v>8.6</v>
          </cell>
          <cell r="H4265">
            <v>45469</v>
          </cell>
          <cell r="I4265">
            <v>0.6366666666666666</v>
          </cell>
          <cell r="J4265">
            <v>31.760000000000005</v>
          </cell>
        </row>
        <row r="4266">
          <cell r="B4266">
            <v>19.329999999999998</v>
          </cell>
          <cell r="C4266">
            <v>47.12</v>
          </cell>
          <cell r="D4266">
            <v>14.42</v>
          </cell>
          <cell r="E4266">
            <v>8.7100000000000009</v>
          </cell>
          <cell r="H4266">
            <v>45469</v>
          </cell>
          <cell r="I4266">
            <v>0.63111111111111107</v>
          </cell>
          <cell r="J4266">
            <v>32.24111111111111</v>
          </cell>
        </row>
        <row r="4267">
          <cell r="B4267">
            <v>19.329999999999998</v>
          </cell>
          <cell r="C4267">
            <v>50.32</v>
          </cell>
          <cell r="D4267">
            <v>14.96</v>
          </cell>
          <cell r="E4267">
            <v>8.83</v>
          </cell>
          <cell r="H4267">
            <v>45469</v>
          </cell>
          <cell r="I4267">
            <v>0.62888888888888894</v>
          </cell>
          <cell r="J4267">
            <v>32.277777777777786</v>
          </cell>
        </row>
        <row r="4268">
          <cell r="B4268">
            <v>22.45</v>
          </cell>
          <cell r="C4268">
            <v>68.88</v>
          </cell>
          <cell r="D4268">
            <v>15.34</v>
          </cell>
          <cell r="E4268">
            <v>8.98</v>
          </cell>
          <cell r="H4268">
            <v>45469</v>
          </cell>
          <cell r="I4268">
            <v>0.6366666666666666</v>
          </cell>
          <cell r="J4268">
            <v>32.074444444444445</v>
          </cell>
        </row>
        <row r="4269">
          <cell r="B4269">
            <v>21.89</v>
          </cell>
          <cell r="C4269">
            <v>56.94</v>
          </cell>
          <cell r="D4269">
            <v>15.51</v>
          </cell>
          <cell r="E4269">
            <v>8.93</v>
          </cell>
          <cell r="H4269">
            <v>45469</v>
          </cell>
          <cell r="I4269">
            <v>0.64111111111111108</v>
          </cell>
          <cell r="J4269">
            <v>31.442222222222224</v>
          </cell>
        </row>
        <row r="4270">
          <cell r="B4270">
            <v>22.74</v>
          </cell>
          <cell r="C4270">
            <v>54.93</v>
          </cell>
          <cell r="D4270">
            <v>15.27</v>
          </cell>
          <cell r="E4270">
            <v>9.2100000000000009</v>
          </cell>
          <cell r="H4270">
            <v>45469</v>
          </cell>
          <cell r="I4270">
            <v>0.64777777777777779</v>
          </cell>
          <cell r="J4270">
            <v>30.397777777777776</v>
          </cell>
        </row>
        <row r="4271">
          <cell r="B4271">
            <v>25.05</v>
          </cell>
          <cell r="C4271">
            <v>61.36</v>
          </cell>
          <cell r="D4271">
            <v>14.75</v>
          </cell>
          <cell r="E4271">
            <v>9.66</v>
          </cell>
          <cell r="H4271">
            <v>45469</v>
          </cell>
          <cell r="I4271">
            <v>0.65333333333333343</v>
          </cell>
          <cell r="J4271">
            <v>29.029999999999998</v>
          </cell>
        </row>
        <row r="4272">
          <cell r="B4272">
            <v>16.23</v>
          </cell>
          <cell r="C4272">
            <v>41.91</v>
          </cell>
          <cell r="D4272">
            <v>14.46</v>
          </cell>
          <cell r="E4272">
            <v>9.74</v>
          </cell>
          <cell r="H4272">
            <v>45469</v>
          </cell>
          <cell r="I4272">
            <v>0.66222222222222227</v>
          </cell>
          <cell r="J4272">
            <v>27.985555555555557</v>
          </cell>
        </row>
        <row r="4273">
          <cell r="B4273">
            <v>15.26</v>
          </cell>
          <cell r="C4273">
            <v>37.26</v>
          </cell>
          <cell r="D4273">
            <v>14.34</v>
          </cell>
          <cell r="E4273">
            <v>9.3000000000000007</v>
          </cell>
          <cell r="H4273">
            <v>45469</v>
          </cell>
          <cell r="I4273">
            <v>0.66444444444444462</v>
          </cell>
          <cell r="J4273">
            <v>27.39</v>
          </cell>
        </row>
        <row r="4274">
          <cell r="B4274">
            <v>14.28</v>
          </cell>
          <cell r="C4274">
            <v>35.89</v>
          </cell>
          <cell r="D4274">
            <v>13.86</v>
          </cell>
          <cell r="E4274">
            <v>9.11</v>
          </cell>
          <cell r="H4274">
            <v>45470</v>
          </cell>
          <cell r="I4274">
            <v>0.65888888888888886</v>
          </cell>
          <cell r="J4274">
            <v>26.006666666666668</v>
          </cell>
        </row>
        <row r="4275">
          <cell r="B4275">
            <v>16.23</v>
          </cell>
          <cell r="C4275">
            <v>34.840000000000003</v>
          </cell>
          <cell r="D4275">
            <v>13.33</v>
          </cell>
          <cell r="E4275">
            <v>9.0299999999999994</v>
          </cell>
          <cell r="H4275">
            <v>45470</v>
          </cell>
          <cell r="I4275">
            <v>0.6544444444444445</v>
          </cell>
          <cell r="J4275">
            <v>25.318888888888889</v>
          </cell>
        </row>
        <row r="4276">
          <cell r="B4276">
            <v>16.350000000000001</v>
          </cell>
          <cell r="C4276">
            <v>35.96</v>
          </cell>
          <cell r="D4276">
            <v>13.36</v>
          </cell>
          <cell r="E4276">
            <v>8.8800000000000008</v>
          </cell>
          <cell r="H4276">
            <v>45470</v>
          </cell>
          <cell r="I4276">
            <v>0.64444444444444438</v>
          </cell>
          <cell r="J4276">
            <v>25.063333333333333</v>
          </cell>
        </row>
        <row r="4277">
          <cell r="B4277">
            <v>12.82</v>
          </cell>
          <cell r="C4277">
            <v>31.44</v>
          </cell>
          <cell r="D4277">
            <v>13.57</v>
          </cell>
          <cell r="E4277">
            <v>9.31</v>
          </cell>
          <cell r="H4277">
            <v>45470</v>
          </cell>
          <cell r="I4277">
            <v>0.6333333333333333</v>
          </cell>
          <cell r="J4277">
            <v>25.273333333333333</v>
          </cell>
        </row>
        <row r="4278">
          <cell r="B4278">
            <v>11.99</v>
          </cell>
          <cell r="C4278">
            <v>29.4</v>
          </cell>
          <cell r="D4278">
            <v>13.55</v>
          </cell>
          <cell r="E4278">
            <v>9.32</v>
          </cell>
          <cell r="H4278">
            <v>45470</v>
          </cell>
          <cell r="I4278">
            <v>0.62888888888888894</v>
          </cell>
          <cell r="J4278">
            <v>25.711111111111112</v>
          </cell>
        </row>
        <row r="4279">
          <cell r="B4279">
            <v>13.11</v>
          </cell>
          <cell r="C4279">
            <v>29.34</v>
          </cell>
          <cell r="D4279">
            <v>13.87</v>
          </cell>
          <cell r="E4279">
            <v>9.4</v>
          </cell>
          <cell r="H4279">
            <v>45470</v>
          </cell>
          <cell r="I4279">
            <v>0.62888888888888894</v>
          </cell>
          <cell r="J4279">
            <v>26.305555555555557</v>
          </cell>
        </row>
        <row r="4280">
          <cell r="B4280">
            <v>11.19</v>
          </cell>
          <cell r="C4280">
            <v>30.61</v>
          </cell>
          <cell r="D4280">
            <v>14.07</v>
          </cell>
          <cell r="E4280">
            <v>9.2899999999999991</v>
          </cell>
          <cell r="H4280">
            <v>45470</v>
          </cell>
          <cell r="I4280">
            <v>0.62888888888888894</v>
          </cell>
          <cell r="J4280">
            <v>26.684444444444445</v>
          </cell>
        </row>
        <row r="4281">
          <cell r="B4281">
            <v>11.98</v>
          </cell>
          <cell r="C4281">
            <v>33.71</v>
          </cell>
          <cell r="D4281">
            <v>14</v>
          </cell>
          <cell r="E4281">
            <v>9.11</v>
          </cell>
          <cell r="H4281">
            <v>45470</v>
          </cell>
          <cell r="I4281">
            <v>0.62333333333333341</v>
          </cell>
          <cell r="J4281">
            <v>26.711111111111109</v>
          </cell>
        </row>
        <row r="4282">
          <cell r="B4282">
            <v>12.37</v>
          </cell>
          <cell r="C4282">
            <v>34.71</v>
          </cell>
          <cell r="D4282">
            <v>14.05</v>
          </cell>
          <cell r="E4282">
            <v>9.25</v>
          </cell>
          <cell r="H4282">
            <v>45470</v>
          </cell>
          <cell r="I4282">
            <v>0.62555555555555542</v>
          </cell>
          <cell r="J4282">
            <v>26.616666666666664</v>
          </cell>
        </row>
        <row r="4283">
          <cell r="B4283">
            <v>14.9</v>
          </cell>
          <cell r="C4283">
            <v>38.369999999999997</v>
          </cell>
          <cell r="D4283">
            <v>14.25</v>
          </cell>
          <cell r="E4283">
            <v>9.32</v>
          </cell>
          <cell r="H4283">
            <v>45470</v>
          </cell>
          <cell r="I4283">
            <v>0.63</v>
          </cell>
          <cell r="J4283">
            <v>26.646666666666665</v>
          </cell>
        </row>
        <row r="4284">
          <cell r="B4284">
            <v>15.2</v>
          </cell>
          <cell r="C4284">
            <v>39.67</v>
          </cell>
          <cell r="D4284">
            <v>14.41</v>
          </cell>
          <cell r="E4284">
            <v>9.19</v>
          </cell>
          <cell r="H4284">
            <v>45470</v>
          </cell>
          <cell r="I4284">
            <v>0.63555555555555554</v>
          </cell>
          <cell r="J4284">
            <v>26.687777777777779</v>
          </cell>
        </row>
        <row r="4285">
          <cell r="B4285">
            <v>14.51</v>
          </cell>
          <cell r="C4285">
            <v>40.35</v>
          </cell>
          <cell r="D4285">
            <v>14.19</v>
          </cell>
          <cell r="E4285">
            <v>9.23</v>
          </cell>
          <cell r="H4285">
            <v>45470</v>
          </cell>
          <cell r="I4285">
            <v>0.64777777777777779</v>
          </cell>
          <cell r="J4285">
            <v>26.828888888888887</v>
          </cell>
        </row>
        <row r="4286">
          <cell r="B4286">
            <v>14.32</v>
          </cell>
          <cell r="C4286">
            <v>39.1</v>
          </cell>
          <cell r="D4286">
            <v>14.09</v>
          </cell>
          <cell r="E4286">
            <v>9.25</v>
          </cell>
          <cell r="H4286">
            <v>45470</v>
          </cell>
          <cell r="I4286">
            <v>0.65666666666666673</v>
          </cell>
          <cell r="J4286">
            <v>27.12</v>
          </cell>
        </row>
        <row r="4287">
          <cell r="B4287">
            <v>16.13</v>
          </cell>
          <cell r="C4287">
            <v>40.03</v>
          </cell>
          <cell r="D4287">
            <v>13.85</v>
          </cell>
          <cell r="E4287">
            <v>8.94</v>
          </cell>
          <cell r="H4287">
            <v>45470</v>
          </cell>
          <cell r="I4287">
            <v>0.6677777777777778</v>
          </cell>
          <cell r="J4287">
            <v>27.653333333333336</v>
          </cell>
        </row>
        <row r="4288">
          <cell r="B4288">
            <v>16.89</v>
          </cell>
          <cell r="C4288">
            <v>48.36</v>
          </cell>
          <cell r="D4288">
            <v>14.52</v>
          </cell>
          <cell r="E4288">
            <v>8.23</v>
          </cell>
          <cell r="H4288">
            <v>45470</v>
          </cell>
          <cell r="I4288">
            <v>0.67444444444444451</v>
          </cell>
          <cell r="J4288">
            <v>28.268888888888892</v>
          </cell>
        </row>
        <row r="4289">
          <cell r="B4289">
            <v>18.82</v>
          </cell>
          <cell r="C4289">
            <v>68.680000000000007</v>
          </cell>
          <cell r="D4289">
            <v>15.34</v>
          </cell>
          <cell r="E4289">
            <v>8.31</v>
          </cell>
          <cell r="H4289">
            <v>45470</v>
          </cell>
          <cell r="I4289">
            <v>0.68555555555555558</v>
          </cell>
          <cell r="J4289">
            <v>28.854444444444443</v>
          </cell>
        </row>
        <row r="4290">
          <cell r="B4290">
            <v>19.100000000000001</v>
          </cell>
          <cell r="C4290">
            <v>61.54</v>
          </cell>
          <cell r="D4290">
            <v>16.21</v>
          </cell>
          <cell r="E4290">
            <v>8.36</v>
          </cell>
          <cell r="H4290">
            <v>45470</v>
          </cell>
          <cell r="I4290">
            <v>0.69555555555555548</v>
          </cell>
          <cell r="J4290">
            <v>29.405555555555559</v>
          </cell>
        </row>
        <row r="4291">
          <cell r="B4291">
            <v>19.420000000000002</v>
          </cell>
          <cell r="C4291">
            <v>52.16</v>
          </cell>
          <cell r="D4291">
            <v>14.57</v>
          </cell>
          <cell r="E4291">
            <v>8.26</v>
          </cell>
          <cell r="H4291">
            <v>45470</v>
          </cell>
          <cell r="I4291">
            <v>0.70777777777777773</v>
          </cell>
          <cell r="J4291">
            <v>29.903333333333332</v>
          </cell>
        </row>
        <row r="4292">
          <cell r="B4292">
            <v>20</v>
          </cell>
          <cell r="C4292">
            <v>60.4</v>
          </cell>
          <cell r="D4292">
            <v>14.52</v>
          </cell>
          <cell r="E4292">
            <v>8.1199999999999992</v>
          </cell>
          <cell r="H4292">
            <v>45470</v>
          </cell>
          <cell r="I4292">
            <v>0.71666666666666656</v>
          </cell>
          <cell r="J4292">
            <v>30.168888888888894</v>
          </cell>
        </row>
        <row r="4293">
          <cell r="B4293">
            <v>21.41</v>
          </cell>
          <cell r="C4293">
            <v>65.569999999999993</v>
          </cell>
          <cell r="D4293">
            <v>15.31</v>
          </cell>
          <cell r="E4293">
            <v>8.3699999999999992</v>
          </cell>
          <cell r="H4293">
            <v>45470</v>
          </cell>
          <cell r="I4293">
            <v>0.72444444444444445</v>
          </cell>
          <cell r="J4293">
            <v>30.182222222222222</v>
          </cell>
        </row>
        <row r="4294">
          <cell r="B4294">
            <v>23.28</v>
          </cell>
          <cell r="C4294">
            <v>65.599999999999994</v>
          </cell>
          <cell r="D4294">
            <v>15.36</v>
          </cell>
          <cell r="E4294">
            <v>8.1199999999999992</v>
          </cell>
          <cell r="H4294">
            <v>45470</v>
          </cell>
          <cell r="I4294">
            <v>0.73333333333333339</v>
          </cell>
          <cell r="J4294">
            <v>29.941111111111113</v>
          </cell>
        </row>
        <row r="4295">
          <cell r="B4295">
            <v>23.45</v>
          </cell>
          <cell r="C4295">
            <v>53.27</v>
          </cell>
          <cell r="D4295">
            <v>15.54</v>
          </cell>
          <cell r="E4295">
            <v>8.01</v>
          </cell>
          <cell r="H4295">
            <v>45470</v>
          </cell>
          <cell r="I4295">
            <v>0.73555555555555552</v>
          </cell>
          <cell r="J4295">
            <v>29.23555555555555</v>
          </cell>
        </row>
        <row r="4296">
          <cell r="B4296">
            <v>24.16</v>
          </cell>
          <cell r="C4296">
            <v>57.19</v>
          </cell>
          <cell r="D4296">
            <v>15.15</v>
          </cell>
          <cell r="E4296">
            <v>7.99</v>
          </cell>
          <cell r="H4296">
            <v>45470</v>
          </cell>
          <cell r="I4296">
            <v>0.72888888888888892</v>
          </cell>
          <cell r="J4296">
            <v>28.245555555555555</v>
          </cell>
        </row>
        <row r="4297">
          <cell r="B4297">
            <v>27.26</v>
          </cell>
          <cell r="C4297">
            <v>60.52</v>
          </cell>
          <cell r="D4297">
            <v>14.15</v>
          </cell>
          <cell r="E4297">
            <v>8.0500000000000007</v>
          </cell>
          <cell r="H4297">
            <v>45470</v>
          </cell>
          <cell r="I4297">
            <v>0.72111111111111104</v>
          </cell>
          <cell r="J4297">
            <v>27.283333333333335</v>
          </cell>
        </row>
        <row r="4298">
          <cell r="B4298">
            <v>26.02</v>
          </cell>
          <cell r="C4298">
            <v>59.73</v>
          </cell>
          <cell r="D4298">
            <v>13.72</v>
          </cell>
          <cell r="E4298">
            <v>7.9</v>
          </cell>
          <cell r="H4298">
            <v>45471</v>
          </cell>
          <cell r="I4298">
            <v>0.70222222222222219</v>
          </cell>
          <cell r="J4298">
            <v>26.310000000000002</v>
          </cell>
        </row>
        <row r="4299">
          <cell r="B4299">
            <v>25.37</v>
          </cell>
          <cell r="C4299">
            <v>51.16</v>
          </cell>
          <cell r="D4299">
            <v>13.84</v>
          </cell>
          <cell r="E4299">
            <v>7.84</v>
          </cell>
          <cell r="H4299">
            <v>45471</v>
          </cell>
          <cell r="I4299">
            <v>0.68888888888888888</v>
          </cell>
          <cell r="J4299">
            <v>25.605555555555554</v>
          </cell>
        </row>
        <row r="4300">
          <cell r="B4300">
            <v>23.99</v>
          </cell>
          <cell r="C4300">
            <v>52.79</v>
          </cell>
          <cell r="D4300">
            <v>13.58</v>
          </cell>
          <cell r="E4300">
            <v>7.75</v>
          </cell>
          <cell r="H4300">
            <v>45471</v>
          </cell>
          <cell r="I4300">
            <v>0.67333333333333334</v>
          </cell>
          <cell r="J4300">
            <v>25.022222222222222</v>
          </cell>
        </row>
        <row r="4301">
          <cell r="B4301">
            <v>23.44</v>
          </cell>
          <cell r="C4301">
            <v>49.8</v>
          </cell>
          <cell r="D4301">
            <v>13.61</v>
          </cell>
          <cell r="E4301">
            <v>7.95</v>
          </cell>
          <cell r="H4301">
            <v>45471</v>
          </cell>
          <cell r="I4301">
            <v>0.6544444444444445</v>
          </cell>
          <cell r="J4301">
            <v>24.691111111111113</v>
          </cell>
        </row>
        <row r="4302">
          <cell r="B4302">
            <v>21.62</v>
          </cell>
          <cell r="C4302">
            <v>46.84</v>
          </cell>
          <cell r="D4302">
            <v>13.73</v>
          </cell>
          <cell r="E4302">
            <v>7.96</v>
          </cell>
          <cell r="H4302">
            <v>45471</v>
          </cell>
          <cell r="I4302">
            <v>0.64333333333333331</v>
          </cell>
          <cell r="J4302">
            <v>24.587777777777777</v>
          </cell>
        </row>
        <row r="4303">
          <cell r="B4303">
            <v>20.85</v>
          </cell>
          <cell r="C4303">
            <v>62.45</v>
          </cell>
          <cell r="D4303">
            <v>13.84</v>
          </cell>
          <cell r="E4303">
            <v>7.9</v>
          </cell>
          <cell r="H4303">
            <v>45471</v>
          </cell>
          <cell r="I4303">
            <v>0.63</v>
          </cell>
          <cell r="J4303">
            <v>24.57</v>
          </cell>
        </row>
        <row r="4304">
          <cell r="B4304">
            <v>22.43</v>
          </cell>
          <cell r="C4304">
            <v>61.33</v>
          </cell>
          <cell r="D4304">
            <v>13.86</v>
          </cell>
          <cell r="E4304">
            <v>7.62</v>
          </cell>
          <cell r="H4304">
            <v>45471</v>
          </cell>
          <cell r="I4304">
            <v>0.62444444444444447</v>
          </cell>
          <cell r="J4304">
            <v>24.534444444444446</v>
          </cell>
        </row>
        <row r="4305">
          <cell r="B4305">
            <v>22.8</v>
          </cell>
          <cell r="C4305">
            <v>51.32</v>
          </cell>
          <cell r="D4305">
            <v>14.28</v>
          </cell>
          <cell r="E4305">
            <v>7.5</v>
          </cell>
          <cell r="H4305">
            <v>45471</v>
          </cell>
          <cell r="I4305">
            <v>0.63111111111111107</v>
          </cell>
          <cell r="J4305">
            <v>24.648888888888887</v>
          </cell>
        </row>
        <row r="4306">
          <cell r="B4306">
            <v>23.04</v>
          </cell>
          <cell r="C4306">
            <v>48.59</v>
          </cell>
          <cell r="D4306">
            <v>14.25</v>
          </cell>
          <cell r="E4306">
            <v>7.39</v>
          </cell>
          <cell r="H4306">
            <v>45471</v>
          </cell>
          <cell r="I4306">
            <v>0.63777777777777767</v>
          </cell>
          <cell r="J4306">
            <v>24.612222222222222</v>
          </cell>
        </row>
        <row r="4307">
          <cell r="B4307">
            <v>24.12</v>
          </cell>
          <cell r="C4307">
            <v>49.98</v>
          </cell>
          <cell r="D4307">
            <v>14.62</v>
          </cell>
          <cell r="E4307">
            <v>7.42</v>
          </cell>
          <cell r="H4307">
            <v>45471</v>
          </cell>
          <cell r="I4307">
            <v>0.64777777777777779</v>
          </cell>
          <cell r="J4307">
            <v>24.649999999999995</v>
          </cell>
        </row>
        <row r="4308">
          <cell r="B4308">
            <v>23.17</v>
          </cell>
          <cell r="C4308">
            <v>50.95</v>
          </cell>
          <cell r="D4308">
            <v>15.29</v>
          </cell>
          <cell r="E4308">
            <v>7.6</v>
          </cell>
          <cell r="H4308">
            <v>45471</v>
          </cell>
          <cell r="I4308">
            <v>0.6544444444444445</v>
          </cell>
          <cell r="J4308">
            <v>24.86</v>
          </cell>
        </row>
        <row r="4309">
          <cell r="B4309">
            <v>21.48</v>
          </cell>
          <cell r="C4309">
            <v>47.65</v>
          </cell>
          <cell r="D4309">
            <v>15.52</v>
          </cell>
          <cell r="E4309">
            <v>7.76</v>
          </cell>
          <cell r="H4309">
            <v>45471</v>
          </cell>
          <cell r="I4309">
            <v>0.6544444444444445</v>
          </cell>
          <cell r="J4309">
            <v>25.232222222222223</v>
          </cell>
        </row>
        <row r="4310">
          <cell r="B4310">
            <v>21.64</v>
          </cell>
          <cell r="C4310">
            <v>46.8</v>
          </cell>
          <cell r="D4310">
            <v>15.61</v>
          </cell>
          <cell r="E4310">
            <v>7.71</v>
          </cell>
          <cell r="H4310">
            <v>45471</v>
          </cell>
          <cell r="I4310">
            <v>0.66111111111111109</v>
          </cell>
          <cell r="J4310">
            <v>25.737777777777779</v>
          </cell>
        </row>
        <row r="4311">
          <cell r="B4311">
            <v>20.48</v>
          </cell>
          <cell r="C4311">
            <v>46.04</v>
          </cell>
          <cell r="D4311">
            <v>15.32</v>
          </cell>
          <cell r="E4311">
            <v>7.94</v>
          </cell>
          <cell r="H4311">
            <v>45471</v>
          </cell>
          <cell r="I4311">
            <v>0.65777777777777779</v>
          </cell>
          <cell r="J4311">
            <v>26.426666666666666</v>
          </cell>
        </row>
        <row r="4312">
          <cell r="B4312">
            <v>17.420000000000002</v>
          </cell>
          <cell r="C4312">
            <v>41.13</v>
          </cell>
          <cell r="D4312">
            <v>15.16</v>
          </cell>
          <cell r="E4312">
            <v>7.69</v>
          </cell>
          <cell r="H4312">
            <v>45471</v>
          </cell>
          <cell r="I4312">
            <v>0.64666666666666672</v>
          </cell>
          <cell r="J4312">
            <v>26.94222222222222</v>
          </cell>
        </row>
        <row r="4313">
          <cell r="B4313">
            <v>19.399999999999999</v>
          </cell>
          <cell r="C4313">
            <v>40.71</v>
          </cell>
          <cell r="D4313">
            <v>15.35</v>
          </cell>
          <cell r="E4313">
            <v>9.5500000000000007</v>
          </cell>
          <cell r="H4313">
            <v>45471</v>
          </cell>
          <cell r="I4313">
            <v>0.64555555555555566</v>
          </cell>
          <cell r="J4313">
            <v>27.731111111111112</v>
          </cell>
        </row>
        <row r="4314">
          <cell r="B4314">
            <v>20.350000000000001</v>
          </cell>
          <cell r="C4314">
            <v>43.72</v>
          </cell>
          <cell r="D4314">
            <v>14.08</v>
          </cell>
          <cell r="E4314">
            <v>10.02</v>
          </cell>
          <cell r="H4314">
            <v>45471</v>
          </cell>
          <cell r="I4314">
            <v>0.64555555555555555</v>
          </cell>
          <cell r="J4314">
            <v>28.064444444444444</v>
          </cell>
        </row>
        <row r="4315">
          <cell r="B4315">
            <v>20.59</v>
          </cell>
          <cell r="C4315">
            <v>46.61</v>
          </cell>
          <cell r="D4315">
            <v>16.52</v>
          </cell>
          <cell r="E4315">
            <v>10.25</v>
          </cell>
          <cell r="H4315">
            <v>45471</v>
          </cell>
          <cell r="I4315">
            <v>0.65555555555555556</v>
          </cell>
          <cell r="J4315">
            <v>28.094444444444441</v>
          </cell>
        </row>
        <row r="4316">
          <cell r="B4316">
            <v>23.08</v>
          </cell>
          <cell r="C4316">
            <v>75.010000000000005</v>
          </cell>
          <cell r="D4316">
            <v>17.87</v>
          </cell>
          <cell r="E4316">
            <v>9.9</v>
          </cell>
          <cell r="H4316">
            <v>45471</v>
          </cell>
          <cell r="I4316">
            <v>0.66333333333333344</v>
          </cell>
          <cell r="J4316">
            <v>28.002222222222219</v>
          </cell>
        </row>
        <row r="4317">
          <cell r="B4317">
            <v>25.76</v>
          </cell>
          <cell r="C4317">
            <v>67.19</v>
          </cell>
          <cell r="D4317">
            <v>18.989999999999998</v>
          </cell>
          <cell r="E4317">
            <v>10.54</v>
          </cell>
          <cell r="H4317">
            <v>45471</v>
          </cell>
          <cell r="I4317">
            <v>0.6777777777777777</v>
          </cell>
          <cell r="J4317">
            <v>27.546666666666667</v>
          </cell>
        </row>
        <row r="4318">
          <cell r="B4318">
            <v>28.9</v>
          </cell>
          <cell r="C4318">
            <v>72.88</v>
          </cell>
          <cell r="D4318">
            <v>18.78</v>
          </cell>
          <cell r="E4318">
            <v>10.5</v>
          </cell>
          <cell r="H4318">
            <v>45471</v>
          </cell>
          <cell r="I4318">
            <v>0.69333333333333336</v>
          </cell>
          <cell r="J4318">
            <v>27.004444444444445</v>
          </cell>
        </row>
        <row r="4319">
          <cell r="B4319">
            <v>26.28</v>
          </cell>
          <cell r="C4319">
            <v>62.76</v>
          </cell>
          <cell r="D4319">
            <v>18.04</v>
          </cell>
          <cell r="E4319">
            <v>10.51</v>
          </cell>
          <cell r="H4319">
            <v>45471</v>
          </cell>
          <cell r="I4319">
            <v>0.69777777777777783</v>
          </cell>
          <cell r="J4319">
            <v>26.301111111111116</v>
          </cell>
        </row>
        <row r="4320">
          <cell r="B4320">
            <v>23.24</v>
          </cell>
          <cell r="C4320">
            <v>55.03</v>
          </cell>
          <cell r="D4320">
            <v>17.04</v>
          </cell>
          <cell r="E4320">
            <v>10.08</v>
          </cell>
          <cell r="H4320">
            <v>45471</v>
          </cell>
          <cell r="I4320">
            <v>0.70111111111111102</v>
          </cell>
          <cell r="J4320">
            <v>25.452222222222229</v>
          </cell>
        </row>
        <row r="4321">
          <cell r="B4321">
            <v>22.56</v>
          </cell>
          <cell r="C4321">
            <v>53.1</v>
          </cell>
          <cell r="D4321">
            <v>17.010000000000002</v>
          </cell>
          <cell r="E4321">
            <v>10.26</v>
          </cell>
          <cell r="H4321">
            <v>45471</v>
          </cell>
          <cell r="I4321">
            <v>0.70777777777777784</v>
          </cell>
          <cell r="J4321">
            <v>24.85444444444445</v>
          </cell>
        </row>
        <row r="4322">
          <cell r="B4322">
            <v>22.1</v>
          </cell>
          <cell r="C4322">
            <v>57.85</v>
          </cell>
          <cell r="D4322">
            <v>16.989999999999998</v>
          </cell>
          <cell r="E4322">
            <v>10.35</v>
          </cell>
          <cell r="H4322">
            <v>45472</v>
          </cell>
          <cell r="I4322">
            <v>0.7</v>
          </cell>
          <cell r="J4322">
            <v>23.966666666666669</v>
          </cell>
        </row>
        <row r="4323">
          <cell r="B4323">
            <v>21.32</v>
          </cell>
          <cell r="C4323">
            <v>52.94</v>
          </cell>
          <cell r="D4323">
            <v>16.440000000000001</v>
          </cell>
          <cell r="E4323">
            <v>8.85</v>
          </cell>
          <cell r="H4323">
            <v>45472</v>
          </cell>
          <cell r="I4323">
            <v>0.69222222222222229</v>
          </cell>
          <cell r="J4323">
            <v>23.452222222222222</v>
          </cell>
        </row>
        <row r="4324">
          <cell r="B4324">
            <v>21.68</v>
          </cell>
          <cell r="C4324">
            <v>55.03</v>
          </cell>
          <cell r="D4324">
            <v>16.36</v>
          </cell>
          <cell r="E4324">
            <v>8.4499999999999993</v>
          </cell>
          <cell r="H4324">
            <v>45472</v>
          </cell>
          <cell r="I4324">
            <v>0.67777777777777781</v>
          </cell>
          <cell r="J4324">
            <v>23.338888888888889</v>
          </cell>
        </row>
        <row r="4325">
          <cell r="B4325">
            <v>21.95</v>
          </cell>
          <cell r="C4325">
            <v>50.63</v>
          </cell>
          <cell r="D4325">
            <v>16.350000000000001</v>
          </cell>
          <cell r="E4325">
            <v>8.44</v>
          </cell>
          <cell r="H4325">
            <v>45472</v>
          </cell>
          <cell r="I4325">
            <v>0.66666666666666663</v>
          </cell>
          <cell r="J4325">
            <v>23.414444444444445</v>
          </cell>
        </row>
        <row r="4326">
          <cell r="B4326">
            <v>21.17</v>
          </cell>
          <cell r="C4326">
            <v>59.25</v>
          </cell>
          <cell r="D4326">
            <v>16.399999999999999</v>
          </cell>
          <cell r="E4326">
            <v>8.41</v>
          </cell>
          <cell r="H4326">
            <v>45472</v>
          </cell>
          <cell r="I4326">
            <v>0.65111111111111108</v>
          </cell>
          <cell r="J4326">
            <v>23.511111111111109</v>
          </cell>
        </row>
        <row r="4327">
          <cell r="B4327">
            <v>19.87</v>
          </cell>
          <cell r="C4327">
            <v>54.94</v>
          </cell>
          <cell r="D4327">
            <v>16.43</v>
          </cell>
          <cell r="E4327">
            <v>8.58</v>
          </cell>
          <cell r="H4327">
            <v>45472</v>
          </cell>
          <cell r="I4327">
            <v>0.64000000000000012</v>
          </cell>
          <cell r="J4327">
            <v>23.529999999999998</v>
          </cell>
        </row>
        <row r="4328">
          <cell r="B4328">
            <v>19.18</v>
          </cell>
          <cell r="C4328">
            <v>46.32</v>
          </cell>
          <cell r="D4328">
            <v>16.53</v>
          </cell>
          <cell r="E4328">
            <v>8.5500000000000007</v>
          </cell>
          <cell r="H4328">
            <v>45472</v>
          </cell>
          <cell r="I4328">
            <v>0.63777777777777789</v>
          </cell>
          <cell r="J4328">
            <v>23.643333333333334</v>
          </cell>
        </row>
        <row r="4329">
          <cell r="B4329">
            <v>19.5</v>
          </cell>
          <cell r="C4329">
            <v>45.81</v>
          </cell>
          <cell r="D4329">
            <v>16.68</v>
          </cell>
          <cell r="E4329">
            <v>8.41</v>
          </cell>
          <cell r="H4329">
            <v>45472</v>
          </cell>
          <cell r="I4329">
            <v>0.64555555555555566</v>
          </cell>
          <cell r="J4329">
            <v>23.630000000000003</v>
          </cell>
        </row>
        <row r="4330">
          <cell r="B4330">
            <v>20.07</v>
          </cell>
          <cell r="C4330">
            <v>48.57</v>
          </cell>
          <cell r="D4330">
            <v>16.78</v>
          </cell>
          <cell r="E4330">
            <v>8.57</v>
          </cell>
          <cell r="H4330">
            <v>45472</v>
          </cell>
          <cell r="I4330">
            <v>0.6544444444444445</v>
          </cell>
          <cell r="J4330">
            <v>23.591111111111115</v>
          </cell>
        </row>
        <row r="4331">
          <cell r="B4331">
            <v>20.170000000000002</v>
          </cell>
          <cell r="C4331">
            <v>49.22</v>
          </cell>
          <cell r="D4331">
            <v>15.54</v>
          </cell>
          <cell r="E4331">
            <v>8.51</v>
          </cell>
          <cell r="H4331">
            <v>45472</v>
          </cell>
          <cell r="I4331">
            <v>0.66666666666666663</v>
          </cell>
          <cell r="J4331">
            <v>23.702222222222225</v>
          </cell>
        </row>
        <row r="4332">
          <cell r="B4332">
            <v>20.58</v>
          </cell>
          <cell r="C4332">
            <v>48.47</v>
          </cell>
          <cell r="D4332">
            <v>15.47</v>
          </cell>
          <cell r="E4332">
            <v>8.5500000000000007</v>
          </cell>
          <cell r="H4332">
            <v>45472</v>
          </cell>
          <cell r="I4332">
            <v>0.66888888888888887</v>
          </cell>
          <cell r="J4332">
            <v>23.915555555555557</v>
          </cell>
        </row>
        <row r="4333">
          <cell r="B4333">
            <v>18.59</v>
          </cell>
          <cell r="C4333">
            <v>47.45</v>
          </cell>
          <cell r="D4333">
            <v>15.86</v>
          </cell>
          <cell r="E4333">
            <v>8.77</v>
          </cell>
          <cell r="H4333">
            <v>45472</v>
          </cell>
          <cell r="I4333">
            <v>0.66888888888888887</v>
          </cell>
          <cell r="J4333">
            <v>24.080000000000002</v>
          </cell>
        </row>
        <row r="4334">
          <cell r="B4334">
            <v>19.13</v>
          </cell>
          <cell r="C4334">
            <v>49.35</v>
          </cell>
          <cell r="D4334">
            <v>16.53</v>
          </cell>
          <cell r="E4334">
            <v>8.99</v>
          </cell>
          <cell r="H4334">
            <v>45472</v>
          </cell>
          <cell r="I4334">
            <v>0.66888888888888898</v>
          </cell>
          <cell r="J4334">
            <v>24.403333333333336</v>
          </cell>
        </row>
        <row r="4335">
          <cell r="B4335">
            <v>19.36</v>
          </cell>
          <cell r="C4335">
            <v>46.93</v>
          </cell>
          <cell r="D4335">
            <v>16.59</v>
          </cell>
          <cell r="E4335">
            <v>9.08</v>
          </cell>
          <cell r="H4335">
            <v>45472</v>
          </cell>
          <cell r="I4335">
            <v>0.6711111111111111</v>
          </cell>
          <cell r="J4335">
            <v>24.736666666666665</v>
          </cell>
        </row>
        <row r="4336">
          <cell r="B4336">
            <v>17.27</v>
          </cell>
          <cell r="C4336">
            <v>44.39</v>
          </cell>
          <cell r="D4336">
            <v>16.64</v>
          </cell>
          <cell r="E4336">
            <v>8.86</v>
          </cell>
          <cell r="H4336">
            <v>45472</v>
          </cell>
          <cell r="I4336">
            <v>0.66999999999999982</v>
          </cell>
          <cell r="J4336">
            <v>25.072222222222219</v>
          </cell>
        </row>
        <row r="4337">
          <cell r="B4337">
            <v>17.32</v>
          </cell>
          <cell r="C4337">
            <v>46.24</v>
          </cell>
          <cell r="D4337">
            <v>17.12</v>
          </cell>
          <cell r="E4337">
            <v>8.64</v>
          </cell>
          <cell r="H4337">
            <v>45472</v>
          </cell>
          <cell r="I4337">
            <v>0.66888888888888876</v>
          </cell>
          <cell r="J4337">
            <v>25.356666666666666</v>
          </cell>
        </row>
        <row r="4338">
          <cell r="B4338">
            <v>17.41</v>
          </cell>
          <cell r="C4338">
            <v>47.7</v>
          </cell>
          <cell r="D4338">
            <v>17.45</v>
          </cell>
          <cell r="E4338">
            <v>8.48</v>
          </cell>
          <cell r="H4338">
            <v>45472</v>
          </cell>
          <cell r="I4338">
            <v>0.67555555555555546</v>
          </cell>
          <cell r="J4338">
            <v>25.662222222222219</v>
          </cell>
        </row>
        <row r="4339">
          <cell r="B4339">
            <v>19.649999999999999</v>
          </cell>
          <cell r="C4339">
            <v>46.11</v>
          </cell>
          <cell r="D4339">
            <v>17.22</v>
          </cell>
          <cell r="E4339">
            <v>8.59</v>
          </cell>
          <cell r="H4339">
            <v>45472</v>
          </cell>
          <cell r="I4339">
            <v>0.68222222222222217</v>
          </cell>
          <cell r="J4339">
            <v>25.923333333333332</v>
          </cell>
        </row>
        <row r="4340">
          <cell r="B4340">
            <v>20</v>
          </cell>
          <cell r="C4340">
            <v>63.81</v>
          </cell>
          <cell r="D4340">
            <v>17.48</v>
          </cell>
          <cell r="E4340">
            <v>8.83</v>
          </cell>
          <cell r="H4340">
            <v>45472</v>
          </cell>
          <cell r="I4340">
            <v>0.68333333333333335</v>
          </cell>
          <cell r="J4340">
            <v>25.937777777777775</v>
          </cell>
        </row>
        <row r="4341">
          <cell r="B4341">
            <v>21.36</v>
          </cell>
          <cell r="C4341">
            <v>78.239999999999995</v>
          </cell>
          <cell r="D4341">
            <v>17.670000000000002</v>
          </cell>
          <cell r="E4341">
            <v>8.9</v>
          </cell>
          <cell r="H4341">
            <v>45472</v>
          </cell>
          <cell r="I4341">
            <v>0.68888888888888888</v>
          </cell>
          <cell r="J4341">
            <v>25.766666666666666</v>
          </cell>
        </row>
        <row r="4342">
          <cell r="B4342">
            <v>21.35</v>
          </cell>
          <cell r="C4342">
            <v>67.290000000000006</v>
          </cell>
          <cell r="D4342">
            <v>18.100000000000001</v>
          </cell>
          <cell r="E4342">
            <v>8.82</v>
          </cell>
          <cell r="H4342">
            <v>45472</v>
          </cell>
          <cell r="I4342">
            <v>0.69777777777777783</v>
          </cell>
          <cell r="J4342">
            <v>25.515555555555558</v>
          </cell>
        </row>
        <row r="4343">
          <cell r="B4343">
            <v>23.12</v>
          </cell>
          <cell r="C4343">
            <v>56.76</v>
          </cell>
          <cell r="D4343">
            <v>18.02</v>
          </cell>
          <cell r="E4343">
            <v>8.73</v>
          </cell>
          <cell r="H4343">
            <v>45472</v>
          </cell>
          <cell r="I4343">
            <v>0.70666666666666655</v>
          </cell>
          <cell r="J4343">
            <v>25.112222222222229</v>
          </cell>
        </row>
        <row r="4344">
          <cell r="B4344">
            <v>22.37</v>
          </cell>
          <cell r="C4344">
            <v>59.13</v>
          </cell>
          <cell r="D4344">
            <v>17.36</v>
          </cell>
          <cell r="E4344">
            <v>8.59</v>
          </cell>
          <cell r="H4344">
            <v>45472</v>
          </cell>
          <cell r="I4344">
            <v>0.70666666666666655</v>
          </cell>
          <cell r="J4344">
            <v>24.798888888888893</v>
          </cell>
        </row>
        <row r="4345">
          <cell r="B4345">
            <v>22.2</v>
          </cell>
          <cell r="C4345">
            <v>51.44</v>
          </cell>
          <cell r="D4345">
            <v>16.68</v>
          </cell>
          <cell r="E4345">
            <v>8.6</v>
          </cell>
          <cell r="H4345">
            <v>45472</v>
          </cell>
          <cell r="I4345">
            <v>0.7088888888888889</v>
          </cell>
          <cell r="J4345">
            <v>24.578888888888891</v>
          </cell>
        </row>
        <row r="4346">
          <cell r="B4346">
            <v>20.309999999999999</v>
          </cell>
          <cell r="C4346">
            <v>51.22</v>
          </cell>
          <cell r="D4346">
            <v>16.2</v>
          </cell>
          <cell r="E4346">
            <v>8.4600000000000009</v>
          </cell>
          <cell r="H4346">
            <v>45473</v>
          </cell>
          <cell r="I4346">
            <v>0.70222222222222219</v>
          </cell>
          <cell r="J4346">
            <v>24.318888888888889</v>
          </cell>
        </row>
        <row r="4347">
          <cell r="B4347">
            <v>20.6</v>
          </cell>
          <cell r="C4347">
            <v>51.3</v>
          </cell>
          <cell r="D4347">
            <v>16.25</v>
          </cell>
          <cell r="E4347">
            <v>8.5399999999999991</v>
          </cell>
          <cell r="H4347">
            <v>45473</v>
          </cell>
          <cell r="I4347">
            <v>0.68111111111111111</v>
          </cell>
          <cell r="J4347">
            <v>24.076666666666668</v>
          </cell>
        </row>
        <row r="4348">
          <cell r="B4348">
            <v>20.85</v>
          </cell>
          <cell r="C4348">
            <v>44.06</v>
          </cell>
          <cell r="D4348">
            <v>16.13</v>
          </cell>
          <cell r="E4348">
            <v>8.51</v>
          </cell>
          <cell r="H4348">
            <v>45473</v>
          </cell>
          <cell r="I4348">
            <v>0.6644444444444445</v>
          </cell>
          <cell r="J4348">
            <v>23.94</v>
          </cell>
        </row>
        <row r="4349">
          <cell r="B4349">
            <v>19.63</v>
          </cell>
          <cell r="C4349">
            <v>51.95</v>
          </cell>
          <cell r="D4349">
            <v>16.14</v>
          </cell>
          <cell r="E4349">
            <v>8.6</v>
          </cell>
          <cell r="H4349">
            <v>45473</v>
          </cell>
          <cell r="I4349">
            <v>0.65555555555555556</v>
          </cell>
          <cell r="J4349">
            <v>23.861111111111111</v>
          </cell>
        </row>
        <row r="4350">
          <cell r="B4350">
            <v>21.95</v>
          </cell>
          <cell r="C4350">
            <v>59.45</v>
          </cell>
          <cell r="D4350">
            <v>16.11</v>
          </cell>
          <cell r="E4350">
            <v>8.48</v>
          </cell>
          <cell r="H4350">
            <v>45473</v>
          </cell>
          <cell r="I4350">
            <v>0.64000000000000012</v>
          </cell>
          <cell r="J4350">
            <v>23.923333333333332</v>
          </cell>
        </row>
        <row r="4351">
          <cell r="B4351">
            <v>18.850000000000001</v>
          </cell>
          <cell r="C4351">
            <v>45.22</v>
          </cell>
          <cell r="D4351">
            <v>16.09</v>
          </cell>
          <cell r="E4351">
            <v>8.61</v>
          </cell>
          <cell r="H4351">
            <v>45473</v>
          </cell>
          <cell r="I4351">
            <v>0.62333333333333329</v>
          </cell>
          <cell r="J4351">
            <v>24.087777777777774</v>
          </cell>
        </row>
        <row r="4352">
          <cell r="B4352">
            <v>18.04</v>
          </cell>
          <cell r="C4352">
            <v>38.94</v>
          </cell>
          <cell r="D4352">
            <v>16.5</v>
          </cell>
          <cell r="E4352">
            <v>8.44</v>
          </cell>
          <cell r="H4352">
            <v>45473</v>
          </cell>
          <cell r="I4352">
            <v>0.61222222222222222</v>
          </cell>
          <cell r="J4352">
            <v>24.14222222222222</v>
          </cell>
        </row>
        <row r="4353">
          <cell r="B4353">
            <v>18.95</v>
          </cell>
          <cell r="C4353">
            <v>40.520000000000003</v>
          </cell>
          <cell r="D4353">
            <v>16.41</v>
          </cell>
          <cell r="E4353">
            <v>8.48</v>
          </cell>
          <cell r="H4353">
            <v>45473</v>
          </cell>
          <cell r="I4353">
            <v>0.60888888888888892</v>
          </cell>
          <cell r="J4353">
            <v>24.099999999999998</v>
          </cell>
        </row>
        <row r="4354">
          <cell r="B4354">
            <v>17.68</v>
          </cell>
          <cell r="C4354">
            <v>41.42</v>
          </cell>
          <cell r="D4354">
            <v>16.41</v>
          </cell>
          <cell r="E4354">
            <v>8.33</v>
          </cell>
          <cell r="H4354">
            <v>45473</v>
          </cell>
          <cell r="I4354">
            <v>0.60666666666666669</v>
          </cell>
          <cell r="J4354">
            <v>24.062222222222218</v>
          </cell>
        </row>
        <row r="4355">
          <cell r="B4355">
            <v>19.989999999999998</v>
          </cell>
          <cell r="C4355">
            <v>42.97</v>
          </cell>
          <cell r="D4355">
            <v>16.05</v>
          </cell>
          <cell r="E4355">
            <v>8.3800000000000008</v>
          </cell>
          <cell r="H4355">
            <v>45473</v>
          </cell>
          <cell r="I4355">
            <v>0.61222222222222222</v>
          </cell>
          <cell r="J4355">
            <v>24.004444444444445</v>
          </cell>
        </row>
        <row r="4356">
          <cell r="B4356">
            <v>20</v>
          </cell>
          <cell r="C4356">
            <v>44.08</v>
          </cell>
          <cell r="D4356">
            <v>14.87</v>
          </cell>
          <cell r="E4356">
            <v>8.51</v>
          </cell>
          <cell r="H4356">
            <v>45473</v>
          </cell>
          <cell r="I4356">
            <v>0.61888888888888882</v>
          </cell>
          <cell r="J4356">
            <v>24.049999999999997</v>
          </cell>
        </row>
        <row r="4357">
          <cell r="B4357">
            <v>18.809999999999999</v>
          </cell>
          <cell r="C4357">
            <v>41.85</v>
          </cell>
          <cell r="D4357">
            <v>15.08</v>
          </cell>
          <cell r="E4357">
            <v>8.36</v>
          </cell>
          <cell r="H4357">
            <v>45473</v>
          </cell>
          <cell r="I4357">
            <v>0.62222222222222223</v>
          </cell>
          <cell r="J4357">
            <v>24.051111111111108</v>
          </cell>
        </row>
        <row r="4358">
          <cell r="B4358">
            <v>18.440000000000001</v>
          </cell>
          <cell r="C4358">
            <v>42.32</v>
          </cell>
          <cell r="D4358">
            <v>15.69</v>
          </cell>
          <cell r="E4358">
            <v>8.3800000000000008</v>
          </cell>
          <cell r="H4358">
            <v>45473</v>
          </cell>
          <cell r="I4358">
            <v>0.62333333333333329</v>
          </cell>
          <cell r="J4358">
            <v>24.287777777777777</v>
          </cell>
        </row>
        <row r="4359">
          <cell r="B4359">
            <v>19.61</v>
          </cell>
          <cell r="C4359">
            <v>47.73</v>
          </cell>
          <cell r="D4359">
            <v>16</v>
          </cell>
          <cell r="E4359">
            <v>8.67</v>
          </cell>
          <cell r="H4359">
            <v>45473</v>
          </cell>
          <cell r="I4359">
            <v>0.63222222222222213</v>
          </cell>
          <cell r="J4359">
            <v>24.458888888888893</v>
          </cell>
        </row>
        <row r="4360">
          <cell r="B4360">
            <v>18.8</v>
          </cell>
          <cell r="C4360">
            <v>48.35</v>
          </cell>
          <cell r="D4360">
            <v>16.47</v>
          </cell>
          <cell r="E4360">
            <v>8.4499999999999993</v>
          </cell>
          <cell r="H4360">
            <v>45473</v>
          </cell>
          <cell r="I4360">
            <v>0.63555555555555565</v>
          </cell>
          <cell r="J4360">
            <v>24.653333333333332</v>
          </cell>
        </row>
        <row r="4361">
          <cell r="B4361">
            <v>18.02</v>
          </cell>
          <cell r="C4361">
            <v>44.9</v>
          </cell>
          <cell r="D4361">
            <v>16.440000000000001</v>
          </cell>
          <cell r="E4361">
            <v>8.26</v>
          </cell>
          <cell r="H4361">
            <v>45473</v>
          </cell>
          <cell r="I4361">
            <v>0.63444444444444448</v>
          </cell>
          <cell r="J4361">
            <v>24.891111111111112</v>
          </cell>
        </row>
        <row r="4362">
          <cell r="B4362">
            <v>18.29</v>
          </cell>
          <cell r="C4362">
            <v>44.38</v>
          </cell>
          <cell r="D4362">
            <v>16.63</v>
          </cell>
          <cell r="E4362">
            <v>8.2899999999999991</v>
          </cell>
          <cell r="H4362">
            <v>45473</v>
          </cell>
          <cell r="I4362">
            <v>0.63666666666666671</v>
          </cell>
          <cell r="J4362">
            <v>25.134444444444441</v>
          </cell>
        </row>
        <row r="4363">
          <cell r="B4363">
            <v>18.59</v>
          </cell>
          <cell r="C4363">
            <v>43.71</v>
          </cell>
          <cell r="D4363">
            <v>17.05</v>
          </cell>
          <cell r="E4363">
            <v>8.83</v>
          </cell>
          <cell r="H4363">
            <v>45473</v>
          </cell>
          <cell r="I4363">
            <v>0.63888888888888884</v>
          </cell>
          <cell r="J4363">
            <v>25.337777777777777</v>
          </cell>
        </row>
        <row r="4364">
          <cell r="B4364">
            <v>18.66</v>
          </cell>
          <cell r="C4364">
            <v>46.25</v>
          </cell>
          <cell r="D4364">
            <v>17</v>
          </cell>
          <cell r="E4364">
            <v>9.07</v>
          </cell>
          <cell r="H4364">
            <v>45473</v>
          </cell>
          <cell r="I4364">
            <v>0.64222222222222225</v>
          </cell>
          <cell r="J4364">
            <v>25.470000000000002</v>
          </cell>
        </row>
        <row r="4365">
          <cell r="B4365">
            <v>18.899999999999999</v>
          </cell>
          <cell r="C4365">
            <v>55.85</v>
          </cell>
          <cell r="D4365">
            <v>17.399999999999999</v>
          </cell>
          <cell r="E4365">
            <v>8.6300000000000008</v>
          </cell>
          <cell r="H4365">
            <v>45473</v>
          </cell>
          <cell r="I4365">
            <v>0.65</v>
          </cell>
          <cell r="J4365">
            <v>25.380000000000003</v>
          </cell>
        </row>
        <row r="4366">
          <cell r="B4366">
            <v>21.15</v>
          </cell>
          <cell r="C4366">
            <v>98.76</v>
          </cell>
          <cell r="D4366">
            <v>16.87</v>
          </cell>
          <cell r="E4366">
            <v>8.2899999999999991</v>
          </cell>
          <cell r="H4366">
            <v>45473</v>
          </cell>
          <cell r="I4366">
            <v>0.65777777777777779</v>
          </cell>
          <cell r="J4366">
            <v>25.211111111111109</v>
          </cell>
        </row>
        <row r="4367">
          <cell r="B4367">
            <v>21.34</v>
          </cell>
          <cell r="C4367">
            <v>72.040000000000006</v>
          </cell>
          <cell r="D4367">
            <v>16.510000000000002</v>
          </cell>
          <cell r="E4367">
            <v>8.64</v>
          </cell>
          <cell r="H4367">
            <v>45473</v>
          </cell>
          <cell r="I4367">
            <v>0.66222222222222227</v>
          </cell>
          <cell r="J4367">
            <v>24.968888888888888</v>
          </cell>
        </row>
        <row r="4368">
          <cell r="B4368">
            <v>19.79</v>
          </cell>
          <cell r="C4368">
            <v>48.88</v>
          </cell>
          <cell r="D4368">
            <v>16.52</v>
          </cell>
          <cell r="E4368">
            <v>8.5399999999999991</v>
          </cell>
          <cell r="H4368">
            <v>45473</v>
          </cell>
          <cell r="I4368">
            <v>0.66222222222222227</v>
          </cell>
          <cell r="J4368">
            <v>24.772222222222222</v>
          </cell>
        </row>
        <row r="4369">
          <cell r="B4369">
            <v>17.53</v>
          </cell>
          <cell r="C4369">
            <v>39.86</v>
          </cell>
          <cell r="D4369">
            <v>16.5</v>
          </cell>
          <cell r="E4369">
            <v>8.23</v>
          </cell>
          <cell r="H4369">
            <v>45473</v>
          </cell>
          <cell r="I4369">
            <v>0.66333333333333333</v>
          </cell>
          <cell r="J4369">
            <v>24.564444444444444</v>
          </cell>
        </row>
        <row r="4370">
          <cell r="B4370">
            <v>18.309999999999999</v>
          </cell>
          <cell r="C4370">
            <v>39.520000000000003</v>
          </cell>
          <cell r="D4370">
            <v>16.02</v>
          </cell>
          <cell r="E4370">
            <v>8.57</v>
          </cell>
          <cell r="H4370">
            <v>45474</v>
          </cell>
          <cell r="I4370">
            <v>0.66</v>
          </cell>
          <cell r="J4370">
            <v>24.445555555555551</v>
          </cell>
        </row>
        <row r="4371">
          <cell r="B4371">
            <v>16.12</v>
          </cell>
          <cell r="C4371">
            <v>35.700000000000003</v>
          </cell>
          <cell r="D4371">
            <v>15.97</v>
          </cell>
          <cell r="E4371">
            <v>8.42</v>
          </cell>
          <cell r="H4371">
            <v>45474</v>
          </cell>
          <cell r="I4371">
            <v>0.64999999999999991</v>
          </cell>
          <cell r="J4371">
            <v>24.21222222222222</v>
          </cell>
        </row>
        <row r="4372">
          <cell r="B4372">
            <v>15.59</v>
          </cell>
          <cell r="C4372">
            <v>33.89</v>
          </cell>
          <cell r="D4372">
            <v>15.8</v>
          </cell>
          <cell r="E4372">
            <v>8.16</v>
          </cell>
          <cell r="H4372">
            <v>45474</v>
          </cell>
          <cell r="I4372">
            <v>0.64333333333333331</v>
          </cell>
          <cell r="J4372">
            <v>24.085555555555555</v>
          </cell>
        </row>
        <row r="4373">
          <cell r="B4373">
            <v>15.49</v>
          </cell>
          <cell r="C4373">
            <v>31.13</v>
          </cell>
          <cell r="D4373">
            <v>16.309999999999999</v>
          </cell>
          <cell r="E4373">
            <v>8.33</v>
          </cell>
          <cell r="H4373">
            <v>45474</v>
          </cell>
          <cell r="I4373">
            <v>0.63777777777777778</v>
          </cell>
          <cell r="J4373">
            <v>24.215555555555554</v>
          </cell>
        </row>
        <row r="4374">
          <cell r="B4374">
            <v>14.83</v>
          </cell>
          <cell r="C4374">
            <v>30.57</v>
          </cell>
          <cell r="D4374">
            <v>16.399999999999999</v>
          </cell>
          <cell r="E4374">
            <v>8.1999999999999993</v>
          </cell>
          <cell r="H4374">
            <v>45474</v>
          </cell>
          <cell r="I4374">
            <v>0.62777777777777777</v>
          </cell>
          <cell r="J4374">
            <v>24.498888888888885</v>
          </cell>
        </row>
        <row r="4375">
          <cell r="B4375">
            <v>15.17</v>
          </cell>
          <cell r="C4375">
            <v>28.17</v>
          </cell>
          <cell r="D4375">
            <v>16.28</v>
          </cell>
          <cell r="E4375">
            <v>8.33</v>
          </cell>
          <cell r="H4375">
            <v>45474</v>
          </cell>
          <cell r="I4375">
            <v>0.6166666666666667</v>
          </cell>
          <cell r="J4375">
            <v>24.85222222222222</v>
          </cell>
        </row>
        <row r="4376">
          <cell r="B4376">
            <v>13.29</v>
          </cell>
          <cell r="C4376">
            <v>28.16</v>
          </cell>
          <cell r="D4376">
            <v>16.57</v>
          </cell>
          <cell r="E4376">
            <v>8.25</v>
          </cell>
          <cell r="H4376">
            <v>45474</v>
          </cell>
          <cell r="I4376">
            <v>0.6133333333333334</v>
          </cell>
          <cell r="J4376">
            <v>25.017777777777781</v>
          </cell>
        </row>
        <row r="4377">
          <cell r="B4377">
            <v>11.27</v>
          </cell>
          <cell r="C4377">
            <v>24.59</v>
          </cell>
          <cell r="D4377">
            <v>16.71</v>
          </cell>
          <cell r="E4377">
            <v>8.02</v>
          </cell>
          <cell r="H4377">
            <v>45474</v>
          </cell>
          <cell r="I4377">
            <v>0.61333333333333329</v>
          </cell>
          <cell r="J4377">
            <v>25.115555555555556</v>
          </cell>
        </row>
        <row r="4378">
          <cell r="B4378">
            <v>12.38</v>
          </cell>
          <cell r="C4378">
            <v>26.35</v>
          </cell>
          <cell r="D4378">
            <v>14.06</v>
          </cell>
          <cell r="E4378">
            <v>8.1199999999999992</v>
          </cell>
          <cell r="H4378">
            <v>45474</v>
          </cell>
          <cell r="I4378">
            <v>0.6166666666666667</v>
          </cell>
          <cell r="J4378">
            <v>25.132222222222222</v>
          </cell>
        </row>
        <row r="4379">
          <cell r="B4379">
            <v>15.37</v>
          </cell>
          <cell r="C4379">
            <v>37.51</v>
          </cell>
          <cell r="D4379">
            <v>14.79</v>
          </cell>
          <cell r="E4379">
            <v>8.41</v>
          </cell>
          <cell r="H4379">
            <v>45474</v>
          </cell>
          <cell r="I4379">
            <v>0.62777777777777777</v>
          </cell>
          <cell r="J4379">
            <v>24.944444444444443</v>
          </cell>
        </row>
        <row r="4380">
          <cell r="B4380">
            <v>15.67</v>
          </cell>
          <cell r="C4380">
            <v>42.39</v>
          </cell>
          <cell r="D4380">
            <v>14.51</v>
          </cell>
          <cell r="E4380">
            <v>8.4499999999999993</v>
          </cell>
          <cell r="H4380">
            <v>45474</v>
          </cell>
          <cell r="I4380">
            <v>0.63888888888888884</v>
          </cell>
          <cell r="J4380">
            <v>25.036666666666665</v>
          </cell>
        </row>
        <row r="4381">
          <cell r="B4381">
            <v>17.190000000000001</v>
          </cell>
          <cell r="C4381">
            <v>41.56</v>
          </cell>
          <cell r="D4381">
            <v>15.77</v>
          </cell>
          <cell r="E4381">
            <v>8.86</v>
          </cell>
          <cell r="H4381">
            <v>45474</v>
          </cell>
          <cell r="I4381">
            <v>0.64000000000000012</v>
          </cell>
          <cell r="J4381">
            <v>25.208888888888886</v>
          </cell>
        </row>
        <row r="4382">
          <cell r="B4382">
            <v>17.28</v>
          </cell>
          <cell r="C4382">
            <v>47.11</v>
          </cell>
          <cell r="D4382">
            <v>16.309999999999999</v>
          </cell>
          <cell r="E4382">
            <v>9.08</v>
          </cell>
          <cell r="H4382">
            <v>45474</v>
          </cell>
          <cell r="I4382">
            <v>0.63555555555555565</v>
          </cell>
          <cell r="J4382">
            <v>25.195555555555554</v>
          </cell>
        </row>
        <row r="4383">
          <cell r="B4383">
            <v>16.309999999999999</v>
          </cell>
          <cell r="C4383">
            <v>47.28</v>
          </cell>
          <cell r="D4383">
            <v>16.11</v>
          </cell>
          <cell r="E4383">
            <v>8.94</v>
          </cell>
          <cell r="H4383">
            <v>45474</v>
          </cell>
          <cell r="I4383">
            <v>0.63444444444444459</v>
          </cell>
          <cell r="J4383">
            <v>25.332222222222224</v>
          </cell>
        </row>
        <row r="4384">
          <cell r="B4384">
            <v>15.94</v>
          </cell>
          <cell r="C4384">
            <v>44.88</v>
          </cell>
          <cell r="D4384">
            <v>16.82</v>
          </cell>
          <cell r="E4384">
            <v>9.0299999999999994</v>
          </cell>
          <cell r="H4384">
            <v>45474</v>
          </cell>
          <cell r="I4384">
            <v>0.6333333333333333</v>
          </cell>
          <cell r="J4384">
            <v>25.314444444444447</v>
          </cell>
        </row>
        <row r="4385">
          <cell r="B4385">
            <v>15.52</v>
          </cell>
          <cell r="C4385">
            <v>43.35</v>
          </cell>
          <cell r="D4385">
            <v>15.97</v>
          </cell>
          <cell r="E4385">
            <v>8.36</v>
          </cell>
          <cell r="H4385">
            <v>45474</v>
          </cell>
          <cell r="I4385">
            <v>0.63111111111111107</v>
          </cell>
          <cell r="J4385">
            <v>25.508888888888887</v>
          </cell>
        </row>
        <row r="4386">
          <cell r="B4386">
            <v>15.74</v>
          </cell>
          <cell r="C4386">
            <v>40.770000000000003</v>
          </cell>
          <cell r="D4386">
            <v>15.78</v>
          </cell>
          <cell r="E4386">
            <v>8.49</v>
          </cell>
          <cell r="H4386">
            <v>45474</v>
          </cell>
          <cell r="I4386">
            <v>0.62222222222222223</v>
          </cell>
          <cell r="J4386">
            <v>25.426666666666669</v>
          </cell>
        </row>
        <row r="4387">
          <cell r="B4387">
            <v>18.25</v>
          </cell>
          <cell r="C4387">
            <v>42.08</v>
          </cell>
          <cell r="D4387">
            <v>14.32</v>
          </cell>
          <cell r="E4387">
            <v>8.66</v>
          </cell>
          <cell r="H4387">
            <v>45474</v>
          </cell>
          <cell r="I4387">
            <v>0.61444444444444446</v>
          </cell>
          <cell r="J4387">
            <v>25.353333333333335</v>
          </cell>
        </row>
        <row r="4388">
          <cell r="B4388">
            <v>19.260000000000002</v>
          </cell>
          <cell r="C4388">
            <v>41.77</v>
          </cell>
          <cell r="D4388">
            <v>14.58</v>
          </cell>
          <cell r="E4388">
            <v>9.17</v>
          </cell>
          <cell r="H4388">
            <v>45474</v>
          </cell>
          <cell r="I4388">
            <v>0.60888888888888881</v>
          </cell>
          <cell r="J4388">
            <v>25.39</v>
          </cell>
        </row>
        <row r="4389">
          <cell r="B4389">
            <v>95.55</v>
          </cell>
          <cell r="C4389">
            <v>39.909999999999997</v>
          </cell>
          <cell r="D4389">
            <v>14.88</v>
          </cell>
          <cell r="E4389">
            <v>9.1</v>
          </cell>
          <cell r="H4389">
            <v>45474</v>
          </cell>
          <cell r="I4389">
            <v>0.61111111111111116</v>
          </cell>
          <cell r="J4389">
            <v>25.205555555555559</v>
          </cell>
        </row>
        <row r="4390">
          <cell r="B4390">
            <v>28.72</v>
          </cell>
          <cell r="C4390">
            <v>53.32</v>
          </cell>
          <cell r="D4390">
            <v>15.12</v>
          </cell>
          <cell r="E4390">
            <v>8.76</v>
          </cell>
          <cell r="H4390">
            <v>45474</v>
          </cell>
          <cell r="I4390">
            <v>0.61555555555555563</v>
          </cell>
          <cell r="J4390">
            <v>24.779999999999998</v>
          </cell>
        </row>
        <row r="4391">
          <cell r="B4391">
            <v>21.04</v>
          </cell>
          <cell r="C4391">
            <v>39.14</v>
          </cell>
          <cell r="D4391">
            <v>14.63</v>
          </cell>
          <cell r="E4391">
            <v>8.8699999999999992</v>
          </cell>
          <cell r="H4391">
            <v>45474</v>
          </cell>
          <cell r="I4391">
            <v>0.62222222222222223</v>
          </cell>
          <cell r="J4391">
            <v>24.403333333333332</v>
          </cell>
        </row>
        <row r="4392">
          <cell r="B4392">
            <v>18</v>
          </cell>
          <cell r="C4392">
            <v>39.07</v>
          </cell>
          <cell r="D4392">
            <v>13.99</v>
          </cell>
          <cell r="E4392">
            <v>8.81</v>
          </cell>
          <cell r="H4392">
            <v>45474</v>
          </cell>
          <cell r="I4392">
            <v>0.62333333333333341</v>
          </cell>
          <cell r="J4392">
            <v>23.839999999999996</v>
          </cell>
        </row>
        <row r="4393">
          <cell r="B4393">
            <v>17.29</v>
          </cell>
          <cell r="C4393">
            <v>36.659999999999997</v>
          </cell>
          <cell r="D4393">
            <v>13.49</v>
          </cell>
          <cell r="E4393">
            <v>8.64</v>
          </cell>
          <cell r="H4393">
            <v>45474</v>
          </cell>
          <cell r="I4393">
            <v>0.62000000000000011</v>
          </cell>
          <cell r="J4393">
            <v>23.41333333333333</v>
          </cell>
        </row>
        <row r="4394">
          <cell r="B4394">
            <v>16.8</v>
          </cell>
          <cell r="C4394">
            <v>37.25</v>
          </cell>
          <cell r="D4394">
            <v>13.29</v>
          </cell>
          <cell r="E4394">
            <v>8.5</v>
          </cell>
          <cell r="H4394">
            <v>45475</v>
          </cell>
          <cell r="I4394">
            <v>0.62</v>
          </cell>
          <cell r="J4394">
            <v>22.926666666666666</v>
          </cell>
        </row>
        <row r="4395">
          <cell r="B4395">
            <v>18.239999999999998</v>
          </cell>
          <cell r="C4395">
            <v>40.54</v>
          </cell>
          <cell r="D4395">
            <v>13.05</v>
          </cell>
          <cell r="E4395">
            <v>8.36</v>
          </cell>
          <cell r="H4395">
            <v>45475</v>
          </cell>
          <cell r="I4395">
            <v>0.62666666666666659</v>
          </cell>
          <cell r="J4395">
            <v>22.689999999999994</v>
          </cell>
        </row>
        <row r="4396">
          <cell r="B4396">
            <v>17.05</v>
          </cell>
          <cell r="C4396">
            <v>35.56</v>
          </cell>
          <cell r="D4396">
            <v>12.91</v>
          </cell>
          <cell r="E4396">
            <v>8.1300000000000008</v>
          </cell>
          <cell r="H4396">
            <v>45475</v>
          </cell>
          <cell r="I4396">
            <v>0.63111111111111096</v>
          </cell>
          <cell r="J4396">
            <v>22.511111111111106</v>
          </cell>
        </row>
        <row r="4397">
          <cell r="B4397">
            <v>15.31</v>
          </cell>
          <cell r="C4397">
            <v>32.47</v>
          </cell>
          <cell r="D4397">
            <v>12.85</v>
          </cell>
          <cell r="E4397">
            <v>8.11</v>
          </cell>
          <cell r="H4397">
            <v>45475</v>
          </cell>
          <cell r="I4397">
            <v>0.63222222222222213</v>
          </cell>
          <cell r="J4397">
            <v>22.427777777777777</v>
          </cell>
        </row>
        <row r="4398">
          <cell r="B4398">
            <v>15.02</v>
          </cell>
          <cell r="C4398">
            <v>29.32</v>
          </cell>
          <cell r="D4398">
            <v>13.32</v>
          </cell>
          <cell r="E4398">
            <v>7.95</v>
          </cell>
          <cell r="H4398">
            <v>45475</v>
          </cell>
          <cell r="I4398">
            <v>0.62555555555555553</v>
          </cell>
          <cell r="J4398">
            <v>22.603333333333339</v>
          </cell>
        </row>
        <row r="4399">
          <cell r="B4399">
            <v>17.09</v>
          </cell>
          <cell r="C4399">
            <v>30.93</v>
          </cell>
          <cell r="D4399">
            <v>13.22</v>
          </cell>
          <cell r="E4399">
            <v>8.0500000000000007</v>
          </cell>
          <cell r="H4399">
            <v>45475</v>
          </cell>
          <cell r="I4399">
            <v>0.62555555555555553</v>
          </cell>
          <cell r="J4399">
            <v>22.808888888888887</v>
          </cell>
        </row>
        <row r="4400">
          <cell r="B4400">
            <v>17.66</v>
          </cell>
          <cell r="C4400">
            <v>34.08</v>
          </cell>
          <cell r="D4400">
            <v>13.51</v>
          </cell>
          <cell r="E4400">
            <v>8.3800000000000008</v>
          </cell>
          <cell r="H4400">
            <v>45475</v>
          </cell>
          <cell r="I4400">
            <v>0.62777777777777777</v>
          </cell>
          <cell r="J4400">
            <v>22.712222222222223</v>
          </cell>
        </row>
        <row r="4401">
          <cell r="B4401">
            <v>16.82</v>
          </cell>
          <cell r="C4401">
            <v>36.61</v>
          </cell>
          <cell r="D4401">
            <v>13.75</v>
          </cell>
          <cell r="E4401">
            <v>8.2200000000000006</v>
          </cell>
          <cell r="H4401">
            <v>45475</v>
          </cell>
          <cell r="I4401">
            <v>0.63222222222222235</v>
          </cell>
          <cell r="J4401">
            <v>22.672222222222224</v>
          </cell>
        </row>
        <row r="4402">
          <cell r="B4402">
            <v>17.579999999999998</v>
          </cell>
          <cell r="C4402">
            <v>38.590000000000003</v>
          </cell>
          <cell r="D4402">
            <v>13.78</v>
          </cell>
          <cell r="E4402">
            <v>8.14</v>
          </cell>
          <cell r="H4402">
            <v>45475</v>
          </cell>
          <cell r="I4402">
            <v>0.64555555555555566</v>
          </cell>
          <cell r="J4402">
            <v>22.630000000000003</v>
          </cell>
        </row>
        <row r="4403">
          <cell r="B4403">
            <v>17.3</v>
          </cell>
          <cell r="C4403">
            <v>37.92</v>
          </cell>
          <cell r="D4403">
            <v>14.06</v>
          </cell>
          <cell r="E4403">
            <v>8.31</v>
          </cell>
          <cell r="H4403">
            <v>45475</v>
          </cell>
          <cell r="I4403">
            <v>0.65222222222222215</v>
          </cell>
          <cell r="J4403">
            <v>22.61888888888889</v>
          </cell>
        </row>
        <row r="4404">
          <cell r="B4404">
            <v>16.88</v>
          </cell>
          <cell r="C4404">
            <v>41.07</v>
          </cell>
          <cell r="D4404">
            <v>13.91</v>
          </cell>
          <cell r="E4404">
            <v>8.3699999999999992</v>
          </cell>
          <cell r="H4404">
            <v>45475</v>
          </cell>
          <cell r="I4404">
            <v>0.65333333333333332</v>
          </cell>
          <cell r="J4404">
            <v>22.805555555555557</v>
          </cell>
        </row>
        <row r="4405">
          <cell r="B4405">
            <v>16.2</v>
          </cell>
          <cell r="C4405">
            <v>44.68</v>
          </cell>
          <cell r="D4405">
            <v>16.61</v>
          </cell>
          <cell r="E4405">
            <v>8.6199999999999992</v>
          </cell>
          <cell r="H4405">
            <v>45475</v>
          </cell>
          <cell r="I4405">
            <v>0.65333333333333332</v>
          </cell>
          <cell r="J4405">
            <v>23.084444444444447</v>
          </cell>
        </row>
        <row r="4406">
          <cell r="B4406">
            <v>16.77</v>
          </cell>
          <cell r="C4406">
            <v>46.72</v>
          </cell>
          <cell r="D4406">
            <v>17.079999999999998</v>
          </cell>
          <cell r="E4406">
            <v>8.8000000000000007</v>
          </cell>
          <cell r="H4406">
            <v>45475</v>
          </cell>
          <cell r="I4406">
            <v>0.6544444444444445</v>
          </cell>
          <cell r="J4406">
            <v>23.356666666666669</v>
          </cell>
        </row>
        <row r="4407">
          <cell r="B4407">
            <v>14.6</v>
          </cell>
          <cell r="C4407">
            <v>45.01</v>
          </cell>
          <cell r="D4407">
            <v>17.059999999999999</v>
          </cell>
          <cell r="E4407">
            <v>8.89</v>
          </cell>
          <cell r="H4407">
            <v>45475</v>
          </cell>
          <cell r="I4407">
            <v>0.66000000000000014</v>
          </cell>
          <cell r="J4407">
            <v>23.702222222222222</v>
          </cell>
        </row>
        <row r="4408">
          <cell r="B4408">
            <v>14.63</v>
          </cell>
          <cell r="C4408">
            <v>45.09</v>
          </cell>
          <cell r="D4408">
            <v>16.52</v>
          </cell>
          <cell r="E4408">
            <v>8.65</v>
          </cell>
          <cell r="H4408">
            <v>45475</v>
          </cell>
          <cell r="I4408">
            <v>0.66444444444444428</v>
          </cell>
          <cell r="J4408">
            <v>23.987777777777776</v>
          </cell>
        </row>
        <row r="4409">
          <cell r="B4409">
            <v>15.39</v>
          </cell>
          <cell r="C4409">
            <v>45.12</v>
          </cell>
          <cell r="D4409">
            <v>16.45</v>
          </cell>
          <cell r="E4409">
            <v>8.1199999999999992</v>
          </cell>
          <cell r="H4409">
            <v>45475</v>
          </cell>
          <cell r="I4409">
            <v>0.66555555555555557</v>
          </cell>
          <cell r="J4409">
            <v>24.513333333333335</v>
          </cell>
        </row>
        <row r="4410">
          <cell r="B4410">
            <v>15.66</v>
          </cell>
          <cell r="C4410">
            <v>44.76</v>
          </cell>
          <cell r="D4410">
            <v>16.71</v>
          </cell>
          <cell r="E4410">
            <v>7.97</v>
          </cell>
          <cell r="H4410">
            <v>45475</v>
          </cell>
          <cell r="I4410">
            <v>0.66666666666666663</v>
          </cell>
          <cell r="J4410">
            <v>24.988888888888894</v>
          </cell>
        </row>
        <row r="4411">
          <cell r="B4411">
            <v>18.420000000000002</v>
          </cell>
          <cell r="C4411">
            <v>49.74</v>
          </cell>
          <cell r="D4411">
            <v>17.899999999999999</v>
          </cell>
          <cell r="E4411">
            <v>7.4</v>
          </cell>
          <cell r="H4411">
            <v>45475</v>
          </cell>
          <cell r="I4411">
            <v>0.66888888888888887</v>
          </cell>
          <cell r="J4411">
            <v>25.515555555555562</v>
          </cell>
        </row>
        <row r="4412">
          <cell r="B4412">
            <v>21.47</v>
          </cell>
          <cell r="C4412">
            <v>55.28</v>
          </cell>
          <cell r="D4412">
            <v>18.52</v>
          </cell>
          <cell r="E4412">
            <v>7.51</v>
          </cell>
          <cell r="H4412">
            <v>45475</v>
          </cell>
          <cell r="I4412">
            <v>0.67555555555555558</v>
          </cell>
          <cell r="J4412">
            <v>25.915555555555557</v>
          </cell>
        </row>
        <row r="4413">
          <cell r="B4413">
            <v>20.329999999999998</v>
          </cell>
          <cell r="C4413">
            <v>50.59</v>
          </cell>
          <cell r="D4413">
            <v>18.89</v>
          </cell>
          <cell r="E4413">
            <v>7.51</v>
          </cell>
          <cell r="H4413">
            <v>45475</v>
          </cell>
          <cell r="I4413">
            <v>0.68333333333333335</v>
          </cell>
          <cell r="J4413">
            <v>26.006666666666664</v>
          </cell>
        </row>
        <row r="4414">
          <cell r="B4414">
            <v>21.39</v>
          </cell>
          <cell r="C4414">
            <v>52.47</v>
          </cell>
          <cell r="D4414">
            <v>19.05</v>
          </cell>
          <cell r="E4414">
            <v>7.72</v>
          </cell>
          <cell r="H4414">
            <v>45475</v>
          </cell>
          <cell r="I4414">
            <v>0.69111111111111123</v>
          </cell>
          <cell r="J4414">
            <v>25.971111111111114</v>
          </cell>
        </row>
        <row r="4415">
          <cell r="B4415">
            <v>22.84</v>
          </cell>
          <cell r="C4415">
            <v>51.43</v>
          </cell>
          <cell r="D4415">
            <v>18.899999999999999</v>
          </cell>
          <cell r="E4415">
            <v>7.74</v>
          </cell>
          <cell r="H4415">
            <v>45475</v>
          </cell>
          <cell r="I4415">
            <v>0.69444444444444442</v>
          </cell>
          <cell r="J4415">
            <v>25.93</v>
          </cell>
        </row>
        <row r="4416">
          <cell r="B4416">
            <v>23.32</v>
          </cell>
          <cell r="C4416">
            <v>51.92</v>
          </cell>
          <cell r="D4416">
            <v>18.54</v>
          </cell>
          <cell r="E4416">
            <v>7.59</v>
          </cell>
          <cell r="H4416">
            <v>45475</v>
          </cell>
          <cell r="I4416">
            <v>0.69111111111111112</v>
          </cell>
          <cell r="J4416">
            <v>25.614444444444441</v>
          </cell>
        </row>
        <row r="4417">
          <cell r="B4417">
            <v>23.03</v>
          </cell>
          <cell r="C4417">
            <v>49.28</v>
          </cell>
          <cell r="D4417">
            <v>18.3</v>
          </cell>
          <cell r="E4417">
            <v>7.61</v>
          </cell>
          <cell r="H4417">
            <v>45475</v>
          </cell>
          <cell r="I4417">
            <v>0.68333333333333335</v>
          </cell>
          <cell r="J4417">
            <v>25.353333333333339</v>
          </cell>
        </row>
        <row r="4418">
          <cell r="B4418">
            <v>22.1</v>
          </cell>
          <cell r="C4418">
            <v>45.75</v>
          </cell>
          <cell r="D4418">
            <v>18.12</v>
          </cell>
          <cell r="E4418">
            <v>7.46</v>
          </cell>
          <cell r="H4418">
            <v>45476</v>
          </cell>
          <cell r="I4418">
            <v>0.68</v>
          </cell>
          <cell r="J4418">
            <v>25.164444444444445</v>
          </cell>
        </row>
        <row r="4419">
          <cell r="B4419">
            <v>22.71</v>
          </cell>
          <cell r="C4419">
            <v>46.96</v>
          </cell>
          <cell r="D4419">
            <v>17.8</v>
          </cell>
          <cell r="E4419">
            <v>7.59</v>
          </cell>
          <cell r="H4419">
            <v>45476</v>
          </cell>
          <cell r="I4419">
            <v>0.6777777777777777</v>
          </cell>
          <cell r="J4419">
            <v>25.007777777777775</v>
          </cell>
        </row>
        <row r="4420">
          <cell r="B4420">
            <v>22.58</v>
          </cell>
          <cell r="C4420">
            <v>47.72</v>
          </cell>
          <cell r="D4420">
            <v>17.72</v>
          </cell>
          <cell r="E4420">
            <v>7.62</v>
          </cell>
          <cell r="H4420">
            <v>45476</v>
          </cell>
          <cell r="I4420">
            <v>0.6711111111111111</v>
          </cell>
          <cell r="J4420">
            <v>24.793333333333333</v>
          </cell>
        </row>
        <row r="4421">
          <cell r="B4421">
            <v>22.78</v>
          </cell>
          <cell r="C4421">
            <v>47.38</v>
          </cell>
          <cell r="D4421">
            <v>18.71</v>
          </cell>
          <cell r="E4421">
            <v>7.17</v>
          </cell>
          <cell r="H4421">
            <v>45476</v>
          </cell>
          <cell r="I4421">
            <v>0.66222222222222227</v>
          </cell>
          <cell r="J4421">
            <v>24.736666666666665</v>
          </cell>
        </row>
        <row r="4422">
          <cell r="B4422">
            <v>20.100000000000001</v>
          </cell>
          <cell r="C4422">
            <v>44.01</v>
          </cell>
          <cell r="D4422">
            <v>19.02</v>
          </cell>
          <cell r="E4422">
            <v>6.81</v>
          </cell>
          <cell r="H4422">
            <v>45476</v>
          </cell>
          <cell r="I4422">
            <v>0.66333333333333344</v>
          </cell>
          <cell r="J4422">
            <v>24.822222222222219</v>
          </cell>
        </row>
        <row r="4423">
          <cell r="B4423">
            <v>21.12</v>
          </cell>
          <cell r="C4423">
            <v>43.66</v>
          </cell>
          <cell r="D4423">
            <v>19.22</v>
          </cell>
          <cell r="E4423">
            <v>6.94</v>
          </cell>
          <cell r="H4423">
            <v>45476</v>
          </cell>
          <cell r="I4423">
            <v>0.66666666666666663</v>
          </cell>
          <cell r="J4423">
            <v>24.871111111111112</v>
          </cell>
        </row>
        <row r="4424">
          <cell r="B4424">
            <v>21.4</v>
          </cell>
          <cell r="C4424">
            <v>45.2</v>
          </cell>
          <cell r="D4424">
            <v>19.55</v>
          </cell>
          <cell r="E4424">
            <v>7.09</v>
          </cell>
          <cell r="H4424">
            <v>45476</v>
          </cell>
          <cell r="I4424">
            <v>0.6711111111111111</v>
          </cell>
          <cell r="J4424">
            <v>24.837777777777781</v>
          </cell>
        </row>
        <row r="4425">
          <cell r="B4425">
            <v>20.309999999999999</v>
          </cell>
          <cell r="C4425">
            <v>44.13</v>
          </cell>
          <cell r="D4425">
            <v>18.61</v>
          </cell>
          <cell r="E4425">
            <v>7.75</v>
          </cell>
          <cell r="H4425">
            <v>45476</v>
          </cell>
          <cell r="I4425">
            <v>0.67333333333333334</v>
          </cell>
          <cell r="J4425">
            <v>24.763333333333335</v>
          </cell>
        </row>
        <row r="4426">
          <cell r="B4426">
            <v>20.170000000000002</v>
          </cell>
          <cell r="C4426">
            <v>45.25</v>
          </cell>
          <cell r="D4426">
            <v>18.63</v>
          </cell>
          <cell r="E4426">
            <v>7.65</v>
          </cell>
          <cell r="H4426">
            <v>45476</v>
          </cell>
          <cell r="I4426">
            <v>0.67999999999999994</v>
          </cell>
          <cell r="J4426">
            <v>24.735555555555557</v>
          </cell>
        </row>
        <row r="4427">
          <cell r="B4427">
            <v>19.66</v>
          </cell>
          <cell r="C4427">
            <v>43.55</v>
          </cell>
          <cell r="D4427">
            <v>17.34</v>
          </cell>
          <cell r="E4427">
            <v>8.23</v>
          </cell>
          <cell r="H4427">
            <v>45476</v>
          </cell>
          <cell r="I4427">
            <v>0.681111111111111</v>
          </cell>
          <cell r="J4427">
            <v>24.766666666666666</v>
          </cell>
        </row>
        <row r="4428">
          <cell r="B4428">
            <v>19.73</v>
          </cell>
          <cell r="C4428">
            <v>44.4</v>
          </cell>
          <cell r="D4428">
            <v>16.940000000000001</v>
          </cell>
          <cell r="E4428">
            <v>8.51</v>
          </cell>
          <cell r="H4428">
            <v>45476</v>
          </cell>
          <cell r="I4428">
            <v>0.68333333333333324</v>
          </cell>
          <cell r="J4428">
            <v>24.785555555555558</v>
          </cell>
        </row>
        <row r="4429">
          <cell r="B4429">
            <v>17.61</v>
          </cell>
          <cell r="C4429">
            <v>42.41</v>
          </cell>
          <cell r="D4429">
            <v>16.45</v>
          </cell>
          <cell r="E4429">
            <v>8.7899999999999991</v>
          </cell>
          <cell r="H4429">
            <v>45476</v>
          </cell>
          <cell r="I4429">
            <v>0.69111111111111112</v>
          </cell>
          <cell r="J4429">
            <v>25.036666666666669</v>
          </cell>
        </row>
        <row r="4430">
          <cell r="B4430">
            <v>16.7</v>
          </cell>
          <cell r="C4430">
            <v>48.23</v>
          </cell>
          <cell r="D4430">
            <v>16.829999999999998</v>
          </cell>
          <cell r="E4430">
            <v>8.61</v>
          </cell>
          <cell r="H4430">
            <v>45476</v>
          </cell>
          <cell r="I4430">
            <v>0.69777777777777772</v>
          </cell>
          <cell r="J4430">
            <v>25.373333333333331</v>
          </cell>
        </row>
        <row r="4431">
          <cell r="B4431">
            <v>16.96</v>
          </cell>
          <cell r="C4431">
            <v>51.19</v>
          </cell>
          <cell r="D4431">
            <v>16.760000000000002</v>
          </cell>
          <cell r="E4431">
            <v>8.7799999999999994</v>
          </cell>
          <cell r="H4431">
            <v>45476</v>
          </cell>
          <cell r="I4431">
            <v>0.69666666666666666</v>
          </cell>
          <cell r="J4431">
            <v>25.505555555555553</v>
          </cell>
        </row>
        <row r="4432">
          <cell r="B4432">
            <v>17.53</v>
          </cell>
          <cell r="C4432">
            <v>48.69</v>
          </cell>
          <cell r="D4432">
            <v>16.739999999999998</v>
          </cell>
          <cell r="E4432">
            <v>8.58</v>
          </cell>
          <cell r="H4432">
            <v>45476</v>
          </cell>
          <cell r="I4432">
            <v>0.70111111111111113</v>
          </cell>
          <cell r="J4432">
            <v>25.574444444444438</v>
          </cell>
        </row>
        <row r="4433">
          <cell r="B4433">
            <v>19.98</v>
          </cell>
          <cell r="C4433">
            <v>44.13</v>
          </cell>
          <cell r="D4433">
            <v>16.98</v>
          </cell>
          <cell r="E4433">
            <v>8.5399999999999991</v>
          </cell>
          <cell r="H4433">
            <v>45476</v>
          </cell>
          <cell r="I4433">
            <v>0.70333333333333337</v>
          </cell>
          <cell r="J4433">
            <v>25.684444444444441</v>
          </cell>
        </row>
        <row r="4434">
          <cell r="B4434">
            <v>18.8</v>
          </cell>
          <cell r="C4434">
            <v>49.46</v>
          </cell>
          <cell r="D4434">
            <v>16.850000000000001</v>
          </cell>
          <cell r="E4434">
            <v>8.51</v>
          </cell>
          <cell r="H4434">
            <v>45476</v>
          </cell>
          <cell r="I4434">
            <v>0.69777777777777783</v>
          </cell>
          <cell r="J4434">
            <v>25.897777777777776</v>
          </cell>
        </row>
        <row r="4435">
          <cell r="B4435">
            <v>19.399999999999999</v>
          </cell>
          <cell r="C4435">
            <v>52.97</v>
          </cell>
          <cell r="D4435">
            <v>17.649999999999999</v>
          </cell>
          <cell r="E4435">
            <v>8.48</v>
          </cell>
          <cell r="H4435">
            <v>45476</v>
          </cell>
          <cell r="I4435">
            <v>0.70111111111111113</v>
          </cell>
          <cell r="J4435">
            <v>25.914444444444445</v>
          </cell>
        </row>
        <row r="4436">
          <cell r="B4436">
            <v>21.67</v>
          </cell>
          <cell r="C4436">
            <v>52.45</v>
          </cell>
          <cell r="D4436">
            <v>17.77</v>
          </cell>
          <cell r="E4436">
            <v>8.49</v>
          </cell>
          <cell r="H4436">
            <v>45476</v>
          </cell>
          <cell r="I4436">
            <v>0.70555555555555538</v>
          </cell>
          <cell r="J4436">
            <v>25.700000000000003</v>
          </cell>
        </row>
        <row r="4437">
          <cell r="B4437">
            <v>21.71</v>
          </cell>
          <cell r="C4437">
            <v>43.65</v>
          </cell>
          <cell r="D4437">
            <v>18.739999999999998</v>
          </cell>
          <cell r="E4437">
            <v>8.58</v>
          </cell>
          <cell r="H4437">
            <v>45476</v>
          </cell>
          <cell r="I4437">
            <v>0.71222222222222209</v>
          </cell>
          <cell r="J4437">
            <v>25.310000000000002</v>
          </cell>
        </row>
        <row r="4438">
          <cell r="B4438">
            <v>22.58</v>
          </cell>
          <cell r="C4438">
            <v>51.93</v>
          </cell>
          <cell r="D4438">
            <v>19.059999999999999</v>
          </cell>
          <cell r="E4438">
            <v>8.64</v>
          </cell>
          <cell r="H4438">
            <v>45476</v>
          </cell>
          <cell r="I4438">
            <v>0.70888888888888879</v>
          </cell>
          <cell r="J4438">
            <v>24.642222222222227</v>
          </cell>
        </row>
        <row r="4439">
          <cell r="B4439">
            <v>25.02</v>
          </cell>
          <cell r="C4439">
            <v>51.3</v>
          </cell>
          <cell r="D4439">
            <v>18.72</v>
          </cell>
          <cell r="E4439">
            <v>8.64</v>
          </cell>
          <cell r="H4439">
            <v>45476</v>
          </cell>
          <cell r="I4439">
            <v>0.70666666666666667</v>
          </cell>
          <cell r="J4439">
            <v>23.858888888888892</v>
          </cell>
        </row>
        <row r="4440">
          <cell r="B4440">
            <v>19.57</v>
          </cell>
          <cell r="C4440">
            <v>42.3</v>
          </cell>
          <cell r="D4440">
            <v>18.04</v>
          </cell>
          <cell r="E4440">
            <v>8.5500000000000007</v>
          </cell>
          <cell r="H4440">
            <v>45476</v>
          </cell>
          <cell r="I4440">
            <v>0.69555555555555548</v>
          </cell>
          <cell r="J4440">
            <v>23.325555555555557</v>
          </cell>
        </row>
        <row r="4441">
          <cell r="B4441">
            <v>16.28</v>
          </cell>
          <cell r="C4441">
            <v>37.83</v>
          </cell>
          <cell r="D4441">
            <v>17.649999999999999</v>
          </cell>
          <cell r="E4441">
            <v>8.69</v>
          </cell>
          <cell r="H4441">
            <v>45476</v>
          </cell>
          <cell r="I4441">
            <v>0.67666666666666664</v>
          </cell>
          <cell r="J4441">
            <v>22.926666666666669</v>
          </cell>
        </row>
        <row r="4442">
          <cell r="B4442">
            <v>15.48</v>
          </cell>
          <cell r="C4442">
            <v>36.33</v>
          </cell>
          <cell r="D4442">
            <v>17.079999999999998</v>
          </cell>
          <cell r="E4442">
            <v>8.56</v>
          </cell>
          <cell r="H4442">
            <v>45477</v>
          </cell>
          <cell r="I4442">
            <v>0.66222222222222227</v>
          </cell>
          <cell r="J4442">
            <v>22.592222222222222</v>
          </cell>
        </row>
        <row r="4443">
          <cell r="B4443">
            <v>15.46</v>
          </cell>
          <cell r="C4443">
            <v>34.01</v>
          </cell>
          <cell r="D4443">
            <v>16.940000000000001</v>
          </cell>
          <cell r="E4443">
            <v>8.2799999999999994</v>
          </cell>
          <cell r="H4443">
            <v>45477</v>
          </cell>
          <cell r="I4443">
            <v>0.6644444444444445</v>
          </cell>
          <cell r="J4443">
            <v>22.296666666666667</v>
          </cell>
        </row>
        <row r="4444">
          <cell r="B4444">
            <v>16.649999999999999</v>
          </cell>
          <cell r="C4444">
            <v>36.94</v>
          </cell>
          <cell r="D4444">
            <v>16.489999999999998</v>
          </cell>
          <cell r="E4444">
            <v>8.14</v>
          </cell>
          <cell r="H4444">
            <v>45477</v>
          </cell>
          <cell r="I4444">
            <v>0.65777777777777791</v>
          </cell>
          <cell r="J4444">
            <v>22.19222222222222</v>
          </cell>
        </row>
        <row r="4445">
          <cell r="B4445">
            <v>14.79</v>
          </cell>
          <cell r="C4445">
            <v>33.35</v>
          </cell>
          <cell r="D4445">
            <v>16.61</v>
          </cell>
          <cell r="E4445">
            <v>8.1999999999999993</v>
          </cell>
          <cell r="H4445">
            <v>45477</v>
          </cell>
          <cell r="I4445">
            <v>0.6544444444444445</v>
          </cell>
          <cell r="J4445">
            <v>22.21222222222222</v>
          </cell>
        </row>
        <row r="4446">
          <cell r="B4446">
            <v>12.64</v>
          </cell>
          <cell r="C4446">
            <v>33.01</v>
          </cell>
          <cell r="D4446">
            <v>16.78</v>
          </cell>
          <cell r="E4446">
            <v>8.2200000000000006</v>
          </cell>
          <cell r="H4446">
            <v>45477</v>
          </cell>
          <cell r="I4446">
            <v>0.64666666666666672</v>
          </cell>
          <cell r="J4446">
            <v>22.416666666666664</v>
          </cell>
        </row>
        <row r="4447">
          <cell r="B4447">
            <v>13.69</v>
          </cell>
          <cell r="C4447">
            <v>35.43</v>
          </cell>
          <cell r="D4447">
            <v>16.91</v>
          </cell>
          <cell r="E4447">
            <v>8.3000000000000007</v>
          </cell>
          <cell r="H4447">
            <v>45477</v>
          </cell>
          <cell r="I4447">
            <v>0.64222222222222225</v>
          </cell>
          <cell r="J4447">
            <v>22.646666666666665</v>
          </cell>
        </row>
        <row r="4448">
          <cell r="B4448">
            <v>14.98</v>
          </cell>
          <cell r="C4448">
            <v>32.53</v>
          </cell>
          <cell r="D4448">
            <v>17.14</v>
          </cell>
          <cell r="E4448">
            <v>8.1300000000000008</v>
          </cell>
          <cell r="H4448">
            <v>45477</v>
          </cell>
          <cell r="I4448">
            <v>0.64</v>
          </cell>
          <cell r="J4448">
            <v>22.749999999999996</v>
          </cell>
        </row>
        <row r="4449">
          <cell r="B4449">
            <v>15.99</v>
          </cell>
          <cell r="C4449">
            <v>27.32</v>
          </cell>
          <cell r="D4449">
            <v>17.77</v>
          </cell>
          <cell r="E4449">
            <v>7.52</v>
          </cell>
          <cell r="H4449">
            <v>45477</v>
          </cell>
          <cell r="I4449">
            <v>0.64222222222222214</v>
          </cell>
          <cell r="J4449">
            <v>22.817777777777778</v>
          </cell>
        </row>
        <row r="4450">
          <cell r="B4450">
            <v>18.64</v>
          </cell>
          <cell r="C4450">
            <v>30.19</v>
          </cell>
          <cell r="D4450">
            <v>17.239999999999998</v>
          </cell>
          <cell r="E4450">
            <v>7.43</v>
          </cell>
          <cell r="H4450">
            <v>45477</v>
          </cell>
          <cell r="I4450">
            <v>0.64</v>
          </cell>
          <cell r="J4450">
            <v>22.950000000000003</v>
          </cell>
        </row>
        <row r="4451">
          <cell r="B4451">
            <v>17.32</v>
          </cell>
          <cell r="C4451">
            <v>40.31</v>
          </cell>
          <cell r="D4451">
            <v>17.690000000000001</v>
          </cell>
          <cell r="E4451">
            <v>7.8</v>
          </cell>
          <cell r="H4451">
            <v>45477</v>
          </cell>
          <cell r="I4451">
            <v>0.64777777777777779</v>
          </cell>
          <cell r="J4451">
            <v>23.104444444444447</v>
          </cell>
        </row>
        <row r="4452">
          <cell r="B4452">
            <v>17.98</v>
          </cell>
          <cell r="C4452">
            <v>41.91</v>
          </cell>
          <cell r="D4452">
            <v>14.88</v>
          </cell>
          <cell r="E4452">
            <v>8.11</v>
          </cell>
          <cell r="H4452">
            <v>45477</v>
          </cell>
          <cell r="I4452">
            <v>0.64777777777777779</v>
          </cell>
          <cell r="J4452">
            <v>23.287777777777777</v>
          </cell>
        </row>
        <row r="4453">
          <cell r="B4453">
            <v>15.51</v>
          </cell>
          <cell r="C4453">
            <v>42.94</v>
          </cell>
          <cell r="D4453">
            <v>16.61</v>
          </cell>
          <cell r="E4453">
            <v>8.33</v>
          </cell>
          <cell r="H4453">
            <v>45477</v>
          </cell>
          <cell r="I4453">
            <v>0.65</v>
          </cell>
          <cell r="J4453">
            <v>23.433333333333334</v>
          </cell>
        </row>
        <row r="4454">
          <cell r="B4454">
            <v>13.99</v>
          </cell>
          <cell r="C4454">
            <v>39.4</v>
          </cell>
          <cell r="D4454">
            <v>16.73</v>
          </cell>
          <cell r="E4454">
            <v>8.84</v>
          </cell>
          <cell r="H4454">
            <v>45477</v>
          </cell>
          <cell r="I4454">
            <v>0.6511111111111112</v>
          </cell>
          <cell r="J4454">
            <v>23.815555555555555</v>
          </cell>
        </row>
        <row r="4455">
          <cell r="B4455">
            <v>13.55</v>
          </cell>
          <cell r="C4455">
            <v>48.09</v>
          </cell>
          <cell r="D4455">
            <v>17.010000000000002</v>
          </cell>
          <cell r="E4455">
            <v>8.4499999999999993</v>
          </cell>
          <cell r="H4455">
            <v>45477</v>
          </cell>
          <cell r="I4455">
            <v>0.6544444444444445</v>
          </cell>
          <cell r="J4455">
            <v>24.325555555555553</v>
          </cell>
        </row>
        <row r="4456">
          <cell r="B4456">
            <v>15.01</v>
          </cell>
          <cell r="C4456">
            <v>48.79</v>
          </cell>
          <cell r="D4456">
            <v>16.68</v>
          </cell>
          <cell r="E4456">
            <v>8.35</v>
          </cell>
          <cell r="H4456">
            <v>45477</v>
          </cell>
          <cell r="I4456">
            <v>0.66111111111111098</v>
          </cell>
          <cell r="J4456">
            <v>24.876666666666665</v>
          </cell>
        </row>
        <row r="4457">
          <cell r="B4457">
            <v>16.84</v>
          </cell>
          <cell r="C4457">
            <v>47.94</v>
          </cell>
          <cell r="D4457">
            <v>16.93</v>
          </cell>
          <cell r="E4457">
            <v>8.1</v>
          </cell>
          <cell r="H4457">
            <v>45477</v>
          </cell>
          <cell r="I4457">
            <v>0.66333333333333333</v>
          </cell>
          <cell r="J4457">
            <v>25.446666666666665</v>
          </cell>
        </row>
        <row r="4458">
          <cell r="B4458">
            <v>18.29</v>
          </cell>
          <cell r="C4458">
            <v>48.48</v>
          </cell>
          <cell r="D4458">
            <v>17.09</v>
          </cell>
          <cell r="E4458">
            <v>8.56</v>
          </cell>
          <cell r="H4458">
            <v>45477</v>
          </cell>
          <cell r="I4458">
            <v>0.66888888888888909</v>
          </cell>
          <cell r="J4458">
            <v>25.926666666666662</v>
          </cell>
        </row>
        <row r="4459">
          <cell r="B4459">
            <v>18.559999999999999</v>
          </cell>
          <cell r="C4459">
            <v>52.31</v>
          </cell>
          <cell r="D4459">
            <v>16.79</v>
          </cell>
          <cell r="E4459">
            <v>9</v>
          </cell>
          <cell r="H4459">
            <v>45477</v>
          </cell>
          <cell r="I4459">
            <v>0.6822222222222224</v>
          </cell>
          <cell r="J4459">
            <v>26.252222222222219</v>
          </cell>
        </row>
        <row r="4460">
          <cell r="B4460">
            <v>19.239999999999998</v>
          </cell>
          <cell r="C4460">
            <v>57.8</v>
          </cell>
          <cell r="D4460">
            <v>16.77</v>
          </cell>
          <cell r="E4460">
            <v>8.84</v>
          </cell>
          <cell r="H4460">
            <v>45477</v>
          </cell>
          <cell r="I4460">
            <v>0.68777777777777771</v>
          </cell>
          <cell r="J4460">
            <v>26.748888888888885</v>
          </cell>
        </row>
        <row r="4461">
          <cell r="B4461">
            <v>19.940000000000001</v>
          </cell>
          <cell r="C4461">
            <v>59.14</v>
          </cell>
          <cell r="D4461">
            <v>17.079999999999998</v>
          </cell>
          <cell r="E4461">
            <v>8.6199999999999992</v>
          </cell>
          <cell r="H4461">
            <v>45477</v>
          </cell>
          <cell r="I4461">
            <v>0.70222222222222219</v>
          </cell>
          <cell r="J4461">
            <v>26.917777777777776</v>
          </cell>
        </row>
        <row r="4462">
          <cell r="B4462">
            <v>23.01</v>
          </cell>
          <cell r="C4462">
            <v>58.94</v>
          </cell>
          <cell r="D4462">
            <v>16.97</v>
          </cell>
          <cell r="E4462">
            <v>8.69</v>
          </cell>
          <cell r="H4462">
            <v>45477</v>
          </cell>
          <cell r="I4462">
            <v>0.70777777777777773</v>
          </cell>
          <cell r="J4462">
            <v>26.905555555555559</v>
          </cell>
        </row>
        <row r="4463">
          <cell r="B4463">
            <v>22.4</v>
          </cell>
          <cell r="C4463">
            <v>51.41</v>
          </cell>
          <cell r="D4463">
            <v>16.82</v>
          </cell>
          <cell r="E4463">
            <v>8.91</v>
          </cell>
          <cell r="H4463">
            <v>45477</v>
          </cell>
          <cell r="I4463">
            <v>0.71333333333333326</v>
          </cell>
          <cell r="J4463">
            <v>26.605555555555561</v>
          </cell>
        </row>
        <row r="4464">
          <cell r="B4464">
            <v>23.67</v>
          </cell>
          <cell r="C4464">
            <v>48.46</v>
          </cell>
          <cell r="D4464">
            <v>16.72</v>
          </cell>
          <cell r="E4464">
            <v>8.86</v>
          </cell>
          <cell r="H4464">
            <v>45477</v>
          </cell>
          <cell r="I4464">
            <v>0.71222222222222209</v>
          </cell>
          <cell r="J4464">
            <v>26.108888888888892</v>
          </cell>
        </row>
        <row r="4465">
          <cell r="B4465">
            <v>22.15</v>
          </cell>
          <cell r="C4465">
            <v>44.13</v>
          </cell>
          <cell r="D4465">
            <v>15.23</v>
          </cell>
          <cell r="E4465">
            <v>8.4499999999999993</v>
          </cell>
          <cell r="H4465">
            <v>45477</v>
          </cell>
          <cell r="I4465">
            <v>0.70333333333333325</v>
          </cell>
          <cell r="J4465">
            <v>25.59888888888889</v>
          </cell>
        </row>
        <row r="4466">
          <cell r="B4466">
            <v>20.170000000000002</v>
          </cell>
          <cell r="C4466">
            <v>43.04</v>
          </cell>
          <cell r="D4466">
            <v>14.54</v>
          </cell>
          <cell r="E4466">
            <v>8.31</v>
          </cell>
          <cell r="H4466">
            <v>45478</v>
          </cell>
          <cell r="I4466">
            <v>0.68777777777777771</v>
          </cell>
          <cell r="J4466">
            <v>25.235555555555557</v>
          </cell>
        </row>
        <row r="4467">
          <cell r="B4467">
            <v>21.35</v>
          </cell>
          <cell r="C4467">
            <v>48.81</v>
          </cell>
          <cell r="D4467">
            <v>14.43</v>
          </cell>
          <cell r="E4467">
            <v>8.56</v>
          </cell>
          <cell r="H4467">
            <v>45478</v>
          </cell>
          <cell r="I4467">
            <v>0.67333333333333334</v>
          </cell>
          <cell r="J4467">
            <v>24.873333333333335</v>
          </cell>
        </row>
        <row r="4468">
          <cell r="B4468">
            <v>22.56</v>
          </cell>
          <cell r="C4468">
            <v>52.84</v>
          </cell>
          <cell r="D4468">
            <v>14.25</v>
          </cell>
          <cell r="E4468">
            <v>8.66</v>
          </cell>
          <cell r="H4468">
            <v>45478</v>
          </cell>
          <cell r="I4468">
            <v>0.65888888888888908</v>
          </cell>
          <cell r="J4468">
            <v>24.562222222222221</v>
          </cell>
        </row>
        <row r="4469">
          <cell r="B4469">
            <v>20.46</v>
          </cell>
          <cell r="C4469">
            <v>46.15</v>
          </cell>
          <cell r="D4469">
            <v>14.18</v>
          </cell>
          <cell r="E4469">
            <v>8.6</v>
          </cell>
          <cell r="H4469">
            <v>45478</v>
          </cell>
          <cell r="I4469">
            <v>0.64444444444444449</v>
          </cell>
          <cell r="J4469">
            <v>23.977777777777774</v>
          </cell>
        </row>
        <row r="4470">
          <cell r="B4470">
            <v>19.11</v>
          </cell>
          <cell r="C4470">
            <v>44.21</v>
          </cell>
          <cell r="D4470">
            <v>14.37</v>
          </cell>
          <cell r="E4470">
            <v>8.6199999999999992</v>
          </cell>
          <cell r="H4470">
            <v>45478</v>
          </cell>
          <cell r="I4470">
            <v>0.62666666666666659</v>
          </cell>
          <cell r="J4470">
            <v>23.614444444444441</v>
          </cell>
        </row>
        <row r="4471">
          <cell r="B4471">
            <v>18.68</v>
          </cell>
          <cell r="C4471">
            <v>41.64</v>
          </cell>
          <cell r="D4471">
            <v>15.11</v>
          </cell>
          <cell r="E4471">
            <v>8.56</v>
          </cell>
          <cell r="H4471">
            <v>45478</v>
          </cell>
          <cell r="I4471">
            <v>0.62</v>
          </cell>
          <cell r="J4471">
            <v>23.407777777777778</v>
          </cell>
        </row>
        <row r="4472">
          <cell r="B4472">
            <v>18.760000000000002</v>
          </cell>
          <cell r="C4472">
            <v>44.61</v>
          </cell>
          <cell r="D4472">
            <v>16.29</v>
          </cell>
          <cell r="E4472">
            <v>8.73</v>
          </cell>
          <cell r="H4472">
            <v>45478</v>
          </cell>
          <cell r="I4472">
            <v>0.62</v>
          </cell>
          <cell r="J4472">
            <v>23.182222222222222</v>
          </cell>
        </row>
        <row r="4473">
          <cell r="B4473">
            <v>21.37</v>
          </cell>
          <cell r="C4473">
            <v>47.17</v>
          </cell>
          <cell r="D4473">
            <v>16.48</v>
          </cell>
          <cell r="E4473">
            <v>7.25</v>
          </cell>
          <cell r="H4473">
            <v>45478</v>
          </cell>
          <cell r="I4473">
            <v>0.61555555555555552</v>
          </cell>
          <cell r="J4473">
            <v>23.213333333333335</v>
          </cell>
        </row>
        <row r="4474">
          <cell r="B4474">
            <v>21.87</v>
          </cell>
          <cell r="C4474">
            <v>47.75</v>
          </cell>
          <cell r="D4474">
            <v>16.59</v>
          </cell>
          <cell r="E4474">
            <v>7.56</v>
          </cell>
          <cell r="H4474">
            <v>45478</v>
          </cell>
          <cell r="I4474">
            <v>0.62666666666666671</v>
          </cell>
          <cell r="J4474">
            <v>23.25</v>
          </cell>
        </row>
        <row r="4475">
          <cell r="B4475">
            <v>21.44</v>
          </cell>
          <cell r="C4475">
            <v>46.06</v>
          </cell>
          <cell r="D4475">
            <v>16.329999999999998</v>
          </cell>
          <cell r="E4475">
            <v>7.49</v>
          </cell>
          <cell r="H4475">
            <v>45478</v>
          </cell>
          <cell r="I4475">
            <v>0.64444444444444438</v>
          </cell>
          <cell r="J4475">
            <v>23.257777777777775</v>
          </cell>
        </row>
        <row r="4476">
          <cell r="B4476">
            <v>19.38</v>
          </cell>
          <cell r="C4476">
            <v>46.73</v>
          </cell>
          <cell r="D4476">
            <v>16.34</v>
          </cell>
          <cell r="E4476">
            <v>8.34</v>
          </cell>
          <cell r="H4476">
            <v>45478</v>
          </cell>
          <cell r="I4476">
            <v>0.65333333333333321</v>
          </cell>
          <cell r="J4476">
            <v>23.36</v>
          </cell>
        </row>
        <row r="4477">
          <cell r="B4477">
            <v>17.87</v>
          </cell>
          <cell r="C4477">
            <v>46.67</v>
          </cell>
          <cell r="D4477">
            <v>16.38</v>
          </cell>
          <cell r="E4477">
            <v>8.27</v>
          </cell>
          <cell r="H4477">
            <v>45478</v>
          </cell>
          <cell r="I4477">
            <v>0.65999999999999992</v>
          </cell>
          <cell r="J4477">
            <v>23.531111111111112</v>
          </cell>
        </row>
        <row r="4478">
          <cell r="B4478">
            <v>17.7</v>
          </cell>
          <cell r="C4478">
            <v>48.62</v>
          </cell>
          <cell r="D4478">
            <v>16.18</v>
          </cell>
          <cell r="E4478">
            <v>8.18</v>
          </cell>
          <cell r="H4478">
            <v>45478</v>
          </cell>
          <cell r="I4478">
            <v>0.66333333333333333</v>
          </cell>
          <cell r="J4478">
            <v>23.916666666666668</v>
          </cell>
        </row>
        <row r="4479">
          <cell r="B4479">
            <v>17.309999999999999</v>
          </cell>
          <cell r="C4479">
            <v>48.03</v>
          </cell>
          <cell r="D4479">
            <v>16.93</v>
          </cell>
          <cell r="E4479">
            <v>8.56</v>
          </cell>
          <cell r="H4479">
            <v>45478</v>
          </cell>
          <cell r="I4479">
            <v>0.66999999999999993</v>
          </cell>
          <cell r="J4479">
            <v>24.05777777777778</v>
          </cell>
        </row>
        <row r="4480">
          <cell r="B4480">
            <v>15.99</v>
          </cell>
          <cell r="C4480">
            <v>47.27</v>
          </cell>
          <cell r="D4480">
            <v>16.989999999999998</v>
          </cell>
          <cell r="E4480">
            <v>8.67</v>
          </cell>
          <cell r="H4480">
            <v>45478</v>
          </cell>
          <cell r="I4480">
            <v>0.68111111111111111</v>
          </cell>
          <cell r="J4480">
            <v>24.143333333333334</v>
          </cell>
        </row>
        <row r="4481">
          <cell r="B4481">
            <v>16</v>
          </cell>
          <cell r="C4481">
            <v>51.56</v>
          </cell>
          <cell r="D4481">
            <v>17.02</v>
          </cell>
          <cell r="E4481">
            <v>8.25</v>
          </cell>
          <cell r="H4481">
            <v>45478</v>
          </cell>
          <cell r="I4481">
            <v>0.68444444444444441</v>
          </cell>
          <cell r="J4481">
            <v>24.340000000000007</v>
          </cell>
        </row>
        <row r="4482">
          <cell r="B4482">
            <v>15.14</v>
          </cell>
          <cell r="C4482">
            <v>52.41</v>
          </cell>
          <cell r="D4482">
            <v>16.87</v>
          </cell>
          <cell r="E4482">
            <v>8.4</v>
          </cell>
          <cell r="H4482">
            <v>45478</v>
          </cell>
          <cell r="I4482">
            <v>0.69222222222222218</v>
          </cell>
          <cell r="J4482">
            <v>24.328888888888887</v>
          </cell>
        </row>
        <row r="4483">
          <cell r="B4483">
            <v>14.94</v>
          </cell>
          <cell r="C4483">
            <v>49.69</v>
          </cell>
          <cell r="D4483">
            <v>16.7</v>
          </cell>
          <cell r="E4483">
            <v>8.58</v>
          </cell>
          <cell r="H4483">
            <v>45478</v>
          </cell>
          <cell r="I4483">
            <v>0.69</v>
          </cell>
          <cell r="J4483">
            <v>24.243333333333332</v>
          </cell>
        </row>
        <row r="4484">
          <cell r="B4484">
            <v>15.49</v>
          </cell>
          <cell r="C4484">
            <v>52.21</v>
          </cell>
          <cell r="D4484">
            <v>17.260000000000002</v>
          </cell>
          <cell r="E4484">
            <v>9.4499999999999993</v>
          </cell>
          <cell r="H4484">
            <v>45478</v>
          </cell>
          <cell r="I4484">
            <v>0.69444444444444442</v>
          </cell>
          <cell r="J4484">
            <v>23.941111111111113</v>
          </cell>
        </row>
        <row r="4485">
          <cell r="B4485">
            <v>19.52</v>
          </cell>
          <cell r="C4485">
            <v>52.74</v>
          </cell>
          <cell r="D4485">
            <v>18.11</v>
          </cell>
          <cell r="E4485">
            <v>9.59</v>
          </cell>
          <cell r="H4485">
            <v>45478</v>
          </cell>
          <cell r="I4485">
            <v>0.71000000000000008</v>
          </cell>
          <cell r="J4485">
            <v>23.378888888888891</v>
          </cell>
        </row>
        <row r="4486">
          <cell r="B4486">
            <v>17.28</v>
          </cell>
          <cell r="C4486">
            <v>37.54</v>
          </cell>
          <cell r="D4486">
            <v>18.34</v>
          </cell>
          <cell r="E4486">
            <v>9.52</v>
          </cell>
          <cell r="H4486">
            <v>45478</v>
          </cell>
          <cell r="I4486">
            <v>0.72888888888888892</v>
          </cell>
          <cell r="J4486">
            <v>22.704444444444444</v>
          </cell>
        </row>
        <row r="4487">
          <cell r="B4487">
            <v>16.13</v>
          </cell>
          <cell r="C4487">
            <v>37.04</v>
          </cell>
          <cell r="D4487">
            <v>18.18</v>
          </cell>
          <cell r="E4487">
            <v>9.5299999999999994</v>
          </cell>
          <cell r="H4487">
            <v>45478</v>
          </cell>
          <cell r="I4487">
            <v>0.74444444444444435</v>
          </cell>
          <cell r="J4487">
            <v>21.894444444444442</v>
          </cell>
        </row>
        <row r="4488">
          <cell r="B4488">
            <v>16.05</v>
          </cell>
          <cell r="C4488">
            <v>36.78</v>
          </cell>
          <cell r="D4488">
            <v>18.13</v>
          </cell>
          <cell r="E4488">
            <v>9.64</v>
          </cell>
          <cell r="H4488">
            <v>45478</v>
          </cell>
          <cell r="I4488">
            <v>0.74888888888888883</v>
          </cell>
          <cell r="J4488">
            <v>21.365555555555559</v>
          </cell>
        </row>
        <row r="4489">
          <cell r="B4489">
            <v>16.809999999999999</v>
          </cell>
          <cell r="C4489">
            <v>41.13</v>
          </cell>
          <cell r="D4489">
            <v>17.809999999999999</v>
          </cell>
          <cell r="E4489">
            <v>9.27</v>
          </cell>
          <cell r="H4489">
            <v>45478</v>
          </cell>
          <cell r="I4489">
            <v>0.74888888888888883</v>
          </cell>
          <cell r="J4489">
            <v>20.895555555555557</v>
          </cell>
        </row>
        <row r="4490">
          <cell r="B4490">
            <v>14.8</v>
          </cell>
          <cell r="C4490">
            <v>38.11</v>
          </cell>
          <cell r="D4490">
            <v>17.98</v>
          </cell>
          <cell r="E4490">
            <v>9.32</v>
          </cell>
          <cell r="H4490">
            <v>45479</v>
          </cell>
          <cell r="I4490">
            <v>0.73777777777777764</v>
          </cell>
          <cell r="J4490">
            <v>20.517777777777777</v>
          </cell>
        </row>
        <row r="4491">
          <cell r="B4491">
            <v>13.23</v>
          </cell>
          <cell r="C4491">
            <v>39.11</v>
          </cell>
          <cell r="D4491">
            <v>17.55</v>
          </cell>
          <cell r="E4491">
            <v>9.24</v>
          </cell>
          <cell r="H4491">
            <v>45479</v>
          </cell>
          <cell r="I4491">
            <v>0.73444444444444434</v>
          </cell>
          <cell r="J4491">
            <v>20.205555555555556</v>
          </cell>
        </row>
        <row r="4492">
          <cell r="B4492">
            <v>13.94</v>
          </cell>
          <cell r="C4492">
            <v>34.99</v>
          </cell>
          <cell r="D4492">
            <v>17.739999999999998</v>
          </cell>
          <cell r="E4492">
            <v>9.2799999999999994</v>
          </cell>
          <cell r="H4492">
            <v>45479</v>
          </cell>
          <cell r="I4492">
            <v>0.73222222222222222</v>
          </cell>
          <cell r="J4492">
            <v>19.936666666666667</v>
          </cell>
        </row>
        <row r="4493">
          <cell r="B4493">
            <v>14.59</v>
          </cell>
          <cell r="C4493">
            <v>36.020000000000003</v>
          </cell>
          <cell r="D4493">
            <v>17.47</v>
          </cell>
          <cell r="E4493">
            <v>9.36</v>
          </cell>
          <cell r="H4493">
            <v>45479</v>
          </cell>
          <cell r="I4493">
            <v>0.72111111111111115</v>
          </cell>
          <cell r="J4493">
            <v>19.916666666666668</v>
          </cell>
        </row>
        <row r="4494">
          <cell r="B4494">
            <v>14.65</v>
          </cell>
          <cell r="C4494">
            <v>38.89</v>
          </cell>
          <cell r="D4494">
            <v>17.059999999999999</v>
          </cell>
          <cell r="E4494">
            <v>9.74</v>
          </cell>
          <cell r="H4494">
            <v>45479</v>
          </cell>
          <cell r="I4494">
            <v>0.70666666666666678</v>
          </cell>
          <cell r="J4494">
            <v>20.14222222222222</v>
          </cell>
        </row>
        <row r="4495">
          <cell r="B4495">
            <v>13.83</v>
          </cell>
          <cell r="C4495">
            <v>35.76</v>
          </cell>
          <cell r="D4495">
            <v>17.21</v>
          </cell>
          <cell r="E4495">
            <v>9.5500000000000007</v>
          </cell>
          <cell r="H4495">
            <v>45479</v>
          </cell>
          <cell r="I4495">
            <v>0.69000000000000006</v>
          </cell>
          <cell r="J4495">
            <v>20.513333333333335</v>
          </cell>
        </row>
        <row r="4496">
          <cell r="B4496">
            <v>13.09</v>
          </cell>
          <cell r="C4496">
            <v>37.770000000000003</v>
          </cell>
          <cell r="D4496">
            <v>17.579999999999998</v>
          </cell>
          <cell r="E4496">
            <v>9.49</v>
          </cell>
          <cell r="H4496">
            <v>45479</v>
          </cell>
          <cell r="I4496">
            <v>0.68222222222222229</v>
          </cell>
          <cell r="J4496">
            <v>20.78</v>
          </cell>
        </row>
        <row r="4497">
          <cell r="B4497">
            <v>13.52</v>
          </cell>
          <cell r="C4497">
            <v>38.1</v>
          </cell>
          <cell r="D4497">
            <v>17.899999999999999</v>
          </cell>
          <cell r="E4497">
            <v>9.39</v>
          </cell>
          <cell r="H4497">
            <v>45479</v>
          </cell>
          <cell r="I4497">
            <v>0.68111111111111122</v>
          </cell>
          <cell r="J4497">
            <v>21.072222222222223</v>
          </cell>
        </row>
        <row r="4498">
          <cell r="B4498">
            <v>13.72</v>
          </cell>
          <cell r="C4498">
            <v>39.54</v>
          </cell>
          <cell r="D4498">
            <v>17.62</v>
          </cell>
          <cell r="E4498">
            <v>9.41</v>
          </cell>
          <cell r="H4498">
            <v>45479</v>
          </cell>
          <cell r="I4498">
            <v>0.68</v>
          </cell>
          <cell r="J4498">
            <v>21.36</v>
          </cell>
        </row>
        <row r="4499">
          <cell r="B4499">
            <v>15.99</v>
          </cell>
          <cell r="C4499">
            <v>42.93</v>
          </cell>
          <cell r="D4499">
            <v>17.72</v>
          </cell>
          <cell r="E4499">
            <v>9.2799999999999994</v>
          </cell>
          <cell r="H4499">
            <v>45479</v>
          </cell>
          <cell r="I4499">
            <v>0.68777777777777771</v>
          </cell>
          <cell r="J4499">
            <v>21.543333333333333</v>
          </cell>
        </row>
        <row r="4500">
          <cell r="B4500">
            <v>17.09</v>
          </cell>
          <cell r="C4500">
            <v>47.46</v>
          </cell>
          <cell r="D4500">
            <v>17.88</v>
          </cell>
          <cell r="E4500">
            <v>9.1999999999999993</v>
          </cell>
          <cell r="H4500">
            <v>45479</v>
          </cell>
          <cell r="I4500">
            <v>0.68555555555555558</v>
          </cell>
          <cell r="J4500">
            <v>21.77333333333333</v>
          </cell>
        </row>
        <row r="4501">
          <cell r="B4501">
            <v>16.190000000000001</v>
          </cell>
          <cell r="C4501">
            <v>47.54</v>
          </cell>
          <cell r="D4501">
            <v>17.04</v>
          </cell>
          <cell r="E4501">
            <v>9.3800000000000008</v>
          </cell>
          <cell r="H4501">
            <v>45479</v>
          </cell>
          <cell r="I4501">
            <v>0.68444444444444441</v>
          </cell>
          <cell r="J4501">
            <v>22.225555555555555</v>
          </cell>
        </row>
        <row r="4502">
          <cell r="B4502">
            <v>15.91</v>
          </cell>
          <cell r="C4502">
            <v>52.85</v>
          </cell>
          <cell r="D4502">
            <v>17.239999999999998</v>
          </cell>
          <cell r="E4502">
            <v>9.4700000000000006</v>
          </cell>
          <cell r="H4502">
            <v>45479</v>
          </cell>
          <cell r="I4502">
            <v>0.68777777777777771</v>
          </cell>
          <cell r="J4502">
            <v>22.693333333333335</v>
          </cell>
        </row>
        <row r="4503">
          <cell r="B4503">
            <v>15.76</v>
          </cell>
          <cell r="C4503">
            <v>51.33</v>
          </cell>
          <cell r="D4503">
            <v>17.37</v>
          </cell>
          <cell r="E4503">
            <v>9.4499999999999993</v>
          </cell>
          <cell r="H4503">
            <v>45479</v>
          </cell>
          <cell r="I4503">
            <v>0.69222222222222207</v>
          </cell>
          <cell r="J4503">
            <v>23.155555555555559</v>
          </cell>
        </row>
        <row r="4504">
          <cell r="B4504">
            <v>25.3</v>
          </cell>
          <cell r="C4504">
            <v>64.83</v>
          </cell>
          <cell r="D4504">
            <v>17.420000000000002</v>
          </cell>
          <cell r="E4504">
            <v>9.75</v>
          </cell>
          <cell r="H4504">
            <v>45479</v>
          </cell>
          <cell r="I4504">
            <v>0.69555555555555548</v>
          </cell>
          <cell r="J4504">
            <v>23.497777777777781</v>
          </cell>
        </row>
        <row r="4505">
          <cell r="B4505">
            <v>47.59</v>
          </cell>
          <cell r="C4505">
            <v>97.34</v>
          </cell>
          <cell r="D4505">
            <v>17.88</v>
          </cell>
          <cell r="E4505">
            <v>9.24</v>
          </cell>
          <cell r="H4505">
            <v>45479</v>
          </cell>
          <cell r="I4505">
            <v>0.68555555555555547</v>
          </cell>
          <cell r="J4505">
            <v>23.921111111111109</v>
          </cell>
        </row>
        <row r="4506">
          <cell r="B4506">
            <v>35.17</v>
          </cell>
          <cell r="C4506">
            <v>85.5</v>
          </cell>
          <cell r="D4506">
            <v>17.93</v>
          </cell>
          <cell r="E4506">
            <v>9.35</v>
          </cell>
          <cell r="H4506">
            <v>45479</v>
          </cell>
          <cell r="I4506">
            <v>0.68777777777777771</v>
          </cell>
          <cell r="J4506">
            <v>24.202222222222225</v>
          </cell>
        </row>
        <row r="4507">
          <cell r="B4507">
            <v>40.25</v>
          </cell>
          <cell r="C4507">
            <v>95.7</v>
          </cell>
          <cell r="D4507">
            <v>17.87</v>
          </cell>
          <cell r="E4507">
            <v>9.15</v>
          </cell>
          <cell r="H4507">
            <v>45479</v>
          </cell>
          <cell r="I4507">
            <v>0.67999999999999994</v>
          </cell>
          <cell r="J4507">
            <v>24.484444444444446</v>
          </cell>
        </row>
        <row r="4508">
          <cell r="B4508">
            <v>28.82</v>
          </cell>
          <cell r="C4508">
            <v>77.59</v>
          </cell>
          <cell r="D4508">
            <v>18.2</v>
          </cell>
          <cell r="E4508">
            <v>9.1999999999999993</v>
          </cell>
          <cell r="H4508">
            <v>45479</v>
          </cell>
          <cell r="I4508">
            <v>0.67666666666666664</v>
          </cell>
          <cell r="J4508">
            <v>24.736666666666668</v>
          </cell>
        </row>
        <row r="4509">
          <cell r="B4509">
            <v>39.979999999999997</v>
          </cell>
          <cell r="C4509">
            <v>91.64</v>
          </cell>
          <cell r="D4509">
            <v>18.25</v>
          </cell>
          <cell r="E4509">
            <v>8.81</v>
          </cell>
          <cell r="H4509">
            <v>45479</v>
          </cell>
          <cell r="I4509">
            <v>0.67999999999999994</v>
          </cell>
          <cell r="J4509">
            <v>24.727777777777778</v>
          </cell>
        </row>
        <row r="4510">
          <cell r="B4510">
            <v>26.7</v>
          </cell>
          <cell r="C4510">
            <v>65.849999999999994</v>
          </cell>
          <cell r="D4510">
            <v>18.75</v>
          </cell>
          <cell r="E4510">
            <v>8.99</v>
          </cell>
          <cell r="H4510">
            <v>45479</v>
          </cell>
          <cell r="I4510">
            <v>0.67999999999999994</v>
          </cell>
          <cell r="J4510">
            <v>24.455555555555556</v>
          </cell>
        </row>
        <row r="4511">
          <cell r="B4511">
            <v>26.46</v>
          </cell>
          <cell r="C4511">
            <v>60.47</v>
          </cell>
          <cell r="D4511">
            <v>18.940000000000001</v>
          </cell>
          <cell r="E4511">
            <v>9</v>
          </cell>
          <cell r="H4511">
            <v>45479</v>
          </cell>
          <cell r="I4511">
            <v>0.6777777777777777</v>
          </cell>
          <cell r="J4511">
            <v>24.064444444444444</v>
          </cell>
        </row>
        <row r="4512">
          <cell r="B4512">
            <v>20.260000000000002</v>
          </cell>
          <cell r="C4512">
            <v>50.76</v>
          </cell>
          <cell r="D4512">
            <v>18.52</v>
          </cell>
          <cell r="E4512">
            <v>8.77</v>
          </cell>
          <cell r="H4512">
            <v>45479</v>
          </cell>
          <cell r="I4512">
            <v>0.67666666666666664</v>
          </cell>
          <cell r="J4512">
            <v>23.733333333333331</v>
          </cell>
        </row>
        <row r="4513">
          <cell r="B4513">
            <v>17.55</v>
          </cell>
          <cell r="C4513">
            <v>45.71</v>
          </cell>
          <cell r="D4513">
            <v>18.03</v>
          </cell>
          <cell r="E4513">
            <v>8.58</v>
          </cell>
          <cell r="H4513">
            <v>45479</v>
          </cell>
          <cell r="I4513">
            <v>0.67</v>
          </cell>
          <cell r="J4513">
            <v>23.607777777777773</v>
          </cell>
        </row>
        <row r="4514">
          <cell r="B4514">
            <v>17</v>
          </cell>
          <cell r="C4514">
            <v>43.21</v>
          </cell>
          <cell r="D4514">
            <v>17.52</v>
          </cell>
          <cell r="E4514">
            <v>9.5500000000000007</v>
          </cell>
          <cell r="H4514">
            <v>45480</v>
          </cell>
          <cell r="I4514">
            <v>0.6644444444444445</v>
          </cell>
          <cell r="J4514">
            <v>23.571111111111108</v>
          </cell>
        </row>
        <row r="4515">
          <cell r="B4515">
            <v>16.57</v>
          </cell>
          <cell r="C4515">
            <v>43</v>
          </cell>
          <cell r="D4515">
            <v>17.39</v>
          </cell>
          <cell r="E4515">
            <v>9.24</v>
          </cell>
          <cell r="H4515">
            <v>45480</v>
          </cell>
          <cell r="I4515">
            <v>0.64888888888888885</v>
          </cell>
          <cell r="J4515">
            <v>23.649999999999995</v>
          </cell>
        </row>
        <row r="4516">
          <cell r="B4516">
            <v>17.420000000000002</v>
          </cell>
          <cell r="C4516">
            <v>43.68</v>
          </cell>
          <cell r="D4516">
            <v>17.22</v>
          </cell>
          <cell r="E4516">
            <v>8.7799999999999994</v>
          </cell>
          <cell r="H4516">
            <v>45480</v>
          </cell>
          <cell r="I4516">
            <v>0.64444444444444438</v>
          </cell>
          <cell r="J4516">
            <v>23.668888888888883</v>
          </cell>
        </row>
        <row r="4517">
          <cell r="B4517">
            <v>16.87</v>
          </cell>
          <cell r="C4517">
            <v>43.36</v>
          </cell>
          <cell r="D4517">
            <v>17.29</v>
          </cell>
          <cell r="E4517">
            <v>8.8000000000000007</v>
          </cell>
          <cell r="H4517">
            <v>45480</v>
          </cell>
          <cell r="I4517">
            <v>0.63777777777777778</v>
          </cell>
          <cell r="J4517">
            <v>23.671111111111106</v>
          </cell>
        </row>
        <row r="4518">
          <cell r="B4518">
            <v>16.96</v>
          </cell>
          <cell r="C4518">
            <v>41.8</v>
          </cell>
          <cell r="D4518">
            <v>17.41</v>
          </cell>
          <cell r="E4518">
            <v>9.19</v>
          </cell>
          <cell r="H4518">
            <v>45480</v>
          </cell>
          <cell r="I4518">
            <v>0.63111111111111118</v>
          </cell>
          <cell r="J4518">
            <v>23.835555555555558</v>
          </cell>
        </row>
        <row r="4519">
          <cell r="B4519">
            <v>16.79</v>
          </cell>
          <cell r="C4519">
            <v>43.9</v>
          </cell>
          <cell r="D4519">
            <v>17.7</v>
          </cell>
          <cell r="E4519">
            <v>9.07</v>
          </cell>
          <cell r="H4519">
            <v>45480</v>
          </cell>
          <cell r="I4519">
            <v>0.62</v>
          </cell>
          <cell r="J4519">
            <v>24.02</v>
          </cell>
        </row>
        <row r="4520">
          <cell r="B4520">
            <v>17.670000000000002</v>
          </cell>
          <cell r="C4520">
            <v>44.08</v>
          </cell>
          <cell r="D4520">
            <v>18.350000000000001</v>
          </cell>
          <cell r="E4520">
            <v>9.27</v>
          </cell>
          <cell r="H4520">
            <v>45480</v>
          </cell>
          <cell r="I4520">
            <v>0.61444444444444446</v>
          </cell>
          <cell r="J4520">
            <v>24.112222222222226</v>
          </cell>
        </row>
        <row r="4521">
          <cell r="B4521">
            <v>18</v>
          </cell>
          <cell r="C4521">
            <v>44.71</v>
          </cell>
          <cell r="D4521">
            <v>18.059999999999999</v>
          </cell>
          <cell r="E4521">
            <v>9.06</v>
          </cell>
          <cell r="H4521">
            <v>45480</v>
          </cell>
          <cell r="I4521">
            <v>0.60888888888888892</v>
          </cell>
          <cell r="J4521">
            <v>24.13666666666667</v>
          </cell>
        </row>
        <row r="4522">
          <cell r="B4522">
            <v>17.22</v>
          </cell>
          <cell r="C4522">
            <v>44.33</v>
          </cell>
          <cell r="D4522">
            <v>17.71</v>
          </cell>
          <cell r="E4522">
            <v>9.19</v>
          </cell>
          <cell r="H4522">
            <v>45480</v>
          </cell>
          <cell r="I4522">
            <v>0.61111111111111116</v>
          </cell>
          <cell r="J4522">
            <v>23.970000000000002</v>
          </cell>
        </row>
        <row r="4523">
          <cell r="B4523">
            <v>19.36</v>
          </cell>
          <cell r="C4523">
            <v>47.25</v>
          </cell>
          <cell r="D4523">
            <v>18.010000000000002</v>
          </cell>
          <cell r="E4523">
            <v>9.35</v>
          </cell>
          <cell r="H4523">
            <v>45480</v>
          </cell>
          <cell r="I4523">
            <v>0.61444444444444446</v>
          </cell>
          <cell r="J4523">
            <v>23.845555555555549</v>
          </cell>
        </row>
        <row r="4524">
          <cell r="B4524">
            <v>17.39</v>
          </cell>
          <cell r="C4524">
            <v>44.08</v>
          </cell>
          <cell r="D4524">
            <v>16.96</v>
          </cell>
          <cell r="E4524">
            <v>9.18</v>
          </cell>
          <cell r="H4524">
            <v>45480</v>
          </cell>
          <cell r="I4524">
            <v>0.60999999999999988</v>
          </cell>
          <cell r="J4524">
            <v>23.877777777777776</v>
          </cell>
        </row>
        <row r="4525">
          <cell r="B4525">
            <v>17.38</v>
          </cell>
          <cell r="C4525">
            <v>49.2</v>
          </cell>
          <cell r="D4525">
            <v>16.43</v>
          </cell>
          <cell r="E4525">
            <v>9.3699999999999992</v>
          </cell>
          <cell r="H4525">
            <v>45480</v>
          </cell>
          <cell r="I4525">
            <v>0.6</v>
          </cell>
          <cell r="J4525">
            <v>23.966666666666669</v>
          </cell>
        </row>
        <row r="4526">
          <cell r="B4526">
            <v>17.03</v>
          </cell>
          <cell r="C4526">
            <v>46.97</v>
          </cell>
          <cell r="D4526">
            <v>17.12</v>
          </cell>
          <cell r="E4526">
            <v>8.93</v>
          </cell>
          <cell r="H4526">
            <v>45480</v>
          </cell>
          <cell r="I4526">
            <v>0.59111111111111103</v>
          </cell>
          <cell r="J4526">
            <v>24.15</v>
          </cell>
        </row>
        <row r="4527">
          <cell r="B4527">
            <v>17.239999999999998</v>
          </cell>
          <cell r="C4527">
            <v>48.75</v>
          </cell>
          <cell r="D4527">
            <v>17.13</v>
          </cell>
          <cell r="E4527">
            <v>8.76</v>
          </cell>
          <cell r="H4527">
            <v>45480</v>
          </cell>
          <cell r="I4527">
            <v>0.58555555555555561</v>
          </cell>
          <cell r="J4527">
            <v>24.446666666666673</v>
          </cell>
        </row>
        <row r="4528">
          <cell r="B4528">
            <v>19.12</v>
          </cell>
          <cell r="C4528">
            <v>53.65</v>
          </cell>
          <cell r="D4528">
            <v>17.23</v>
          </cell>
          <cell r="E4528">
            <v>8.77</v>
          </cell>
          <cell r="H4528">
            <v>45480</v>
          </cell>
          <cell r="I4528">
            <v>0.58333333333333337</v>
          </cell>
          <cell r="J4528">
            <v>24.834444444444447</v>
          </cell>
        </row>
        <row r="4529">
          <cell r="B4529">
            <v>18.170000000000002</v>
          </cell>
          <cell r="C4529">
            <v>52.4</v>
          </cell>
          <cell r="D4529">
            <v>17.579999999999998</v>
          </cell>
          <cell r="E4529">
            <v>9.26</v>
          </cell>
          <cell r="H4529">
            <v>45480</v>
          </cell>
          <cell r="I4529">
            <v>0.59111111111111114</v>
          </cell>
          <cell r="J4529">
            <v>25.222222222222221</v>
          </cell>
        </row>
        <row r="4530">
          <cell r="B4530">
            <v>17.940000000000001</v>
          </cell>
          <cell r="C4530">
            <v>50.71</v>
          </cell>
          <cell r="D4530">
            <v>17.54</v>
          </cell>
          <cell r="E4530">
            <v>8.7100000000000009</v>
          </cell>
          <cell r="H4530">
            <v>45480</v>
          </cell>
          <cell r="I4530">
            <v>0.59666666666666657</v>
          </cell>
          <cell r="J4530">
            <v>25.54</v>
          </cell>
        </row>
        <row r="4531">
          <cell r="B4531">
            <v>18.149999999999999</v>
          </cell>
          <cell r="C4531">
            <v>44.87</v>
          </cell>
          <cell r="D4531">
            <v>15.72</v>
          </cell>
          <cell r="E4531">
            <v>9.01</v>
          </cell>
          <cell r="H4531">
            <v>45480</v>
          </cell>
          <cell r="I4531">
            <v>0.60000000000000009</v>
          </cell>
          <cell r="J4531">
            <v>25.704444444444444</v>
          </cell>
        </row>
        <row r="4532">
          <cell r="B4532">
            <v>17.47</v>
          </cell>
          <cell r="C4532">
            <v>40.89</v>
          </cell>
          <cell r="D4532">
            <v>16.18</v>
          </cell>
          <cell r="E4532">
            <v>9.14</v>
          </cell>
          <cell r="H4532">
            <v>45480</v>
          </cell>
          <cell r="I4532">
            <v>0.60111111111111104</v>
          </cell>
          <cell r="J4532">
            <v>25.62</v>
          </cell>
        </row>
        <row r="4533">
          <cell r="B4533">
            <v>19.95</v>
          </cell>
          <cell r="C4533">
            <v>47.24</v>
          </cell>
          <cell r="D4533">
            <v>15.55</v>
          </cell>
          <cell r="E4533">
            <v>8.99</v>
          </cell>
          <cell r="H4533">
            <v>45480</v>
          </cell>
          <cell r="I4533">
            <v>0.60888888888888892</v>
          </cell>
          <cell r="J4533">
            <v>25.281111111111112</v>
          </cell>
        </row>
        <row r="4534">
          <cell r="B4534">
            <v>19.88</v>
          </cell>
          <cell r="C4534">
            <v>45.68</v>
          </cell>
          <cell r="D4534">
            <v>15.4</v>
          </cell>
          <cell r="E4534">
            <v>9.06</v>
          </cell>
          <cell r="H4534">
            <v>45480</v>
          </cell>
          <cell r="I4534">
            <v>0.61777777777777776</v>
          </cell>
          <cell r="J4534">
            <v>25.163333333333334</v>
          </cell>
        </row>
        <row r="4535">
          <cell r="B4535">
            <v>19.78</v>
          </cell>
          <cell r="C4535">
            <v>45.81</v>
          </cell>
          <cell r="D4535">
            <v>15.63</v>
          </cell>
          <cell r="E4535">
            <v>8.93</v>
          </cell>
          <cell r="H4535">
            <v>45480</v>
          </cell>
          <cell r="I4535">
            <v>0.62555555555555553</v>
          </cell>
          <cell r="J4535">
            <v>24.951111111111111</v>
          </cell>
        </row>
        <row r="4536">
          <cell r="B4536">
            <v>20.51</v>
          </cell>
          <cell r="C4536">
            <v>46.11</v>
          </cell>
          <cell r="D4536">
            <v>15.66</v>
          </cell>
          <cell r="E4536">
            <v>9.01</v>
          </cell>
          <cell r="H4536">
            <v>45480</v>
          </cell>
          <cell r="I4536">
            <v>0.62777777777777777</v>
          </cell>
          <cell r="J4536">
            <v>24.504444444444445</v>
          </cell>
        </row>
        <row r="4537">
          <cell r="B4537">
            <v>21.04</v>
          </cell>
          <cell r="C4537">
            <v>44.89</v>
          </cell>
          <cell r="D4537">
            <v>18.27</v>
          </cell>
          <cell r="E4537">
            <v>8.94</v>
          </cell>
          <cell r="H4537">
            <v>45480</v>
          </cell>
          <cell r="I4537">
            <v>0.62333333333333329</v>
          </cell>
          <cell r="J4537">
            <v>24.142222222222223</v>
          </cell>
        </row>
        <row r="4538">
          <cell r="B4538">
            <v>20.260000000000002</v>
          </cell>
          <cell r="C4538">
            <v>44.33</v>
          </cell>
          <cell r="D4538">
            <v>14.55</v>
          </cell>
          <cell r="E4538">
            <v>9.16</v>
          </cell>
          <cell r="H4538">
            <v>45481</v>
          </cell>
          <cell r="I4538">
            <v>0.60666666666666669</v>
          </cell>
          <cell r="J4538">
            <v>24.002222222222223</v>
          </cell>
        </row>
        <row r="4539">
          <cell r="B4539">
            <v>17.809999999999999</v>
          </cell>
          <cell r="C4539">
            <v>42.33</v>
          </cell>
          <cell r="D4539">
            <v>14.48</v>
          </cell>
          <cell r="E4539">
            <v>9.0399999999999991</v>
          </cell>
          <cell r="H4539">
            <v>45481</v>
          </cell>
          <cell r="I4539">
            <v>0.59444444444444455</v>
          </cell>
          <cell r="J4539">
            <v>23.956666666666667</v>
          </cell>
        </row>
        <row r="4540">
          <cell r="B4540">
            <v>18.23</v>
          </cell>
          <cell r="C4540">
            <v>40.07</v>
          </cell>
          <cell r="D4540">
            <v>14.45</v>
          </cell>
          <cell r="E4540">
            <v>8.86</v>
          </cell>
          <cell r="H4540">
            <v>45481</v>
          </cell>
          <cell r="I4540">
            <v>0.58444444444444443</v>
          </cell>
          <cell r="J4540">
            <v>24.081111111111113</v>
          </cell>
        </row>
        <row r="4541">
          <cell r="B4541">
            <v>18.02</v>
          </cell>
          <cell r="C4541">
            <v>39.54</v>
          </cell>
          <cell r="D4541">
            <v>14.18</v>
          </cell>
          <cell r="E4541">
            <v>8.9</v>
          </cell>
          <cell r="H4541">
            <v>45481</v>
          </cell>
          <cell r="I4541">
            <v>0.58000000000000007</v>
          </cell>
          <cell r="J4541">
            <v>24.307777777777783</v>
          </cell>
        </row>
        <row r="4542">
          <cell r="B4542">
            <v>16.690000000000001</v>
          </cell>
          <cell r="C4542">
            <v>38.200000000000003</v>
          </cell>
          <cell r="D4542">
            <v>14.24</v>
          </cell>
          <cell r="E4542">
            <v>8.86</v>
          </cell>
          <cell r="H4542">
            <v>45481</v>
          </cell>
          <cell r="I4542">
            <v>0.57333333333333336</v>
          </cell>
          <cell r="J4542">
            <v>24.700000000000003</v>
          </cell>
        </row>
        <row r="4543">
          <cell r="B4543">
            <v>14.96</v>
          </cell>
          <cell r="C4543">
            <v>36.130000000000003</v>
          </cell>
          <cell r="D4543">
            <v>14.44</v>
          </cell>
          <cell r="E4543">
            <v>8.9499999999999993</v>
          </cell>
          <cell r="H4543">
            <v>45481</v>
          </cell>
          <cell r="I4543">
            <v>0.56555555555555559</v>
          </cell>
          <cell r="J4543">
            <v>24.813333333333333</v>
          </cell>
        </row>
        <row r="4544">
          <cell r="B4544">
            <v>16.38</v>
          </cell>
          <cell r="C4544">
            <v>36.369999999999997</v>
          </cell>
          <cell r="D4544">
            <v>14.89</v>
          </cell>
          <cell r="E4544">
            <v>9.1</v>
          </cell>
          <cell r="H4544">
            <v>45481</v>
          </cell>
          <cell r="I4544">
            <v>0.56222222222222229</v>
          </cell>
          <cell r="J4544">
            <v>24.845555555555556</v>
          </cell>
        </row>
        <row r="4545">
          <cell r="B4545">
            <v>18.71</v>
          </cell>
          <cell r="C4545">
            <v>41.11</v>
          </cell>
          <cell r="D4545">
            <v>15.34</v>
          </cell>
          <cell r="E4545">
            <v>9</v>
          </cell>
          <cell r="H4545">
            <v>45481</v>
          </cell>
          <cell r="I4545">
            <v>0.56999999999999995</v>
          </cell>
          <cell r="J4545">
            <v>25.27888888888889</v>
          </cell>
        </row>
        <row r="4546">
          <cell r="B4546">
            <v>20.079999999999998</v>
          </cell>
          <cell r="C4546">
            <v>43.77</v>
          </cell>
          <cell r="D4546">
            <v>15.54</v>
          </cell>
          <cell r="E4546">
            <v>9.4499999999999993</v>
          </cell>
          <cell r="H4546">
            <v>45481</v>
          </cell>
          <cell r="I4546">
            <v>0.58777777777777773</v>
          </cell>
          <cell r="J4546">
            <v>25.555555555555557</v>
          </cell>
        </row>
        <row r="4547">
          <cell r="B4547">
            <v>18.93</v>
          </cell>
          <cell r="C4547">
            <v>46.68</v>
          </cell>
          <cell r="D4547">
            <v>15.33</v>
          </cell>
          <cell r="E4547">
            <v>8.9499999999999993</v>
          </cell>
          <cell r="H4547">
            <v>45481</v>
          </cell>
          <cell r="I4547">
            <v>0.60111111111111115</v>
          </cell>
          <cell r="J4547">
            <v>25.812222222222221</v>
          </cell>
        </row>
        <row r="4548">
          <cell r="B4548">
            <v>18</v>
          </cell>
          <cell r="C4548">
            <v>46.11</v>
          </cell>
          <cell r="D4548">
            <v>16.41</v>
          </cell>
          <cell r="E4548">
            <v>8.91</v>
          </cell>
          <cell r="H4548">
            <v>45481</v>
          </cell>
          <cell r="I4548">
            <v>0.61111111111111116</v>
          </cell>
          <cell r="J4548">
            <v>26.028888888888886</v>
          </cell>
        </row>
        <row r="4549">
          <cell r="B4549">
            <v>19.3</v>
          </cell>
          <cell r="C4549">
            <v>48.81</v>
          </cell>
          <cell r="D4549">
            <v>16.37</v>
          </cell>
          <cell r="E4549">
            <v>8.9499999999999993</v>
          </cell>
          <cell r="H4549">
            <v>45481</v>
          </cell>
          <cell r="I4549">
            <v>0.62111111111111117</v>
          </cell>
          <cell r="J4549">
            <v>26.25</v>
          </cell>
        </row>
        <row r="4550">
          <cell r="B4550">
            <v>20.34</v>
          </cell>
          <cell r="C4550">
            <v>52.66</v>
          </cell>
          <cell r="D4550">
            <v>16.59</v>
          </cell>
          <cell r="E4550">
            <v>9.0399999999999991</v>
          </cell>
          <cell r="H4550">
            <v>45481</v>
          </cell>
          <cell r="I4550">
            <v>0.63222222222222224</v>
          </cell>
          <cell r="J4550">
            <v>26.518888888888888</v>
          </cell>
        </row>
        <row r="4551">
          <cell r="B4551">
            <v>20.2</v>
          </cell>
          <cell r="C4551">
            <v>53.91</v>
          </cell>
          <cell r="D4551">
            <v>16.989999999999998</v>
          </cell>
          <cell r="E4551">
            <v>8.8800000000000008</v>
          </cell>
          <cell r="H4551">
            <v>45481</v>
          </cell>
          <cell r="I4551">
            <v>0.64111111111111119</v>
          </cell>
          <cell r="J4551">
            <v>26.824444444444445</v>
          </cell>
        </row>
        <row r="4552">
          <cell r="B4552">
            <v>19</v>
          </cell>
          <cell r="C4552">
            <v>53.38</v>
          </cell>
          <cell r="D4552">
            <v>16.32</v>
          </cell>
          <cell r="E4552">
            <v>8.7799999999999994</v>
          </cell>
          <cell r="H4552">
            <v>45481</v>
          </cell>
          <cell r="I4552">
            <v>0.65222222222222226</v>
          </cell>
          <cell r="J4552">
            <v>27.25</v>
          </cell>
        </row>
        <row r="4553">
          <cell r="B4553">
            <v>20.05</v>
          </cell>
          <cell r="C4553">
            <v>55.36</v>
          </cell>
          <cell r="D4553">
            <v>17.29</v>
          </cell>
          <cell r="E4553">
            <v>8.74</v>
          </cell>
          <cell r="H4553">
            <v>45481</v>
          </cell>
          <cell r="I4553">
            <v>0.66555555555555557</v>
          </cell>
          <cell r="J4553">
            <v>27.723333333333333</v>
          </cell>
        </row>
        <row r="4554">
          <cell r="B4554">
            <v>20.29</v>
          </cell>
          <cell r="C4554">
            <v>53.77</v>
          </cell>
          <cell r="D4554">
            <v>16.97</v>
          </cell>
          <cell r="E4554">
            <v>8.93</v>
          </cell>
          <cell r="H4554">
            <v>45481</v>
          </cell>
          <cell r="I4554">
            <v>0.6677777777777778</v>
          </cell>
          <cell r="J4554">
            <v>27.84333333333333</v>
          </cell>
        </row>
        <row r="4555">
          <cell r="B4555">
            <v>16.93</v>
          </cell>
          <cell r="C4555">
            <v>44.97</v>
          </cell>
          <cell r="D4555">
            <v>17.3</v>
          </cell>
          <cell r="E4555">
            <v>9.02</v>
          </cell>
          <cell r="H4555">
            <v>45481</v>
          </cell>
          <cell r="I4555">
            <v>0.6644444444444445</v>
          </cell>
          <cell r="J4555">
            <v>27.837777777777777</v>
          </cell>
        </row>
        <row r="4556">
          <cell r="B4556">
            <v>16.079999999999998</v>
          </cell>
          <cell r="C4556">
            <v>35.79</v>
          </cell>
          <cell r="D4556">
            <v>16.170000000000002</v>
          </cell>
          <cell r="E4556">
            <v>9.14</v>
          </cell>
          <cell r="H4556">
            <v>45481</v>
          </cell>
          <cell r="I4556">
            <v>0.66888888888888898</v>
          </cell>
          <cell r="J4556">
            <v>27.591111111111111</v>
          </cell>
        </row>
        <row r="4557">
          <cell r="B4557">
            <v>17.8</v>
          </cell>
          <cell r="C4557">
            <v>38.1</v>
          </cell>
          <cell r="D4557">
            <v>16.16</v>
          </cell>
          <cell r="E4557">
            <v>9.02</v>
          </cell>
          <cell r="H4557">
            <v>45481</v>
          </cell>
          <cell r="I4557">
            <v>0.67888888888888888</v>
          </cell>
          <cell r="J4557">
            <v>27.437777777777779</v>
          </cell>
        </row>
        <row r="4558">
          <cell r="B4558">
            <v>17.079999999999998</v>
          </cell>
          <cell r="C4558">
            <v>35.229999999999997</v>
          </cell>
          <cell r="D4558">
            <v>15.5</v>
          </cell>
          <cell r="E4558">
            <v>9.1300000000000008</v>
          </cell>
          <cell r="H4558">
            <v>45481</v>
          </cell>
          <cell r="I4558">
            <v>0.68666666666666676</v>
          </cell>
          <cell r="J4558">
            <v>27.242222222222225</v>
          </cell>
        </row>
        <row r="4559">
          <cell r="B4559">
            <v>17.829999999999998</v>
          </cell>
          <cell r="C4559">
            <v>35.53</v>
          </cell>
          <cell r="D4559">
            <v>15.59</v>
          </cell>
          <cell r="E4559">
            <v>9.2100000000000009</v>
          </cell>
          <cell r="H4559">
            <v>45481</v>
          </cell>
          <cell r="I4559">
            <v>0.69222222222222229</v>
          </cell>
          <cell r="J4559">
            <v>27.005555555555556</v>
          </cell>
        </row>
        <row r="4560">
          <cell r="B4560">
            <v>16.649999999999999</v>
          </cell>
          <cell r="C4560">
            <v>36.96</v>
          </cell>
          <cell r="D4560">
            <v>15.58</v>
          </cell>
          <cell r="E4560">
            <v>9.15</v>
          </cell>
          <cell r="H4560">
            <v>45481</v>
          </cell>
          <cell r="I4560">
            <v>0.69222222222222218</v>
          </cell>
          <cell r="J4560">
            <v>26.654444444444447</v>
          </cell>
        </row>
        <row r="4561">
          <cell r="B4561">
            <v>16.46</v>
          </cell>
          <cell r="C4561">
            <v>39.020000000000003</v>
          </cell>
          <cell r="D4561">
            <v>17.62</v>
          </cell>
          <cell r="E4561">
            <v>8.9700000000000006</v>
          </cell>
          <cell r="H4561">
            <v>45481</v>
          </cell>
          <cell r="I4561">
            <v>0.70111111111111102</v>
          </cell>
          <cell r="J4561">
            <v>26.321111111111112</v>
          </cell>
        </row>
        <row r="4562">
          <cell r="B4562">
            <v>17.309999999999999</v>
          </cell>
          <cell r="C4562">
            <v>39.26</v>
          </cell>
          <cell r="D4562">
            <v>17.399999999999999</v>
          </cell>
          <cell r="E4562">
            <v>8.83</v>
          </cell>
          <cell r="H4562">
            <v>45482</v>
          </cell>
          <cell r="I4562">
            <v>0.69111111111111123</v>
          </cell>
          <cell r="J4562">
            <v>26.065555555555559</v>
          </cell>
        </row>
        <row r="4563">
          <cell r="B4563">
            <v>18.010000000000002</v>
          </cell>
          <cell r="C4563">
            <v>39.799999999999997</v>
          </cell>
          <cell r="D4563">
            <v>17.329999999999998</v>
          </cell>
          <cell r="E4563">
            <v>8.3800000000000008</v>
          </cell>
          <cell r="H4563">
            <v>45482</v>
          </cell>
          <cell r="I4563">
            <v>0.68333333333333335</v>
          </cell>
          <cell r="J4563">
            <v>25.937777777777779</v>
          </cell>
        </row>
        <row r="4564">
          <cell r="B4564">
            <v>17.11</v>
          </cell>
          <cell r="C4564">
            <v>39.04</v>
          </cell>
          <cell r="D4564">
            <v>17.54</v>
          </cell>
          <cell r="E4564">
            <v>8.48</v>
          </cell>
          <cell r="H4564">
            <v>45482</v>
          </cell>
          <cell r="I4564">
            <v>0.67555555555555569</v>
          </cell>
          <cell r="J4564">
            <v>25.994444444444447</v>
          </cell>
        </row>
        <row r="4565">
          <cell r="B4565">
            <v>16.95</v>
          </cell>
          <cell r="C4565">
            <v>39.159999999999997</v>
          </cell>
          <cell r="D4565">
            <v>17.32</v>
          </cell>
          <cell r="E4565">
            <v>8.5</v>
          </cell>
          <cell r="H4565">
            <v>45482</v>
          </cell>
          <cell r="I4565">
            <v>0.66555555555555568</v>
          </cell>
          <cell r="J4565">
            <v>26.201111111111111</v>
          </cell>
        </row>
        <row r="4566">
          <cell r="B4566">
            <v>17.23</v>
          </cell>
          <cell r="C4566">
            <v>39.81</v>
          </cell>
          <cell r="D4566">
            <v>17.55</v>
          </cell>
          <cell r="E4566">
            <v>8.5299999999999994</v>
          </cell>
          <cell r="H4566">
            <v>45482</v>
          </cell>
          <cell r="I4566">
            <v>0.65</v>
          </cell>
          <cell r="J4566">
            <v>26.328888888888891</v>
          </cell>
        </row>
        <row r="4567">
          <cell r="B4567">
            <v>17.170000000000002</v>
          </cell>
          <cell r="C4567">
            <v>37.659999999999997</v>
          </cell>
          <cell r="D4567">
            <v>17.82</v>
          </cell>
          <cell r="E4567">
            <v>8.64</v>
          </cell>
          <cell r="H4567">
            <v>45482</v>
          </cell>
          <cell r="I4567">
            <v>0.64000000000000012</v>
          </cell>
          <cell r="J4567">
            <v>26.416666666666664</v>
          </cell>
        </row>
        <row r="4568">
          <cell r="B4568">
            <v>18.62</v>
          </cell>
          <cell r="C4568">
            <v>40.85</v>
          </cell>
          <cell r="D4568">
            <v>18.43</v>
          </cell>
          <cell r="E4568">
            <v>8.68</v>
          </cell>
          <cell r="H4568">
            <v>45482</v>
          </cell>
          <cell r="I4568">
            <v>0.63</v>
          </cell>
          <cell r="J4568">
            <v>26.459999999999997</v>
          </cell>
        </row>
        <row r="4569">
          <cell r="B4569">
            <v>20.41</v>
          </cell>
          <cell r="C4569">
            <v>45.91</v>
          </cell>
          <cell r="D4569">
            <v>18.510000000000002</v>
          </cell>
          <cell r="E4569">
            <v>8.6300000000000008</v>
          </cell>
          <cell r="H4569">
            <v>45482</v>
          </cell>
          <cell r="I4569">
            <v>0.62888888888888894</v>
          </cell>
          <cell r="J4569">
            <v>26.478888888888886</v>
          </cell>
        </row>
        <row r="4570">
          <cell r="B4570">
            <v>18.989999999999998</v>
          </cell>
          <cell r="C4570">
            <v>47.25</v>
          </cell>
          <cell r="D4570">
            <v>18.43</v>
          </cell>
          <cell r="E4570">
            <v>8.65</v>
          </cell>
          <cell r="H4570">
            <v>45482</v>
          </cell>
          <cell r="I4570">
            <v>0.61555555555555541</v>
          </cell>
          <cell r="J4570">
            <v>26.468888888888884</v>
          </cell>
        </row>
        <row r="4571">
          <cell r="B4571">
            <v>17.97</v>
          </cell>
          <cell r="C4571">
            <v>46.84</v>
          </cell>
          <cell r="D4571">
            <v>18.73</v>
          </cell>
          <cell r="E4571">
            <v>8.65</v>
          </cell>
          <cell r="H4571">
            <v>45482</v>
          </cell>
          <cell r="I4571">
            <v>0.61777777777777776</v>
          </cell>
          <cell r="J4571">
            <v>26.615555555555556</v>
          </cell>
        </row>
        <row r="4572">
          <cell r="B4572">
            <v>17.989999999999998</v>
          </cell>
          <cell r="C4572">
            <v>48.19</v>
          </cell>
          <cell r="D4572">
            <v>17.22</v>
          </cell>
          <cell r="E4572">
            <v>8.5399999999999991</v>
          </cell>
          <cell r="H4572">
            <v>45482</v>
          </cell>
          <cell r="I4572">
            <v>0.61555555555555541</v>
          </cell>
          <cell r="J4572">
            <v>26.767777777777777</v>
          </cell>
        </row>
        <row r="4573">
          <cell r="B4573">
            <v>15.33</v>
          </cell>
          <cell r="C4573">
            <v>45.25</v>
          </cell>
          <cell r="D4573">
            <v>17.32</v>
          </cell>
          <cell r="E4573">
            <v>8.41</v>
          </cell>
          <cell r="H4573">
            <v>45482</v>
          </cell>
          <cell r="I4573">
            <v>0.61222222222222222</v>
          </cell>
          <cell r="J4573">
            <v>26.759999999999998</v>
          </cell>
        </row>
        <row r="4574">
          <cell r="B4574">
            <v>15.98</v>
          </cell>
          <cell r="C4574">
            <v>46.8</v>
          </cell>
          <cell r="D4574">
            <v>18.059999999999999</v>
          </cell>
          <cell r="E4574">
            <v>8.66</v>
          </cell>
          <cell r="H4574">
            <v>45482</v>
          </cell>
          <cell r="I4574">
            <v>0.60777777777777775</v>
          </cell>
          <cell r="J4574">
            <v>26.857777777777777</v>
          </cell>
        </row>
        <row r="4575">
          <cell r="B4575">
            <v>16.440000000000001</v>
          </cell>
          <cell r="C4575">
            <v>46.96</v>
          </cell>
          <cell r="D4575">
            <v>17.52</v>
          </cell>
          <cell r="E4575">
            <v>8.51</v>
          </cell>
          <cell r="H4575">
            <v>45482</v>
          </cell>
          <cell r="I4575">
            <v>0.60555555555555562</v>
          </cell>
          <cell r="J4575">
            <v>27.191111111111113</v>
          </cell>
        </row>
        <row r="4576">
          <cell r="B4576">
            <v>16.739999999999998</v>
          </cell>
          <cell r="C4576">
            <v>46.87</v>
          </cell>
          <cell r="D4576">
            <v>17.84</v>
          </cell>
          <cell r="E4576">
            <v>8.58</v>
          </cell>
          <cell r="H4576">
            <v>45482</v>
          </cell>
          <cell r="I4576">
            <v>0.60222222222222221</v>
          </cell>
          <cell r="J4576">
            <v>27.514444444444443</v>
          </cell>
        </row>
        <row r="4577">
          <cell r="B4577">
            <v>17.25</v>
          </cell>
          <cell r="C4577">
            <v>48.13</v>
          </cell>
          <cell r="D4577">
            <v>17.96</v>
          </cell>
          <cell r="E4577">
            <v>8.1</v>
          </cell>
          <cell r="H4577">
            <v>45482</v>
          </cell>
          <cell r="I4577">
            <v>0.60222222222222221</v>
          </cell>
          <cell r="J4577">
            <v>27.912222222222223</v>
          </cell>
        </row>
        <row r="4578">
          <cell r="B4578">
            <v>17.239999999999998</v>
          </cell>
          <cell r="C4578">
            <v>48.7</v>
          </cell>
          <cell r="D4578">
            <v>17.03</v>
          </cell>
          <cell r="E4578">
            <v>8.0500000000000007</v>
          </cell>
          <cell r="H4578">
            <v>45482</v>
          </cell>
          <cell r="I4578">
            <v>0.59777777777777763</v>
          </cell>
          <cell r="J4578">
            <v>28.272222222222226</v>
          </cell>
        </row>
        <row r="4579">
          <cell r="B4579">
            <v>19.34</v>
          </cell>
          <cell r="C4579">
            <v>53.19</v>
          </cell>
          <cell r="D4579">
            <v>17.64</v>
          </cell>
          <cell r="E4579">
            <v>8.18</v>
          </cell>
          <cell r="H4579">
            <v>45482</v>
          </cell>
          <cell r="I4579">
            <v>0.6</v>
          </cell>
          <cell r="J4579">
            <v>28.522222222222226</v>
          </cell>
        </row>
        <row r="4580">
          <cell r="B4580">
            <v>20.98</v>
          </cell>
          <cell r="C4580">
            <v>50.78</v>
          </cell>
          <cell r="D4580">
            <v>17.22</v>
          </cell>
          <cell r="E4580">
            <v>8.16</v>
          </cell>
          <cell r="H4580">
            <v>45482</v>
          </cell>
          <cell r="I4580">
            <v>0.60444444444444434</v>
          </cell>
          <cell r="J4580">
            <v>28.38111111111111</v>
          </cell>
        </row>
        <row r="4581">
          <cell r="B4581">
            <v>21.21</v>
          </cell>
          <cell r="C4581">
            <v>51.91</v>
          </cell>
          <cell r="D4581">
            <v>17.649999999999999</v>
          </cell>
          <cell r="E4581">
            <v>8.3699999999999992</v>
          </cell>
          <cell r="H4581">
            <v>45482</v>
          </cell>
          <cell r="I4581">
            <v>0.61555555555555541</v>
          </cell>
          <cell r="J4581">
            <v>28.053333333333335</v>
          </cell>
        </row>
        <row r="4582">
          <cell r="B4582">
            <v>23.34</v>
          </cell>
          <cell r="C4582">
            <v>55.14</v>
          </cell>
          <cell r="D4582">
            <v>18.02</v>
          </cell>
          <cell r="E4582">
            <v>8.56</v>
          </cell>
          <cell r="H4582">
            <v>45482</v>
          </cell>
          <cell r="I4582">
            <v>0.63</v>
          </cell>
          <cell r="J4582">
            <v>27.813333333333336</v>
          </cell>
        </row>
        <row r="4583">
          <cell r="B4583">
            <v>22.86</v>
          </cell>
          <cell r="C4583">
            <v>53.93</v>
          </cell>
          <cell r="D4583">
            <v>18.579999999999998</v>
          </cell>
          <cell r="E4583">
            <v>8.61</v>
          </cell>
          <cell r="H4583">
            <v>45482</v>
          </cell>
          <cell r="I4583">
            <v>0.6366666666666666</v>
          </cell>
          <cell r="J4583">
            <v>27.518888888888892</v>
          </cell>
        </row>
        <row r="4584">
          <cell r="B4584">
            <v>19.93</v>
          </cell>
          <cell r="C4584">
            <v>50.15</v>
          </cell>
          <cell r="D4584">
            <v>18.03</v>
          </cell>
          <cell r="E4584">
            <v>8.57</v>
          </cell>
          <cell r="H4584">
            <v>45482</v>
          </cell>
          <cell r="I4584">
            <v>0.63777777777777767</v>
          </cell>
          <cell r="J4584">
            <v>26.984444444444446</v>
          </cell>
        </row>
        <row r="4585">
          <cell r="B4585">
            <v>20.2</v>
          </cell>
          <cell r="C4585">
            <v>51.12</v>
          </cell>
          <cell r="D4585">
            <v>17.760000000000002</v>
          </cell>
          <cell r="E4585">
            <v>8.3699999999999992</v>
          </cell>
          <cell r="H4585">
            <v>45482</v>
          </cell>
          <cell r="I4585">
            <v>0.63444444444444448</v>
          </cell>
          <cell r="J4585">
            <v>26.484444444444446</v>
          </cell>
        </row>
        <row r="4586">
          <cell r="B4586">
            <v>21.34</v>
          </cell>
          <cell r="C4586">
            <v>50.07</v>
          </cell>
          <cell r="D4586">
            <v>17.75</v>
          </cell>
          <cell r="E4586">
            <v>8.33</v>
          </cell>
          <cell r="H4586">
            <v>45483</v>
          </cell>
          <cell r="I4586">
            <v>0.62555555555555553</v>
          </cell>
          <cell r="J4586">
            <v>26.021111111111111</v>
          </cell>
        </row>
        <row r="4587">
          <cell r="B4587">
            <v>21.77</v>
          </cell>
          <cell r="C4587">
            <v>50.77</v>
          </cell>
          <cell r="D4587">
            <v>17.420000000000002</v>
          </cell>
          <cell r="E4587">
            <v>8.3699999999999992</v>
          </cell>
          <cell r="H4587">
            <v>45483</v>
          </cell>
          <cell r="I4587">
            <v>0.62111111111111106</v>
          </cell>
          <cell r="J4587">
            <v>25.70888888888889</v>
          </cell>
        </row>
        <row r="4588">
          <cell r="B4588">
            <v>21.42</v>
          </cell>
          <cell r="C4588">
            <v>49.64</v>
          </cell>
          <cell r="D4588">
            <v>17.68</v>
          </cell>
          <cell r="E4588">
            <v>8.2799999999999994</v>
          </cell>
          <cell r="H4588">
            <v>45483</v>
          </cell>
          <cell r="I4588">
            <v>0.6133333333333334</v>
          </cell>
          <cell r="J4588">
            <v>25.531111111111112</v>
          </cell>
        </row>
        <row r="4589">
          <cell r="B4589">
            <v>20.47</v>
          </cell>
          <cell r="C4589">
            <v>47.04</v>
          </cell>
          <cell r="D4589">
            <v>17.63</v>
          </cell>
          <cell r="E4589">
            <v>8.2799999999999994</v>
          </cell>
          <cell r="H4589">
            <v>45483</v>
          </cell>
          <cell r="I4589">
            <v>0.60111111111111115</v>
          </cell>
          <cell r="J4589">
            <v>25.563333333333329</v>
          </cell>
        </row>
        <row r="4590">
          <cell r="B4590">
            <v>17.96</v>
          </cell>
          <cell r="C4590">
            <v>42.21</v>
          </cell>
          <cell r="D4590">
            <v>17.510000000000002</v>
          </cell>
          <cell r="E4590">
            <v>8.23</v>
          </cell>
          <cell r="H4590">
            <v>45483</v>
          </cell>
          <cell r="I4590">
            <v>0.58777777777777784</v>
          </cell>
          <cell r="J4590">
            <v>25.752222222222223</v>
          </cell>
        </row>
        <row r="4591">
          <cell r="B4591">
            <v>17.77</v>
          </cell>
          <cell r="C4591">
            <v>39.99</v>
          </cell>
          <cell r="D4591">
            <v>18.14</v>
          </cell>
          <cell r="E4591">
            <v>8.2100000000000009</v>
          </cell>
          <cell r="H4591">
            <v>45483</v>
          </cell>
          <cell r="I4591">
            <v>0.57666666666666666</v>
          </cell>
          <cell r="J4591">
            <v>25.963333333333331</v>
          </cell>
        </row>
        <row r="4592">
          <cell r="B4592">
            <v>20.64</v>
          </cell>
          <cell r="C4592">
            <v>45.87</v>
          </cell>
          <cell r="D4592">
            <v>18.7</v>
          </cell>
          <cell r="E4592">
            <v>8.4600000000000009</v>
          </cell>
          <cell r="H4592">
            <v>45483</v>
          </cell>
          <cell r="I4592">
            <v>0.57555555555555549</v>
          </cell>
          <cell r="J4592">
            <v>25.973333333333333</v>
          </cell>
        </row>
        <row r="4593">
          <cell r="B4593">
            <v>20.82</v>
          </cell>
          <cell r="C4593">
            <v>50.06</v>
          </cell>
          <cell r="D4593">
            <v>18.47</v>
          </cell>
          <cell r="E4593">
            <v>8.4600000000000009</v>
          </cell>
          <cell r="H4593">
            <v>45483</v>
          </cell>
          <cell r="I4593">
            <v>0.57999999999999996</v>
          </cell>
          <cell r="J4593">
            <v>26.00888888888889</v>
          </cell>
        </row>
        <row r="4594">
          <cell r="B4594">
            <v>22.3</v>
          </cell>
          <cell r="C4594">
            <v>52.74</v>
          </cell>
          <cell r="D4594">
            <v>19.170000000000002</v>
          </cell>
          <cell r="E4594">
            <v>8.25</v>
          </cell>
          <cell r="H4594">
            <v>45483</v>
          </cell>
          <cell r="I4594">
            <v>0.58777777777777773</v>
          </cell>
          <cell r="J4594">
            <v>26.14</v>
          </cell>
        </row>
        <row r="4595">
          <cell r="B4595">
            <v>22.83</v>
          </cell>
          <cell r="C4595">
            <v>56.65</v>
          </cell>
          <cell r="D4595">
            <v>18.88</v>
          </cell>
          <cell r="E4595">
            <v>8.19</v>
          </cell>
          <cell r="H4595">
            <v>45483</v>
          </cell>
          <cell r="I4595">
            <v>0.5988888888888888</v>
          </cell>
          <cell r="J4595">
            <v>26.416666666666671</v>
          </cell>
        </row>
        <row r="4596">
          <cell r="B4596">
            <v>21.17</v>
          </cell>
          <cell r="C4596">
            <v>53.37</v>
          </cell>
          <cell r="D4596">
            <v>17.97</v>
          </cell>
          <cell r="E4596">
            <v>8.2200000000000006</v>
          </cell>
          <cell r="H4596">
            <v>45483</v>
          </cell>
          <cell r="I4596">
            <v>0.60555555555555562</v>
          </cell>
          <cell r="J4596">
            <v>26.696666666666669</v>
          </cell>
        </row>
        <row r="4597">
          <cell r="B4597">
            <v>19.12</v>
          </cell>
          <cell r="C4597">
            <v>50.86</v>
          </cell>
          <cell r="D4597">
            <v>17.78</v>
          </cell>
          <cell r="E4597">
            <v>8.24</v>
          </cell>
          <cell r="H4597">
            <v>45483</v>
          </cell>
          <cell r="I4597">
            <v>0.6066666666666668</v>
          </cell>
          <cell r="J4597">
            <v>26.98</v>
          </cell>
        </row>
        <row r="4598">
          <cell r="B4598">
            <v>17.579999999999998</v>
          </cell>
          <cell r="C4598">
            <v>52.58</v>
          </cell>
          <cell r="D4598">
            <v>17.71</v>
          </cell>
          <cell r="E4598">
            <v>8.56</v>
          </cell>
          <cell r="H4598">
            <v>45483</v>
          </cell>
          <cell r="I4598">
            <v>0.60777777777777786</v>
          </cell>
          <cell r="J4598">
            <v>27.478888888888893</v>
          </cell>
        </row>
        <row r="4599">
          <cell r="B4599">
            <v>18.29</v>
          </cell>
          <cell r="C4599">
            <v>52.41</v>
          </cell>
          <cell r="D4599">
            <v>18.52</v>
          </cell>
          <cell r="E4599">
            <v>8.69</v>
          </cell>
          <cell r="H4599">
            <v>45483</v>
          </cell>
          <cell r="I4599">
            <v>0.60888888888888892</v>
          </cell>
          <cell r="J4599">
            <v>27.82555555555556</v>
          </cell>
        </row>
        <row r="4600">
          <cell r="B4600">
            <v>17.25</v>
          </cell>
          <cell r="C4600">
            <v>50.37</v>
          </cell>
          <cell r="D4600">
            <v>18.32</v>
          </cell>
          <cell r="E4600">
            <v>8.9600000000000009</v>
          </cell>
          <cell r="H4600">
            <v>45483</v>
          </cell>
          <cell r="I4600">
            <v>0.61111111111111116</v>
          </cell>
          <cell r="J4600">
            <v>28.284444444444446</v>
          </cell>
        </row>
        <row r="4601">
          <cell r="B4601">
            <v>16.72</v>
          </cell>
          <cell r="C4601">
            <v>49.61</v>
          </cell>
          <cell r="D4601">
            <v>17.68</v>
          </cell>
          <cell r="E4601">
            <v>8.99</v>
          </cell>
          <cell r="H4601">
            <v>45483</v>
          </cell>
          <cell r="I4601">
            <v>0.60555555555555551</v>
          </cell>
          <cell r="J4601">
            <v>28.794444444444441</v>
          </cell>
        </row>
        <row r="4602">
          <cell r="B4602">
            <v>18.53</v>
          </cell>
          <cell r="C4602">
            <v>46.82</v>
          </cell>
          <cell r="D4602">
            <v>18.05</v>
          </cell>
          <cell r="E4602">
            <v>8.5399999999999991</v>
          </cell>
          <cell r="H4602">
            <v>45483</v>
          </cell>
          <cell r="I4602">
            <v>0.60555555555555562</v>
          </cell>
          <cell r="J4602">
            <v>28.982222222222227</v>
          </cell>
        </row>
        <row r="4603">
          <cell r="B4603">
            <v>17.149999999999999</v>
          </cell>
          <cell r="C4603">
            <v>43.65</v>
          </cell>
          <cell r="D4603">
            <v>19.190000000000001</v>
          </cell>
          <cell r="E4603">
            <v>8.35</v>
          </cell>
          <cell r="H4603">
            <v>45483</v>
          </cell>
          <cell r="I4603">
            <v>0.6166666666666667</v>
          </cell>
          <cell r="J4603">
            <v>28.682222222222222</v>
          </cell>
        </row>
        <row r="4604">
          <cell r="B4604">
            <v>18.68</v>
          </cell>
          <cell r="C4604">
            <v>46.06</v>
          </cell>
          <cell r="D4604">
            <v>20.149999999999999</v>
          </cell>
          <cell r="E4604">
            <v>9.2200000000000006</v>
          </cell>
          <cell r="H4604">
            <v>45483</v>
          </cell>
          <cell r="I4604">
            <v>0.64555555555555555</v>
          </cell>
          <cell r="J4604">
            <v>28.025555555555556</v>
          </cell>
        </row>
        <row r="4605">
          <cell r="B4605">
            <v>18.82</v>
          </cell>
          <cell r="C4605">
            <v>50.12</v>
          </cell>
          <cell r="D4605">
            <v>19.34</v>
          </cell>
          <cell r="E4605">
            <v>9.0299999999999994</v>
          </cell>
          <cell r="H4605">
            <v>45483</v>
          </cell>
          <cell r="I4605">
            <v>0.67888888888888888</v>
          </cell>
          <cell r="J4605">
            <v>27.235555555555553</v>
          </cell>
        </row>
        <row r="4606">
          <cell r="B4606">
            <v>19.55</v>
          </cell>
          <cell r="C4606">
            <v>54.31</v>
          </cell>
          <cell r="D4606">
            <v>19.7</v>
          </cell>
          <cell r="E4606">
            <v>9.4700000000000006</v>
          </cell>
          <cell r="H4606">
            <v>45483</v>
          </cell>
          <cell r="I4606">
            <v>0.7088888888888889</v>
          </cell>
          <cell r="J4606">
            <v>26.576666666666664</v>
          </cell>
        </row>
        <row r="4607">
          <cell r="B4607">
            <v>20.22</v>
          </cell>
          <cell r="C4607">
            <v>55.36</v>
          </cell>
          <cell r="D4607">
            <v>19.62</v>
          </cell>
          <cell r="E4607">
            <v>9.36</v>
          </cell>
          <cell r="H4607">
            <v>45483</v>
          </cell>
          <cell r="I4607">
            <v>0.72444444444444445</v>
          </cell>
          <cell r="J4607">
            <v>25.724444444444444</v>
          </cell>
        </row>
        <row r="4608">
          <cell r="B4608">
            <v>19.27</v>
          </cell>
          <cell r="C4608">
            <v>54.27</v>
          </cell>
          <cell r="D4608">
            <v>19.579999999999998</v>
          </cell>
          <cell r="E4608">
            <v>9.23</v>
          </cell>
          <cell r="H4608">
            <v>45483</v>
          </cell>
          <cell r="I4608">
            <v>0.73555555555555552</v>
          </cell>
          <cell r="J4608">
            <v>24.984444444444446</v>
          </cell>
        </row>
        <row r="4609">
          <cell r="B4609">
            <v>18.07</v>
          </cell>
          <cell r="C4609">
            <v>52.94</v>
          </cell>
          <cell r="D4609">
            <v>18.690000000000001</v>
          </cell>
          <cell r="E4609">
            <v>9.09</v>
          </cell>
          <cell r="H4609">
            <v>45483</v>
          </cell>
          <cell r="I4609">
            <v>0.73777777777777775</v>
          </cell>
          <cell r="J4609">
            <v>24.17</v>
          </cell>
        </row>
        <row r="4610">
          <cell r="B4610">
            <v>17.739999999999998</v>
          </cell>
          <cell r="C4610">
            <v>49.84</v>
          </cell>
          <cell r="D4610">
            <v>18</v>
          </cell>
          <cell r="E4610">
            <v>8.64</v>
          </cell>
          <cell r="H4610">
            <v>45484</v>
          </cell>
          <cell r="I4610">
            <v>0.73555555555555552</v>
          </cell>
          <cell r="J4610">
            <v>23.467777777777776</v>
          </cell>
        </row>
        <row r="4611">
          <cell r="B4611">
            <v>17.48</v>
          </cell>
          <cell r="C4611">
            <v>47.28</v>
          </cell>
          <cell r="D4611">
            <v>18</v>
          </cell>
          <cell r="E4611">
            <v>8.4700000000000006</v>
          </cell>
          <cell r="H4611">
            <v>45484</v>
          </cell>
          <cell r="I4611">
            <v>0.72888888888888892</v>
          </cell>
          <cell r="J4611">
            <v>23.134444444444444</v>
          </cell>
        </row>
        <row r="4612">
          <cell r="B4612">
            <v>16.510000000000002</v>
          </cell>
          <cell r="C4612">
            <v>44.44</v>
          </cell>
          <cell r="D4612">
            <v>18.03</v>
          </cell>
          <cell r="E4612">
            <v>8.6999999999999993</v>
          </cell>
          <cell r="H4612">
            <v>45484</v>
          </cell>
          <cell r="I4612">
            <v>0.70777777777777784</v>
          </cell>
          <cell r="J4612">
            <v>23.335555555555558</v>
          </cell>
        </row>
        <row r="4613">
          <cell r="B4613">
            <v>16</v>
          </cell>
          <cell r="C4613">
            <v>42.88</v>
          </cell>
          <cell r="D4613">
            <v>17.78</v>
          </cell>
          <cell r="E4613">
            <v>8.6300000000000008</v>
          </cell>
          <cell r="H4613">
            <v>45484</v>
          </cell>
          <cell r="I4613">
            <v>0.67111111111111121</v>
          </cell>
          <cell r="J4613">
            <v>23.672222222222224</v>
          </cell>
        </row>
        <row r="4614">
          <cell r="B4614">
            <v>15.78</v>
          </cell>
          <cell r="C4614">
            <v>41.53</v>
          </cell>
          <cell r="D4614">
            <v>17.47</v>
          </cell>
          <cell r="E4614">
            <v>8.6199999999999992</v>
          </cell>
          <cell r="H4614">
            <v>45484</v>
          </cell>
          <cell r="I4614">
            <v>0.63777777777777789</v>
          </cell>
          <cell r="J4614">
            <v>23.965555555555557</v>
          </cell>
        </row>
        <row r="4615">
          <cell r="B4615">
            <v>15.95</v>
          </cell>
          <cell r="C4615">
            <v>41.81</v>
          </cell>
          <cell r="D4615">
            <v>17.78</v>
          </cell>
          <cell r="E4615">
            <v>8.6300000000000008</v>
          </cell>
          <cell r="H4615">
            <v>45484</v>
          </cell>
          <cell r="I4615">
            <v>0.61888888888888893</v>
          </cell>
          <cell r="J4615">
            <v>24.088888888888889</v>
          </cell>
        </row>
        <row r="4616">
          <cell r="B4616">
            <v>17.45</v>
          </cell>
          <cell r="C4616">
            <v>46.67</v>
          </cell>
          <cell r="D4616">
            <v>18</v>
          </cell>
          <cell r="E4616">
            <v>8.36</v>
          </cell>
          <cell r="H4616">
            <v>45484</v>
          </cell>
          <cell r="I4616">
            <v>0.61666666666666659</v>
          </cell>
          <cell r="J4616">
            <v>24.111111111111111</v>
          </cell>
        </row>
        <row r="4617">
          <cell r="B4617">
            <v>17.98</v>
          </cell>
          <cell r="C4617">
            <v>49.99</v>
          </cell>
          <cell r="D4617">
            <v>18.71</v>
          </cell>
          <cell r="E4617">
            <v>8.5399999999999991</v>
          </cell>
          <cell r="H4617">
            <v>45484</v>
          </cell>
          <cell r="I4617">
            <v>0.61999999999999988</v>
          </cell>
          <cell r="J4617">
            <v>24.204444444444444</v>
          </cell>
        </row>
        <row r="4618">
          <cell r="B4618">
            <v>19.32</v>
          </cell>
          <cell r="C4618">
            <v>54.22</v>
          </cell>
          <cell r="D4618">
            <v>19.05</v>
          </cell>
          <cell r="E4618">
            <v>8.4499999999999993</v>
          </cell>
          <cell r="H4618">
            <v>45484</v>
          </cell>
          <cell r="I4618">
            <v>0.62666666666666659</v>
          </cell>
          <cell r="J4618">
            <v>24.35</v>
          </cell>
        </row>
        <row r="4619">
          <cell r="B4619">
            <v>18.690000000000001</v>
          </cell>
          <cell r="C4619">
            <v>54.65</v>
          </cell>
          <cell r="D4619">
            <v>18.91</v>
          </cell>
          <cell r="E4619">
            <v>8.48</v>
          </cell>
          <cell r="H4619">
            <v>45484</v>
          </cell>
          <cell r="I4619">
            <v>0.63555555555555554</v>
          </cell>
          <cell r="J4619">
            <v>24.556666666666665</v>
          </cell>
        </row>
        <row r="4620">
          <cell r="B4620">
            <v>17.850000000000001</v>
          </cell>
          <cell r="C4620">
            <v>53.25</v>
          </cell>
          <cell r="D4620">
            <v>17.649999999999999</v>
          </cell>
          <cell r="E4620">
            <v>8.6199999999999992</v>
          </cell>
          <cell r="H4620">
            <v>45484</v>
          </cell>
          <cell r="I4620">
            <v>0.63777777777777767</v>
          </cell>
          <cell r="J4620">
            <v>24.79</v>
          </cell>
        </row>
        <row r="4621">
          <cell r="B4621">
            <v>16</v>
          </cell>
          <cell r="C4621">
            <v>49.91</v>
          </cell>
          <cell r="D4621">
            <v>17.600000000000001</v>
          </cell>
          <cell r="E4621">
            <v>8.61</v>
          </cell>
          <cell r="H4621">
            <v>45484</v>
          </cell>
          <cell r="I4621">
            <v>0.63888888888888884</v>
          </cell>
          <cell r="J4621">
            <v>25.037777777777777</v>
          </cell>
        </row>
        <row r="4622">
          <cell r="B4622">
            <v>14.21</v>
          </cell>
          <cell r="C4622">
            <v>47.06</v>
          </cell>
          <cell r="D4622">
            <v>18.14</v>
          </cell>
          <cell r="E4622">
            <v>8.9499999999999993</v>
          </cell>
          <cell r="H4622">
            <v>45484</v>
          </cell>
          <cell r="I4622">
            <v>0.64</v>
          </cell>
          <cell r="J4622">
            <v>25.333333333333332</v>
          </cell>
        </row>
        <row r="4623">
          <cell r="B4623">
            <v>13.88</v>
          </cell>
          <cell r="C4623">
            <v>46.53</v>
          </cell>
          <cell r="D4623">
            <v>17.61</v>
          </cell>
          <cell r="E4623">
            <v>8.5</v>
          </cell>
          <cell r="H4623">
            <v>45484</v>
          </cell>
          <cell r="I4623">
            <v>0.62888888888888894</v>
          </cell>
          <cell r="J4623">
            <v>26.147777777777776</v>
          </cell>
        </row>
        <row r="4624">
          <cell r="B4624">
            <v>15.9</v>
          </cell>
          <cell r="C4624">
            <v>47.59</v>
          </cell>
          <cell r="D4624">
            <v>17.79</v>
          </cell>
          <cell r="E4624">
            <v>8.65</v>
          </cell>
          <cell r="H4624">
            <v>45484</v>
          </cell>
          <cell r="I4624">
            <v>0.61111111111111116</v>
          </cell>
          <cell r="J4624">
            <v>27.046666666666667</v>
          </cell>
        </row>
        <row r="4625">
          <cell r="B4625">
            <v>16.11</v>
          </cell>
          <cell r="C4625">
            <v>44.59</v>
          </cell>
          <cell r="D4625">
            <v>17</v>
          </cell>
          <cell r="E4625">
            <v>8.73</v>
          </cell>
          <cell r="H4625">
            <v>45484</v>
          </cell>
          <cell r="I4625">
            <v>0.59444444444444455</v>
          </cell>
          <cell r="J4625">
            <v>27.779999999999998</v>
          </cell>
        </row>
        <row r="4626">
          <cell r="B4626">
            <v>17.5</v>
          </cell>
          <cell r="C4626">
            <v>46.17</v>
          </cell>
          <cell r="D4626">
            <v>17.61</v>
          </cell>
          <cell r="E4626">
            <v>8.49</v>
          </cell>
          <cell r="H4626">
            <v>45484</v>
          </cell>
          <cell r="I4626">
            <v>0.5855555555555555</v>
          </cell>
          <cell r="J4626">
            <v>28.429999999999996</v>
          </cell>
        </row>
        <row r="4627">
          <cell r="B4627">
            <v>19.649999999999999</v>
          </cell>
          <cell r="C4627">
            <v>55.3</v>
          </cell>
          <cell r="D4627">
            <v>18.39</v>
          </cell>
          <cell r="E4627">
            <v>8.6</v>
          </cell>
          <cell r="H4627">
            <v>45484</v>
          </cell>
          <cell r="I4627">
            <v>0.57888888888888901</v>
          </cell>
          <cell r="J4627">
            <v>28.888888888888889</v>
          </cell>
        </row>
        <row r="4628">
          <cell r="B4628">
            <v>20.27</v>
          </cell>
          <cell r="C4628">
            <v>58.08</v>
          </cell>
          <cell r="D4628">
            <v>18.18</v>
          </cell>
          <cell r="E4628">
            <v>8.66</v>
          </cell>
          <cell r="H4628">
            <v>45484</v>
          </cell>
          <cell r="I4628">
            <v>0.57666666666666666</v>
          </cell>
          <cell r="J4628">
            <v>29.058888888888887</v>
          </cell>
        </row>
        <row r="4629">
          <cell r="B4629">
            <v>25.2</v>
          </cell>
          <cell r="C4629">
            <v>64.63</v>
          </cell>
          <cell r="D4629">
            <v>18.649999999999999</v>
          </cell>
          <cell r="E4629">
            <v>8.6300000000000008</v>
          </cell>
          <cell r="H4629">
            <v>45484</v>
          </cell>
          <cell r="I4629">
            <v>0.58666666666666656</v>
          </cell>
          <cell r="J4629">
            <v>28.968888888888884</v>
          </cell>
        </row>
        <row r="4630">
          <cell r="B4630">
            <v>26.96</v>
          </cell>
          <cell r="C4630">
            <v>65.59</v>
          </cell>
          <cell r="D4630">
            <v>18.18</v>
          </cell>
          <cell r="E4630">
            <v>8.66</v>
          </cell>
          <cell r="H4630">
            <v>45484</v>
          </cell>
          <cell r="I4630">
            <v>0.59666666666666657</v>
          </cell>
          <cell r="J4630">
            <v>28.783333333333335</v>
          </cell>
        </row>
        <row r="4631">
          <cell r="B4631">
            <v>25.06</v>
          </cell>
          <cell r="C4631">
            <v>62.46</v>
          </cell>
          <cell r="D4631">
            <v>17.690000000000001</v>
          </cell>
          <cell r="E4631">
            <v>8.6300000000000008</v>
          </cell>
          <cell r="H4631">
            <v>45484</v>
          </cell>
          <cell r="I4631">
            <v>0.59777777777777774</v>
          </cell>
          <cell r="J4631">
            <v>28.605555555555554</v>
          </cell>
        </row>
        <row r="4632">
          <cell r="B4632">
            <v>24.59</v>
          </cell>
          <cell r="C4632">
            <v>59.88</v>
          </cell>
          <cell r="D4632">
            <v>17.48</v>
          </cell>
          <cell r="E4632">
            <v>8.66</v>
          </cell>
          <cell r="H4632">
            <v>45484</v>
          </cell>
          <cell r="I4632">
            <v>0.60222222222222221</v>
          </cell>
          <cell r="J4632">
            <v>28.006666666666668</v>
          </cell>
        </row>
        <row r="4633">
          <cell r="B4633">
            <v>24.45</v>
          </cell>
          <cell r="C4633">
            <v>59.76</v>
          </cell>
          <cell r="D4633">
            <v>17.36</v>
          </cell>
          <cell r="E4633">
            <v>8.59</v>
          </cell>
          <cell r="H4633">
            <v>45484</v>
          </cell>
          <cell r="I4633">
            <v>0.60222222222222221</v>
          </cell>
          <cell r="J4633">
            <v>27.398888888888891</v>
          </cell>
        </row>
        <row r="4634">
          <cell r="B4634">
            <v>23.65</v>
          </cell>
          <cell r="C4634">
            <v>57</v>
          </cell>
          <cell r="D4634">
            <v>16.84</v>
          </cell>
          <cell r="E4634">
            <v>8.42</v>
          </cell>
          <cell r="H4634">
            <v>45485</v>
          </cell>
          <cell r="I4634">
            <v>0.5955555555555555</v>
          </cell>
          <cell r="J4634">
            <v>27.088888888888889</v>
          </cell>
        </row>
        <row r="4635">
          <cell r="B4635">
            <v>23.76</v>
          </cell>
          <cell r="C4635">
            <v>57.02</v>
          </cell>
          <cell r="D4635">
            <v>16.68</v>
          </cell>
          <cell r="E4635">
            <v>8.2200000000000006</v>
          </cell>
          <cell r="H4635">
            <v>45485</v>
          </cell>
          <cell r="I4635">
            <v>0.58333333333333337</v>
          </cell>
          <cell r="J4635">
            <v>26.75888888888889</v>
          </cell>
        </row>
        <row r="4636">
          <cell r="B4636">
            <v>24.12</v>
          </cell>
          <cell r="C4636">
            <v>55.48</v>
          </cell>
          <cell r="D4636">
            <v>16.420000000000002</v>
          </cell>
          <cell r="E4636">
            <v>8.17</v>
          </cell>
          <cell r="H4636">
            <v>45485</v>
          </cell>
          <cell r="I4636">
            <v>0.57555555555555538</v>
          </cell>
          <cell r="J4636">
            <v>26.564444444444444</v>
          </cell>
        </row>
        <row r="4637">
          <cell r="B4637">
            <v>21.96</v>
          </cell>
          <cell r="C4637">
            <v>50.01</v>
          </cell>
          <cell r="D4637">
            <v>16.39</v>
          </cell>
          <cell r="E4637">
            <v>8.11</v>
          </cell>
          <cell r="H4637">
            <v>45485</v>
          </cell>
          <cell r="I4637">
            <v>0.5644444444444443</v>
          </cell>
          <cell r="J4637">
            <v>26.544444444444441</v>
          </cell>
        </row>
        <row r="4638">
          <cell r="B4638">
            <v>20.09</v>
          </cell>
          <cell r="C4638">
            <v>45.79</v>
          </cell>
          <cell r="D4638">
            <v>16.29</v>
          </cell>
          <cell r="E4638">
            <v>8.43</v>
          </cell>
          <cell r="H4638">
            <v>45485</v>
          </cell>
          <cell r="I4638">
            <v>0.54333333333333333</v>
          </cell>
          <cell r="J4638">
            <v>26.626666666666665</v>
          </cell>
        </row>
        <row r="4639">
          <cell r="B4639">
            <v>19.5</v>
          </cell>
          <cell r="C4639">
            <v>45.46</v>
          </cell>
          <cell r="D4639">
            <v>16.84</v>
          </cell>
          <cell r="E4639">
            <v>8.2899999999999991</v>
          </cell>
          <cell r="H4639">
            <v>45485</v>
          </cell>
          <cell r="I4639">
            <v>0.52666666666666673</v>
          </cell>
          <cell r="J4639">
            <v>26.668888888888887</v>
          </cell>
        </row>
        <row r="4640">
          <cell r="B4640">
            <v>19.73</v>
          </cell>
          <cell r="C4640">
            <v>48.74</v>
          </cell>
          <cell r="D4640">
            <v>17.52</v>
          </cell>
          <cell r="E4640">
            <v>8.48</v>
          </cell>
          <cell r="H4640">
            <v>45485</v>
          </cell>
          <cell r="I4640">
            <v>0.52555555555555555</v>
          </cell>
          <cell r="J4640">
            <v>26.638888888888886</v>
          </cell>
        </row>
        <row r="4641">
          <cell r="B4641">
            <v>21.36</v>
          </cell>
          <cell r="C4641">
            <v>50.18</v>
          </cell>
          <cell r="D4641">
            <v>17.45</v>
          </cell>
          <cell r="E4641">
            <v>8.3000000000000007</v>
          </cell>
          <cell r="H4641">
            <v>45485</v>
          </cell>
          <cell r="I4641">
            <v>0.52444444444444438</v>
          </cell>
          <cell r="J4641">
            <v>26.597777777777779</v>
          </cell>
        </row>
        <row r="4642">
          <cell r="B4642">
            <v>22.2</v>
          </cell>
          <cell r="C4642">
            <v>51.57</v>
          </cell>
          <cell r="D4642">
            <v>16.84</v>
          </cell>
          <cell r="E4642">
            <v>8.4600000000000009</v>
          </cell>
          <cell r="H4642">
            <v>45485</v>
          </cell>
          <cell r="I4642">
            <v>0.52666666666666673</v>
          </cell>
          <cell r="J4642">
            <v>26.565555555555552</v>
          </cell>
        </row>
        <row r="4643">
          <cell r="B4643">
            <v>21.29</v>
          </cell>
          <cell r="C4643">
            <v>50.79</v>
          </cell>
          <cell r="D4643">
            <v>16.54</v>
          </cell>
          <cell r="E4643">
            <v>8.39</v>
          </cell>
          <cell r="H4643">
            <v>45485</v>
          </cell>
          <cell r="I4643">
            <v>0.53666666666666663</v>
          </cell>
          <cell r="J4643">
            <v>26.501111111111111</v>
          </cell>
        </row>
        <row r="4644">
          <cell r="B4644">
            <v>19.77</v>
          </cell>
          <cell r="C4644">
            <v>48.41</v>
          </cell>
          <cell r="D4644">
            <v>15.43</v>
          </cell>
          <cell r="E4644">
            <v>8.3000000000000007</v>
          </cell>
          <cell r="H4644">
            <v>45485</v>
          </cell>
          <cell r="I4644">
            <v>0.53555555555555556</v>
          </cell>
          <cell r="J4644">
            <v>26.716666666666665</v>
          </cell>
        </row>
        <row r="4645">
          <cell r="B4645">
            <v>18.63</v>
          </cell>
          <cell r="C4645">
            <v>45.88</v>
          </cell>
          <cell r="D4645">
            <v>16.21</v>
          </cell>
          <cell r="E4645">
            <v>8.2200000000000006</v>
          </cell>
          <cell r="H4645">
            <v>45485</v>
          </cell>
          <cell r="I4645">
            <v>0.53333333333333333</v>
          </cell>
          <cell r="J4645">
            <v>27.043333333333333</v>
          </cell>
        </row>
        <row r="4646">
          <cell r="B4646">
            <v>17.55</v>
          </cell>
          <cell r="C4646">
            <v>48.15</v>
          </cell>
          <cell r="D4646">
            <v>17.04</v>
          </cell>
          <cell r="E4646">
            <v>8.76</v>
          </cell>
          <cell r="H4646">
            <v>45485</v>
          </cell>
          <cell r="I4646">
            <v>0.53333333333333333</v>
          </cell>
          <cell r="J4646">
            <v>27.337777777777777</v>
          </cell>
        </row>
        <row r="4647">
          <cell r="B4647">
            <v>18.489999999999998</v>
          </cell>
          <cell r="C4647">
            <v>48.4</v>
          </cell>
          <cell r="D4647">
            <v>16.73</v>
          </cell>
          <cell r="E4647">
            <v>9.3699999999999992</v>
          </cell>
          <cell r="H4647">
            <v>45485</v>
          </cell>
          <cell r="I4647">
            <v>0.53444444444444439</v>
          </cell>
          <cell r="J4647">
            <v>27.853333333333335</v>
          </cell>
        </row>
        <row r="4648">
          <cell r="B4648">
            <v>17.3</v>
          </cell>
          <cell r="C4648">
            <v>48.46</v>
          </cell>
          <cell r="D4648">
            <v>16.43</v>
          </cell>
          <cell r="E4648">
            <v>8.58</v>
          </cell>
          <cell r="H4648">
            <v>45485</v>
          </cell>
          <cell r="I4648">
            <v>0.53333333333333333</v>
          </cell>
          <cell r="J4648">
            <v>28.453333333333337</v>
          </cell>
        </row>
        <row r="4649">
          <cell r="B4649">
            <v>16.489999999999998</v>
          </cell>
          <cell r="C4649">
            <v>47.31</v>
          </cell>
          <cell r="D4649">
            <v>16.95</v>
          </cell>
          <cell r="E4649">
            <v>8.6999999999999993</v>
          </cell>
          <cell r="H4649">
            <v>45485</v>
          </cell>
          <cell r="I4649">
            <v>0.53111111111111109</v>
          </cell>
          <cell r="J4649">
            <v>29.086666666666662</v>
          </cell>
        </row>
        <row r="4650">
          <cell r="B4650">
            <v>16.399999999999999</v>
          </cell>
          <cell r="C4650">
            <v>48.11</v>
          </cell>
          <cell r="D4650">
            <v>18.37</v>
          </cell>
          <cell r="E4650">
            <v>8.61</v>
          </cell>
          <cell r="H4650">
            <v>45485</v>
          </cell>
          <cell r="I4650">
            <v>0.55000000000000004</v>
          </cell>
          <cell r="J4650">
            <v>29.412222222222219</v>
          </cell>
        </row>
        <row r="4651">
          <cell r="B4651">
            <v>19.239999999999998</v>
          </cell>
          <cell r="C4651">
            <v>49.03</v>
          </cell>
          <cell r="D4651">
            <v>17.57</v>
          </cell>
          <cell r="E4651">
            <v>9</v>
          </cell>
          <cell r="H4651">
            <v>45485</v>
          </cell>
          <cell r="I4651">
            <v>0.5722222222222223</v>
          </cell>
          <cell r="J4651">
            <v>29.483333333333334</v>
          </cell>
        </row>
        <row r="4652">
          <cell r="B4652">
            <v>15.34</v>
          </cell>
          <cell r="C4652">
            <v>40.14</v>
          </cell>
          <cell r="D4652">
            <v>17.84</v>
          </cell>
          <cell r="E4652">
            <v>8.8800000000000008</v>
          </cell>
          <cell r="H4652">
            <v>45485</v>
          </cell>
          <cell r="I4652">
            <v>0.5855555555555555</v>
          </cell>
          <cell r="J4652">
            <v>29.373333333333328</v>
          </cell>
        </row>
        <row r="4653">
          <cell r="B4653">
            <v>17.09</v>
          </cell>
          <cell r="C4653">
            <v>39.28</v>
          </cell>
          <cell r="D4653">
            <v>17.73</v>
          </cell>
          <cell r="E4653">
            <v>8.5399999999999991</v>
          </cell>
          <cell r="H4653">
            <v>45485</v>
          </cell>
          <cell r="I4653">
            <v>0.60666666666666669</v>
          </cell>
          <cell r="J4653">
            <v>29.150000000000002</v>
          </cell>
        </row>
        <row r="4654">
          <cell r="B4654">
            <v>16.239999999999998</v>
          </cell>
          <cell r="C4654">
            <v>39.81</v>
          </cell>
          <cell r="D4654">
            <v>17.95</v>
          </cell>
          <cell r="E4654">
            <v>8.61</v>
          </cell>
          <cell r="H4654">
            <v>45485</v>
          </cell>
          <cell r="I4654">
            <v>0.62222222222222223</v>
          </cell>
          <cell r="J4654">
            <v>28.673333333333332</v>
          </cell>
        </row>
        <row r="4655">
          <cell r="B4655">
            <v>15.22</v>
          </cell>
          <cell r="C4655">
            <v>40.19</v>
          </cell>
          <cell r="D4655">
            <v>17.809999999999999</v>
          </cell>
          <cell r="E4655">
            <v>8.89</v>
          </cell>
          <cell r="H4655">
            <v>45485</v>
          </cell>
          <cell r="I4655">
            <v>0.6333333333333333</v>
          </cell>
          <cell r="J4655">
            <v>28.200000000000003</v>
          </cell>
        </row>
        <row r="4656">
          <cell r="B4656">
            <v>13.24</v>
          </cell>
          <cell r="C4656">
            <v>36.659999999999997</v>
          </cell>
          <cell r="D4656">
            <v>17.78</v>
          </cell>
          <cell r="E4656">
            <v>8.56</v>
          </cell>
          <cell r="H4656">
            <v>45485</v>
          </cell>
          <cell r="I4656">
            <v>0.64444444444444449</v>
          </cell>
          <cell r="J4656">
            <v>27.597777777777779</v>
          </cell>
        </row>
        <row r="4657">
          <cell r="B4657">
            <v>12.53</v>
          </cell>
          <cell r="C4657">
            <v>36</v>
          </cell>
          <cell r="D4657">
            <v>17.54</v>
          </cell>
          <cell r="E4657">
            <v>8.3800000000000008</v>
          </cell>
          <cell r="H4657">
            <v>45485</v>
          </cell>
          <cell r="I4657">
            <v>0.65444444444444438</v>
          </cell>
          <cell r="J4657">
            <v>26.988888888888891</v>
          </cell>
        </row>
        <row r="4658">
          <cell r="B4658">
            <v>12.64</v>
          </cell>
          <cell r="C4658">
            <v>35.56</v>
          </cell>
          <cell r="D4658">
            <v>17.309999999999999</v>
          </cell>
          <cell r="E4658">
            <v>8.59</v>
          </cell>
          <cell r="H4658">
            <v>45486</v>
          </cell>
          <cell r="I4658">
            <v>0.6544444444444445</v>
          </cell>
          <cell r="J4658">
            <v>26.383333333333333</v>
          </cell>
        </row>
        <row r="4659">
          <cell r="B4659">
            <v>13.23</v>
          </cell>
          <cell r="C4659">
            <v>34.799999999999997</v>
          </cell>
          <cell r="D4659">
            <v>16.95</v>
          </cell>
          <cell r="E4659">
            <v>8.94</v>
          </cell>
          <cell r="H4659">
            <v>45486</v>
          </cell>
          <cell r="I4659">
            <v>0.64</v>
          </cell>
          <cell r="J4659">
            <v>26.092222222222222</v>
          </cell>
        </row>
        <row r="4660">
          <cell r="B4660">
            <v>14.65</v>
          </cell>
          <cell r="C4660">
            <v>37.68</v>
          </cell>
          <cell r="D4660">
            <v>17</v>
          </cell>
          <cell r="E4660">
            <v>9.09</v>
          </cell>
          <cell r="H4660">
            <v>45486</v>
          </cell>
          <cell r="I4660">
            <v>0.62555555555555553</v>
          </cell>
          <cell r="J4660">
            <v>25.994444444444444</v>
          </cell>
        </row>
        <row r="4661">
          <cell r="B4661">
            <v>14.5</v>
          </cell>
          <cell r="C4661">
            <v>38.58</v>
          </cell>
          <cell r="D4661">
            <v>16.920000000000002</v>
          </cell>
          <cell r="E4661">
            <v>9.0399999999999991</v>
          </cell>
          <cell r="H4661">
            <v>45486</v>
          </cell>
          <cell r="I4661">
            <v>0.6166666666666667</v>
          </cell>
          <cell r="J4661">
            <v>26.065555555555552</v>
          </cell>
        </row>
        <row r="4662">
          <cell r="B4662">
            <v>13.97</v>
          </cell>
          <cell r="C4662">
            <v>38.26</v>
          </cell>
          <cell r="D4662">
            <v>16.98</v>
          </cell>
          <cell r="E4662">
            <v>9.18</v>
          </cell>
          <cell r="H4662">
            <v>45486</v>
          </cell>
          <cell r="I4662">
            <v>0.60333333333333339</v>
          </cell>
          <cell r="J4662">
            <v>25.972222222222221</v>
          </cell>
        </row>
        <row r="4663">
          <cell r="B4663">
            <v>12.98</v>
          </cell>
          <cell r="C4663">
            <v>34.979999999999997</v>
          </cell>
          <cell r="D4663">
            <v>17.28</v>
          </cell>
          <cell r="E4663">
            <v>8.9</v>
          </cell>
          <cell r="H4663">
            <v>45486</v>
          </cell>
          <cell r="I4663">
            <v>0.6</v>
          </cell>
          <cell r="J4663">
            <v>26.031111111111109</v>
          </cell>
        </row>
        <row r="4664">
          <cell r="B4664">
            <v>12.89</v>
          </cell>
          <cell r="C4664">
            <v>37.32</v>
          </cell>
          <cell r="D4664">
            <v>17.43</v>
          </cell>
          <cell r="E4664">
            <v>9.0500000000000007</v>
          </cell>
          <cell r="H4664">
            <v>45486</v>
          </cell>
          <cell r="I4664">
            <v>0.60333333333333317</v>
          </cell>
          <cell r="J4664">
            <v>26.071111111111108</v>
          </cell>
        </row>
        <row r="4665">
          <cell r="B4665">
            <v>13.82</v>
          </cell>
          <cell r="C4665">
            <v>38.93</v>
          </cell>
          <cell r="D4665">
            <v>17.510000000000002</v>
          </cell>
          <cell r="E4665">
            <v>9.1300000000000008</v>
          </cell>
          <cell r="H4665">
            <v>45486</v>
          </cell>
          <cell r="I4665">
            <v>0.60999999999999988</v>
          </cell>
          <cell r="J4665">
            <v>26.315555555555552</v>
          </cell>
        </row>
        <row r="4666">
          <cell r="B4666">
            <v>14.53</v>
          </cell>
          <cell r="C4666">
            <v>40.770000000000003</v>
          </cell>
          <cell r="D4666">
            <v>17.670000000000002</v>
          </cell>
          <cell r="E4666">
            <v>9.33</v>
          </cell>
          <cell r="H4666">
            <v>45486</v>
          </cell>
          <cell r="I4666">
            <v>0.61888888888888882</v>
          </cell>
          <cell r="J4666">
            <v>26.529999999999998</v>
          </cell>
        </row>
        <row r="4667">
          <cell r="B4667">
            <v>15.19</v>
          </cell>
          <cell r="C4667">
            <v>43.82</v>
          </cell>
          <cell r="D4667">
            <v>17.75</v>
          </cell>
          <cell r="E4667">
            <v>9.34</v>
          </cell>
          <cell r="H4667">
            <v>45486</v>
          </cell>
          <cell r="I4667">
            <v>0.63</v>
          </cell>
          <cell r="J4667">
            <v>26.788888888888891</v>
          </cell>
        </row>
        <row r="4668">
          <cell r="B4668">
            <v>15.45</v>
          </cell>
          <cell r="C4668">
            <v>45.28</v>
          </cell>
          <cell r="D4668">
            <v>16.82</v>
          </cell>
          <cell r="E4668">
            <v>9.24</v>
          </cell>
          <cell r="H4668">
            <v>45486</v>
          </cell>
          <cell r="I4668">
            <v>0.63888888888888884</v>
          </cell>
          <cell r="J4668">
            <v>27.155555555555551</v>
          </cell>
        </row>
        <row r="4669">
          <cell r="B4669">
            <v>15.13</v>
          </cell>
          <cell r="C4669">
            <v>46.6</v>
          </cell>
          <cell r="D4669">
            <v>16.09</v>
          </cell>
          <cell r="E4669">
            <v>9.0299999999999994</v>
          </cell>
          <cell r="H4669">
            <v>45486</v>
          </cell>
          <cell r="I4669">
            <v>0.64000000000000012</v>
          </cell>
          <cell r="J4669">
            <v>27.695555555555554</v>
          </cell>
        </row>
        <row r="4670">
          <cell r="B4670">
            <v>14.71</v>
          </cell>
          <cell r="C4670">
            <v>47.42</v>
          </cell>
          <cell r="D4670">
            <v>16.77</v>
          </cell>
          <cell r="E4670">
            <v>9.0299999999999994</v>
          </cell>
          <cell r="H4670">
            <v>45486</v>
          </cell>
          <cell r="I4670">
            <v>0.64000000000000012</v>
          </cell>
          <cell r="J4670">
            <v>28.33</v>
          </cell>
        </row>
        <row r="4671">
          <cell r="B4671">
            <v>13.78</v>
          </cell>
          <cell r="C4671">
            <v>49.08</v>
          </cell>
          <cell r="D4671">
            <v>17.11</v>
          </cell>
          <cell r="E4671">
            <v>9.16</v>
          </cell>
          <cell r="H4671">
            <v>45486</v>
          </cell>
          <cell r="I4671">
            <v>0.64555555555555566</v>
          </cell>
          <cell r="J4671">
            <v>28.858888888888892</v>
          </cell>
        </row>
        <row r="4672">
          <cell r="B4672">
            <v>13.06</v>
          </cell>
          <cell r="C4672">
            <v>48.59</v>
          </cell>
          <cell r="D4672">
            <v>17.7</v>
          </cell>
          <cell r="E4672">
            <v>9.26</v>
          </cell>
          <cell r="H4672">
            <v>45486</v>
          </cell>
          <cell r="I4672">
            <v>0.64333333333333342</v>
          </cell>
          <cell r="J4672">
            <v>29.20888888888889</v>
          </cell>
        </row>
        <row r="4673">
          <cell r="B4673">
            <v>15.09</v>
          </cell>
          <cell r="C4673">
            <v>50.92</v>
          </cell>
          <cell r="D4673">
            <v>17.77</v>
          </cell>
          <cell r="E4673">
            <v>9.15</v>
          </cell>
          <cell r="H4673">
            <v>45486</v>
          </cell>
          <cell r="I4673">
            <v>0.64000000000000012</v>
          </cell>
          <cell r="J4673">
            <v>29.665555555555557</v>
          </cell>
        </row>
        <row r="4674">
          <cell r="B4674">
            <v>15.77</v>
          </cell>
          <cell r="C4674">
            <v>53.37</v>
          </cell>
          <cell r="D4674">
            <v>17.71</v>
          </cell>
          <cell r="E4674">
            <v>9.33</v>
          </cell>
          <cell r="H4674">
            <v>45486</v>
          </cell>
          <cell r="I4674">
            <v>0.63777777777777778</v>
          </cell>
          <cell r="J4674">
            <v>29.851111111111109</v>
          </cell>
        </row>
        <row r="4675">
          <cell r="B4675">
            <v>17.63</v>
          </cell>
          <cell r="C4675">
            <v>56.82</v>
          </cell>
          <cell r="D4675">
            <v>18.21</v>
          </cell>
          <cell r="E4675">
            <v>9.17</v>
          </cell>
          <cell r="H4675">
            <v>45486</v>
          </cell>
          <cell r="I4675">
            <v>0.62888888888888894</v>
          </cell>
          <cell r="J4675">
            <v>29.91</v>
          </cell>
        </row>
        <row r="4676">
          <cell r="B4676">
            <v>17.600000000000001</v>
          </cell>
          <cell r="C4676">
            <v>55.81</v>
          </cell>
          <cell r="D4676">
            <v>18.350000000000001</v>
          </cell>
          <cell r="E4676">
            <v>9.23</v>
          </cell>
          <cell r="H4676">
            <v>45486</v>
          </cell>
          <cell r="I4676">
            <v>0.62444444444444447</v>
          </cell>
          <cell r="J4676">
            <v>29.87777777777778</v>
          </cell>
        </row>
        <row r="4677">
          <cell r="B4677">
            <v>18.63</v>
          </cell>
          <cell r="C4677">
            <v>53.83</v>
          </cell>
          <cell r="D4677">
            <v>18.010000000000002</v>
          </cell>
          <cell r="E4677">
            <v>9</v>
          </cell>
          <cell r="H4677">
            <v>45486</v>
          </cell>
          <cell r="I4677">
            <v>0.62444444444444447</v>
          </cell>
          <cell r="J4677">
            <v>29.717777777777783</v>
          </cell>
        </row>
        <row r="4678">
          <cell r="B4678">
            <v>19.77</v>
          </cell>
          <cell r="C4678">
            <v>54.01</v>
          </cell>
          <cell r="D4678">
            <v>17.920000000000002</v>
          </cell>
          <cell r="E4678">
            <v>9.1199999999999992</v>
          </cell>
          <cell r="H4678">
            <v>45486</v>
          </cell>
          <cell r="I4678">
            <v>0.62666666666666659</v>
          </cell>
          <cell r="J4678">
            <v>29.338888888888885</v>
          </cell>
        </row>
        <row r="4679">
          <cell r="B4679">
            <v>19.309999999999999</v>
          </cell>
          <cell r="C4679">
            <v>52.2</v>
          </cell>
          <cell r="D4679">
            <v>17.7</v>
          </cell>
          <cell r="E4679">
            <v>9.09</v>
          </cell>
          <cell r="H4679">
            <v>45486</v>
          </cell>
          <cell r="I4679">
            <v>0.62888888888888883</v>
          </cell>
          <cell r="J4679">
            <v>28.854444444444443</v>
          </cell>
        </row>
        <row r="4680">
          <cell r="B4680">
            <v>18.010000000000002</v>
          </cell>
          <cell r="C4680">
            <v>51.95</v>
          </cell>
          <cell r="D4680">
            <v>17.5</v>
          </cell>
          <cell r="E4680">
            <v>9.1</v>
          </cell>
          <cell r="H4680">
            <v>45486</v>
          </cell>
          <cell r="I4680">
            <v>0.62444444444444447</v>
          </cell>
          <cell r="J4680">
            <v>28.519999999999996</v>
          </cell>
        </row>
        <row r="4681">
          <cell r="B4681">
            <v>18.64</v>
          </cell>
          <cell r="C4681">
            <v>50.87</v>
          </cell>
          <cell r="D4681">
            <v>17.329999999999998</v>
          </cell>
          <cell r="E4681">
            <v>8.91</v>
          </cell>
          <cell r="H4681">
            <v>45486</v>
          </cell>
          <cell r="I4681">
            <v>0.61888888888888893</v>
          </cell>
          <cell r="J4681">
            <v>28.374444444444443</v>
          </cell>
        </row>
        <row r="4682">
          <cell r="B4682">
            <v>20.14</v>
          </cell>
          <cell r="C4682">
            <v>54.59</v>
          </cell>
          <cell r="D4682">
            <v>17.190000000000001</v>
          </cell>
          <cell r="E4682">
            <v>8.93</v>
          </cell>
          <cell r="H4682">
            <v>45487</v>
          </cell>
          <cell r="I4682">
            <v>0.61222222222222233</v>
          </cell>
          <cell r="J4682">
            <v>28.173333333333332</v>
          </cell>
        </row>
        <row r="4683">
          <cell r="B4683">
            <v>19.07</v>
          </cell>
          <cell r="C4683">
            <v>49.18</v>
          </cell>
          <cell r="D4683">
            <v>16.95</v>
          </cell>
          <cell r="E4683">
            <v>8.65</v>
          </cell>
          <cell r="H4683">
            <v>45487</v>
          </cell>
          <cell r="I4683">
            <v>0.60111111111111104</v>
          </cell>
          <cell r="J4683">
            <v>28.018888888888888</v>
          </cell>
        </row>
        <row r="4684">
          <cell r="B4684">
            <v>15.81</v>
          </cell>
          <cell r="C4684">
            <v>43.22</v>
          </cell>
          <cell r="D4684">
            <v>16.98</v>
          </cell>
          <cell r="E4684">
            <v>8.76</v>
          </cell>
          <cell r="H4684">
            <v>45487</v>
          </cell>
          <cell r="I4684">
            <v>0.60333333333333328</v>
          </cell>
          <cell r="J4684">
            <v>27.997777777777777</v>
          </cell>
        </row>
        <row r="4685">
          <cell r="B4685">
            <v>15.6</v>
          </cell>
          <cell r="C4685">
            <v>40.78</v>
          </cell>
          <cell r="D4685">
            <v>16.86</v>
          </cell>
          <cell r="E4685">
            <v>8.6199999999999992</v>
          </cell>
          <cell r="H4685">
            <v>45487</v>
          </cell>
          <cell r="I4685">
            <v>0.5988888888888888</v>
          </cell>
          <cell r="J4685">
            <v>27.988888888888891</v>
          </cell>
        </row>
        <row r="4686">
          <cell r="B4686">
            <v>14.73</v>
          </cell>
          <cell r="C4686">
            <v>39.28</v>
          </cell>
          <cell r="D4686">
            <v>16.98</v>
          </cell>
          <cell r="E4686">
            <v>9.11</v>
          </cell>
          <cell r="H4686">
            <v>45487</v>
          </cell>
          <cell r="I4686">
            <v>0.59666666666666657</v>
          </cell>
          <cell r="J4686">
            <v>28.018888888888892</v>
          </cell>
        </row>
        <row r="4687">
          <cell r="B4687">
            <v>14.39</v>
          </cell>
          <cell r="C4687">
            <v>38.119999999999997</v>
          </cell>
          <cell r="D4687">
            <v>17.21</v>
          </cell>
          <cell r="E4687">
            <v>8.7100000000000009</v>
          </cell>
          <cell r="H4687">
            <v>45487</v>
          </cell>
          <cell r="I4687">
            <v>0.59333333333333327</v>
          </cell>
          <cell r="J4687">
            <v>28.018888888888892</v>
          </cell>
        </row>
        <row r="4688">
          <cell r="B4688">
            <v>14.74</v>
          </cell>
          <cell r="C4688">
            <v>40.06</v>
          </cell>
          <cell r="D4688">
            <v>17.760000000000002</v>
          </cell>
          <cell r="E4688">
            <v>8.89</v>
          </cell>
          <cell r="H4688">
            <v>45487</v>
          </cell>
          <cell r="I4688">
            <v>0.59333333333333327</v>
          </cell>
          <cell r="J4688">
            <v>28.024444444444445</v>
          </cell>
        </row>
        <row r="4689">
          <cell r="B4689">
            <v>15.96</v>
          </cell>
          <cell r="C4689">
            <v>42.66</v>
          </cell>
          <cell r="D4689">
            <v>17.28</v>
          </cell>
          <cell r="E4689">
            <v>8.99</v>
          </cell>
          <cell r="H4689">
            <v>45487</v>
          </cell>
          <cell r="I4689">
            <v>0.60000000000000009</v>
          </cell>
          <cell r="J4689">
            <v>28.051111111111108</v>
          </cell>
        </row>
        <row r="4690">
          <cell r="B4690">
            <v>16.7</v>
          </cell>
          <cell r="C4690">
            <v>44.85</v>
          </cell>
          <cell r="D4690">
            <v>17.54</v>
          </cell>
          <cell r="E4690">
            <v>9.24</v>
          </cell>
          <cell r="H4690">
            <v>45487</v>
          </cell>
          <cell r="I4690">
            <v>0.6100000000000001</v>
          </cell>
          <cell r="J4690">
            <v>28.021111111111111</v>
          </cell>
        </row>
        <row r="4691">
          <cell r="B4691">
            <v>15.33</v>
          </cell>
          <cell r="C4691">
            <v>42.92</v>
          </cell>
          <cell r="D4691">
            <v>17.010000000000002</v>
          </cell>
          <cell r="E4691">
            <v>8.9499999999999993</v>
          </cell>
          <cell r="H4691">
            <v>45487</v>
          </cell>
          <cell r="I4691">
            <v>0.61555555555555552</v>
          </cell>
          <cell r="J4691">
            <v>28.007777777777775</v>
          </cell>
        </row>
        <row r="4692">
          <cell r="B4692">
            <v>17.34</v>
          </cell>
          <cell r="C4692">
            <v>49.28</v>
          </cell>
          <cell r="D4692">
            <v>16.34</v>
          </cell>
          <cell r="E4692">
            <v>8.75</v>
          </cell>
          <cell r="H4692">
            <v>45487</v>
          </cell>
          <cell r="I4692">
            <v>0.61888888888888882</v>
          </cell>
          <cell r="J4692">
            <v>28.048888888888889</v>
          </cell>
        </row>
        <row r="4693">
          <cell r="B4693">
            <v>16.62</v>
          </cell>
          <cell r="C4693">
            <v>49.96</v>
          </cell>
          <cell r="D4693">
            <v>16.600000000000001</v>
          </cell>
          <cell r="E4693">
            <v>8.85</v>
          </cell>
          <cell r="H4693">
            <v>45487</v>
          </cell>
          <cell r="I4693">
            <v>0.61888888888888893</v>
          </cell>
          <cell r="J4693">
            <v>28.078888888888887</v>
          </cell>
        </row>
        <row r="4694">
          <cell r="B4694">
            <v>16.21</v>
          </cell>
          <cell r="C4694">
            <v>51.99</v>
          </cell>
          <cell r="D4694">
            <v>17.02</v>
          </cell>
          <cell r="E4694">
            <v>8.8000000000000007</v>
          </cell>
          <cell r="H4694">
            <v>45487</v>
          </cell>
          <cell r="I4694">
            <v>0.62444444444444447</v>
          </cell>
          <cell r="J4694">
            <v>28.095555555555553</v>
          </cell>
        </row>
        <row r="4695">
          <cell r="B4695">
            <v>16.43</v>
          </cell>
          <cell r="C4695">
            <v>49.96</v>
          </cell>
          <cell r="D4695">
            <v>14.9</v>
          </cell>
          <cell r="E4695">
            <v>8.6300000000000008</v>
          </cell>
          <cell r="H4695">
            <v>45487</v>
          </cell>
          <cell r="I4695">
            <v>0.62111111111111117</v>
          </cell>
          <cell r="J4695">
            <v>27.992222222222221</v>
          </cell>
        </row>
        <row r="4696">
          <cell r="B4696">
            <v>18.260000000000002</v>
          </cell>
          <cell r="C4696">
            <v>50.28</v>
          </cell>
          <cell r="D4696">
            <v>15.06</v>
          </cell>
          <cell r="E4696">
            <v>8.8000000000000007</v>
          </cell>
          <cell r="H4696">
            <v>45487</v>
          </cell>
          <cell r="I4696">
            <v>0.62222222222222223</v>
          </cell>
          <cell r="J4696">
            <v>27.897777777777776</v>
          </cell>
        </row>
        <row r="4697">
          <cell r="B4697">
            <v>18.37</v>
          </cell>
          <cell r="C4697">
            <v>47.63</v>
          </cell>
          <cell r="D4697">
            <v>13.91</v>
          </cell>
          <cell r="E4697">
            <v>8.5</v>
          </cell>
          <cell r="H4697">
            <v>45487</v>
          </cell>
          <cell r="I4697">
            <v>0.61444444444444457</v>
          </cell>
          <cell r="J4697">
            <v>28.007777777777775</v>
          </cell>
        </row>
        <row r="4698">
          <cell r="B4698">
            <v>16.07</v>
          </cell>
          <cell r="C4698">
            <v>42.6</v>
          </cell>
          <cell r="D4698">
            <v>15.04</v>
          </cell>
          <cell r="E4698">
            <v>8.9700000000000006</v>
          </cell>
          <cell r="H4698">
            <v>45487</v>
          </cell>
          <cell r="I4698">
            <v>0.6022222222222221</v>
          </cell>
          <cell r="J4698">
            <v>28.055555555555557</v>
          </cell>
        </row>
        <row r="4699">
          <cell r="B4699">
            <v>15.68</v>
          </cell>
          <cell r="C4699">
            <v>41.61</v>
          </cell>
          <cell r="D4699">
            <v>13.58</v>
          </cell>
          <cell r="E4699">
            <v>8.82</v>
          </cell>
          <cell r="H4699">
            <v>45487</v>
          </cell>
          <cell r="I4699">
            <v>0.59</v>
          </cell>
          <cell r="J4699">
            <v>28.078888888888887</v>
          </cell>
        </row>
        <row r="4700">
          <cell r="B4700">
            <v>15.77</v>
          </cell>
          <cell r="C4700">
            <v>41.06</v>
          </cell>
          <cell r="D4700">
            <v>13.6</v>
          </cell>
          <cell r="E4700">
            <v>8.69</v>
          </cell>
          <cell r="H4700">
            <v>45487</v>
          </cell>
          <cell r="I4700">
            <v>0.5855555555555555</v>
          </cell>
          <cell r="J4700">
            <v>28.112222222222222</v>
          </cell>
        </row>
        <row r="4701">
          <cell r="B4701">
            <v>14.81</v>
          </cell>
          <cell r="C4701">
            <v>38.619999999999997</v>
          </cell>
          <cell r="D4701">
            <v>13.44</v>
          </cell>
          <cell r="E4701">
            <v>8.51</v>
          </cell>
          <cell r="H4701">
            <v>45487</v>
          </cell>
          <cell r="I4701">
            <v>0.5822222222222222</v>
          </cell>
          <cell r="J4701">
            <v>28.028888888888886</v>
          </cell>
        </row>
        <row r="4702">
          <cell r="B4702">
            <v>15.45</v>
          </cell>
          <cell r="C4702">
            <v>38.19</v>
          </cell>
          <cell r="D4702">
            <v>13.3</v>
          </cell>
          <cell r="E4702">
            <v>8.5</v>
          </cell>
          <cell r="H4702">
            <v>45487</v>
          </cell>
          <cell r="I4702">
            <v>0.56999999999999995</v>
          </cell>
          <cell r="J4702">
            <v>27.908888888888885</v>
          </cell>
        </row>
        <row r="4703">
          <cell r="B4703">
            <v>14.34</v>
          </cell>
          <cell r="C4703">
            <v>35.700000000000003</v>
          </cell>
          <cell r="D4703">
            <v>13.29</v>
          </cell>
          <cell r="E4703">
            <v>8.4499999999999993</v>
          </cell>
          <cell r="H4703">
            <v>45487</v>
          </cell>
          <cell r="I4703">
            <v>0.55444444444444452</v>
          </cell>
          <cell r="J4703">
            <v>27.815555555555555</v>
          </cell>
        </row>
        <row r="4704">
          <cell r="B4704">
            <v>14.33</v>
          </cell>
          <cell r="C4704">
            <v>34.950000000000003</v>
          </cell>
          <cell r="D4704">
            <v>13.38</v>
          </cell>
          <cell r="E4704">
            <v>8.5500000000000007</v>
          </cell>
          <cell r="H4704">
            <v>45487</v>
          </cell>
          <cell r="I4704">
            <v>0.54000000000000015</v>
          </cell>
          <cell r="J4704">
            <v>27.831111111111113</v>
          </cell>
        </row>
        <row r="4705">
          <cell r="B4705">
            <v>14.24</v>
          </cell>
          <cell r="C4705">
            <v>32.64</v>
          </cell>
          <cell r="D4705">
            <v>13.27</v>
          </cell>
          <cell r="E4705">
            <v>8.4600000000000009</v>
          </cell>
          <cell r="H4705">
            <v>45487</v>
          </cell>
          <cell r="I4705">
            <v>0.52888888888888885</v>
          </cell>
          <cell r="J4705">
            <v>27.911111111111111</v>
          </cell>
        </row>
        <row r="4706">
          <cell r="B4706">
            <v>14.5</v>
          </cell>
          <cell r="C4706">
            <v>32.68</v>
          </cell>
          <cell r="D4706">
            <v>12.76</v>
          </cell>
          <cell r="E4706">
            <v>8.4700000000000006</v>
          </cell>
          <cell r="H4706">
            <v>45488</v>
          </cell>
          <cell r="I4706">
            <v>0.52666666666666673</v>
          </cell>
          <cell r="J4706">
            <v>27.798888888888889</v>
          </cell>
        </row>
        <row r="4707">
          <cell r="B4707">
            <v>12.99</v>
          </cell>
          <cell r="C4707">
            <v>31.19</v>
          </cell>
          <cell r="D4707">
            <v>12.72</v>
          </cell>
          <cell r="E4707">
            <v>8.5399999999999991</v>
          </cell>
          <cell r="H4707">
            <v>45488</v>
          </cell>
          <cell r="I4707">
            <v>0.53</v>
          </cell>
          <cell r="J4707">
            <v>27.732222222222223</v>
          </cell>
        </row>
        <row r="4708">
          <cell r="B4708">
            <v>14.47</v>
          </cell>
          <cell r="C4708">
            <v>33.69</v>
          </cell>
          <cell r="D4708">
            <v>14.06</v>
          </cell>
          <cell r="E4708">
            <v>8.74</v>
          </cell>
          <cell r="H4708">
            <v>45488</v>
          </cell>
          <cell r="I4708">
            <v>0.53</v>
          </cell>
          <cell r="J4708">
            <v>27.743333333333329</v>
          </cell>
        </row>
        <row r="4709">
          <cell r="B4709">
            <v>12.86</v>
          </cell>
          <cell r="C4709">
            <v>30.87</v>
          </cell>
          <cell r="D4709">
            <v>14.02</v>
          </cell>
          <cell r="E4709">
            <v>8.59</v>
          </cell>
          <cell r="H4709">
            <v>45488</v>
          </cell>
          <cell r="I4709">
            <v>0.52555555555555555</v>
          </cell>
          <cell r="J4709">
            <v>27.765555555555554</v>
          </cell>
        </row>
        <row r="4710">
          <cell r="B4710">
            <v>11.56</v>
          </cell>
          <cell r="C4710">
            <v>30.86</v>
          </cell>
          <cell r="D4710">
            <v>14</v>
          </cell>
          <cell r="E4710">
            <v>8.65</v>
          </cell>
          <cell r="H4710">
            <v>45488</v>
          </cell>
          <cell r="I4710">
            <v>0.52</v>
          </cell>
          <cell r="J4710">
            <v>27.835555555555555</v>
          </cell>
        </row>
        <row r="4711">
          <cell r="B4711">
            <v>11.65</v>
          </cell>
          <cell r="C4711">
            <v>33.58</v>
          </cell>
          <cell r="D4711">
            <v>14.13</v>
          </cell>
          <cell r="E4711">
            <v>8.66</v>
          </cell>
          <cell r="H4711">
            <v>45488</v>
          </cell>
          <cell r="I4711">
            <v>0.52222222222222225</v>
          </cell>
          <cell r="J4711">
            <v>27.856666666666669</v>
          </cell>
        </row>
        <row r="4712">
          <cell r="B4712">
            <v>12.22</v>
          </cell>
          <cell r="C4712">
            <v>34.200000000000003</v>
          </cell>
          <cell r="D4712">
            <v>14.54</v>
          </cell>
          <cell r="E4712">
            <v>8.74</v>
          </cell>
          <cell r="H4712">
            <v>45488</v>
          </cell>
          <cell r="I4712">
            <v>0.52999999999999992</v>
          </cell>
          <cell r="J4712">
            <v>27.848888888888887</v>
          </cell>
        </row>
        <row r="4713">
          <cell r="B4713">
            <v>12.38</v>
          </cell>
          <cell r="C4713">
            <v>35.049999999999997</v>
          </cell>
          <cell r="D4713">
            <v>14.61</v>
          </cell>
          <cell r="E4713">
            <v>8.76</v>
          </cell>
          <cell r="H4713">
            <v>45488</v>
          </cell>
          <cell r="I4713">
            <v>0.54222222222222216</v>
          </cell>
          <cell r="J4713">
            <v>27.87222222222222</v>
          </cell>
        </row>
        <row r="4714">
          <cell r="B4714">
            <v>13.13</v>
          </cell>
          <cell r="C4714">
            <v>36.53</v>
          </cell>
          <cell r="D4714">
            <v>15.01</v>
          </cell>
          <cell r="E4714">
            <v>8.9</v>
          </cell>
          <cell r="H4714">
            <v>45488</v>
          </cell>
          <cell r="I4714">
            <v>0.55111111111111111</v>
          </cell>
          <cell r="J4714">
            <v>27.804444444444442</v>
          </cell>
        </row>
        <row r="4715">
          <cell r="B4715">
            <v>13.53</v>
          </cell>
          <cell r="C4715">
            <v>37.61</v>
          </cell>
          <cell r="D4715">
            <v>16.899999999999999</v>
          </cell>
          <cell r="E4715">
            <v>9.48</v>
          </cell>
          <cell r="H4715">
            <v>45488</v>
          </cell>
          <cell r="I4715">
            <v>0.55777777777777771</v>
          </cell>
          <cell r="J4715">
            <v>27.753333333333334</v>
          </cell>
        </row>
        <row r="4716">
          <cell r="B4716">
            <v>14.9</v>
          </cell>
          <cell r="C4716">
            <v>37.880000000000003</v>
          </cell>
          <cell r="D4716">
            <v>16.84</v>
          </cell>
          <cell r="E4716">
            <v>9.32</v>
          </cell>
          <cell r="H4716">
            <v>45488</v>
          </cell>
          <cell r="I4716">
            <v>0.56666666666666676</v>
          </cell>
          <cell r="J4716">
            <v>27.72111111111111</v>
          </cell>
        </row>
        <row r="4717">
          <cell r="B4717">
            <v>15.13</v>
          </cell>
          <cell r="C4717">
            <v>41.59</v>
          </cell>
          <cell r="D4717">
            <v>17.309999999999999</v>
          </cell>
          <cell r="E4717">
            <v>9.94</v>
          </cell>
          <cell r="H4717">
            <v>45488</v>
          </cell>
          <cell r="I4717">
            <v>0.5755555555555556</v>
          </cell>
          <cell r="J4717">
            <v>27.356666666666669</v>
          </cell>
        </row>
        <row r="4718">
          <cell r="B4718">
            <v>14.93</v>
          </cell>
          <cell r="C4718">
            <v>44.53</v>
          </cell>
          <cell r="D4718">
            <v>17.579999999999998</v>
          </cell>
          <cell r="E4718">
            <v>10.050000000000001</v>
          </cell>
          <cell r="H4718">
            <v>45488</v>
          </cell>
          <cell r="I4718">
            <v>0.58777777777777773</v>
          </cell>
          <cell r="J4718">
            <v>27.001111111111111</v>
          </cell>
        </row>
        <row r="4719">
          <cell r="B4719">
            <v>13.71</v>
          </cell>
          <cell r="C4719">
            <v>39.92</v>
          </cell>
          <cell r="D4719">
            <v>17.03</v>
          </cell>
          <cell r="E4719">
            <v>9.81</v>
          </cell>
          <cell r="H4719">
            <v>45488</v>
          </cell>
          <cell r="I4719">
            <v>0.60444444444444445</v>
          </cell>
          <cell r="J4719">
            <v>26.684444444444445</v>
          </cell>
        </row>
        <row r="4720">
          <cell r="B4720">
            <v>14.66</v>
          </cell>
          <cell r="C4720">
            <v>39.380000000000003</v>
          </cell>
          <cell r="D4720">
            <v>16.850000000000001</v>
          </cell>
          <cell r="E4720">
            <v>9.81</v>
          </cell>
          <cell r="H4720">
            <v>45488</v>
          </cell>
          <cell r="I4720">
            <v>0.61888888888888893</v>
          </cell>
          <cell r="J4720">
            <v>26.365555555555552</v>
          </cell>
        </row>
        <row r="4721">
          <cell r="B4721">
            <v>15.35</v>
          </cell>
          <cell r="C4721">
            <v>34.79</v>
          </cell>
          <cell r="D4721">
            <v>17.420000000000002</v>
          </cell>
          <cell r="E4721">
            <v>10.06</v>
          </cell>
          <cell r="H4721">
            <v>45488</v>
          </cell>
          <cell r="I4721">
            <v>0.63555555555555554</v>
          </cell>
          <cell r="J4721">
            <v>25.974444444444444</v>
          </cell>
        </row>
        <row r="4722">
          <cell r="B4722">
            <v>14.68</v>
          </cell>
          <cell r="C4722">
            <v>34.18</v>
          </cell>
          <cell r="D4722">
            <v>17.7</v>
          </cell>
          <cell r="E4722">
            <v>8.92</v>
          </cell>
          <cell r="H4722">
            <v>45488</v>
          </cell>
          <cell r="I4722">
            <v>0.64</v>
          </cell>
          <cell r="J4722">
            <v>25.483333333333334</v>
          </cell>
        </row>
        <row r="4723">
          <cell r="B4723">
            <v>15.12</v>
          </cell>
          <cell r="C4723">
            <v>36.770000000000003</v>
          </cell>
          <cell r="D4723">
            <v>17.32</v>
          </cell>
          <cell r="E4723">
            <v>8.8800000000000008</v>
          </cell>
          <cell r="H4723">
            <v>45488</v>
          </cell>
          <cell r="I4723">
            <v>0.63777777777777767</v>
          </cell>
          <cell r="J4723">
            <v>25.158888888888889</v>
          </cell>
        </row>
        <row r="4724">
          <cell r="B4724">
            <v>13.6</v>
          </cell>
          <cell r="C4724">
            <v>35.22</v>
          </cell>
          <cell r="D4724">
            <v>17.13</v>
          </cell>
          <cell r="E4724">
            <v>8.89</v>
          </cell>
          <cell r="H4724">
            <v>45488</v>
          </cell>
          <cell r="I4724">
            <v>0.64444444444444449</v>
          </cell>
          <cell r="J4724">
            <v>24.766666666666666</v>
          </cell>
        </row>
        <row r="4725">
          <cell r="B4725">
            <v>12.47</v>
          </cell>
          <cell r="C4725">
            <v>36.659999999999997</v>
          </cell>
          <cell r="D4725">
            <v>17.48</v>
          </cell>
          <cell r="E4725">
            <v>8.93</v>
          </cell>
          <cell r="H4725">
            <v>45488</v>
          </cell>
          <cell r="I4725">
            <v>0.64000000000000012</v>
          </cell>
          <cell r="J4725">
            <v>24.328888888888891</v>
          </cell>
        </row>
        <row r="4726">
          <cell r="B4726">
            <v>13.03</v>
          </cell>
          <cell r="C4726">
            <v>35.4</v>
          </cell>
          <cell r="D4726">
            <v>17.579999999999998</v>
          </cell>
          <cell r="E4726">
            <v>9.2799999999999994</v>
          </cell>
          <cell r="H4726">
            <v>45488</v>
          </cell>
          <cell r="I4726">
            <v>0.6333333333333333</v>
          </cell>
          <cell r="J4726">
            <v>24.178888888888892</v>
          </cell>
        </row>
        <row r="4727">
          <cell r="B4727">
            <v>15.74</v>
          </cell>
          <cell r="C4727">
            <v>33.630000000000003</v>
          </cell>
          <cell r="D4727">
            <v>17.309999999999999</v>
          </cell>
          <cell r="E4727">
            <v>9.2799999999999994</v>
          </cell>
          <cell r="H4727">
            <v>45488</v>
          </cell>
          <cell r="I4727">
            <v>0.62444444444444447</v>
          </cell>
          <cell r="J4727">
            <v>24.052222222222223</v>
          </cell>
        </row>
        <row r="4728">
          <cell r="B4728">
            <v>14.49</v>
          </cell>
          <cell r="C4728">
            <v>29.84</v>
          </cell>
          <cell r="D4728">
            <v>17.190000000000001</v>
          </cell>
          <cell r="E4728">
            <v>9.09</v>
          </cell>
          <cell r="H4728">
            <v>45488</v>
          </cell>
          <cell r="I4728">
            <v>0.61333333333333329</v>
          </cell>
          <cell r="J4728">
            <v>23.931111111111111</v>
          </cell>
        </row>
        <row r="4729">
          <cell r="B4729">
            <v>12.52</v>
          </cell>
          <cell r="C4729">
            <v>28.96</v>
          </cell>
          <cell r="D4729">
            <v>16.75</v>
          </cell>
          <cell r="E4729">
            <v>8.9</v>
          </cell>
          <cell r="H4729">
            <v>45488</v>
          </cell>
          <cell r="I4729">
            <v>0.60111111111111104</v>
          </cell>
          <cell r="J4729">
            <v>23.933333333333334</v>
          </cell>
        </row>
        <row r="4730">
          <cell r="B4730">
            <v>11.18</v>
          </cell>
          <cell r="C4730">
            <v>26.49</v>
          </cell>
          <cell r="D4730">
            <v>16.309999999999999</v>
          </cell>
          <cell r="E4730">
            <v>9.1300000000000008</v>
          </cell>
          <cell r="H4730">
            <v>45489</v>
          </cell>
          <cell r="I4730">
            <v>0.58111111111111102</v>
          </cell>
          <cell r="J4730">
            <v>24.047777777777778</v>
          </cell>
        </row>
        <row r="4731">
          <cell r="B4731">
            <v>11.35</v>
          </cell>
          <cell r="C4731">
            <v>26.37</v>
          </cell>
          <cell r="D4731">
            <v>16.38</v>
          </cell>
          <cell r="E4731">
            <v>8.51</v>
          </cell>
          <cell r="H4731">
            <v>45489</v>
          </cell>
          <cell r="I4731">
            <v>0.56999999999999995</v>
          </cell>
          <cell r="J4731">
            <v>24.275555555555556</v>
          </cell>
        </row>
        <row r="4732">
          <cell r="B4732">
            <v>12.73</v>
          </cell>
          <cell r="C4732">
            <v>27.09</v>
          </cell>
          <cell r="D4732">
            <v>16.41</v>
          </cell>
          <cell r="E4732">
            <v>8.2799999999999994</v>
          </cell>
          <cell r="H4732">
            <v>45489</v>
          </cell>
          <cell r="I4732">
            <v>0.56777777777777771</v>
          </cell>
          <cell r="J4732">
            <v>24.42</v>
          </cell>
        </row>
        <row r="4733">
          <cell r="B4733">
            <v>12.24</v>
          </cell>
          <cell r="C4733">
            <v>26.75</v>
          </cell>
          <cell r="D4733">
            <v>16.600000000000001</v>
          </cell>
          <cell r="E4733">
            <v>8.1199999999999992</v>
          </cell>
          <cell r="H4733">
            <v>45489</v>
          </cell>
          <cell r="I4733">
            <v>0.55000000000000016</v>
          </cell>
          <cell r="J4733">
            <v>24.565555555555559</v>
          </cell>
        </row>
        <row r="4734">
          <cell r="B4734">
            <v>9.52</v>
          </cell>
          <cell r="C4734">
            <v>25.79</v>
          </cell>
          <cell r="D4734">
            <v>17.079999999999998</v>
          </cell>
          <cell r="E4734">
            <v>8.3000000000000007</v>
          </cell>
          <cell r="H4734">
            <v>45489</v>
          </cell>
          <cell r="I4734">
            <v>0.54222222222222216</v>
          </cell>
          <cell r="J4734">
            <v>24.798888888888893</v>
          </cell>
        </row>
        <row r="4735">
          <cell r="B4735">
            <v>9.61</v>
          </cell>
          <cell r="C4735">
            <v>26.21</v>
          </cell>
          <cell r="D4735">
            <v>15.86</v>
          </cell>
          <cell r="E4735">
            <v>7.84</v>
          </cell>
          <cell r="H4735">
            <v>45489</v>
          </cell>
          <cell r="I4735">
            <v>0.55111111111111122</v>
          </cell>
          <cell r="J4735">
            <v>24.895555555555553</v>
          </cell>
        </row>
        <row r="4736">
          <cell r="B4736">
            <v>12.48</v>
          </cell>
          <cell r="C4736">
            <v>28.78</v>
          </cell>
          <cell r="D4736">
            <v>17.29</v>
          </cell>
          <cell r="E4736">
            <v>7.85</v>
          </cell>
          <cell r="H4736">
            <v>45489</v>
          </cell>
          <cell r="I4736">
            <v>0.56222222222222229</v>
          </cell>
          <cell r="J4736">
            <v>25.017777777777777</v>
          </cell>
        </row>
        <row r="4737">
          <cell r="B4737">
            <v>12.74</v>
          </cell>
          <cell r="C4737">
            <v>30.25</v>
          </cell>
          <cell r="D4737">
            <v>17.91</v>
          </cell>
          <cell r="E4737">
            <v>7.98</v>
          </cell>
          <cell r="H4737">
            <v>45489</v>
          </cell>
          <cell r="I4737">
            <v>0.56777777777777771</v>
          </cell>
          <cell r="J4737">
            <v>25.032222222222217</v>
          </cell>
        </row>
        <row r="4738">
          <cell r="B4738">
            <v>11.86</v>
          </cell>
          <cell r="C4738">
            <v>32.130000000000003</v>
          </cell>
          <cell r="D4738">
            <v>17.88</v>
          </cell>
          <cell r="E4738">
            <v>8.66</v>
          </cell>
          <cell r="H4738">
            <v>45489</v>
          </cell>
          <cell r="I4738">
            <v>0.57777777777777772</v>
          </cell>
          <cell r="J4738">
            <v>24.96</v>
          </cell>
        </row>
        <row r="4739">
          <cell r="B4739">
            <v>12.07</v>
          </cell>
          <cell r="C4739">
            <v>34.78</v>
          </cell>
          <cell r="D4739">
            <v>17.62</v>
          </cell>
          <cell r="E4739">
            <v>8.39</v>
          </cell>
          <cell r="H4739">
            <v>45489</v>
          </cell>
          <cell r="I4739">
            <v>0.5955555555555555</v>
          </cell>
          <cell r="J4739">
            <v>24.965555555555554</v>
          </cell>
        </row>
        <row r="4740">
          <cell r="B4740">
            <v>11.95</v>
          </cell>
          <cell r="C4740">
            <v>38.92</v>
          </cell>
          <cell r="D4740">
            <v>16.62</v>
          </cell>
          <cell r="E4740">
            <v>8.0399999999999991</v>
          </cell>
          <cell r="H4740">
            <v>45489</v>
          </cell>
          <cell r="I4740">
            <v>0.61222222222222222</v>
          </cell>
          <cell r="J4740">
            <v>24.953333333333333</v>
          </cell>
        </row>
        <row r="4741">
          <cell r="B4741">
            <v>13.21</v>
          </cell>
          <cell r="C4741">
            <v>40.54</v>
          </cell>
          <cell r="D4741">
            <v>16.559999999999999</v>
          </cell>
          <cell r="E4741">
            <v>8.43</v>
          </cell>
          <cell r="H4741">
            <v>45489</v>
          </cell>
          <cell r="I4741">
            <v>0.62333333333333329</v>
          </cell>
          <cell r="J4741">
            <v>24.856666666666666</v>
          </cell>
        </row>
        <row r="4742">
          <cell r="B4742">
            <v>14.32</v>
          </cell>
          <cell r="C4742">
            <v>43.95</v>
          </cell>
          <cell r="D4742">
            <v>15.44</v>
          </cell>
          <cell r="E4742">
            <v>8.43</v>
          </cell>
          <cell r="H4742">
            <v>45489</v>
          </cell>
          <cell r="I4742">
            <v>0.64111111111111119</v>
          </cell>
          <cell r="J4742">
            <v>24.937777777777779</v>
          </cell>
        </row>
        <row r="4743">
          <cell r="B4743">
            <v>12.95</v>
          </cell>
          <cell r="C4743">
            <v>46.53</v>
          </cell>
          <cell r="D4743">
            <v>16.78</v>
          </cell>
          <cell r="E4743">
            <v>8.6300000000000008</v>
          </cell>
          <cell r="H4743">
            <v>45489</v>
          </cell>
          <cell r="I4743">
            <v>0.66111111111111109</v>
          </cell>
          <cell r="J4743">
            <v>25.004444444444445</v>
          </cell>
        </row>
        <row r="4744">
          <cell r="B4744">
            <v>12.72</v>
          </cell>
          <cell r="C4744">
            <v>41.33</v>
          </cell>
          <cell r="D4744">
            <v>17.11</v>
          </cell>
          <cell r="E4744">
            <v>7.7</v>
          </cell>
          <cell r="H4744">
            <v>45489</v>
          </cell>
          <cell r="I4744">
            <v>0.66555555555555557</v>
          </cell>
          <cell r="J4744">
            <v>25.234444444444442</v>
          </cell>
        </row>
        <row r="4745">
          <cell r="B4745">
            <v>13.79</v>
          </cell>
          <cell r="C4745">
            <v>42.6</v>
          </cell>
          <cell r="D4745">
            <v>16.73</v>
          </cell>
          <cell r="E4745">
            <v>8.26</v>
          </cell>
          <cell r="H4745">
            <v>45489</v>
          </cell>
          <cell r="I4745">
            <v>0.66888888888888887</v>
          </cell>
          <cell r="J4745">
            <v>25.504444444444445</v>
          </cell>
        </row>
        <row r="4746">
          <cell r="B4746">
            <v>12.39</v>
          </cell>
          <cell r="C4746">
            <v>39.4</v>
          </cell>
          <cell r="D4746">
            <v>17.86</v>
          </cell>
          <cell r="E4746">
            <v>7.85</v>
          </cell>
          <cell r="H4746">
            <v>45489</v>
          </cell>
          <cell r="I4746">
            <v>0.67888888888888888</v>
          </cell>
          <cell r="J4746">
            <v>25.921111111111106</v>
          </cell>
        </row>
        <row r="4747">
          <cell r="B4747">
            <v>12.54</v>
          </cell>
          <cell r="C4747">
            <v>39.67</v>
          </cell>
          <cell r="D4747">
            <v>17.61</v>
          </cell>
          <cell r="E4747">
            <v>7.89</v>
          </cell>
          <cell r="H4747">
            <v>45489</v>
          </cell>
          <cell r="I4747">
            <v>0.68333333333333313</v>
          </cell>
          <cell r="J4747">
            <v>26.33111111111111</v>
          </cell>
        </row>
        <row r="4748">
          <cell r="B4748">
            <v>13.06</v>
          </cell>
          <cell r="C4748">
            <v>44.68</v>
          </cell>
          <cell r="D4748">
            <v>18.41</v>
          </cell>
          <cell r="E4748">
            <v>7.9</v>
          </cell>
          <cell r="H4748">
            <v>45489</v>
          </cell>
          <cell r="I4748">
            <v>0.68777777777777771</v>
          </cell>
          <cell r="J4748">
            <v>26.532222222222217</v>
          </cell>
        </row>
        <row r="4749">
          <cell r="B4749">
            <v>12.91</v>
          </cell>
          <cell r="C4749">
            <v>42.58</v>
          </cell>
          <cell r="D4749">
            <v>18.41</v>
          </cell>
          <cell r="E4749">
            <v>7.95</v>
          </cell>
          <cell r="H4749">
            <v>45489</v>
          </cell>
          <cell r="I4749">
            <v>0.69666666666666666</v>
          </cell>
          <cell r="J4749">
            <v>26.681111111111111</v>
          </cell>
        </row>
        <row r="4750">
          <cell r="B4750">
            <v>13.48</v>
          </cell>
          <cell r="C4750">
            <v>45.62</v>
          </cell>
          <cell r="D4750">
            <v>17.27</v>
          </cell>
          <cell r="E4750">
            <v>7.98</v>
          </cell>
          <cell r="H4750">
            <v>45489</v>
          </cell>
          <cell r="I4750">
            <v>0.69999999999999984</v>
          </cell>
          <cell r="J4750">
            <v>26.636666666666663</v>
          </cell>
        </row>
        <row r="4751">
          <cell r="B4751">
            <v>13.82</v>
          </cell>
          <cell r="C4751">
            <v>45.96</v>
          </cell>
          <cell r="D4751">
            <v>18.86</v>
          </cell>
          <cell r="E4751">
            <v>7.72</v>
          </cell>
          <cell r="H4751">
            <v>45489</v>
          </cell>
          <cell r="I4751">
            <v>0.70444444444444432</v>
          </cell>
          <cell r="J4751">
            <v>26.682222222222222</v>
          </cell>
        </row>
        <row r="4752">
          <cell r="B4752">
            <v>15.02</v>
          </cell>
          <cell r="C4752">
            <v>43.82</v>
          </cell>
          <cell r="D4752">
            <v>18.61</v>
          </cell>
          <cell r="E4752">
            <v>7.81</v>
          </cell>
          <cell r="H4752">
            <v>45489</v>
          </cell>
          <cell r="I4752">
            <v>0.7</v>
          </cell>
          <cell r="J4752">
            <v>26.63111111111111</v>
          </cell>
        </row>
        <row r="4753">
          <cell r="B4753">
            <v>17.149999999999999</v>
          </cell>
          <cell r="C4753">
            <v>56.23</v>
          </cell>
          <cell r="D4753">
            <v>18.440000000000001</v>
          </cell>
          <cell r="E4753">
            <v>7.59</v>
          </cell>
          <cell r="H4753">
            <v>45489</v>
          </cell>
          <cell r="I4753">
            <v>0.69444444444444442</v>
          </cell>
          <cell r="J4753">
            <v>26.516666666666666</v>
          </cell>
        </row>
        <row r="4754">
          <cell r="B4754">
            <v>17.27</v>
          </cell>
          <cell r="C4754">
            <v>51.56</v>
          </cell>
          <cell r="D4754">
            <v>15.29</v>
          </cell>
          <cell r="E4754">
            <v>7.3</v>
          </cell>
          <cell r="H4754">
            <v>45490</v>
          </cell>
          <cell r="I4754">
            <v>0.68333333333333324</v>
          </cell>
          <cell r="J4754">
            <v>26.434444444444445</v>
          </cell>
        </row>
        <row r="4755">
          <cell r="B4755">
            <v>13.63</v>
          </cell>
          <cell r="C4755">
            <v>75.97</v>
          </cell>
          <cell r="D4755">
            <v>15.01</v>
          </cell>
          <cell r="E4755">
            <v>7.53</v>
          </cell>
          <cell r="H4755">
            <v>45490</v>
          </cell>
          <cell r="I4755">
            <v>0.67222222222222205</v>
          </cell>
          <cell r="J4755">
            <v>26.141111111111112</v>
          </cell>
        </row>
        <row r="4756">
          <cell r="B4756">
            <v>13.65</v>
          </cell>
          <cell r="C4756">
            <v>42.28</v>
          </cell>
          <cell r="D4756">
            <v>15.15</v>
          </cell>
          <cell r="E4756">
            <v>7.49</v>
          </cell>
          <cell r="H4756">
            <v>45490</v>
          </cell>
          <cell r="I4756">
            <v>0.6644444444444445</v>
          </cell>
          <cell r="J4756">
            <v>25.891111111111108</v>
          </cell>
        </row>
        <row r="4757">
          <cell r="B4757">
            <v>13.23</v>
          </cell>
          <cell r="C4757">
            <v>40.04</v>
          </cell>
          <cell r="D4757">
            <v>15</v>
          </cell>
          <cell r="E4757">
            <v>7.32</v>
          </cell>
          <cell r="H4757">
            <v>45490</v>
          </cell>
          <cell r="I4757">
            <v>0.65333333333333332</v>
          </cell>
          <cell r="J4757">
            <v>25.79111111111111</v>
          </cell>
        </row>
        <row r="4758">
          <cell r="B4758">
            <v>14.26</v>
          </cell>
          <cell r="C4758">
            <v>42.61</v>
          </cell>
          <cell r="D4758">
            <v>14.86</v>
          </cell>
          <cell r="E4758">
            <v>7.4</v>
          </cell>
          <cell r="H4758">
            <v>45490</v>
          </cell>
          <cell r="I4758">
            <v>0.63666666666666671</v>
          </cell>
          <cell r="J4758">
            <v>25.731111111111112</v>
          </cell>
        </row>
        <row r="4759">
          <cell r="B4759">
            <v>14.2</v>
          </cell>
          <cell r="C4759">
            <v>41.64</v>
          </cell>
          <cell r="D4759">
            <v>15.09</v>
          </cell>
          <cell r="E4759">
            <v>7.39</v>
          </cell>
          <cell r="H4759">
            <v>45490</v>
          </cell>
          <cell r="I4759">
            <v>0.63111111111111107</v>
          </cell>
          <cell r="J4759">
            <v>25.937777777777782</v>
          </cell>
        </row>
        <row r="4760">
          <cell r="B4760">
            <v>13.15</v>
          </cell>
          <cell r="C4760">
            <v>43</v>
          </cell>
          <cell r="D4760">
            <v>15.33</v>
          </cell>
          <cell r="E4760">
            <v>7.36</v>
          </cell>
          <cell r="H4760">
            <v>45490</v>
          </cell>
          <cell r="I4760">
            <v>0.62444444444444436</v>
          </cell>
          <cell r="J4760">
            <v>25.845555555555556</v>
          </cell>
        </row>
        <row r="4761">
          <cell r="B4761">
            <v>14</v>
          </cell>
          <cell r="C4761">
            <v>44.27</v>
          </cell>
          <cell r="D4761">
            <v>15.59</v>
          </cell>
          <cell r="E4761">
            <v>7.39</v>
          </cell>
          <cell r="H4761">
            <v>45490</v>
          </cell>
          <cell r="I4761">
            <v>0.62111111111111106</v>
          </cell>
          <cell r="J4761">
            <v>25.799999999999997</v>
          </cell>
        </row>
        <row r="4762">
          <cell r="B4762">
            <v>14.71</v>
          </cell>
          <cell r="C4762">
            <v>47.33</v>
          </cell>
          <cell r="D4762">
            <v>18.559999999999999</v>
          </cell>
          <cell r="E4762">
            <v>7.48</v>
          </cell>
          <cell r="H4762">
            <v>45490</v>
          </cell>
          <cell r="I4762">
            <v>0.62555555555555553</v>
          </cell>
          <cell r="J4762">
            <v>25.762222222222224</v>
          </cell>
        </row>
        <row r="4763">
          <cell r="B4763">
            <v>15.38</v>
          </cell>
          <cell r="C4763">
            <v>46.94</v>
          </cell>
          <cell r="D4763">
            <v>17.5</v>
          </cell>
          <cell r="E4763">
            <v>8.1199999999999992</v>
          </cell>
          <cell r="H4763">
            <v>45490</v>
          </cell>
          <cell r="I4763">
            <v>0.63111111111111107</v>
          </cell>
          <cell r="J4763">
            <v>25.405555555555551</v>
          </cell>
        </row>
        <row r="4764">
          <cell r="B4764">
            <v>15.7</v>
          </cell>
          <cell r="C4764">
            <v>46.32</v>
          </cell>
          <cell r="D4764">
            <v>15.45</v>
          </cell>
          <cell r="E4764">
            <v>8.08</v>
          </cell>
          <cell r="H4764">
            <v>45490</v>
          </cell>
          <cell r="I4764">
            <v>0.62444444444444447</v>
          </cell>
          <cell r="J4764">
            <v>25.351111111111109</v>
          </cell>
        </row>
        <row r="4765">
          <cell r="B4765">
            <v>16.600000000000001</v>
          </cell>
          <cell r="C4765">
            <v>50.12</v>
          </cell>
          <cell r="D4765">
            <v>16.72</v>
          </cell>
          <cell r="E4765">
            <v>7.86</v>
          </cell>
          <cell r="H4765">
            <v>45490</v>
          </cell>
          <cell r="I4765">
            <v>0.62000000000000011</v>
          </cell>
          <cell r="J4765">
            <v>25.632222222222222</v>
          </cell>
        </row>
        <row r="4766">
          <cell r="B4766">
            <v>15.24</v>
          </cell>
          <cell r="C4766">
            <v>50.68</v>
          </cell>
          <cell r="D4766">
            <v>16.57</v>
          </cell>
          <cell r="E4766">
            <v>8.8000000000000007</v>
          </cell>
          <cell r="H4766">
            <v>45490</v>
          </cell>
          <cell r="I4766">
            <v>0.61555555555555552</v>
          </cell>
          <cell r="J4766">
            <v>25.803333333333335</v>
          </cell>
        </row>
        <row r="4767">
          <cell r="B4767">
            <v>16.66</v>
          </cell>
          <cell r="C4767">
            <v>58</v>
          </cell>
          <cell r="D4767">
            <v>15.21</v>
          </cell>
          <cell r="E4767">
            <v>8.8699999999999992</v>
          </cell>
          <cell r="H4767">
            <v>45490</v>
          </cell>
          <cell r="I4767">
            <v>0.61111111111111116</v>
          </cell>
          <cell r="J4767">
            <v>26.015555555555558</v>
          </cell>
        </row>
        <row r="4768">
          <cell r="B4768">
            <v>15.34</v>
          </cell>
          <cell r="C4768">
            <v>53.16</v>
          </cell>
          <cell r="D4768">
            <v>14.59</v>
          </cell>
          <cell r="E4768">
            <v>8.77</v>
          </cell>
          <cell r="H4768">
            <v>45490</v>
          </cell>
          <cell r="I4768">
            <v>0.6133333333333334</v>
          </cell>
          <cell r="J4768">
            <v>26.055555555555557</v>
          </cell>
        </row>
        <row r="4769">
          <cell r="B4769">
            <v>18.14</v>
          </cell>
          <cell r="C4769">
            <v>55.59</v>
          </cell>
          <cell r="D4769">
            <v>14.87</v>
          </cell>
          <cell r="E4769">
            <v>7.36</v>
          </cell>
          <cell r="H4769">
            <v>45490</v>
          </cell>
          <cell r="I4769">
            <v>0.61</v>
          </cell>
          <cell r="J4769">
            <v>26.480000000000004</v>
          </cell>
        </row>
        <row r="4770">
          <cell r="B4770">
            <v>17.55</v>
          </cell>
          <cell r="C4770">
            <v>58.97</v>
          </cell>
          <cell r="D4770">
            <v>15.09</v>
          </cell>
          <cell r="E4770">
            <v>8.5500000000000007</v>
          </cell>
          <cell r="H4770">
            <v>45490</v>
          </cell>
          <cell r="I4770">
            <v>0.60222222222222221</v>
          </cell>
          <cell r="J4770">
            <v>26.72666666666667</v>
          </cell>
        </row>
        <row r="4771">
          <cell r="B4771">
            <v>15.1</v>
          </cell>
          <cell r="C4771">
            <v>53.5</v>
          </cell>
          <cell r="D4771">
            <v>15.99</v>
          </cell>
          <cell r="E4771">
            <v>7.75</v>
          </cell>
          <cell r="H4771">
            <v>45490</v>
          </cell>
          <cell r="I4771">
            <v>0.60000000000000009</v>
          </cell>
          <cell r="J4771">
            <v>27.361111111111114</v>
          </cell>
        </row>
        <row r="4772">
          <cell r="B4772">
            <v>15.29</v>
          </cell>
          <cell r="C4772">
            <v>49.88</v>
          </cell>
          <cell r="D4772">
            <v>17.760000000000002</v>
          </cell>
          <cell r="E4772">
            <v>7.65</v>
          </cell>
          <cell r="H4772">
            <v>45490</v>
          </cell>
          <cell r="I4772">
            <v>0.60222222222222221</v>
          </cell>
          <cell r="J4772">
            <v>27.963333333333335</v>
          </cell>
        </row>
        <row r="4773">
          <cell r="B4773">
            <v>15.31</v>
          </cell>
          <cell r="C4773">
            <v>48.89</v>
          </cell>
          <cell r="D4773">
            <v>16.22</v>
          </cell>
          <cell r="E4773">
            <v>7.37</v>
          </cell>
          <cell r="H4773">
            <v>45490</v>
          </cell>
          <cell r="I4773">
            <v>0.6166666666666667</v>
          </cell>
          <cell r="J4773">
            <v>28.443333333333335</v>
          </cell>
        </row>
        <row r="4774">
          <cell r="B4774">
            <v>14.93</v>
          </cell>
          <cell r="C4774">
            <v>46.05</v>
          </cell>
          <cell r="D4774">
            <v>16.05</v>
          </cell>
          <cell r="E4774">
            <v>7.63</v>
          </cell>
          <cell r="H4774">
            <v>45490</v>
          </cell>
          <cell r="I4774">
            <v>0.62555555555555564</v>
          </cell>
          <cell r="J4774">
            <v>28.538888888888891</v>
          </cell>
        </row>
        <row r="4775">
          <cell r="B4775">
            <v>14.2</v>
          </cell>
          <cell r="C4775">
            <v>44.78</v>
          </cell>
          <cell r="D4775">
            <v>15.8</v>
          </cell>
          <cell r="E4775">
            <v>7.53</v>
          </cell>
          <cell r="H4775">
            <v>45490</v>
          </cell>
          <cell r="I4775">
            <v>0.63</v>
          </cell>
          <cell r="J4775">
            <v>28.732222222222219</v>
          </cell>
        </row>
        <row r="4776">
          <cell r="B4776">
            <v>13.36</v>
          </cell>
          <cell r="C4776">
            <v>41.41</v>
          </cell>
          <cell r="D4776">
            <v>15.77</v>
          </cell>
          <cell r="E4776">
            <v>7.63</v>
          </cell>
          <cell r="H4776">
            <v>45490</v>
          </cell>
          <cell r="I4776">
            <v>0.63666666666666671</v>
          </cell>
          <cell r="J4776">
            <v>28.879999999999995</v>
          </cell>
        </row>
        <row r="4777">
          <cell r="B4777">
            <v>13.1</v>
          </cell>
          <cell r="C4777">
            <v>38.89</v>
          </cell>
          <cell r="D4777">
            <v>15.36</v>
          </cell>
          <cell r="E4777">
            <v>7.9</v>
          </cell>
          <cell r="H4777">
            <v>45490</v>
          </cell>
          <cell r="I4777">
            <v>0.63</v>
          </cell>
          <cell r="J4777">
            <v>28.84666666666666</v>
          </cell>
        </row>
        <row r="4778">
          <cell r="B4778">
            <v>14</v>
          </cell>
          <cell r="C4778">
            <v>37.11</v>
          </cell>
          <cell r="D4778">
            <v>15.2</v>
          </cell>
          <cell r="E4778">
            <v>7.99</v>
          </cell>
          <cell r="H4778">
            <v>45491</v>
          </cell>
          <cell r="I4778">
            <v>0.62666666666666659</v>
          </cell>
          <cell r="J4778">
            <v>28.533333333333328</v>
          </cell>
        </row>
        <row r="4779">
          <cell r="B4779">
            <v>11.48</v>
          </cell>
          <cell r="C4779">
            <v>32.020000000000003</v>
          </cell>
          <cell r="D4779">
            <v>15.04</v>
          </cell>
          <cell r="E4779">
            <v>8.25</v>
          </cell>
          <cell r="H4779">
            <v>45491</v>
          </cell>
          <cell r="I4779">
            <v>0.63111111111111107</v>
          </cell>
          <cell r="J4779">
            <v>28.343333333333334</v>
          </cell>
        </row>
        <row r="4780">
          <cell r="B4780">
            <v>11.73</v>
          </cell>
          <cell r="C4780">
            <v>32.69</v>
          </cell>
          <cell r="D4780">
            <v>15.07</v>
          </cell>
          <cell r="E4780">
            <v>8.39</v>
          </cell>
          <cell r="H4780">
            <v>45491</v>
          </cell>
          <cell r="I4780">
            <v>0.62666666666666659</v>
          </cell>
          <cell r="J4780">
            <v>27.821111111111115</v>
          </cell>
        </row>
        <row r="4781">
          <cell r="B4781">
            <v>12.79</v>
          </cell>
          <cell r="C4781">
            <v>34.56</v>
          </cell>
          <cell r="D4781">
            <v>14.94</v>
          </cell>
          <cell r="E4781">
            <v>8.2200000000000006</v>
          </cell>
          <cell r="H4781">
            <v>45491</v>
          </cell>
          <cell r="I4781">
            <v>0.62666666666666671</v>
          </cell>
          <cell r="J4781">
            <v>27.482222222222227</v>
          </cell>
        </row>
        <row r="4782">
          <cell r="B4782">
            <v>13.38</v>
          </cell>
          <cell r="C4782">
            <v>37.57</v>
          </cell>
          <cell r="D4782">
            <v>14.74</v>
          </cell>
          <cell r="E4782">
            <v>7.9</v>
          </cell>
          <cell r="H4782">
            <v>45491</v>
          </cell>
          <cell r="I4782">
            <v>0.62111111111111117</v>
          </cell>
          <cell r="J4782">
            <v>27.502222222222226</v>
          </cell>
        </row>
        <row r="4783">
          <cell r="B4783">
            <v>11.9</v>
          </cell>
          <cell r="C4783">
            <v>33.5</v>
          </cell>
          <cell r="D4783">
            <v>14.98</v>
          </cell>
          <cell r="E4783">
            <v>7.89</v>
          </cell>
          <cell r="H4783">
            <v>45491</v>
          </cell>
          <cell r="I4783">
            <v>0.62222222222222223</v>
          </cell>
          <cell r="J4783">
            <v>27.52888888888889</v>
          </cell>
        </row>
        <row r="4784">
          <cell r="B4784">
            <v>12.87</v>
          </cell>
          <cell r="C4784">
            <v>35.65</v>
          </cell>
          <cell r="D4784">
            <v>15.44</v>
          </cell>
          <cell r="E4784">
            <v>7.86</v>
          </cell>
          <cell r="H4784">
            <v>45491</v>
          </cell>
          <cell r="I4784">
            <v>0.62555555555555564</v>
          </cell>
          <cell r="J4784">
            <v>27.50888888888889</v>
          </cell>
        </row>
        <row r="4785">
          <cell r="B4785">
            <v>13.24</v>
          </cell>
          <cell r="C4785">
            <v>40.880000000000003</v>
          </cell>
          <cell r="D4785">
            <v>15.97</v>
          </cell>
          <cell r="E4785">
            <v>7.99</v>
          </cell>
          <cell r="H4785">
            <v>45491</v>
          </cell>
          <cell r="I4785">
            <v>0.63111111111111107</v>
          </cell>
          <cell r="J4785">
            <v>27.48555555555556</v>
          </cell>
        </row>
        <row r="4786">
          <cell r="B4786">
            <v>12.92</v>
          </cell>
          <cell r="C4786">
            <v>43.68</v>
          </cell>
          <cell r="D4786">
            <v>18.79</v>
          </cell>
          <cell r="E4786">
            <v>7.8</v>
          </cell>
          <cell r="H4786">
            <v>45491</v>
          </cell>
          <cell r="I4786">
            <v>0.6399999999999999</v>
          </cell>
          <cell r="J4786">
            <v>27.771111111111114</v>
          </cell>
        </row>
        <row r="4787">
          <cell r="B4787">
            <v>13.48</v>
          </cell>
          <cell r="C4787">
            <v>41.44</v>
          </cell>
          <cell r="D4787">
            <v>17.899999999999999</v>
          </cell>
          <cell r="E4787">
            <v>8.74</v>
          </cell>
          <cell r="H4787">
            <v>45491</v>
          </cell>
          <cell r="I4787">
            <v>0.64999999999999991</v>
          </cell>
          <cell r="J4787">
            <v>28.033333333333335</v>
          </cell>
        </row>
        <row r="4788">
          <cell r="B4788">
            <v>13.87</v>
          </cell>
          <cell r="C4788">
            <v>42.08</v>
          </cell>
          <cell r="D4788">
            <v>16.36</v>
          </cell>
          <cell r="E4788">
            <v>8.76</v>
          </cell>
          <cell r="H4788">
            <v>45491</v>
          </cell>
          <cell r="I4788">
            <v>0.64888888888888896</v>
          </cell>
          <cell r="J4788">
            <v>28.378888888888888</v>
          </cell>
        </row>
        <row r="4789">
          <cell r="B4789">
            <v>13.46</v>
          </cell>
          <cell r="C4789">
            <v>41.81</v>
          </cell>
          <cell r="D4789">
            <v>17.13</v>
          </cell>
          <cell r="E4789">
            <v>9.01</v>
          </cell>
          <cell r="H4789">
            <v>45491</v>
          </cell>
          <cell r="I4789">
            <v>0.6477777777777779</v>
          </cell>
          <cell r="J4789">
            <v>28.718888888888891</v>
          </cell>
        </row>
        <row r="4790">
          <cell r="B4790">
            <v>14.5</v>
          </cell>
          <cell r="C4790">
            <v>43.39</v>
          </cell>
          <cell r="D4790">
            <v>17.2</v>
          </cell>
          <cell r="E4790">
            <v>9.18</v>
          </cell>
          <cell r="H4790">
            <v>45491</v>
          </cell>
          <cell r="I4790">
            <v>0.64333333333333342</v>
          </cell>
          <cell r="J4790">
            <v>29.16</v>
          </cell>
        </row>
        <row r="4791">
          <cell r="B4791">
            <v>15.71</v>
          </cell>
          <cell r="C4791">
            <v>45.48</v>
          </cell>
          <cell r="D4791">
            <v>16.93</v>
          </cell>
          <cell r="E4791">
            <v>9.42</v>
          </cell>
          <cell r="H4791">
            <v>45491</v>
          </cell>
          <cell r="I4791">
            <v>0.64222222222222225</v>
          </cell>
          <cell r="J4791">
            <v>29.288888888888891</v>
          </cell>
        </row>
        <row r="4792">
          <cell r="B4792">
            <v>15.22</v>
          </cell>
          <cell r="C4792">
            <v>39.71</v>
          </cell>
          <cell r="D4792">
            <v>16.89</v>
          </cell>
          <cell r="E4792">
            <v>9.27</v>
          </cell>
          <cell r="H4792">
            <v>45491</v>
          </cell>
          <cell r="I4792">
            <v>0.63777777777777767</v>
          </cell>
          <cell r="J4792">
            <v>29.406666666666677</v>
          </cell>
        </row>
        <row r="4793">
          <cell r="B4793">
            <v>15.34</v>
          </cell>
          <cell r="C4793">
            <v>35.270000000000003</v>
          </cell>
          <cell r="D4793">
            <v>17.02</v>
          </cell>
          <cell r="E4793">
            <v>8.83</v>
          </cell>
          <cell r="H4793">
            <v>45491</v>
          </cell>
          <cell r="I4793">
            <v>0.6333333333333333</v>
          </cell>
          <cell r="J4793">
            <v>29.570000000000007</v>
          </cell>
        </row>
        <row r="4794">
          <cell r="B4794">
            <v>14.52</v>
          </cell>
          <cell r="C4794">
            <v>34.270000000000003</v>
          </cell>
          <cell r="D4794">
            <v>17.07</v>
          </cell>
          <cell r="E4794">
            <v>8.8000000000000007</v>
          </cell>
          <cell r="H4794">
            <v>45491</v>
          </cell>
          <cell r="I4794">
            <v>0.63777777777777767</v>
          </cell>
          <cell r="J4794">
            <v>29.798888888888889</v>
          </cell>
        </row>
        <row r="4795">
          <cell r="B4795">
            <v>13.24</v>
          </cell>
          <cell r="C4795">
            <v>31.7</v>
          </cell>
          <cell r="D4795">
            <v>16.77</v>
          </cell>
          <cell r="E4795">
            <v>8.93</v>
          </cell>
          <cell r="H4795">
            <v>45491</v>
          </cell>
          <cell r="I4795">
            <v>0.6366666666666666</v>
          </cell>
          <cell r="J4795">
            <v>29.939999999999998</v>
          </cell>
        </row>
        <row r="4796">
          <cell r="B4796">
            <v>13.66</v>
          </cell>
          <cell r="C4796">
            <v>29.25</v>
          </cell>
          <cell r="D4796">
            <v>17.309999999999999</v>
          </cell>
          <cell r="E4796">
            <v>9.08</v>
          </cell>
          <cell r="H4796">
            <v>45491</v>
          </cell>
          <cell r="I4796">
            <v>0.64000000000000012</v>
          </cell>
          <cell r="J4796">
            <v>30.074444444444445</v>
          </cell>
        </row>
        <row r="4797">
          <cell r="B4797">
            <v>12.73</v>
          </cell>
          <cell r="C4797">
            <v>29.23</v>
          </cell>
          <cell r="D4797">
            <v>17.940000000000001</v>
          </cell>
          <cell r="E4797">
            <v>9.17</v>
          </cell>
          <cell r="H4797">
            <v>45491</v>
          </cell>
          <cell r="I4797">
            <v>0.65</v>
          </cell>
          <cell r="J4797">
            <v>29.983333333333334</v>
          </cell>
        </row>
        <row r="4798">
          <cell r="B4798">
            <v>12.78</v>
          </cell>
          <cell r="C4798">
            <v>30.5</v>
          </cell>
          <cell r="D4798">
            <v>18.489999999999998</v>
          </cell>
          <cell r="E4798">
            <v>9.0399999999999991</v>
          </cell>
          <cell r="H4798">
            <v>45491</v>
          </cell>
          <cell r="I4798">
            <v>0.65666666666666673</v>
          </cell>
          <cell r="J4798">
            <v>29.918888888888894</v>
          </cell>
        </row>
        <row r="4799">
          <cell r="B4799">
            <v>12.99</v>
          </cell>
          <cell r="C4799">
            <v>30.88</v>
          </cell>
          <cell r="D4799">
            <v>18.54</v>
          </cell>
          <cell r="E4799">
            <v>8.93</v>
          </cell>
          <cell r="H4799">
            <v>45491</v>
          </cell>
          <cell r="I4799">
            <v>0.66222222222222227</v>
          </cell>
          <cell r="J4799">
            <v>29.807777777777776</v>
          </cell>
        </row>
        <row r="4800">
          <cell r="B4800">
            <v>13.27</v>
          </cell>
          <cell r="C4800">
            <v>31.86</v>
          </cell>
          <cell r="D4800">
            <v>18.16</v>
          </cell>
          <cell r="E4800">
            <v>8.92</v>
          </cell>
          <cell r="H4800">
            <v>45491</v>
          </cell>
          <cell r="I4800">
            <v>0.6677777777777778</v>
          </cell>
          <cell r="J4800">
            <v>29.640000000000004</v>
          </cell>
        </row>
        <row r="4801">
          <cell r="B4801">
            <v>13.89</v>
          </cell>
          <cell r="C4801">
            <v>33.51</v>
          </cell>
          <cell r="D4801">
            <v>19.03</v>
          </cell>
          <cell r="E4801">
            <v>8.17</v>
          </cell>
          <cell r="H4801">
            <v>45491</v>
          </cell>
          <cell r="I4801">
            <v>0.67222222222222228</v>
          </cell>
          <cell r="J4801">
            <v>29.527777777777779</v>
          </cell>
        </row>
        <row r="4802">
          <cell r="B4802">
            <v>14.49</v>
          </cell>
          <cell r="C4802">
            <v>36.33</v>
          </cell>
          <cell r="D4802">
            <v>15.16</v>
          </cell>
          <cell r="E4802">
            <v>8.23</v>
          </cell>
          <cell r="H4802">
            <v>45492</v>
          </cell>
          <cell r="I4802">
            <v>0.66888888888888898</v>
          </cell>
          <cell r="J4802">
            <v>29.42444444444445</v>
          </cell>
        </row>
        <row r="4803">
          <cell r="B4803">
            <v>12.94</v>
          </cell>
          <cell r="C4803">
            <v>33.39</v>
          </cell>
          <cell r="D4803">
            <v>14.76</v>
          </cell>
          <cell r="E4803">
            <v>7.95</v>
          </cell>
          <cell r="H4803">
            <v>45492</v>
          </cell>
          <cell r="I4803">
            <v>0.65222222222222237</v>
          </cell>
          <cell r="J4803">
            <v>29.260000000000005</v>
          </cell>
        </row>
        <row r="4804">
          <cell r="B4804">
            <v>13.93</v>
          </cell>
          <cell r="C4804">
            <v>31.96</v>
          </cell>
          <cell r="D4804">
            <v>14.66</v>
          </cell>
          <cell r="E4804">
            <v>7.98</v>
          </cell>
          <cell r="H4804">
            <v>45492</v>
          </cell>
          <cell r="I4804">
            <v>0.64222222222222225</v>
          </cell>
          <cell r="J4804">
            <v>29.285555555555554</v>
          </cell>
        </row>
        <row r="4805">
          <cell r="B4805">
            <v>13.65</v>
          </cell>
          <cell r="C4805">
            <v>34.93</v>
          </cell>
          <cell r="D4805">
            <v>14.89</v>
          </cell>
          <cell r="E4805">
            <v>7.96</v>
          </cell>
          <cell r="H4805">
            <v>45492</v>
          </cell>
          <cell r="I4805">
            <v>0.63222222222222224</v>
          </cell>
          <cell r="J4805">
            <v>29.335555555555555</v>
          </cell>
        </row>
        <row r="4806">
          <cell r="B4806">
            <v>13.7</v>
          </cell>
          <cell r="C4806">
            <v>36.58</v>
          </cell>
          <cell r="D4806">
            <v>14.88</v>
          </cell>
          <cell r="E4806">
            <v>7.85</v>
          </cell>
          <cell r="H4806">
            <v>45492</v>
          </cell>
          <cell r="I4806">
            <v>0.62666666666666671</v>
          </cell>
          <cell r="J4806">
            <v>29.516666666666666</v>
          </cell>
        </row>
        <row r="4807">
          <cell r="B4807">
            <v>13.13</v>
          </cell>
          <cell r="C4807">
            <v>34.57</v>
          </cell>
          <cell r="D4807">
            <v>15.31</v>
          </cell>
          <cell r="E4807">
            <v>7.6</v>
          </cell>
          <cell r="H4807">
            <v>45492</v>
          </cell>
          <cell r="I4807">
            <v>0.6166666666666667</v>
          </cell>
          <cell r="J4807">
            <v>29.615555555555552</v>
          </cell>
        </row>
        <row r="4808">
          <cell r="B4808">
            <v>13.43</v>
          </cell>
          <cell r="C4808">
            <v>35.22</v>
          </cell>
          <cell r="D4808">
            <v>15.58</v>
          </cell>
          <cell r="E4808">
            <v>8</v>
          </cell>
          <cell r="H4808">
            <v>45492</v>
          </cell>
          <cell r="I4808">
            <v>0.61777777777777776</v>
          </cell>
          <cell r="J4808">
            <v>29.573333333333331</v>
          </cell>
        </row>
        <row r="4809">
          <cell r="B4809">
            <v>16.29</v>
          </cell>
          <cell r="C4809">
            <v>35.18</v>
          </cell>
          <cell r="D4809">
            <v>14.82</v>
          </cell>
          <cell r="E4809">
            <v>8.5</v>
          </cell>
          <cell r="H4809">
            <v>45492</v>
          </cell>
          <cell r="I4809">
            <v>0.61555555555555541</v>
          </cell>
          <cell r="J4809">
            <v>29.531111111111109</v>
          </cell>
        </row>
        <row r="4810">
          <cell r="B4810">
            <v>16.309999999999999</v>
          </cell>
          <cell r="C4810">
            <v>35.020000000000003</v>
          </cell>
          <cell r="D4810">
            <v>15.27</v>
          </cell>
          <cell r="E4810">
            <v>8.84</v>
          </cell>
          <cell r="H4810">
            <v>45492</v>
          </cell>
          <cell r="I4810">
            <v>0.61777777777777776</v>
          </cell>
          <cell r="J4810">
            <v>29.475555555555552</v>
          </cell>
        </row>
        <row r="4811">
          <cell r="B4811">
            <v>12.98</v>
          </cell>
          <cell r="C4811">
            <v>30.55</v>
          </cell>
          <cell r="D4811">
            <v>16.690000000000001</v>
          </cell>
          <cell r="E4811">
            <v>9.24</v>
          </cell>
          <cell r="H4811">
            <v>45492</v>
          </cell>
          <cell r="I4811">
            <v>0.62666666666666659</v>
          </cell>
          <cell r="J4811">
            <v>29.207777777777778</v>
          </cell>
        </row>
        <row r="4812">
          <cell r="B4812">
            <v>13.18</v>
          </cell>
          <cell r="C4812">
            <v>31.8</v>
          </cell>
          <cell r="D4812">
            <v>16.79</v>
          </cell>
          <cell r="E4812">
            <v>9.44</v>
          </cell>
          <cell r="H4812">
            <v>45492</v>
          </cell>
          <cell r="I4812">
            <v>0.6333333333333333</v>
          </cell>
          <cell r="J4812">
            <v>29.025555555555556</v>
          </cell>
        </row>
        <row r="4813">
          <cell r="B4813">
            <v>14.08</v>
          </cell>
          <cell r="C4813">
            <v>43.7</v>
          </cell>
          <cell r="D4813">
            <v>16.7</v>
          </cell>
          <cell r="E4813">
            <v>9.01</v>
          </cell>
          <cell r="H4813">
            <v>45492</v>
          </cell>
          <cell r="I4813">
            <v>0.63666666666666671</v>
          </cell>
          <cell r="J4813">
            <v>28.83111111111112</v>
          </cell>
        </row>
        <row r="4814">
          <cell r="B4814">
            <v>17.850000000000001</v>
          </cell>
          <cell r="C4814">
            <v>38</v>
          </cell>
          <cell r="D4814">
            <v>16.48</v>
          </cell>
          <cell r="E4814">
            <v>9.15</v>
          </cell>
          <cell r="H4814">
            <v>45492</v>
          </cell>
          <cell r="I4814">
            <v>0.63111111111111107</v>
          </cell>
          <cell r="J4814">
            <v>28.852222222222224</v>
          </cell>
        </row>
        <row r="4815">
          <cell r="B4815">
            <v>14.78</v>
          </cell>
          <cell r="C4815">
            <v>37.14</v>
          </cell>
          <cell r="D4815">
            <v>16.78</v>
          </cell>
          <cell r="E4815">
            <v>8.7899999999999991</v>
          </cell>
          <cell r="H4815">
            <v>45492</v>
          </cell>
          <cell r="I4815">
            <v>0.61555555555555541</v>
          </cell>
          <cell r="J4815">
            <v>28.64222222222222</v>
          </cell>
        </row>
        <row r="4816">
          <cell r="B4816">
            <v>12.09</v>
          </cell>
          <cell r="C4816">
            <v>35.68</v>
          </cell>
          <cell r="D4816">
            <v>16.940000000000001</v>
          </cell>
          <cell r="E4816">
            <v>8.9600000000000009</v>
          </cell>
          <cell r="H4816">
            <v>45492</v>
          </cell>
          <cell r="I4816">
            <v>0.62222222222222212</v>
          </cell>
          <cell r="J4816">
            <v>28.48</v>
          </cell>
        </row>
        <row r="4817">
          <cell r="B4817">
            <v>13.84</v>
          </cell>
          <cell r="C4817">
            <v>37.67</v>
          </cell>
          <cell r="D4817">
            <v>16.95</v>
          </cell>
          <cell r="E4817">
            <v>8.82</v>
          </cell>
          <cell r="H4817">
            <v>45492</v>
          </cell>
          <cell r="I4817">
            <v>0.61777777777777776</v>
          </cell>
          <cell r="J4817">
            <v>28.471111111111114</v>
          </cell>
        </row>
        <row r="4818">
          <cell r="B4818">
            <v>13.71</v>
          </cell>
          <cell r="C4818">
            <v>42.6</v>
          </cell>
          <cell r="D4818">
            <v>17.170000000000002</v>
          </cell>
          <cell r="E4818">
            <v>8.94</v>
          </cell>
          <cell r="H4818">
            <v>45492</v>
          </cell>
          <cell r="I4818">
            <v>0.61333333333333329</v>
          </cell>
          <cell r="J4818">
            <v>28.391111111111112</v>
          </cell>
        </row>
        <row r="4819">
          <cell r="B4819">
            <v>12.96</v>
          </cell>
          <cell r="C4819">
            <v>41.04</v>
          </cell>
          <cell r="D4819">
            <v>18.079999999999998</v>
          </cell>
          <cell r="E4819">
            <v>8.3699999999999992</v>
          </cell>
          <cell r="H4819">
            <v>45492</v>
          </cell>
          <cell r="I4819">
            <v>0.61111111111111116</v>
          </cell>
          <cell r="J4819">
            <v>28.262222222222224</v>
          </cell>
        </row>
        <row r="4820">
          <cell r="B4820">
            <v>12.23</v>
          </cell>
          <cell r="C4820">
            <v>37.26</v>
          </cell>
          <cell r="D4820">
            <v>17.899999999999999</v>
          </cell>
          <cell r="E4820">
            <v>8.35</v>
          </cell>
          <cell r="H4820">
            <v>45492</v>
          </cell>
          <cell r="I4820">
            <v>0.61777777777777787</v>
          </cell>
          <cell r="J4820">
            <v>28.16</v>
          </cell>
        </row>
        <row r="4821">
          <cell r="B4821">
            <v>11.8</v>
          </cell>
          <cell r="C4821">
            <v>36.69</v>
          </cell>
          <cell r="D4821">
            <v>18.670000000000002</v>
          </cell>
          <cell r="E4821">
            <v>7.99</v>
          </cell>
          <cell r="H4821">
            <v>45492</v>
          </cell>
          <cell r="I4821">
            <v>0.62777777777777777</v>
          </cell>
          <cell r="J4821">
            <v>27.887777777777774</v>
          </cell>
        </row>
        <row r="4822">
          <cell r="B4822">
            <v>10.88</v>
          </cell>
          <cell r="C4822">
            <v>36.07</v>
          </cell>
          <cell r="D4822">
            <v>19</v>
          </cell>
          <cell r="E4822">
            <v>8.02</v>
          </cell>
          <cell r="H4822">
            <v>45492</v>
          </cell>
          <cell r="I4822">
            <v>0.64111111111111108</v>
          </cell>
          <cell r="J4822">
            <v>27.575555555555553</v>
          </cell>
        </row>
        <row r="4823">
          <cell r="B4823">
            <v>11.44</v>
          </cell>
          <cell r="C4823">
            <v>37.56</v>
          </cell>
          <cell r="D4823">
            <v>19.04</v>
          </cell>
          <cell r="E4823">
            <v>7.78</v>
          </cell>
          <cell r="H4823">
            <v>45492</v>
          </cell>
          <cell r="I4823">
            <v>0.65222222222222215</v>
          </cell>
          <cell r="J4823">
            <v>27.07555555555555</v>
          </cell>
        </row>
        <row r="4824">
          <cell r="B4824">
            <v>12.37</v>
          </cell>
          <cell r="C4824">
            <v>40.130000000000003</v>
          </cell>
          <cell r="D4824">
            <v>17.91</v>
          </cell>
          <cell r="E4824">
            <v>7.85</v>
          </cell>
          <cell r="H4824">
            <v>45492</v>
          </cell>
          <cell r="I4824">
            <v>0.66333333333333333</v>
          </cell>
          <cell r="J4824">
            <v>26.891111111111108</v>
          </cell>
        </row>
        <row r="4825">
          <cell r="B4825">
            <v>12.1</v>
          </cell>
          <cell r="C4825">
            <v>38.81</v>
          </cell>
          <cell r="D4825">
            <v>17.100000000000001</v>
          </cell>
          <cell r="E4825">
            <v>8.01</v>
          </cell>
          <cell r="H4825">
            <v>45492</v>
          </cell>
          <cell r="I4825">
            <v>0.65555555555555567</v>
          </cell>
          <cell r="J4825">
            <v>26.717777777777776</v>
          </cell>
        </row>
        <row r="4826">
          <cell r="B4826">
            <v>12.67</v>
          </cell>
          <cell r="C4826">
            <v>37.01</v>
          </cell>
          <cell r="D4826">
            <v>16.64</v>
          </cell>
          <cell r="E4826">
            <v>7.83</v>
          </cell>
          <cell r="H4826">
            <v>45493</v>
          </cell>
          <cell r="I4826">
            <v>0.6511111111111112</v>
          </cell>
          <cell r="J4826">
            <v>26.567777777777774</v>
          </cell>
        </row>
        <row r="4827">
          <cell r="B4827">
            <v>10.86</v>
          </cell>
          <cell r="C4827">
            <v>35.47</v>
          </cell>
          <cell r="D4827">
            <v>16.38</v>
          </cell>
          <cell r="E4827">
            <v>8.1</v>
          </cell>
          <cell r="H4827">
            <v>45493</v>
          </cell>
          <cell r="I4827">
            <v>0.65333333333333343</v>
          </cell>
          <cell r="J4827">
            <v>26.48555555555555</v>
          </cell>
        </row>
        <row r="4828">
          <cell r="B4828">
            <v>10.25</v>
          </cell>
          <cell r="C4828">
            <v>35.07</v>
          </cell>
          <cell r="D4828">
            <v>16.29</v>
          </cell>
          <cell r="E4828">
            <v>8.0500000000000007</v>
          </cell>
          <cell r="H4828">
            <v>45493</v>
          </cell>
          <cell r="I4828">
            <v>0.64666666666666661</v>
          </cell>
          <cell r="J4828">
            <v>26.462222222222223</v>
          </cell>
        </row>
        <row r="4829">
          <cell r="B4829">
            <v>9.2200000000000006</v>
          </cell>
          <cell r="C4829">
            <v>46.86</v>
          </cell>
          <cell r="D4829">
            <v>15.96</v>
          </cell>
          <cell r="E4829">
            <v>7.86</v>
          </cell>
          <cell r="H4829">
            <v>45493</v>
          </cell>
          <cell r="I4829">
            <v>0.6333333333333333</v>
          </cell>
          <cell r="J4829">
            <v>26.61</v>
          </cell>
        </row>
        <row r="4830">
          <cell r="B4830">
            <v>10.55</v>
          </cell>
          <cell r="C4830">
            <v>60.8</v>
          </cell>
          <cell r="D4830">
            <v>16.16</v>
          </cell>
          <cell r="E4830">
            <v>7.68</v>
          </cell>
          <cell r="H4830">
            <v>45493</v>
          </cell>
          <cell r="I4830">
            <v>0.61999999999999988</v>
          </cell>
          <cell r="J4830">
            <v>26.849999999999998</v>
          </cell>
        </row>
        <row r="4831">
          <cell r="B4831">
            <v>11.34</v>
          </cell>
          <cell r="C4831">
            <v>50.05</v>
          </cell>
          <cell r="D4831">
            <v>16.260000000000002</v>
          </cell>
          <cell r="E4831">
            <v>7.86</v>
          </cell>
          <cell r="H4831">
            <v>45493</v>
          </cell>
          <cell r="I4831">
            <v>0.60888888888888881</v>
          </cell>
          <cell r="J4831">
            <v>26.997777777777777</v>
          </cell>
        </row>
        <row r="4832">
          <cell r="B4832">
            <v>11.97</v>
          </cell>
          <cell r="C4832">
            <v>46.54</v>
          </cell>
          <cell r="D4832">
            <v>16.64</v>
          </cell>
          <cell r="E4832">
            <v>7.84</v>
          </cell>
          <cell r="H4832">
            <v>45493</v>
          </cell>
          <cell r="I4832">
            <v>0.61222222222222222</v>
          </cell>
          <cell r="J4832">
            <v>26.974444444444444</v>
          </cell>
        </row>
        <row r="4833">
          <cell r="B4833">
            <v>13.85</v>
          </cell>
          <cell r="C4833">
            <v>47.48</v>
          </cell>
          <cell r="D4833">
            <v>16.03</v>
          </cell>
          <cell r="E4833">
            <v>8.4700000000000006</v>
          </cell>
          <cell r="H4833">
            <v>45493</v>
          </cell>
          <cell r="I4833">
            <v>0.6133333333333334</v>
          </cell>
          <cell r="J4833">
            <v>26.939999999999998</v>
          </cell>
        </row>
        <row r="4834">
          <cell r="B4834">
            <v>15.95</v>
          </cell>
          <cell r="C4834">
            <v>50.64</v>
          </cell>
          <cell r="D4834">
            <v>16.04</v>
          </cell>
          <cell r="E4834">
            <v>8.3800000000000008</v>
          </cell>
          <cell r="H4834">
            <v>45493</v>
          </cell>
          <cell r="I4834">
            <v>0.62555555555555553</v>
          </cell>
          <cell r="J4834">
            <v>26.929999999999996</v>
          </cell>
        </row>
        <row r="4835">
          <cell r="B4835">
            <v>15.64</v>
          </cell>
          <cell r="C4835">
            <v>50.97</v>
          </cell>
          <cell r="D4835">
            <v>16.059999999999999</v>
          </cell>
          <cell r="E4835">
            <v>8.77</v>
          </cell>
          <cell r="H4835">
            <v>45493</v>
          </cell>
          <cell r="I4835">
            <v>0.63444444444444437</v>
          </cell>
          <cell r="J4835">
            <v>26.825555555555557</v>
          </cell>
        </row>
        <row r="4836">
          <cell r="B4836">
            <v>16.63</v>
          </cell>
          <cell r="C4836">
            <v>53.61</v>
          </cell>
          <cell r="D4836">
            <v>16.010000000000002</v>
          </cell>
          <cell r="E4836">
            <v>7.53</v>
          </cell>
          <cell r="H4836">
            <v>45493</v>
          </cell>
          <cell r="I4836">
            <v>0.6333333333333333</v>
          </cell>
          <cell r="J4836">
            <v>26.89</v>
          </cell>
        </row>
        <row r="4837">
          <cell r="B4837">
            <v>17.850000000000001</v>
          </cell>
          <cell r="C4837">
            <v>52.55</v>
          </cell>
          <cell r="D4837">
            <v>14.39</v>
          </cell>
          <cell r="E4837">
            <v>8.67</v>
          </cell>
          <cell r="H4837">
            <v>45493</v>
          </cell>
          <cell r="I4837">
            <v>0.62666666666666659</v>
          </cell>
          <cell r="J4837">
            <v>27.009999999999998</v>
          </cell>
        </row>
        <row r="4838">
          <cell r="B4838">
            <v>17.88</v>
          </cell>
          <cell r="C4838">
            <v>54.6</v>
          </cell>
          <cell r="D4838">
            <v>14.7</v>
          </cell>
          <cell r="E4838">
            <v>9.11</v>
          </cell>
          <cell r="H4838">
            <v>45493</v>
          </cell>
          <cell r="I4838">
            <v>0.63222222222222224</v>
          </cell>
          <cell r="J4838">
            <v>27.406666666666666</v>
          </cell>
        </row>
        <row r="4839">
          <cell r="B4839">
            <v>17.77</v>
          </cell>
          <cell r="C4839">
            <v>56.47</v>
          </cell>
          <cell r="D4839">
            <v>15.02</v>
          </cell>
          <cell r="E4839">
            <v>9.14</v>
          </cell>
          <cell r="H4839">
            <v>45493</v>
          </cell>
          <cell r="I4839">
            <v>0.62555555555555553</v>
          </cell>
          <cell r="J4839">
            <v>27.588888888888889</v>
          </cell>
        </row>
        <row r="4840">
          <cell r="B4840">
            <v>17.88</v>
          </cell>
          <cell r="C4840">
            <v>56.51</v>
          </cell>
          <cell r="D4840">
            <v>14.89</v>
          </cell>
          <cell r="E4840">
            <v>9.33</v>
          </cell>
          <cell r="H4840">
            <v>45493</v>
          </cell>
          <cell r="I4840">
            <v>0.62444444444444447</v>
          </cell>
          <cell r="J4840">
            <v>27.921111111111106</v>
          </cell>
        </row>
        <row r="4841">
          <cell r="B4841">
            <v>19.66</v>
          </cell>
          <cell r="C4841">
            <v>59.84</v>
          </cell>
          <cell r="D4841">
            <v>15.07</v>
          </cell>
          <cell r="E4841">
            <v>8.34</v>
          </cell>
          <cell r="H4841">
            <v>45493</v>
          </cell>
          <cell r="I4841">
            <v>0.61444444444444446</v>
          </cell>
          <cell r="J4841">
            <v>28.347777777777775</v>
          </cell>
        </row>
        <row r="4842">
          <cell r="B4842">
            <v>20.239999999999998</v>
          </cell>
          <cell r="C4842">
            <v>66.709999999999994</v>
          </cell>
          <cell r="D4842">
            <v>15.56</v>
          </cell>
          <cell r="E4842">
            <v>8.1999999999999993</v>
          </cell>
          <cell r="H4842">
            <v>45493</v>
          </cell>
          <cell r="I4842">
            <v>0.60888888888888892</v>
          </cell>
          <cell r="J4842">
            <v>28.739999999999995</v>
          </cell>
        </row>
        <row r="4843">
          <cell r="B4843">
            <v>20.55</v>
          </cell>
          <cell r="C4843">
            <v>67.680000000000007</v>
          </cell>
          <cell r="D4843">
            <v>15.33</v>
          </cell>
          <cell r="E4843">
            <v>9.16</v>
          </cell>
          <cell r="H4843">
            <v>45493</v>
          </cell>
          <cell r="I4843">
            <v>0.59888888888888892</v>
          </cell>
          <cell r="J4843">
            <v>29.203333333333333</v>
          </cell>
        </row>
        <row r="4844">
          <cell r="B4844">
            <v>21.08</v>
          </cell>
          <cell r="C4844">
            <v>66.540000000000006</v>
          </cell>
          <cell r="D4844">
            <v>15.32</v>
          </cell>
          <cell r="E4844">
            <v>8.76</v>
          </cell>
          <cell r="H4844">
            <v>45493</v>
          </cell>
          <cell r="I4844">
            <v>0.59444444444444455</v>
          </cell>
          <cell r="J4844">
            <v>29.674444444444436</v>
          </cell>
        </row>
        <row r="4845">
          <cell r="B4845">
            <v>21.44</v>
          </cell>
          <cell r="C4845">
            <v>66.53</v>
          </cell>
          <cell r="D4845">
            <v>15.5</v>
          </cell>
          <cell r="E4845">
            <v>8.5399999999999991</v>
          </cell>
          <cell r="H4845">
            <v>45493</v>
          </cell>
          <cell r="I4845">
            <v>0.59555555555555562</v>
          </cell>
          <cell r="J4845">
            <v>29.918888888888887</v>
          </cell>
        </row>
        <row r="4846">
          <cell r="B4846">
            <v>20.170000000000002</v>
          </cell>
          <cell r="C4846">
            <v>63.36</v>
          </cell>
          <cell r="D4846">
            <v>15.13</v>
          </cell>
          <cell r="E4846">
            <v>8.48</v>
          </cell>
          <cell r="H4846">
            <v>45493</v>
          </cell>
          <cell r="I4846">
            <v>0.60333333333333339</v>
          </cell>
          <cell r="J4846">
            <v>30.00333333333333</v>
          </cell>
        </row>
        <row r="4847">
          <cell r="B4847">
            <v>18.91</v>
          </cell>
          <cell r="C4847">
            <v>58.25</v>
          </cell>
          <cell r="D4847">
            <v>15.07</v>
          </cell>
          <cell r="E4847">
            <v>8.3699999999999992</v>
          </cell>
          <cell r="H4847">
            <v>45493</v>
          </cell>
          <cell r="I4847">
            <v>0.59222222222222221</v>
          </cell>
          <cell r="J4847">
            <v>29.869999999999997</v>
          </cell>
        </row>
        <row r="4848">
          <cell r="B4848">
            <v>18.95</v>
          </cell>
          <cell r="C4848">
            <v>55.15</v>
          </cell>
          <cell r="D4848">
            <v>14.78</v>
          </cell>
          <cell r="E4848">
            <v>8.4600000000000009</v>
          </cell>
          <cell r="H4848">
            <v>45493</v>
          </cell>
          <cell r="I4848">
            <v>0.59333333333333327</v>
          </cell>
          <cell r="J4848">
            <v>29.971111111111114</v>
          </cell>
        </row>
        <row r="4849">
          <cell r="B4849">
            <v>18.62</v>
          </cell>
          <cell r="C4849">
            <v>54.48</v>
          </cell>
          <cell r="D4849">
            <v>14.4</v>
          </cell>
          <cell r="E4849">
            <v>8.42</v>
          </cell>
          <cell r="H4849">
            <v>45493</v>
          </cell>
          <cell r="I4849">
            <v>0.5822222222222222</v>
          </cell>
          <cell r="J4849">
            <v>29.933333333333337</v>
          </cell>
        </row>
        <row r="4850">
          <cell r="B4850">
            <v>17.46</v>
          </cell>
          <cell r="C4850">
            <v>52.97</v>
          </cell>
          <cell r="D4850">
            <v>13.96</v>
          </cell>
          <cell r="E4850">
            <v>8.2899999999999991</v>
          </cell>
          <cell r="H4850">
            <v>45494</v>
          </cell>
          <cell r="I4850">
            <v>0.5722222222222223</v>
          </cell>
          <cell r="J4850">
            <v>29.93</v>
          </cell>
        </row>
        <row r="4851">
          <cell r="B4851">
            <v>17.100000000000001</v>
          </cell>
          <cell r="C4851">
            <v>52.14</v>
          </cell>
          <cell r="D4851">
            <v>13.83</v>
          </cell>
          <cell r="E4851">
            <v>8.16</v>
          </cell>
          <cell r="H4851">
            <v>45494</v>
          </cell>
          <cell r="I4851">
            <v>0.56777777777777783</v>
          </cell>
          <cell r="J4851">
            <v>29.95888888888889</v>
          </cell>
        </row>
        <row r="4852">
          <cell r="B4852">
            <v>17.32</v>
          </cell>
          <cell r="C4852">
            <v>51.42</v>
          </cell>
          <cell r="D4852">
            <v>14.56</v>
          </cell>
          <cell r="E4852">
            <v>7.29</v>
          </cell>
          <cell r="H4852">
            <v>45494</v>
          </cell>
          <cell r="I4852">
            <v>0.56222222222222229</v>
          </cell>
          <cell r="J4852">
            <v>29.970000000000002</v>
          </cell>
        </row>
        <row r="4853">
          <cell r="B4853">
            <v>16.39</v>
          </cell>
          <cell r="C4853">
            <v>47.51</v>
          </cell>
          <cell r="D4853">
            <v>14.41</v>
          </cell>
          <cell r="E4853">
            <v>7.15</v>
          </cell>
          <cell r="H4853">
            <v>45494</v>
          </cell>
          <cell r="I4853">
            <v>0.55444444444444452</v>
          </cell>
          <cell r="J4853">
            <v>30.027777777777779</v>
          </cell>
        </row>
        <row r="4854">
          <cell r="B4854">
            <v>16.29</v>
          </cell>
          <cell r="C4854">
            <v>45.54</v>
          </cell>
          <cell r="D4854">
            <v>14.48</v>
          </cell>
          <cell r="E4854">
            <v>7.05</v>
          </cell>
          <cell r="H4854">
            <v>45494</v>
          </cell>
          <cell r="I4854">
            <v>0.54777777777777781</v>
          </cell>
          <cell r="J4854">
            <v>30.117777777777778</v>
          </cell>
        </row>
        <row r="4855">
          <cell r="B4855">
            <v>16.510000000000002</v>
          </cell>
          <cell r="C4855">
            <v>46.9</v>
          </cell>
          <cell r="D4855">
            <v>15.08</v>
          </cell>
          <cell r="E4855">
            <v>7.1</v>
          </cell>
          <cell r="H4855">
            <v>45494</v>
          </cell>
          <cell r="I4855">
            <v>0.54222222222222227</v>
          </cell>
          <cell r="J4855">
            <v>30.221111111111114</v>
          </cell>
        </row>
        <row r="4856">
          <cell r="B4856">
            <v>17.04</v>
          </cell>
          <cell r="C4856">
            <v>46.94</v>
          </cell>
          <cell r="D4856">
            <v>15.13</v>
          </cell>
          <cell r="E4856">
            <v>7.11</v>
          </cell>
          <cell r="H4856">
            <v>45494</v>
          </cell>
          <cell r="I4856">
            <v>0.54777777777777781</v>
          </cell>
          <cell r="J4856">
            <v>30.186666666666675</v>
          </cell>
        </row>
        <row r="4857">
          <cell r="B4857">
            <v>18.600000000000001</v>
          </cell>
          <cell r="C4857">
            <v>52.6</v>
          </cell>
          <cell r="D4857">
            <v>14.37</v>
          </cell>
          <cell r="E4857">
            <v>7.12</v>
          </cell>
          <cell r="H4857">
            <v>45494</v>
          </cell>
          <cell r="I4857">
            <v>0.55000000000000004</v>
          </cell>
          <cell r="J4857">
            <v>30.128888888888884</v>
          </cell>
        </row>
        <row r="4858">
          <cell r="B4858">
            <v>18.010000000000002</v>
          </cell>
          <cell r="C4858">
            <v>48.64</v>
          </cell>
          <cell r="D4858">
            <v>15.44</v>
          </cell>
          <cell r="E4858">
            <v>7.34</v>
          </cell>
          <cell r="H4858">
            <v>45494</v>
          </cell>
          <cell r="I4858">
            <v>0.55555555555555569</v>
          </cell>
          <cell r="J4858">
            <v>30.146666666666665</v>
          </cell>
        </row>
        <row r="4859">
          <cell r="B4859">
            <v>16.37</v>
          </cell>
          <cell r="C4859">
            <v>46.49</v>
          </cell>
          <cell r="D4859">
            <v>15.66</v>
          </cell>
          <cell r="E4859">
            <v>7.26</v>
          </cell>
          <cell r="H4859">
            <v>45494</v>
          </cell>
          <cell r="I4859">
            <v>0.55777777777777782</v>
          </cell>
          <cell r="J4859">
            <v>30.058888888888887</v>
          </cell>
        </row>
        <row r="4860">
          <cell r="B4860">
            <v>17.399999999999999</v>
          </cell>
          <cell r="C4860">
            <v>48.1</v>
          </cell>
          <cell r="D4860">
            <v>15.75</v>
          </cell>
          <cell r="E4860">
            <v>7.26</v>
          </cell>
          <cell r="H4860">
            <v>45494</v>
          </cell>
          <cell r="I4860">
            <v>0.55999999999999994</v>
          </cell>
          <cell r="J4860">
            <v>30.096666666666668</v>
          </cell>
        </row>
        <row r="4861">
          <cell r="B4861">
            <v>16.899999999999999</v>
          </cell>
          <cell r="C4861">
            <v>47.45</v>
          </cell>
          <cell r="D4861">
            <v>14.92</v>
          </cell>
          <cell r="E4861">
            <v>8.08</v>
          </cell>
          <cell r="H4861">
            <v>45494</v>
          </cell>
          <cell r="I4861">
            <v>0.56333333333333335</v>
          </cell>
          <cell r="J4861">
            <v>30</v>
          </cell>
        </row>
        <row r="4862">
          <cell r="B4862">
            <v>15.98</v>
          </cell>
          <cell r="C4862">
            <v>48.64</v>
          </cell>
          <cell r="D4862">
            <v>15.07</v>
          </cell>
          <cell r="E4862">
            <v>7.79</v>
          </cell>
          <cell r="H4862">
            <v>45494</v>
          </cell>
          <cell r="I4862">
            <v>0.56222222222222218</v>
          </cell>
          <cell r="J4862">
            <v>29.833333333333332</v>
          </cell>
        </row>
        <row r="4863">
          <cell r="B4863">
            <v>15</v>
          </cell>
          <cell r="C4863">
            <v>50.5</v>
          </cell>
          <cell r="D4863">
            <v>14.65</v>
          </cell>
          <cell r="E4863">
            <v>7.95</v>
          </cell>
          <cell r="H4863">
            <v>45494</v>
          </cell>
          <cell r="I4863">
            <v>0.56222222222222218</v>
          </cell>
          <cell r="J4863">
            <v>29.702222222222229</v>
          </cell>
        </row>
        <row r="4864">
          <cell r="B4864">
            <v>16.29</v>
          </cell>
          <cell r="C4864">
            <v>48.54</v>
          </cell>
          <cell r="D4864">
            <v>14.47</v>
          </cell>
          <cell r="E4864">
            <v>8.1</v>
          </cell>
          <cell r="H4864">
            <v>45494</v>
          </cell>
          <cell r="I4864">
            <v>0.56111111111111112</v>
          </cell>
          <cell r="J4864">
            <v>29.633333333333333</v>
          </cell>
        </row>
        <row r="4865">
          <cell r="B4865">
            <v>15.24</v>
          </cell>
          <cell r="C4865">
            <v>44.9</v>
          </cell>
          <cell r="D4865">
            <v>14.72</v>
          </cell>
          <cell r="E4865">
            <v>8.34</v>
          </cell>
          <cell r="H4865">
            <v>45494</v>
          </cell>
          <cell r="I4865">
            <v>0.55888888888888877</v>
          </cell>
          <cell r="J4865">
            <v>29.61888888888889</v>
          </cell>
        </row>
        <row r="4866">
          <cell r="B4866">
            <v>15.75</v>
          </cell>
          <cell r="C4866">
            <v>41.33</v>
          </cell>
          <cell r="D4866">
            <v>14.76</v>
          </cell>
          <cell r="E4866">
            <v>8.4499999999999993</v>
          </cell>
          <cell r="H4866">
            <v>45494</v>
          </cell>
          <cell r="I4866">
            <v>0.56000000000000005</v>
          </cell>
          <cell r="J4866">
            <v>29.483333333333334</v>
          </cell>
        </row>
        <row r="4867">
          <cell r="B4867">
            <v>14.88</v>
          </cell>
          <cell r="C4867">
            <v>36.01</v>
          </cell>
          <cell r="D4867">
            <v>14.75</v>
          </cell>
          <cell r="E4867">
            <v>8.36</v>
          </cell>
          <cell r="H4867">
            <v>45494</v>
          </cell>
          <cell r="I4867">
            <v>0.56000000000000005</v>
          </cell>
          <cell r="J4867">
            <v>29.440000000000005</v>
          </cell>
        </row>
        <row r="4868">
          <cell r="B4868">
            <v>14.52</v>
          </cell>
          <cell r="C4868">
            <v>39.83</v>
          </cell>
          <cell r="D4868">
            <v>14.67</v>
          </cell>
          <cell r="E4868">
            <v>8.25</v>
          </cell>
          <cell r="H4868">
            <v>45494</v>
          </cell>
          <cell r="I4868">
            <v>0.56555555555555559</v>
          </cell>
          <cell r="J4868">
            <v>29.453333333333333</v>
          </cell>
        </row>
        <row r="4869">
          <cell r="B4869">
            <v>14.81</v>
          </cell>
          <cell r="C4869">
            <v>46.07</v>
          </cell>
          <cell r="D4869">
            <v>14.96</v>
          </cell>
          <cell r="E4869">
            <v>9.0299999999999994</v>
          </cell>
          <cell r="H4869">
            <v>45494</v>
          </cell>
          <cell r="I4869">
            <v>0.57111111111111112</v>
          </cell>
          <cell r="J4869">
            <v>29.259999999999998</v>
          </cell>
        </row>
        <row r="4870">
          <cell r="B4870">
            <v>16.23</v>
          </cell>
          <cell r="C4870">
            <v>49.04</v>
          </cell>
          <cell r="D4870">
            <v>14.8</v>
          </cell>
          <cell r="E4870">
            <v>8.16</v>
          </cell>
          <cell r="H4870">
            <v>45494</v>
          </cell>
          <cell r="I4870">
            <v>0.57000000000000006</v>
          </cell>
          <cell r="J4870">
            <v>29.051111111111108</v>
          </cell>
        </row>
        <row r="4871">
          <cell r="B4871">
            <v>15.83</v>
          </cell>
          <cell r="C4871">
            <v>45.38</v>
          </cell>
          <cell r="D4871">
            <v>14.6</v>
          </cell>
          <cell r="E4871">
            <v>8.15</v>
          </cell>
          <cell r="H4871">
            <v>45494</v>
          </cell>
          <cell r="I4871">
            <v>0.56555555555555559</v>
          </cell>
          <cell r="J4871">
            <v>28.880000000000003</v>
          </cell>
        </row>
        <row r="4872">
          <cell r="B4872">
            <v>14.52</v>
          </cell>
          <cell r="C4872">
            <v>39.590000000000003</v>
          </cell>
          <cell r="D4872">
            <v>14.65</v>
          </cell>
          <cell r="E4872">
            <v>7.93</v>
          </cell>
          <cell r="H4872">
            <v>45494</v>
          </cell>
          <cell r="I4872">
            <v>0.56444444444444442</v>
          </cell>
          <cell r="J4872">
            <v>28.534444444444446</v>
          </cell>
        </row>
        <row r="4873">
          <cell r="B4873">
            <v>15.37</v>
          </cell>
          <cell r="C4873">
            <v>39.25</v>
          </cell>
          <cell r="D4873">
            <v>14.3</v>
          </cell>
          <cell r="E4873">
            <v>7.94</v>
          </cell>
          <cell r="H4873">
            <v>45494</v>
          </cell>
          <cell r="I4873">
            <v>0.55888888888888888</v>
          </cell>
          <cell r="J4873">
            <v>28.354444444444443</v>
          </cell>
        </row>
        <row r="4874">
          <cell r="B4874">
            <v>13.92</v>
          </cell>
          <cell r="C4874">
            <v>37.97</v>
          </cell>
          <cell r="D4874">
            <v>13.75</v>
          </cell>
          <cell r="E4874">
            <v>7.84</v>
          </cell>
          <cell r="H4874">
            <v>45495</v>
          </cell>
          <cell r="I4874">
            <v>0.54555555555555557</v>
          </cell>
          <cell r="J4874">
            <v>28.262222222222224</v>
          </cell>
        </row>
        <row r="4875">
          <cell r="B4875">
            <v>14.6</v>
          </cell>
          <cell r="C4875">
            <v>38.11</v>
          </cell>
          <cell r="D4875">
            <v>13.54</v>
          </cell>
          <cell r="E4875">
            <v>7.64</v>
          </cell>
          <cell r="H4875">
            <v>45495</v>
          </cell>
          <cell r="I4875">
            <v>0.54555555555555557</v>
          </cell>
          <cell r="J4875">
            <v>28.256666666666668</v>
          </cell>
        </row>
        <row r="4876">
          <cell r="B4876">
            <v>13.8</v>
          </cell>
          <cell r="C4876">
            <v>39.64</v>
          </cell>
          <cell r="D4876">
            <v>13.54</v>
          </cell>
          <cell r="E4876">
            <v>7.54</v>
          </cell>
          <cell r="H4876">
            <v>45495</v>
          </cell>
          <cell r="I4876">
            <v>0.53888888888888886</v>
          </cell>
          <cell r="J4876">
            <v>28.185555555555556</v>
          </cell>
        </row>
        <row r="4877">
          <cell r="B4877">
            <v>13.32</v>
          </cell>
          <cell r="C4877">
            <v>40.11</v>
          </cell>
          <cell r="D4877">
            <v>13.59</v>
          </cell>
          <cell r="E4877">
            <v>7.78</v>
          </cell>
          <cell r="H4877">
            <v>45495</v>
          </cell>
          <cell r="I4877">
            <v>0.53222222222222215</v>
          </cell>
          <cell r="J4877">
            <v>28.114444444444448</v>
          </cell>
        </row>
        <row r="4878">
          <cell r="B4878">
            <v>13.58</v>
          </cell>
          <cell r="C4878">
            <v>38.96</v>
          </cell>
          <cell r="D4878">
            <v>13.69</v>
          </cell>
          <cell r="E4878">
            <v>7.59</v>
          </cell>
          <cell r="H4878">
            <v>45495</v>
          </cell>
          <cell r="I4878">
            <v>0.52222222222222214</v>
          </cell>
          <cell r="J4878">
            <v>28.124444444444446</v>
          </cell>
        </row>
        <row r="4879">
          <cell r="B4879">
            <v>15.44</v>
          </cell>
          <cell r="C4879">
            <v>40.61</v>
          </cell>
          <cell r="D4879">
            <v>13.78</v>
          </cell>
          <cell r="E4879">
            <v>7.91</v>
          </cell>
          <cell r="H4879">
            <v>45495</v>
          </cell>
          <cell r="I4879">
            <v>0.52111111111111119</v>
          </cell>
          <cell r="J4879">
            <v>28.145555555555557</v>
          </cell>
        </row>
        <row r="4880">
          <cell r="B4880">
            <v>16.66</v>
          </cell>
          <cell r="C4880">
            <v>43.21</v>
          </cell>
          <cell r="D4880">
            <v>14.19</v>
          </cell>
          <cell r="E4880">
            <v>7.85</v>
          </cell>
          <cell r="H4880">
            <v>45495</v>
          </cell>
          <cell r="I4880">
            <v>0.52666666666666673</v>
          </cell>
          <cell r="J4880">
            <v>28.122222222222227</v>
          </cell>
        </row>
        <row r="4881">
          <cell r="B4881">
            <v>17.649999999999999</v>
          </cell>
          <cell r="C4881">
            <v>47.28</v>
          </cell>
          <cell r="D4881">
            <v>14.54</v>
          </cell>
          <cell r="E4881">
            <v>7.87</v>
          </cell>
          <cell r="H4881">
            <v>45495</v>
          </cell>
          <cell r="I4881">
            <v>0.53111111111111109</v>
          </cell>
          <cell r="J4881">
            <v>28.160000000000004</v>
          </cell>
        </row>
        <row r="4882">
          <cell r="B4882">
            <v>18.329999999999998</v>
          </cell>
          <cell r="C4882">
            <v>48.83</v>
          </cell>
          <cell r="D4882">
            <v>15</v>
          </cell>
          <cell r="E4882">
            <v>8.01</v>
          </cell>
          <cell r="H4882">
            <v>45495</v>
          </cell>
          <cell r="I4882">
            <v>0.54333333333333333</v>
          </cell>
          <cell r="J4882">
            <v>28.114444444444448</v>
          </cell>
        </row>
        <row r="4883">
          <cell r="B4883">
            <v>18.329999999999998</v>
          </cell>
          <cell r="C4883">
            <v>48.68</v>
          </cell>
          <cell r="D4883">
            <v>14.93</v>
          </cell>
          <cell r="E4883">
            <v>8.07</v>
          </cell>
          <cell r="H4883">
            <v>45495</v>
          </cell>
          <cell r="I4883">
            <v>0.55444444444444452</v>
          </cell>
          <cell r="J4883">
            <v>28.002222222222226</v>
          </cell>
        </row>
        <row r="4884">
          <cell r="B4884">
            <v>16.16</v>
          </cell>
          <cell r="C4884">
            <v>47.73</v>
          </cell>
          <cell r="D4884">
            <v>15.23</v>
          </cell>
          <cell r="E4884">
            <v>8.01</v>
          </cell>
          <cell r="H4884">
            <v>45495</v>
          </cell>
          <cell r="I4884">
            <v>0.55333333333333334</v>
          </cell>
          <cell r="J4884">
            <v>27.902222222222225</v>
          </cell>
        </row>
        <row r="4885">
          <cell r="B4885">
            <v>15.69</v>
          </cell>
          <cell r="C4885">
            <v>47.58</v>
          </cell>
          <cell r="D4885">
            <v>16.100000000000001</v>
          </cell>
          <cell r="E4885">
            <v>8.59</v>
          </cell>
          <cell r="H4885">
            <v>45495</v>
          </cell>
          <cell r="I4885">
            <v>0.56888888888888889</v>
          </cell>
          <cell r="J4885">
            <v>27.673333333333336</v>
          </cell>
        </row>
        <row r="4886">
          <cell r="B4886">
            <v>16.809999999999999</v>
          </cell>
          <cell r="C4886">
            <v>52.1</v>
          </cell>
          <cell r="D4886">
            <v>16.760000000000002</v>
          </cell>
          <cell r="E4886">
            <v>7.06</v>
          </cell>
          <cell r="H4886">
            <v>45495</v>
          </cell>
          <cell r="I4886">
            <v>0.59</v>
          </cell>
          <cell r="J4886">
            <v>27.694444444444443</v>
          </cell>
        </row>
        <row r="4887">
          <cell r="B4887">
            <v>17.12</v>
          </cell>
          <cell r="C4887">
            <v>50.46</v>
          </cell>
          <cell r="D4887">
            <v>16.899999999999999</v>
          </cell>
          <cell r="E4887">
            <v>7.51</v>
          </cell>
          <cell r="H4887">
            <v>45495</v>
          </cell>
          <cell r="I4887">
            <v>0.60888888888888881</v>
          </cell>
          <cell r="J4887">
            <v>27.774444444444445</v>
          </cell>
        </row>
        <row r="4888">
          <cell r="B4888">
            <v>15.19</v>
          </cell>
          <cell r="C4888">
            <v>55.49</v>
          </cell>
          <cell r="D4888">
            <v>17.5</v>
          </cell>
          <cell r="E4888">
            <v>7.43</v>
          </cell>
          <cell r="H4888">
            <v>45495</v>
          </cell>
          <cell r="I4888">
            <v>0.62</v>
          </cell>
          <cell r="J4888">
            <v>27.913333333333334</v>
          </cell>
        </row>
        <row r="4889">
          <cell r="B4889">
            <v>14.43</v>
          </cell>
          <cell r="C4889">
            <v>53.45</v>
          </cell>
          <cell r="D4889">
            <v>16.91</v>
          </cell>
          <cell r="E4889">
            <v>8.17</v>
          </cell>
          <cell r="H4889">
            <v>45495</v>
          </cell>
          <cell r="I4889">
            <v>0.62444444444444436</v>
          </cell>
          <cell r="J4889">
            <v>27.841111111111115</v>
          </cell>
        </row>
        <row r="4890">
          <cell r="B4890">
            <v>13.41</v>
          </cell>
          <cell r="C4890">
            <v>49.72</v>
          </cell>
          <cell r="D4890">
            <v>17.12</v>
          </cell>
          <cell r="E4890">
            <v>8.25</v>
          </cell>
          <cell r="H4890">
            <v>45495</v>
          </cell>
          <cell r="I4890">
            <v>0.63111111111111107</v>
          </cell>
          <cell r="J4890">
            <v>28.174444444444443</v>
          </cell>
        </row>
        <row r="4891">
          <cell r="B4891">
            <v>15.07</v>
          </cell>
          <cell r="C4891">
            <v>52.59</v>
          </cell>
          <cell r="D4891">
            <v>16.86</v>
          </cell>
          <cell r="E4891">
            <v>8.01</v>
          </cell>
          <cell r="H4891">
            <v>45495</v>
          </cell>
          <cell r="I4891">
            <v>0.63555555555555554</v>
          </cell>
          <cell r="J4891">
            <v>28.225555555555555</v>
          </cell>
        </row>
        <row r="4892">
          <cell r="B4892">
            <v>15.46</v>
          </cell>
          <cell r="C4892">
            <v>51.88</v>
          </cell>
          <cell r="D4892">
            <v>17.84</v>
          </cell>
          <cell r="E4892">
            <v>8.76</v>
          </cell>
          <cell r="H4892">
            <v>45495</v>
          </cell>
          <cell r="I4892">
            <v>0.65</v>
          </cell>
          <cell r="J4892">
            <v>28.031111111111112</v>
          </cell>
        </row>
        <row r="4893">
          <cell r="B4893">
            <v>15.69</v>
          </cell>
          <cell r="C4893">
            <v>51.79</v>
          </cell>
          <cell r="D4893">
            <v>18.3</v>
          </cell>
          <cell r="E4893">
            <v>8.42</v>
          </cell>
          <cell r="H4893">
            <v>45495</v>
          </cell>
          <cell r="I4893">
            <v>0.66333333333333344</v>
          </cell>
          <cell r="J4893">
            <v>27.828888888888891</v>
          </cell>
        </row>
        <row r="4894">
          <cell r="B4894">
            <v>16.23</v>
          </cell>
          <cell r="C4894">
            <v>51.19</v>
          </cell>
          <cell r="D4894">
            <v>18</v>
          </cell>
          <cell r="E4894">
            <v>8.23</v>
          </cell>
          <cell r="H4894">
            <v>45495</v>
          </cell>
          <cell r="I4894">
            <v>0.66555555555555557</v>
          </cell>
          <cell r="J4894">
            <v>27.742222222222225</v>
          </cell>
        </row>
        <row r="4895">
          <cell r="B4895">
            <v>14.57</v>
          </cell>
          <cell r="C4895">
            <v>48.44</v>
          </cell>
          <cell r="D4895">
            <v>17.82</v>
          </cell>
          <cell r="E4895">
            <v>8.35</v>
          </cell>
          <cell r="H4895">
            <v>45495</v>
          </cell>
          <cell r="I4895">
            <v>0.65555555555555545</v>
          </cell>
          <cell r="J4895">
            <v>27.455555555555559</v>
          </cell>
        </row>
        <row r="4896">
          <cell r="B4896">
            <v>13.23</v>
          </cell>
          <cell r="C4896">
            <v>44.03</v>
          </cell>
          <cell r="D4896">
            <v>17.489999999999998</v>
          </cell>
          <cell r="E4896">
            <v>8.34</v>
          </cell>
          <cell r="H4896">
            <v>45495</v>
          </cell>
          <cell r="I4896">
            <v>0.64555555555555566</v>
          </cell>
          <cell r="J4896">
            <v>27.12777777777778</v>
          </cell>
        </row>
        <row r="4897">
          <cell r="B4897">
            <v>12.78</v>
          </cell>
          <cell r="C4897">
            <v>42.04</v>
          </cell>
          <cell r="D4897">
            <v>17.23</v>
          </cell>
          <cell r="E4897">
            <v>8.3800000000000008</v>
          </cell>
          <cell r="H4897">
            <v>45495</v>
          </cell>
          <cell r="I4897">
            <v>0.63444444444444437</v>
          </cell>
          <cell r="J4897">
            <v>26.81666666666667</v>
          </cell>
        </row>
        <row r="4898">
          <cell r="B4898">
            <v>12.09</v>
          </cell>
          <cell r="C4898">
            <v>41.51</v>
          </cell>
          <cell r="D4898">
            <v>17.05</v>
          </cell>
          <cell r="E4898">
            <v>8.36</v>
          </cell>
          <cell r="H4898">
            <v>45496</v>
          </cell>
          <cell r="I4898">
            <v>0.63222222222222213</v>
          </cell>
          <cell r="J4898">
            <v>26.787777777777777</v>
          </cell>
        </row>
        <row r="4899">
          <cell r="B4899">
            <v>11.58</v>
          </cell>
          <cell r="C4899">
            <v>39.47</v>
          </cell>
          <cell r="D4899">
            <v>16.95</v>
          </cell>
          <cell r="E4899">
            <v>8.49</v>
          </cell>
          <cell r="H4899">
            <v>45496</v>
          </cell>
          <cell r="I4899">
            <v>0.62555555555555553</v>
          </cell>
          <cell r="J4899">
            <v>26.444444444444443</v>
          </cell>
        </row>
        <row r="4900">
          <cell r="B4900">
            <v>12.26</v>
          </cell>
          <cell r="C4900">
            <v>42.1</v>
          </cell>
          <cell r="D4900">
            <v>17.399999999999999</v>
          </cell>
          <cell r="E4900">
            <v>8.8000000000000007</v>
          </cell>
          <cell r="H4900">
            <v>45496</v>
          </cell>
          <cell r="I4900">
            <v>0.62444444444444447</v>
          </cell>
          <cell r="J4900">
            <v>25.983333333333331</v>
          </cell>
        </row>
        <row r="4901">
          <cell r="B4901">
            <v>12.65</v>
          </cell>
          <cell r="C4901">
            <v>40.03</v>
          </cell>
          <cell r="D4901">
            <v>17.55</v>
          </cell>
          <cell r="E4901">
            <v>8.86</v>
          </cell>
          <cell r="H4901">
            <v>45496</v>
          </cell>
          <cell r="I4901">
            <v>0.62</v>
          </cell>
          <cell r="J4901">
            <v>25.701111111111114</v>
          </cell>
        </row>
        <row r="4902">
          <cell r="B4902">
            <v>12.4</v>
          </cell>
          <cell r="C4902">
            <v>41.47</v>
          </cell>
          <cell r="D4902">
            <v>17.75</v>
          </cell>
          <cell r="E4902">
            <v>8.7200000000000006</v>
          </cell>
          <cell r="H4902">
            <v>45496</v>
          </cell>
          <cell r="I4902">
            <v>0.61222222222222222</v>
          </cell>
          <cell r="J4902">
            <v>25.380000000000003</v>
          </cell>
        </row>
        <row r="4903">
          <cell r="B4903">
            <v>13.75</v>
          </cell>
          <cell r="C4903">
            <v>42.95</v>
          </cell>
          <cell r="D4903">
            <v>17.84</v>
          </cell>
          <cell r="E4903">
            <v>8.6999999999999993</v>
          </cell>
          <cell r="H4903">
            <v>45496</v>
          </cell>
          <cell r="I4903">
            <v>0.60888888888888881</v>
          </cell>
          <cell r="J4903">
            <v>24.967777777777776</v>
          </cell>
        </row>
        <row r="4904">
          <cell r="B4904">
            <v>15.26</v>
          </cell>
          <cell r="C4904">
            <v>46</v>
          </cell>
          <cell r="D4904">
            <v>18.100000000000001</v>
          </cell>
          <cell r="E4904">
            <v>8.94</v>
          </cell>
          <cell r="H4904">
            <v>45496</v>
          </cell>
          <cell r="I4904">
            <v>0.61</v>
          </cell>
          <cell r="J4904">
            <v>24.496666666666663</v>
          </cell>
        </row>
        <row r="4905">
          <cell r="B4905">
            <v>16.600000000000001</v>
          </cell>
          <cell r="C4905">
            <v>45.53</v>
          </cell>
          <cell r="D4905">
            <v>18.68</v>
          </cell>
          <cell r="E4905">
            <v>8.85</v>
          </cell>
          <cell r="H4905">
            <v>45496</v>
          </cell>
          <cell r="I4905">
            <v>0.62</v>
          </cell>
          <cell r="J4905">
            <v>23.955555555555556</v>
          </cell>
        </row>
        <row r="4906">
          <cell r="B4906">
            <v>16.57</v>
          </cell>
          <cell r="C4906">
            <v>48.72</v>
          </cell>
          <cell r="D4906">
            <v>19.13</v>
          </cell>
          <cell r="E4906">
            <v>8.7799999999999994</v>
          </cell>
          <cell r="H4906">
            <v>45496</v>
          </cell>
          <cell r="I4906">
            <v>0.63555555555555565</v>
          </cell>
          <cell r="J4906">
            <v>23.416666666666668</v>
          </cell>
        </row>
        <row r="4907">
          <cell r="B4907">
            <v>17.53</v>
          </cell>
          <cell r="C4907">
            <v>50.65</v>
          </cell>
          <cell r="D4907">
            <v>18.989999999999998</v>
          </cell>
          <cell r="E4907">
            <v>8.86</v>
          </cell>
          <cell r="H4907">
            <v>45496</v>
          </cell>
          <cell r="I4907">
            <v>0.65</v>
          </cell>
          <cell r="J4907">
            <v>22.917777777777776</v>
          </cell>
        </row>
        <row r="4908">
          <cell r="B4908">
            <v>17.010000000000002</v>
          </cell>
          <cell r="C4908">
            <v>53.73</v>
          </cell>
          <cell r="D4908">
            <v>17.66</v>
          </cell>
          <cell r="E4908">
            <v>8.76</v>
          </cell>
          <cell r="H4908">
            <v>45496</v>
          </cell>
          <cell r="I4908">
            <v>0.6677777777777778</v>
          </cell>
          <cell r="J4908">
            <v>22.347777777777779</v>
          </cell>
        </row>
        <row r="4909">
          <cell r="B4909">
            <v>18.53</v>
          </cell>
          <cell r="C4909">
            <v>49.32</v>
          </cell>
          <cell r="D4909">
            <v>17.38</v>
          </cell>
          <cell r="E4909">
            <v>8.6199999999999992</v>
          </cell>
          <cell r="H4909">
            <v>45496</v>
          </cell>
          <cell r="I4909">
            <v>0.66888888888888898</v>
          </cell>
          <cell r="J4909">
            <v>22.53</v>
          </cell>
        </row>
        <row r="4910">
          <cell r="B4910">
            <v>17.05</v>
          </cell>
          <cell r="C4910">
            <v>48.46</v>
          </cell>
          <cell r="D4910">
            <v>17.329999999999998</v>
          </cell>
          <cell r="E4910">
            <v>8.5</v>
          </cell>
          <cell r="H4910">
            <v>45496</v>
          </cell>
          <cell r="I4910">
            <v>0.6644444444444445</v>
          </cell>
          <cell r="J4910">
            <v>22.817777777777778</v>
          </cell>
        </row>
        <row r="4911">
          <cell r="B4911">
            <v>15.79</v>
          </cell>
          <cell r="C4911">
            <v>49.41</v>
          </cell>
          <cell r="D4911">
            <v>17.11</v>
          </cell>
          <cell r="E4911">
            <v>8.49</v>
          </cell>
          <cell r="H4911">
            <v>45496</v>
          </cell>
          <cell r="I4911">
            <v>0.66555555555555557</v>
          </cell>
          <cell r="J4911">
            <v>23.247777777777777</v>
          </cell>
        </row>
        <row r="4912">
          <cell r="B4912">
            <v>14.71</v>
          </cell>
          <cell r="C4912">
            <v>46.3</v>
          </cell>
          <cell r="D4912">
            <v>16.91</v>
          </cell>
          <cell r="E4912">
            <v>8.51</v>
          </cell>
          <cell r="H4912">
            <v>45496</v>
          </cell>
          <cell r="I4912">
            <v>0.66555555555555557</v>
          </cell>
          <cell r="J4912">
            <v>23.754444444444445</v>
          </cell>
        </row>
        <row r="4913">
          <cell r="B4913">
            <v>12.49</v>
          </cell>
          <cell r="C4913">
            <v>46.32</v>
          </cell>
          <cell r="D4913">
            <v>17.21</v>
          </cell>
          <cell r="E4913">
            <v>8.93</v>
          </cell>
          <cell r="H4913">
            <v>45496</v>
          </cell>
          <cell r="I4913">
            <v>0.66555555555555546</v>
          </cell>
          <cell r="J4913">
            <v>24.26</v>
          </cell>
        </row>
        <row r="4914">
          <cell r="B4914">
            <v>12.57</v>
          </cell>
          <cell r="C4914">
            <v>46.49</v>
          </cell>
          <cell r="D4914">
            <v>17.02</v>
          </cell>
          <cell r="E4914">
            <v>8.25</v>
          </cell>
          <cell r="H4914">
            <v>45496</v>
          </cell>
          <cell r="I4914">
            <v>0.66666666666666663</v>
          </cell>
          <cell r="J4914">
            <v>24.825555555555557</v>
          </cell>
        </row>
        <row r="4915">
          <cell r="B4915">
            <v>13.62</v>
          </cell>
          <cell r="C4915">
            <v>46.69</v>
          </cell>
          <cell r="D4915">
            <v>17.37</v>
          </cell>
          <cell r="E4915">
            <v>8.1</v>
          </cell>
          <cell r="H4915">
            <v>45496</v>
          </cell>
          <cell r="I4915">
            <v>0.67222222222222228</v>
          </cell>
          <cell r="J4915">
            <v>25.41888888888889</v>
          </cell>
        </row>
        <row r="4916">
          <cell r="B4916">
            <v>14.33</v>
          </cell>
          <cell r="C4916">
            <v>49.86</v>
          </cell>
          <cell r="D4916">
            <v>18.059999999999999</v>
          </cell>
          <cell r="E4916">
            <v>8.33</v>
          </cell>
          <cell r="H4916">
            <v>45496</v>
          </cell>
          <cell r="I4916">
            <v>0.67555555555555558</v>
          </cell>
          <cell r="J4916">
            <v>25.790000000000003</v>
          </cell>
        </row>
        <row r="4917">
          <cell r="B4917">
            <v>14.17</v>
          </cell>
          <cell r="C4917">
            <v>51.05</v>
          </cell>
          <cell r="D4917">
            <v>18.86</v>
          </cell>
          <cell r="E4917">
            <v>8.1999999999999993</v>
          </cell>
          <cell r="H4917">
            <v>45496</v>
          </cell>
          <cell r="I4917">
            <v>0.67666666666666664</v>
          </cell>
          <cell r="J4917">
            <v>26.097777777777779</v>
          </cell>
        </row>
        <row r="4918">
          <cell r="B4918">
            <v>16.14</v>
          </cell>
          <cell r="C4918">
            <v>51.72</v>
          </cell>
          <cell r="D4918">
            <v>18.21</v>
          </cell>
          <cell r="E4918">
            <v>8</v>
          </cell>
          <cell r="H4918">
            <v>45496</v>
          </cell>
          <cell r="I4918">
            <v>0.68222222222222229</v>
          </cell>
          <cell r="J4918">
            <v>26.048888888888889</v>
          </cell>
        </row>
        <row r="4919">
          <cell r="B4919">
            <v>15.04</v>
          </cell>
          <cell r="C4919">
            <v>44.61</v>
          </cell>
          <cell r="D4919">
            <v>18.29</v>
          </cell>
          <cell r="E4919">
            <v>8.18</v>
          </cell>
          <cell r="H4919">
            <v>45496</v>
          </cell>
          <cell r="I4919">
            <v>0.6855555555555557</v>
          </cell>
          <cell r="J4919">
            <v>25.95888888888889</v>
          </cell>
        </row>
        <row r="4920">
          <cell r="B4920">
            <v>14.24</v>
          </cell>
          <cell r="C4920">
            <v>45.46</v>
          </cell>
          <cell r="D4920">
            <v>17.899999999999999</v>
          </cell>
          <cell r="E4920">
            <v>7.8</v>
          </cell>
          <cell r="H4920">
            <v>45496</v>
          </cell>
          <cell r="I4920">
            <v>0.68444444444444452</v>
          </cell>
          <cell r="J4920">
            <v>25.75</v>
          </cell>
        </row>
        <row r="4921">
          <cell r="B4921">
            <v>13.69</v>
          </cell>
          <cell r="C4921">
            <v>41.97</v>
          </cell>
          <cell r="D4921">
            <v>17.399999999999999</v>
          </cell>
          <cell r="E4921">
            <v>7.77</v>
          </cell>
          <cell r="H4921">
            <v>45496</v>
          </cell>
          <cell r="I4921">
            <v>0.67888888888888888</v>
          </cell>
          <cell r="J4921">
            <v>25.614444444444448</v>
          </cell>
        </row>
        <row r="4922">
          <cell r="B4922">
            <v>13.02</v>
          </cell>
          <cell r="C4922">
            <v>42.53</v>
          </cell>
          <cell r="D4922">
            <v>16.98</v>
          </cell>
          <cell r="E4922">
            <v>7.68</v>
          </cell>
          <cell r="H4922">
            <v>45497</v>
          </cell>
          <cell r="I4922">
            <v>0.67222222222222228</v>
          </cell>
          <cell r="J4922">
            <v>25.543333333333337</v>
          </cell>
        </row>
        <row r="4923">
          <cell r="B4923">
            <v>13.29</v>
          </cell>
          <cell r="C4923">
            <v>38.24</v>
          </cell>
          <cell r="D4923">
            <v>17.09</v>
          </cell>
          <cell r="E4923">
            <v>7.56</v>
          </cell>
          <cell r="H4923">
            <v>45497</v>
          </cell>
          <cell r="I4923">
            <v>0.66444444444444439</v>
          </cell>
          <cell r="J4923">
            <v>25.41333333333333</v>
          </cell>
        </row>
        <row r="4924">
          <cell r="B4924">
            <v>13.43</v>
          </cell>
          <cell r="C4924">
            <v>37.020000000000003</v>
          </cell>
          <cell r="D4924">
            <v>17.010000000000002</v>
          </cell>
          <cell r="E4924">
            <v>7.67</v>
          </cell>
          <cell r="H4924">
            <v>45497</v>
          </cell>
          <cell r="I4924">
            <v>0.6544444444444445</v>
          </cell>
          <cell r="J4924">
            <v>25.212222222222223</v>
          </cell>
        </row>
        <row r="4925">
          <cell r="B4925">
            <v>12.53</v>
          </cell>
          <cell r="C4925">
            <v>34.01</v>
          </cell>
          <cell r="D4925">
            <v>17</v>
          </cell>
          <cell r="E4925">
            <v>7.83</v>
          </cell>
          <cell r="H4925">
            <v>45497</v>
          </cell>
          <cell r="I4925">
            <v>0.64111111111111119</v>
          </cell>
          <cell r="J4925">
            <v>25.216666666666665</v>
          </cell>
        </row>
        <row r="4926">
          <cell r="B4926">
            <v>14.13</v>
          </cell>
          <cell r="C4926">
            <v>34.35</v>
          </cell>
          <cell r="D4926">
            <v>16.899999999999999</v>
          </cell>
          <cell r="E4926">
            <v>7.73</v>
          </cell>
          <cell r="H4926">
            <v>45497</v>
          </cell>
          <cell r="I4926">
            <v>0.62555555555555564</v>
          </cell>
          <cell r="J4926">
            <v>25.313333333333333</v>
          </cell>
        </row>
        <row r="4927">
          <cell r="B4927">
            <v>13.91</v>
          </cell>
          <cell r="C4927">
            <v>35.130000000000003</v>
          </cell>
          <cell r="D4927">
            <v>17.54</v>
          </cell>
          <cell r="E4927">
            <v>7.62</v>
          </cell>
          <cell r="H4927">
            <v>45497</v>
          </cell>
          <cell r="I4927">
            <v>0.61333333333333329</v>
          </cell>
          <cell r="J4927">
            <v>25.337777777777777</v>
          </cell>
        </row>
        <row r="4928">
          <cell r="B4928">
            <v>11.59</v>
          </cell>
          <cell r="C4928">
            <v>32.78</v>
          </cell>
          <cell r="D4928">
            <v>15.65</v>
          </cell>
          <cell r="E4928">
            <v>7.64</v>
          </cell>
          <cell r="H4928">
            <v>45497</v>
          </cell>
          <cell r="I4928">
            <v>0.60888888888888892</v>
          </cell>
          <cell r="J4928">
            <v>25.314444444444447</v>
          </cell>
        </row>
        <row r="4929">
          <cell r="B4929">
            <v>12.99</v>
          </cell>
          <cell r="C4929">
            <v>35.5</v>
          </cell>
          <cell r="D4929">
            <v>15.81</v>
          </cell>
          <cell r="E4929">
            <v>7.56</v>
          </cell>
          <cell r="H4929">
            <v>45497</v>
          </cell>
          <cell r="I4929">
            <v>0.6133333333333334</v>
          </cell>
          <cell r="J4929">
            <v>25.37</v>
          </cell>
        </row>
        <row r="4930">
          <cell r="B4930">
            <v>16.27</v>
          </cell>
          <cell r="C4930">
            <v>41.11</v>
          </cell>
          <cell r="D4930">
            <v>15.51</v>
          </cell>
          <cell r="E4930">
            <v>8.07</v>
          </cell>
          <cell r="H4930">
            <v>45497</v>
          </cell>
          <cell r="I4930">
            <v>0.62444444444444436</v>
          </cell>
          <cell r="J4930">
            <v>25.275555555555556</v>
          </cell>
        </row>
        <row r="4931">
          <cell r="B4931">
            <v>16.3</v>
          </cell>
          <cell r="C4931">
            <v>43.01</v>
          </cell>
          <cell r="D4931">
            <v>16.88</v>
          </cell>
          <cell r="E4931">
            <v>8.0299999999999994</v>
          </cell>
          <cell r="H4931">
            <v>45497</v>
          </cell>
          <cell r="I4931">
            <v>0.63555555555555543</v>
          </cell>
          <cell r="J4931">
            <v>25.185555555555556</v>
          </cell>
        </row>
        <row r="4932">
          <cell r="B4932">
            <v>17.100000000000001</v>
          </cell>
          <cell r="C4932">
            <v>44.15</v>
          </cell>
          <cell r="D4932">
            <v>16.899999999999999</v>
          </cell>
          <cell r="E4932">
            <v>8.74</v>
          </cell>
          <cell r="H4932">
            <v>45497</v>
          </cell>
          <cell r="I4932">
            <v>0.6366666666666666</v>
          </cell>
          <cell r="J4932">
            <v>25.225555555555559</v>
          </cell>
        </row>
        <row r="4933">
          <cell r="B4933">
            <v>17.21</v>
          </cell>
          <cell r="C4933">
            <v>51.77</v>
          </cell>
          <cell r="D4933">
            <v>15.84</v>
          </cell>
          <cell r="E4933">
            <v>7.96</v>
          </cell>
          <cell r="H4933">
            <v>45497</v>
          </cell>
          <cell r="I4933">
            <v>0.63888888888888884</v>
          </cell>
          <cell r="J4933">
            <v>25.261111111111113</v>
          </cell>
        </row>
        <row r="4934">
          <cell r="B4934">
            <v>18.239999999999998</v>
          </cell>
          <cell r="C4934">
            <v>51.24</v>
          </cell>
          <cell r="D4934">
            <v>16</v>
          </cell>
          <cell r="E4934">
            <v>8.17</v>
          </cell>
          <cell r="H4934">
            <v>45497</v>
          </cell>
          <cell r="I4934">
            <v>0.64333333333333331</v>
          </cell>
          <cell r="J4934">
            <v>25.360000000000003</v>
          </cell>
        </row>
        <row r="4935">
          <cell r="B4935">
            <v>16.059999999999999</v>
          </cell>
          <cell r="C4935">
            <v>52.22</v>
          </cell>
          <cell r="D4935">
            <v>16.72</v>
          </cell>
          <cell r="E4935">
            <v>8.01</v>
          </cell>
          <cell r="H4935">
            <v>45497</v>
          </cell>
          <cell r="I4935">
            <v>0.64333333333333331</v>
          </cell>
          <cell r="J4935">
            <v>25.665555555555557</v>
          </cell>
        </row>
        <row r="4936">
          <cell r="B4936">
            <v>17.47</v>
          </cell>
          <cell r="C4936">
            <v>52.48</v>
          </cell>
          <cell r="D4936">
            <v>17.12</v>
          </cell>
          <cell r="E4936">
            <v>8.02</v>
          </cell>
          <cell r="H4936">
            <v>45497</v>
          </cell>
          <cell r="I4936">
            <v>0.65</v>
          </cell>
          <cell r="J4936">
            <v>25.923333333333332</v>
          </cell>
        </row>
        <row r="4937">
          <cell r="B4937">
            <v>17.2</v>
          </cell>
          <cell r="C4937">
            <v>49.46</v>
          </cell>
          <cell r="D4937">
            <v>15.77</v>
          </cell>
          <cell r="E4937">
            <v>8.15</v>
          </cell>
          <cell r="H4937">
            <v>45497</v>
          </cell>
          <cell r="I4937">
            <v>0.65222222222222226</v>
          </cell>
          <cell r="J4937">
            <v>26.269999999999996</v>
          </cell>
        </row>
        <row r="4938">
          <cell r="B4938">
            <v>17.309999999999999</v>
          </cell>
          <cell r="C4938">
            <v>51.28</v>
          </cell>
          <cell r="D4938">
            <v>17.98</v>
          </cell>
          <cell r="E4938">
            <v>7.71</v>
          </cell>
          <cell r="H4938">
            <v>45497</v>
          </cell>
          <cell r="I4938">
            <v>0.6511111111111112</v>
          </cell>
          <cell r="J4938">
            <v>26.242222222222225</v>
          </cell>
        </row>
        <row r="4939">
          <cell r="B4939">
            <v>17.64</v>
          </cell>
          <cell r="C4939">
            <v>44.02</v>
          </cell>
          <cell r="D4939">
            <v>18.510000000000002</v>
          </cell>
          <cell r="E4939">
            <v>8.1999999999999993</v>
          </cell>
          <cell r="H4939">
            <v>45497</v>
          </cell>
          <cell r="I4939">
            <v>0.6511111111111112</v>
          </cell>
          <cell r="J4939">
            <v>26.241111111111113</v>
          </cell>
        </row>
        <row r="4940">
          <cell r="B4940">
            <v>16.25</v>
          </cell>
          <cell r="C4940">
            <v>40.94</v>
          </cell>
          <cell r="D4940">
            <v>19.36</v>
          </cell>
          <cell r="E4940">
            <v>8.4700000000000006</v>
          </cell>
          <cell r="H4940">
            <v>45497</v>
          </cell>
          <cell r="I4940">
            <v>0.65555555555555545</v>
          </cell>
          <cell r="J4940">
            <v>26.095555555555556</v>
          </cell>
        </row>
        <row r="4941">
          <cell r="B4941">
            <v>18.07</v>
          </cell>
          <cell r="C4941">
            <v>42.84</v>
          </cell>
          <cell r="D4941">
            <v>19.57</v>
          </cell>
          <cell r="E4941">
            <v>8.68</v>
          </cell>
          <cell r="H4941">
            <v>45497</v>
          </cell>
          <cell r="I4941">
            <v>0.66222222222222216</v>
          </cell>
          <cell r="J4941">
            <v>25.787777777777777</v>
          </cell>
        </row>
        <row r="4942">
          <cell r="B4942">
            <v>17.66</v>
          </cell>
          <cell r="C4942">
            <v>44.02</v>
          </cell>
          <cell r="D4942">
            <v>19.41</v>
          </cell>
          <cell r="E4942">
            <v>9.42</v>
          </cell>
          <cell r="H4942">
            <v>45497</v>
          </cell>
          <cell r="I4942">
            <v>0.66333333333333322</v>
          </cell>
          <cell r="J4942">
            <v>25.633333333333336</v>
          </cell>
        </row>
        <row r="4943">
          <cell r="B4943">
            <v>18.8</v>
          </cell>
          <cell r="C4943">
            <v>42.8</v>
          </cell>
          <cell r="D4943">
            <v>18.43</v>
          </cell>
          <cell r="E4943">
            <v>9.0500000000000007</v>
          </cell>
          <cell r="H4943">
            <v>45497</v>
          </cell>
          <cell r="I4943">
            <v>0.65333333333333332</v>
          </cell>
          <cell r="J4943">
            <v>25.427777777777781</v>
          </cell>
        </row>
        <row r="4944">
          <cell r="B4944">
            <v>18.16</v>
          </cell>
          <cell r="C4944">
            <v>40.28</v>
          </cell>
          <cell r="D4944">
            <v>18.39</v>
          </cell>
          <cell r="E4944">
            <v>8.8000000000000007</v>
          </cell>
          <cell r="H4944">
            <v>45497</v>
          </cell>
          <cell r="I4944">
            <v>0.65222222222222215</v>
          </cell>
          <cell r="J4944">
            <v>24.966666666666669</v>
          </cell>
        </row>
        <row r="4945">
          <cell r="B4945">
            <v>19.600000000000001</v>
          </cell>
          <cell r="C4945">
            <v>41.21</v>
          </cell>
          <cell r="D4945">
            <v>18.11</v>
          </cell>
          <cell r="E4945">
            <v>8.93</v>
          </cell>
          <cell r="H4945">
            <v>45497</v>
          </cell>
          <cell r="I4945">
            <v>0.64444444444444438</v>
          </cell>
          <cell r="J4945">
            <v>24.58</v>
          </cell>
        </row>
        <row r="4946">
          <cell r="B4946">
            <v>17.28</v>
          </cell>
          <cell r="C4946">
            <v>38.18</v>
          </cell>
          <cell r="D4946">
            <v>17.670000000000002</v>
          </cell>
          <cell r="E4946">
            <v>8.98</v>
          </cell>
          <cell r="H4946">
            <v>45498</v>
          </cell>
          <cell r="I4946">
            <v>0.64</v>
          </cell>
          <cell r="J4946">
            <v>24.15111111111111</v>
          </cell>
        </row>
        <row r="4947">
          <cell r="B4947">
            <v>16.52</v>
          </cell>
          <cell r="C4947">
            <v>34.450000000000003</v>
          </cell>
          <cell r="D4947">
            <v>17.68</v>
          </cell>
          <cell r="E4947">
            <v>9.34</v>
          </cell>
          <cell r="H4947">
            <v>45498</v>
          </cell>
          <cell r="I4947">
            <v>0.63555555555555554</v>
          </cell>
          <cell r="J4947">
            <v>24.011111111111106</v>
          </cell>
        </row>
        <row r="4948">
          <cell r="B4948">
            <v>15.47</v>
          </cell>
          <cell r="C4948">
            <v>31.45</v>
          </cell>
          <cell r="D4948">
            <v>17.52</v>
          </cell>
          <cell r="E4948">
            <v>9.36</v>
          </cell>
          <cell r="H4948">
            <v>45498</v>
          </cell>
          <cell r="I4948">
            <v>0.62666666666666671</v>
          </cell>
          <cell r="J4948">
            <v>24.011111111111113</v>
          </cell>
        </row>
        <row r="4949">
          <cell r="B4949">
            <v>14.89</v>
          </cell>
          <cell r="C4949">
            <v>31.82</v>
          </cell>
          <cell r="D4949">
            <v>18.41</v>
          </cell>
          <cell r="E4949">
            <v>9.25</v>
          </cell>
          <cell r="H4949">
            <v>45498</v>
          </cell>
          <cell r="I4949">
            <v>0.62000000000000011</v>
          </cell>
          <cell r="J4949">
            <v>24.321111111111112</v>
          </cell>
        </row>
        <row r="4950">
          <cell r="B4950">
            <v>17</v>
          </cell>
          <cell r="C4950">
            <v>34.15</v>
          </cell>
          <cell r="D4950">
            <v>18.14</v>
          </cell>
          <cell r="E4950">
            <v>9.15</v>
          </cell>
          <cell r="H4950">
            <v>45498</v>
          </cell>
          <cell r="I4950">
            <v>0.61222222222222233</v>
          </cell>
          <cell r="J4950">
            <v>24.668888888888894</v>
          </cell>
        </row>
        <row r="4951">
          <cell r="B4951">
            <v>17.11</v>
          </cell>
          <cell r="C4951">
            <v>35.909999999999997</v>
          </cell>
          <cell r="D4951">
            <v>18</v>
          </cell>
          <cell r="E4951">
            <v>9.1999999999999993</v>
          </cell>
          <cell r="H4951">
            <v>45498</v>
          </cell>
          <cell r="I4951">
            <v>0.60666666666666669</v>
          </cell>
          <cell r="J4951">
            <v>24.827777777777776</v>
          </cell>
        </row>
        <row r="4952">
          <cell r="B4952">
            <v>16.190000000000001</v>
          </cell>
          <cell r="C4952">
            <v>34.83</v>
          </cell>
          <cell r="D4952">
            <v>18.2</v>
          </cell>
          <cell r="E4952">
            <v>9.1199999999999992</v>
          </cell>
          <cell r="H4952">
            <v>45498</v>
          </cell>
          <cell r="I4952">
            <v>0.61333333333333329</v>
          </cell>
          <cell r="J4952">
            <v>24.864444444444441</v>
          </cell>
        </row>
        <row r="4953">
          <cell r="B4953">
            <v>14.28</v>
          </cell>
          <cell r="C4953">
            <v>31.36</v>
          </cell>
          <cell r="D4953">
            <v>18.46</v>
          </cell>
          <cell r="E4953">
            <v>9.43</v>
          </cell>
          <cell r="H4953">
            <v>45498</v>
          </cell>
          <cell r="I4953">
            <v>0.62333333333333329</v>
          </cell>
          <cell r="J4953">
            <v>24.934444444444448</v>
          </cell>
        </row>
        <row r="4954">
          <cell r="B4954">
            <v>14.57</v>
          </cell>
          <cell r="C4954">
            <v>33.01</v>
          </cell>
          <cell r="D4954">
            <v>18.16</v>
          </cell>
          <cell r="E4954">
            <v>9.5</v>
          </cell>
          <cell r="H4954">
            <v>45498</v>
          </cell>
          <cell r="I4954">
            <v>0.6366666666666666</v>
          </cell>
          <cell r="J4954">
            <v>24.858888888888888</v>
          </cell>
        </row>
        <row r="4955">
          <cell r="B4955">
            <v>14.92</v>
          </cell>
          <cell r="C4955">
            <v>32.799999999999997</v>
          </cell>
          <cell r="D4955">
            <v>18.28</v>
          </cell>
          <cell r="E4955">
            <v>9.59</v>
          </cell>
          <cell r="H4955">
            <v>45498</v>
          </cell>
          <cell r="I4955">
            <v>0.65222222222222215</v>
          </cell>
          <cell r="J4955">
            <v>24.780000000000005</v>
          </cell>
        </row>
        <row r="4956">
          <cell r="B4956">
            <v>15.5</v>
          </cell>
          <cell r="C4956">
            <v>35.979999999999997</v>
          </cell>
          <cell r="D4956">
            <v>17.18</v>
          </cell>
          <cell r="E4956">
            <v>9.5</v>
          </cell>
          <cell r="H4956">
            <v>45498</v>
          </cell>
          <cell r="I4956">
            <v>0.65999999999999992</v>
          </cell>
          <cell r="J4956">
            <v>24.838888888888889</v>
          </cell>
        </row>
        <row r="4957">
          <cell r="B4957">
            <v>14.98</v>
          </cell>
          <cell r="C4957">
            <v>39.74</v>
          </cell>
          <cell r="D4957">
            <v>16.91</v>
          </cell>
          <cell r="E4957">
            <v>9.35</v>
          </cell>
          <cell r="H4957">
            <v>45498</v>
          </cell>
          <cell r="I4957">
            <v>0.66666666666666663</v>
          </cell>
          <cell r="J4957">
            <v>24.888888888888889</v>
          </cell>
        </row>
        <row r="4958">
          <cell r="B4958">
            <v>15.3</v>
          </cell>
          <cell r="C4958">
            <v>41.03</v>
          </cell>
          <cell r="D4958">
            <v>16.63</v>
          </cell>
          <cell r="E4958">
            <v>9.6199999999999992</v>
          </cell>
          <cell r="H4958">
            <v>45498</v>
          </cell>
          <cell r="I4958">
            <v>0.66666666666666663</v>
          </cell>
          <cell r="J4958">
            <v>24.676666666666669</v>
          </cell>
        </row>
        <row r="4959">
          <cell r="B4959">
            <v>15.75</v>
          </cell>
          <cell r="C4959">
            <v>43.23</v>
          </cell>
          <cell r="D4959">
            <v>16.62</v>
          </cell>
          <cell r="E4959">
            <v>9.0399999999999991</v>
          </cell>
          <cell r="H4959">
            <v>45498</v>
          </cell>
          <cell r="I4959">
            <v>0.6711111111111111</v>
          </cell>
          <cell r="J4959">
            <v>24.371111111111112</v>
          </cell>
        </row>
        <row r="4960">
          <cell r="B4960">
            <v>16.809999999999999</v>
          </cell>
          <cell r="C4960">
            <v>43.45</v>
          </cell>
          <cell r="D4960">
            <v>16.84</v>
          </cell>
          <cell r="E4960">
            <v>8.82</v>
          </cell>
          <cell r="H4960">
            <v>45498</v>
          </cell>
          <cell r="I4960">
            <v>0.6711111111111111</v>
          </cell>
          <cell r="J4960">
            <v>24.028888888888886</v>
          </cell>
        </row>
        <row r="4961">
          <cell r="B4961">
            <v>17.149999999999999</v>
          </cell>
          <cell r="C4961">
            <v>40.47</v>
          </cell>
          <cell r="D4961">
            <v>17.21</v>
          </cell>
          <cell r="E4961">
            <v>9.07</v>
          </cell>
          <cell r="H4961">
            <v>45498</v>
          </cell>
          <cell r="I4961">
            <v>0.67444444444444451</v>
          </cell>
          <cell r="J4961">
            <v>23.735555555555557</v>
          </cell>
        </row>
        <row r="4962">
          <cell r="B4962">
            <v>15.15</v>
          </cell>
          <cell r="C4962">
            <v>36.799999999999997</v>
          </cell>
          <cell r="D4962">
            <v>17.3</v>
          </cell>
          <cell r="E4962">
            <v>8.7100000000000009</v>
          </cell>
          <cell r="H4962">
            <v>45498</v>
          </cell>
          <cell r="I4962">
            <v>0.6711111111111111</v>
          </cell>
          <cell r="J4962">
            <v>23.501111111111111</v>
          </cell>
        </row>
        <row r="4963">
          <cell r="B4963">
            <v>15.35</v>
          </cell>
          <cell r="C4963">
            <v>38.97</v>
          </cell>
          <cell r="D4963">
            <v>17.86</v>
          </cell>
          <cell r="E4963">
            <v>8.81</v>
          </cell>
          <cell r="H4963">
            <v>45498</v>
          </cell>
          <cell r="I4963">
            <v>0.67111111111111121</v>
          </cell>
          <cell r="J4963">
            <v>23.378888888888891</v>
          </cell>
        </row>
        <row r="4964">
          <cell r="B4964">
            <v>15.95</v>
          </cell>
          <cell r="C4964">
            <v>42.53</v>
          </cell>
          <cell r="D4964">
            <v>18.8</v>
          </cell>
          <cell r="E4964">
            <v>8.89</v>
          </cell>
          <cell r="H4964">
            <v>45498</v>
          </cell>
          <cell r="I4964">
            <v>0.66666666666666663</v>
          </cell>
          <cell r="J4964">
            <v>23.157777777777778</v>
          </cell>
        </row>
        <row r="4965">
          <cell r="B4965">
            <v>17.25</v>
          </cell>
          <cell r="C4965">
            <v>46.04</v>
          </cell>
          <cell r="D4965">
            <v>19.36</v>
          </cell>
          <cell r="E4965">
            <v>9.42</v>
          </cell>
          <cell r="H4965">
            <v>45498</v>
          </cell>
          <cell r="I4965">
            <v>0.67</v>
          </cell>
          <cell r="J4965">
            <v>22.856666666666669</v>
          </cell>
        </row>
        <row r="4966">
          <cell r="B4966">
            <v>17.14</v>
          </cell>
          <cell r="C4966">
            <v>43.74</v>
          </cell>
          <cell r="D4966">
            <v>19.39</v>
          </cell>
          <cell r="E4966">
            <v>9.14</v>
          </cell>
          <cell r="H4966">
            <v>45498</v>
          </cell>
          <cell r="I4966">
            <v>0.67666666666666664</v>
          </cell>
          <cell r="J4966">
            <v>22.445555555555554</v>
          </cell>
        </row>
        <row r="4967">
          <cell r="B4967">
            <v>16.399999999999999</v>
          </cell>
          <cell r="C4967">
            <v>45.72</v>
          </cell>
          <cell r="D4967">
            <v>19.11</v>
          </cell>
          <cell r="E4967">
            <v>9.09</v>
          </cell>
          <cell r="H4967">
            <v>45498</v>
          </cell>
          <cell r="I4967">
            <v>0.68222222222222217</v>
          </cell>
          <cell r="J4967">
            <v>22.168888888888887</v>
          </cell>
        </row>
        <row r="4968">
          <cell r="B4968">
            <v>15.87</v>
          </cell>
          <cell r="C4968">
            <v>46.05</v>
          </cell>
          <cell r="D4968">
            <v>18.28</v>
          </cell>
          <cell r="E4968">
            <v>8.85</v>
          </cell>
          <cell r="H4968">
            <v>45498</v>
          </cell>
          <cell r="I4968">
            <v>0.68333333333333346</v>
          </cell>
          <cell r="J4968">
            <v>22.013333333333335</v>
          </cell>
        </row>
        <row r="4969">
          <cell r="B4969">
            <v>16.98</v>
          </cell>
          <cell r="C4969">
            <v>44.85</v>
          </cell>
          <cell r="D4969">
            <v>17.8</v>
          </cell>
          <cell r="E4969">
            <v>8.92</v>
          </cell>
          <cell r="H4969">
            <v>45498</v>
          </cell>
          <cell r="I4969">
            <v>0.68333333333333335</v>
          </cell>
          <cell r="J4969">
            <v>21.926666666666662</v>
          </cell>
        </row>
        <row r="4970">
          <cell r="B4970">
            <v>18.79</v>
          </cell>
          <cell r="C4970">
            <v>44.48</v>
          </cell>
          <cell r="D4970">
            <v>17.55</v>
          </cell>
          <cell r="E4970">
            <v>8.85</v>
          </cell>
          <cell r="H4970">
            <v>45499</v>
          </cell>
          <cell r="I4970">
            <v>0.67555555555555546</v>
          </cell>
          <cell r="J4970">
            <v>21.80777777777778</v>
          </cell>
        </row>
        <row r="4971">
          <cell r="B4971">
            <v>18.18</v>
          </cell>
          <cell r="C4971">
            <v>43.14</v>
          </cell>
          <cell r="D4971">
            <v>17.59</v>
          </cell>
          <cell r="E4971">
            <v>8.66</v>
          </cell>
          <cell r="H4971">
            <v>45499</v>
          </cell>
          <cell r="I4971">
            <v>0.67555555555555546</v>
          </cell>
          <cell r="J4971">
            <v>21.711111111111109</v>
          </cell>
        </row>
        <row r="4972">
          <cell r="B4972">
            <v>17.91</v>
          </cell>
          <cell r="C4972">
            <v>41.59</v>
          </cell>
          <cell r="D4972">
            <v>17.649999999999999</v>
          </cell>
          <cell r="E4972">
            <v>8.25</v>
          </cell>
          <cell r="H4972">
            <v>45499</v>
          </cell>
          <cell r="I4972">
            <v>0.67222222222222217</v>
          </cell>
          <cell r="J4972">
            <v>21.638888888888886</v>
          </cell>
        </row>
        <row r="4973">
          <cell r="B4973">
            <v>16.71</v>
          </cell>
          <cell r="C4973">
            <v>38.24</v>
          </cell>
          <cell r="D4973">
            <v>17.38</v>
          </cell>
          <cell r="E4973">
            <v>8.43</v>
          </cell>
          <cell r="H4973">
            <v>45499</v>
          </cell>
          <cell r="I4973">
            <v>0.66444444444444439</v>
          </cell>
          <cell r="J4973">
            <v>21.65111111111111</v>
          </cell>
        </row>
        <row r="4974">
          <cell r="B4974">
            <v>15.92</v>
          </cell>
          <cell r="C4974">
            <v>36.35</v>
          </cell>
          <cell r="D4974">
            <v>17.22</v>
          </cell>
          <cell r="E4974">
            <v>8.39</v>
          </cell>
          <cell r="H4974">
            <v>45499</v>
          </cell>
          <cell r="I4974">
            <v>0.65555555555555556</v>
          </cell>
          <cell r="J4974">
            <v>21.619999999999997</v>
          </cell>
        </row>
        <row r="4975">
          <cell r="B4975">
            <v>15.41</v>
          </cell>
          <cell r="C4975">
            <v>36.68</v>
          </cell>
          <cell r="D4975">
            <v>17.149999999999999</v>
          </cell>
          <cell r="E4975">
            <v>8.57</v>
          </cell>
          <cell r="H4975">
            <v>45499</v>
          </cell>
          <cell r="I4975">
            <v>0.64666666666666672</v>
          </cell>
          <cell r="J4975">
            <v>21.656666666666666</v>
          </cell>
        </row>
        <row r="4976">
          <cell r="B4976">
            <v>15.87</v>
          </cell>
          <cell r="C4976">
            <v>36.85</v>
          </cell>
          <cell r="D4976">
            <v>17.64</v>
          </cell>
          <cell r="E4976">
            <v>8.6300000000000008</v>
          </cell>
          <cell r="H4976">
            <v>45499</v>
          </cell>
          <cell r="I4976">
            <v>0.63888888888888895</v>
          </cell>
          <cell r="J4976">
            <v>21.571111111111108</v>
          </cell>
        </row>
        <row r="4977">
          <cell r="B4977">
            <v>16.02</v>
          </cell>
          <cell r="C4977">
            <v>41.96</v>
          </cell>
          <cell r="D4977">
            <v>17.170000000000002</v>
          </cell>
          <cell r="E4977">
            <v>8.31</v>
          </cell>
          <cell r="H4977">
            <v>45499</v>
          </cell>
          <cell r="I4977">
            <v>0.63777777777777778</v>
          </cell>
          <cell r="J4977">
            <v>21.54111111111111</v>
          </cell>
        </row>
        <row r="4978">
          <cell r="B4978">
            <v>15.63</v>
          </cell>
          <cell r="C4978">
            <v>45.56</v>
          </cell>
          <cell r="D4978">
            <v>18.25</v>
          </cell>
          <cell r="E4978">
            <v>8.3800000000000008</v>
          </cell>
          <cell r="H4978">
            <v>45499</v>
          </cell>
          <cell r="I4978">
            <v>0.64222222222222225</v>
          </cell>
          <cell r="J4978">
            <v>21.465555555555554</v>
          </cell>
        </row>
        <row r="4979">
          <cell r="B4979">
            <v>15.57</v>
          </cell>
          <cell r="C4979">
            <v>48.35</v>
          </cell>
          <cell r="D4979">
            <v>18.25</v>
          </cell>
          <cell r="E4979">
            <v>8.64</v>
          </cell>
          <cell r="H4979">
            <v>45499</v>
          </cell>
          <cell r="I4979">
            <v>0.65555555555555545</v>
          </cell>
          <cell r="J4979">
            <v>21.497777777777781</v>
          </cell>
        </row>
        <row r="4980">
          <cell r="B4980">
            <v>16.23</v>
          </cell>
          <cell r="C4980">
            <v>47.64</v>
          </cell>
          <cell r="D4980">
            <v>17.53</v>
          </cell>
          <cell r="E4980">
            <v>8.82</v>
          </cell>
          <cell r="H4980">
            <v>45499</v>
          </cell>
          <cell r="I4980">
            <v>0.65888888888888886</v>
          </cell>
          <cell r="J4980">
            <v>21.39</v>
          </cell>
        </row>
        <row r="4981">
          <cell r="B4981">
            <v>17.09</v>
          </cell>
          <cell r="C4981">
            <v>46.09</v>
          </cell>
          <cell r="D4981">
            <v>17.13</v>
          </cell>
          <cell r="E4981">
            <v>9.16</v>
          </cell>
          <cell r="H4981">
            <v>45499</v>
          </cell>
          <cell r="I4981">
            <v>0.65999999999999992</v>
          </cell>
          <cell r="J4981">
            <v>21.354444444444443</v>
          </cell>
        </row>
        <row r="4982">
          <cell r="B4982">
            <v>15.7</v>
          </cell>
          <cell r="C4982">
            <v>48.49</v>
          </cell>
          <cell r="D4982">
            <v>16.989999999999998</v>
          </cell>
          <cell r="E4982">
            <v>9.11</v>
          </cell>
          <cell r="H4982">
            <v>45499</v>
          </cell>
          <cell r="I4982">
            <v>0.66111111111111109</v>
          </cell>
          <cell r="J4982">
            <v>21.538888888888891</v>
          </cell>
        </row>
        <row r="4983">
          <cell r="B4983">
            <v>16.350000000000001</v>
          </cell>
          <cell r="C4983">
            <v>50.91</v>
          </cell>
          <cell r="D4983">
            <v>17.010000000000002</v>
          </cell>
          <cell r="E4983">
            <v>9.24</v>
          </cell>
          <cell r="H4983">
            <v>45499</v>
          </cell>
          <cell r="I4983">
            <v>0.65888888888888886</v>
          </cell>
          <cell r="J4983">
            <v>21.763333333333328</v>
          </cell>
        </row>
        <row r="4984">
          <cell r="B4984">
            <v>17.75</v>
          </cell>
          <cell r="C4984">
            <v>55.36</v>
          </cell>
          <cell r="D4984">
            <v>17.170000000000002</v>
          </cell>
          <cell r="E4984">
            <v>8.67</v>
          </cell>
          <cell r="H4984">
            <v>45499</v>
          </cell>
          <cell r="I4984">
            <v>0.65555555555555556</v>
          </cell>
          <cell r="J4984">
            <v>21.95888888888889</v>
          </cell>
        </row>
        <row r="4985">
          <cell r="B4985">
            <v>18.55</v>
          </cell>
          <cell r="C4985">
            <v>56.14</v>
          </cell>
          <cell r="D4985">
            <v>17.28</v>
          </cell>
          <cell r="E4985">
            <v>8.52</v>
          </cell>
          <cell r="H4985">
            <v>45499</v>
          </cell>
          <cell r="I4985">
            <v>0.6544444444444445</v>
          </cell>
          <cell r="J4985">
            <v>22.178888888888888</v>
          </cell>
        </row>
        <row r="4986">
          <cell r="B4986">
            <v>18.48</v>
          </cell>
          <cell r="C4986">
            <v>52.97</v>
          </cell>
          <cell r="D4986">
            <v>18.02</v>
          </cell>
          <cell r="E4986">
            <v>8.5299999999999994</v>
          </cell>
          <cell r="H4986">
            <v>45499</v>
          </cell>
          <cell r="I4986">
            <v>0.65666666666666662</v>
          </cell>
          <cell r="J4986">
            <v>22.265555555555554</v>
          </cell>
        </row>
        <row r="4987">
          <cell r="B4987">
            <v>18.75</v>
          </cell>
          <cell r="C4987">
            <v>54.62</v>
          </cell>
          <cell r="D4987">
            <v>18.54</v>
          </cell>
          <cell r="E4987">
            <v>9</v>
          </cell>
          <cell r="H4987">
            <v>45499</v>
          </cell>
          <cell r="I4987">
            <v>0.65333333333333321</v>
          </cell>
          <cell r="J4987">
            <v>22.35777777777778</v>
          </cell>
        </row>
        <row r="4988">
          <cell r="B4988">
            <v>19.89</v>
          </cell>
          <cell r="C4988">
            <v>55.82</v>
          </cell>
          <cell r="D4988">
            <v>18.72</v>
          </cell>
          <cell r="E4988">
            <v>9.08</v>
          </cell>
          <cell r="H4988">
            <v>45499</v>
          </cell>
          <cell r="I4988">
            <v>0.65222222222222226</v>
          </cell>
          <cell r="J4988">
            <v>22.284444444444446</v>
          </cell>
        </row>
        <row r="4989">
          <cell r="B4989">
            <v>19.100000000000001</v>
          </cell>
          <cell r="C4989">
            <v>47.71</v>
          </cell>
          <cell r="D4989">
            <v>19.670000000000002</v>
          </cell>
          <cell r="E4989">
            <v>9.06</v>
          </cell>
          <cell r="H4989">
            <v>45499</v>
          </cell>
          <cell r="I4989">
            <v>0.65777777777777791</v>
          </cell>
          <cell r="J4989">
            <v>22.230000000000004</v>
          </cell>
        </row>
        <row r="4990">
          <cell r="B4990">
            <v>19.04</v>
          </cell>
          <cell r="C4990">
            <v>49.86</v>
          </cell>
          <cell r="D4990">
            <v>19.079999999999998</v>
          </cell>
          <cell r="E4990">
            <v>8.65</v>
          </cell>
          <cell r="H4990">
            <v>45499</v>
          </cell>
          <cell r="I4990">
            <v>0.66</v>
          </cell>
          <cell r="J4990">
            <v>22.022222222222226</v>
          </cell>
        </row>
        <row r="4991">
          <cell r="B4991">
            <v>18.940000000000001</v>
          </cell>
          <cell r="C4991">
            <v>40.74</v>
          </cell>
          <cell r="D4991">
            <v>19.47</v>
          </cell>
          <cell r="E4991">
            <v>8.6</v>
          </cell>
          <cell r="H4991">
            <v>45499</v>
          </cell>
          <cell r="I4991">
            <v>0.6644444444444445</v>
          </cell>
          <cell r="J4991">
            <v>21.553333333333338</v>
          </cell>
        </row>
        <row r="4992">
          <cell r="B4992">
            <v>17.399999999999999</v>
          </cell>
          <cell r="C4992">
            <v>38.74</v>
          </cell>
          <cell r="D4992">
            <v>18.7</v>
          </cell>
          <cell r="E4992">
            <v>8.51</v>
          </cell>
          <cell r="H4992">
            <v>45499</v>
          </cell>
          <cell r="I4992">
            <v>0.6677777777777778</v>
          </cell>
          <cell r="J4992">
            <v>21.174444444444443</v>
          </cell>
        </row>
        <row r="4993">
          <cell r="B4993">
            <v>21.16</v>
          </cell>
          <cell r="C4993">
            <v>52.58</v>
          </cell>
          <cell r="D4993">
            <v>18.3</v>
          </cell>
          <cell r="E4993">
            <v>8.6300000000000008</v>
          </cell>
          <cell r="H4993">
            <v>45499</v>
          </cell>
          <cell r="I4993">
            <v>0.66222222222222227</v>
          </cell>
          <cell r="J4993">
            <v>20.823333333333331</v>
          </cell>
        </row>
        <row r="4994">
          <cell r="B4994">
            <v>20.69</v>
          </cell>
          <cell r="C4994">
            <v>51.01</v>
          </cell>
          <cell r="D4994">
            <v>17.89</v>
          </cell>
          <cell r="E4994">
            <v>8.5500000000000007</v>
          </cell>
          <cell r="H4994">
            <v>45500</v>
          </cell>
          <cell r="I4994">
            <v>0.65444444444444438</v>
          </cell>
          <cell r="J4994">
            <v>20.476666666666667</v>
          </cell>
        </row>
        <row r="4995">
          <cell r="B4995">
            <v>19.52</v>
          </cell>
          <cell r="C4995">
            <v>46.13</v>
          </cell>
          <cell r="D4995">
            <v>17.53</v>
          </cell>
          <cell r="E4995">
            <v>8.5399999999999991</v>
          </cell>
          <cell r="H4995">
            <v>45500</v>
          </cell>
          <cell r="I4995">
            <v>0.64888888888888885</v>
          </cell>
          <cell r="J4995">
            <v>20.243333333333332</v>
          </cell>
        </row>
        <row r="4996">
          <cell r="B4996">
            <v>20.73</v>
          </cell>
          <cell r="C4996">
            <v>43.67</v>
          </cell>
          <cell r="D4996">
            <v>17.3</v>
          </cell>
          <cell r="E4996">
            <v>8.2200000000000006</v>
          </cell>
          <cell r="H4996">
            <v>45500</v>
          </cell>
          <cell r="I4996">
            <v>0.64111111111111108</v>
          </cell>
          <cell r="J4996">
            <v>20.082222222222224</v>
          </cell>
        </row>
        <row r="4997">
          <cell r="B4997">
            <v>19.18</v>
          </cell>
          <cell r="C4997">
            <v>40.94</v>
          </cell>
          <cell r="D4997">
            <v>17.13</v>
          </cell>
          <cell r="E4997">
            <v>8.24</v>
          </cell>
          <cell r="H4997">
            <v>45500</v>
          </cell>
          <cell r="I4997">
            <v>0.63</v>
          </cell>
          <cell r="J4997">
            <v>20.078888888888887</v>
          </cell>
        </row>
        <row r="4998">
          <cell r="B4998">
            <v>17.84</v>
          </cell>
          <cell r="C4998">
            <v>38.61</v>
          </cell>
          <cell r="D4998">
            <v>17.350000000000001</v>
          </cell>
          <cell r="E4998">
            <v>8.41</v>
          </cell>
          <cell r="H4998">
            <v>45500</v>
          </cell>
          <cell r="I4998">
            <v>0.61555555555555552</v>
          </cell>
          <cell r="J4998">
            <v>20.116666666666667</v>
          </cell>
        </row>
        <row r="4999">
          <cell r="B4999">
            <v>16.22</v>
          </cell>
          <cell r="C4999">
            <v>36.630000000000003</v>
          </cell>
          <cell r="D4999">
            <v>17.18</v>
          </cell>
          <cell r="E4999">
            <v>8.2899999999999991</v>
          </cell>
          <cell r="H4999">
            <v>45500</v>
          </cell>
          <cell r="I4999">
            <v>0.60333333333333328</v>
          </cell>
          <cell r="J4999">
            <v>20.194444444444443</v>
          </cell>
        </row>
        <row r="5000">
          <cell r="B5000">
            <v>15.14</v>
          </cell>
          <cell r="C5000">
            <v>35.81</v>
          </cell>
          <cell r="D5000">
            <v>17.739999999999998</v>
          </cell>
          <cell r="E5000">
            <v>8.1199999999999992</v>
          </cell>
          <cell r="H5000">
            <v>45500</v>
          </cell>
          <cell r="I5000">
            <v>0.59777777777777774</v>
          </cell>
          <cell r="J5000">
            <v>20.308888888888887</v>
          </cell>
        </row>
        <row r="5001">
          <cell r="B5001">
            <v>14.61</v>
          </cell>
          <cell r="C5001">
            <v>36.76</v>
          </cell>
          <cell r="D5001">
            <v>17.86</v>
          </cell>
          <cell r="E5001">
            <v>8.1199999999999992</v>
          </cell>
          <cell r="H5001">
            <v>45500</v>
          </cell>
          <cell r="I5001">
            <v>0.59444444444444455</v>
          </cell>
          <cell r="J5001">
            <v>20.336666666666662</v>
          </cell>
        </row>
        <row r="5002">
          <cell r="B5002">
            <v>14.65</v>
          </cell>
          <cell r="C5002">
            <v>41.52</v>
          </cell>
          <cell r="D5002">
            <v>17.62</v>
          </cell>
          <cell r="E5002">
            <v>8.0500000000000007</v>
          </cell>
          <cell r="H5002">
            <v>45500</v>
          </cell>
          <cell r="I5002">
            <v>0.60222222222222221</v>
          </cell>
          <cell r="J5002">
            <v>20.440000000000001</v>
          </cell>
        </row>
        <row r="5003">
          <cell r="B5003">
            <v>15.08</v>
          </cell>
          <cell r="C5003">
            <v>41.09</v>
          </cell>
          <cell r="D5003">
            <v>17.440000000000001</v>
          </cell>
          <cell r="E5003">
            <v>8.2899999999999991</v>
          </cell>
          <cell r="H5003">
            <v>45500</v>
          </cell>
          <cell r="I5003">
            <v>0.61111111111111105</v>
          </cell>
          <cell r="J5003">
            <v>20.455555555555559</v>
          </cell>
        </row>
        <row r="5004">
          <cell r="B5004">
            <v>16.489999999999998</v>
          </cell>
          <cell r="C5004">
            <v>42.95</v>
          </cell>
          <cell r="D5004">
            <v>16.8</v>
          </cell>
          <cell r="E5004">
            <v>8.34</v>
          </cell>
          <cell r="H5004">
            <v>45500</v>
          </cell>
          <cell r="I5004">
            <v>0.60999999999999988</v>
          </cell>
          <cell r="J5004">
            <v>20.45888888888889</v>
          </cell>
        </row>
        <row r="5005">
          <cell r="B5005">
            <v>17.190000000000001</v>
          </cell>
          <cell r="C5005">
            <v>46.93</v>
          </cell>
          <cell r="D5005">
            <v>16.690000000000001</v>
          </cell>
          <cell r="E5005">
            <v>8.1199999999999992</v>
          </cell>
          <cell r="H5005">
            <v>45500</v>
          </cell>
          <cell r="I5005">
            <v>0.61555555555555552</v>
          </cell>
          <cell r="J5005">
            <v>20.53</v>
          </cell>
        </row>
        <row r="5006">
          <cell r="B5006">
            <v>17.16</v>
          </cell>
          <cell r="C5006">
            <v>50.91</v>
          </cell>
          <cell r="D5006">
            <v>17.2</v>
          </cell>
          <cell r="E5006">
            <v>8.3800000000000008</v>
          </cell>
          <cell r="H5006">
            <v>45500</v>
          </cell>
          <cell r="I5006">
            <v>0.6166666666666667</v>
          </cell>
          <cell r="J5006">
            <v>20.527777777777782</v>
          </cell>
        </row>
        <row r="5007">
          <cell r="B5007">
            <v>18.16</v>
          </cell>
          <cell r="C5007">
            <v>59.62</v>
          </cell>
          <cell r="D5007">
            <v>17.3</v>
          </cell>
          <cell r="E5007">
            <v>8.3800000000000008</v>
          </cell>
          <cell r="H5007">
            <v>45500</v>
          </cell>
          <cell r="I5007">
            <v>0.61777777777777787</v>
          </cell>
          <cell r="J5007">
            <v>20.595555555555556</v>
          </cell>
        </row>
        <row r="5008">
          <cell r="B5008">
            <v>18.63</v>
          </cell>
          <cell r="C5008">
            <v>62.39</v>
          </cell>
          <cell r="D5008">
            <v>17.27</v>
          </cell>
          <cell r="E5008">
            <v>8.27</v>
          </cell>
          <cell r="H5008">
            <v>45500</v>
          </cell>
          <cell r="I5008">
            <v>0.62333333333333341</v>
          </cell>
          <cell r="J5008">
            <v>20.676666666666666</v>
          </cell>
        </row>
        <row r="5009">
          <cell r="B5009">
            <v>20.21</v>
          </cell>
          <cell r="C5009">
            <v>61.93</v>
          </cell>
          <cell r="D5009">
            <v>15.41</v>
          </cell>
          <cell r="E5009">
            <v>8.43</v>
          </cell>
          <cell r="H5009">
            <v>45500</v>
          </cell>
          <cell r="I5009">
            <v>0.62777777777777777</v>
          </cell>
          <cell r="J5009">
            <v>20.74666666666667</v>
          </cell>
        </row>
        <row r="5010">
          <cell r="B5010">
            <v>21.75</v>
          </cell>
          <cell r="C5010">
            <v>65.400000000000006</v>
          </cell>
          <cell r="D5010">
            <v>15.65</v>
          </cell>
          <cell r="E5010">
            <v>8.49</v>
          </cell>
          <cell r="H5010">
            <v>45500</v>
          </cell>
          <cell r="I5010">
            <v>0.63</v>
          </cell>
          <cell r="J5010">
            <v>20.793333333333337</v>
          </cell>
        </row>
        <row r="5011">
          <cell r="B5011">
            <v>19.8</v>
          </cell>
          <cell r="C5011">
            <v>64.099999999999994</v>
          </cell>
          <cell r="D5011">
            <v>15.5</v>
          </cell>
          <cell r="E5011">
            <v>8.5299999999999994</v>
          </cell>
          <cell r="H5011">
            <v>45500</v>
          </cell>
          <cell r="I5011">
            <v>0.63111111111111118</v>
          </cell>
          <cell r="J5011">
            <v>20.744444444444444</v>
          </cell>
        </row>
        <row r="5012">
          <cell r="B5012">
            <v>20.09</v>
          </cell>
          <cell r="C5012">
            <v>60.08</v>
          </cell>
          <cell r="D5012">
            <v>15.53</v>
          </cell>
          <cell r="E5012">
            <v>8.3000000000000007</v>
          </cell>
          <cell r="H5012">
            <v>45500</v>
          </cell>
          <cell r="I5012">
            <v>0.63333333333333341</v>
          </cell>
          <cell r="J5012">
            <v>20.777777777777779</v>
          </cell>
        </row>
        <row r="5013">
          <cell r="B5013">
            <v>21.29</v>
          </cell>
          <cell r="C5013">
            <v>60.11</v>
          </cell>
          <cell r="D5013">
            <v>15.84</v>
          </cell>
          <cell r="E5013">
            <v>8.36</v>
          </cell>
          <cell r="H5013">
            <v>45500</v>
          </cell>
          <cell r="I5013">
            <v>0.63777777777777789</v>
          </cell>
          <cell r="J5013">
            <v>20.731111111111108</v>
          </cell>
        </row>
        <row r="5014">
          <cell r="B5014">
            <v>20.03</v>
          </cell>
          <cell r="C5014">
            <v>54.67</v>
          </cell>
          <cell r="D5014">
            <v>15.56</v>
          </cell>
          <cell r="E5014">
            <v>8.2200000000000006</v>
          </cell>
          <cell r="H5014">
            <v>45500</v>
          </cell>
          <cell r="I5014">
            <v>0.64333333333333331</v>
          </cell>
          <cell r="J5014">
            <v>20.731111111111112</v>
          </cell>
        </row>
        <row r="5015">
          <cell r="B5015">
            <v>19.18</v>
          </cell>
          <cell r="C5015">
            <v>51.03</v>
          </cell>
          <cell r="D5015">
            <v>15.76</v>
          </cell>
          <cell r="E5015">
            <v>8.4499999999999993</v>
          </cell>
          <cell r="H5015">
            <v>45500</v>
          </cell>
          <cell r="I5015">
            <v>0.64777777777777779</v>
          </cell>
          <cell r="J5015">
            <v>20.792222222222222</v>
          </cell>
        </row>
        <row r="5016">
          <cell r="B5016">
            <v>18.989999999999998</v>
          </cell>
          <cell r="C5016">
            <v>49.63</v>
          </cell>
          <cell r="D5016">
            <v>15.51</v>
          </cell>
          <cell r="E5016">
            <v>8.2799999999999994</v>
          </cell>
          <cell r="H5016">
            <v>45500</v>
          </cell>
          <cell r="I5016">
            <v>0.65</v>
          </cell>
          <cell r="J5016">
            <v>20.816666666666666</v>
          </cell>
        </row>
        <row r="5017">
          <cell r="B5017">
            <v>17.79</v>
          </cell>
          <cell r="C5017">
            <v>45.73</v>
          </cell>
          <cell r="D5017">
            <v>14.89</v>
          </cell>
          <cell r="E5017">
            <v>8.49</v>
          </cell>
          <cell r="H5017">
            <v>45500</v>
          </cell>
          <cell r="I5017">
            <v>0.64777777777777779</v>
          </cell>
          <cell r="J5017">
            <v>20.896666666666668</v>
          </cell>
        </row>
        <row r="5018">
          <cell r="B5018">
            <v>19.18</v>
          </cell>
          <cell r="C5018">
            <v>44.2</v>
          </cell>
          <cell r="D5018">
            <v>14.6</v>
          </cell>
          <cell r="E5018">
            <v>8.16</v>
          </cell>
          <cell r="H5018">
            <v>45501</v>
          </cell>
          <cell r="I5018">
            <v>0.63777777777777778</v>
          </cell>
          <cell r="J5018">
            <v>21.035555555555554</v>
          </cell>
        </row>
        <row r="5019">
          <cell r="B5019">
            <v>16.760000000000002</v>
          </cell>
          <cell r="C5019">
            <v>40.68</v>
          </cell>
          <cell r="D5019">
            <v>14.27</v>
          </cell>
          <cell r="E5019">
            <v>8.07</v>
          </cell>
          <cell r="H5019">
            <v>45501</v>
          </cell>
          <cell r="I5019">
            <v>0.63</v>
          </cell>
          <cell r="J5019">
            <v>21.201111111111111</v>
          </cell>
        </row>
        <row r="5020">
          <cell r="B5020">
            <v>15.96</v>
          </cell>
          <cell r="C5020">
            <v>40.58</v>
          </cell>
          <cell r="D5020">
            <v>14.21</v>
          </cell>
          <cell r="E5020">
            <v>8.23</v>
          </cell>
          <cell r="H5020">
            <v>45501</v>
          </cell>
          <cell r="I5020">
            <v>0.62111111111111106</v>
          </cell>
          <cell r="J5020">
            <v>21.316666666666663</v>
          </cell>
        </row>
        <row r="5021">
          <cell r="B5021">
            <v>16.7</v>
          </cell>
          <cell r="C5021">
            <v>40.21</v>
          </cell>
          <cell r="D5021">
            <v>14.38</v>
          </cell>
          <cell r="E5021">
            <v>8.2200000000000006</v>
          </cell>
          <cell r="H5021">
            <v>45501</v>
          </cell>
          <cell r="I5021">
            <v>0.62</v>
          </cell>
          <cell r="J5021">
            <v>21.545555555555556</v>
          </cell>
        </row>
        <row r="5022">
          <cell r="B5022">
            <v>16.190000000000001</v>
          </cell>
          <cell r="C5022">
            <v>39.090000000000003</v>
          </cell>
          <cell r="D5022">
            <v>14.23</v>
          </cell>
          <cell r="E5022">
            <v>8.32</v>
          </cell>
          <cell r="H5022">
            <v>45501</v>
          </cell>
          <cell r="I5022">
            <v>0.61111111111111116</v>
          </cell>
          <cell r="J5022">
            <v>21.853333333333335</v>
          </cell>
        </row>
        <row r="5023">
          <cell r="B5023">
            <v>16.52</v>
          </cell>
          <cell r="C5023">
            <v>39.9</v>
          </cell>
          <cell r="D5023">
            <v>14.18</v>
          </cell>
          <cell r="E5023">
            <v>8.2799999999999994</v>
          </cell>
          <cell r="H5023">
            <v>45501</v>
          </cell>
          <cell r="I5023">
            <v>0.60222222222222221</v>
          </cell>
          <cell r="J5023">
            <v>22.020000000000003</v>
          </cell>
        </row>
        <row r="5024">
          <cell r="B5024">
            <v>16.95</v>
          </cell>
          <cell r="C5024">
            <v>43.35</v>
          </cell>
          <cell r="D5024">
            <v>14.53</v>
          </cell>
          <cell r="E5024">
            <v>8.0299999999999994</v>
          </cell>
          <cell r="H5024">
            <v>45501</v>
          </cell>
          <cell r="I5024">
            <v>0.59777777777777774</v>
          </cell>
          <cell r="J5024">
            <v>22.14</v>
          </cell>
        </row>
        <row r="5025">
          <cell r="B5025">
            <v>17.27</v>
          </cell>
          <cell r="C5025">
            <v>46.59</v>
          </cell>
          <cell r="D5025">
            <v>14.71</v>
          </cell>
          <cell r="E5025">
            <v>7.99</v>
          </cell>
          <cell r="H5025">
            <v>45501</v>
          </cell>
          <cell r="I5025">
            <v>0.59333333333333327</v>
          </cell>
          <cell r="J5025">
            <v>22.227777777777778</v>
          </cell>
        </row>
        <row r="5026">
          <cell r="B5026">
            <v>17.63</v>
          </cell>
          <cell r="C5026">
            <v>45.53</v>
          </cell>
          <cell r="D5026">
            <v>14.59</v>
          </cell>
          <cell r="E5026">
            <v>8.2799999999999994</v>
          </cell>
          <cell r="H5026">
            <v>45501</v>
          </cell>
          <cell r="I5026">
            <v>0.59111111111111103</v>
          </cell>
          <cell r="J5026">
            <v>22.318888888888885</v>
          </cell>
        </row>
        <row r="5027">
          <cell r="B5027">
            <v>18.48</v>
          </cell>
          <cell r="C5027">
            <v>47.35</v>
          </cell>
          <cell r="D5027">
            <v>14.6</v>
          </cell>
          <cell r="E5027">
            <v>8.34</v>
          </cell>
          <cell r="H5027">
            <v>45501</v>
          </cell>
          <cell r="I5027">
            <v>0.5955555555555555</v>
          </cell>
          <cell r="J5027">
            <v>22.366666666666664</v>
          </cell>
        </row>
        <row r="5028">
          <cell r="B5028">
            <v>17.62</v>
          </cell>
          <cell r="C5028">
            <v>49.29</v>
          </cell>
          <cell r="D5028">
            <v>16.34</v>
          </cell>
          <cell r="E5028">
            <v>8.1199999999999992</v>
          </cell>
          <cell r="H5028">
            <v>45501</v>
          </cell>
          <cell r="I5028">
            <v>0.60111111111111115</v>
          </cell>
          <cell r="J5028">
            <v>22.446666666666665</v>
          </cell>
        </row>
        <row r="5029">
          <cell r="B5029">
            <v>18.010000000000002</v>
          </cell>
          <cell r="C5029">
            <v>51.55</v>
          </cell>
          <cell r="D5029">
            <v>16.399999999999999</v>
          </cell>
          <cell r="E5029">
            <v>8.33</v>
          </cell>
          <cell r="H5029">
            <v>45501</v>
          </cell>
          <cell r="I5029">
            <v>0.6066666666666668</v>
          </cell>
          <cell r="J5029">
            <v>22.562222222222221</v>
          </cell>
        </row>
        <row r="5030">
          <cell r="B5030">
            <v>18.86</v>
          </cell>
          <cell r="C5030">
            <v>55.32</v>
          </cell>
          <cell r="D5030">
            <v>16.63</v>
          </cell>
          <cell r="E5030">
            <v>8.3699999999999992</v>
          </cell>
          <cell r="H5030">
            <v>45501</v>
          </cell>
          <cell r="I5030">
            <v>0.60222222222222221</v>
          </cell>
          <cell r="J5030">
            <v>22.62444444444445</v>
          </cell>
        </row>
        <row r="5031">
          <cell r="B5031">
            <v>17.809999999999999</v>
          </cell>
          <cell r="C5031">
            <v>54.71</v>
          </cell>
          <cell r="D5031">
            <v>16.72</v>
          </cell>
          <cell r="E5031">
            <v>8.2799999999999994</v>
          </cell>
          <cell r="H5031">
            <v>45501</v>
          </cell>
          <cell r="I5031">
            <v>0.61111111111111105</v>
          </cell>
          <cell r="J5031">
            <v>22.630000000000003</v>
          </cell>
        </row>
        <row r="5032">
          <cell r="B5032">
            <v>19.34</v>
          </cell>
          <cell r="C5032">
            <v>54.93</v>
          </cell>
          <cell r="D5032">
            <v>17.05</v>
          </cell>
          <cell r="E5032">
            <v>8.11</v>
          </cell>
          <cell r="H5032">
            <v>45501</v>
          </cell>
          <cell r="I5032">
            <v>0.61444444444444446</v>
          </cell>
          <cell r="J5032">
            <v>22.69222222222222</v>
          </cell>
        </row>
        <row r="5033">
          <cell r="B5033">
            <v>19.59</v>
          </cell>
          <cell r="C5033">
            <v>54.5</v>
          </cell>
          <cell r="D5033">
            <v>17.100000000000001</v>
          </cell>
          <cell r="E5033">
            <v>8.2799999999999994</v>
          </cell>
          <cell r="H5033">
            <v>45501</v>
          </cell>
          <cell r="I5033">
            <v>0.6166666666666667</v>
          </cell>
          <cell r="J5033">
            <v>22.946666666666665</v>
          </cell>
        </row>
        <row r="5034">
          <cell r="B5034">
            <v>18.420000000000002</v>
          </cell>
          <cell r="C5034">
            <v>50.72</v>
          </cell>
          <cell r="D5034">
            <v>16.36</v>
          </cell>
          <cell r="E5034">
            <v>8.0500000000000007</v>
          </cell>
          <cell r="H5034">
            <v>45501</v>
          </cell>
          <cell r="I5034">
            <v>0.60666666666666669</v>
          </cell>
          <cell r="J5034">
            <v>23.181111111111115</v>
          </cell>
        </row>
        <row r="5035">
          <cell r="B5035">
            <v>19.72</v>
          </cell>
          <cell r="C5035">
            <v>53.67</v>
          </cell>
          <cell r="D5035">
            <v>16.649999999999999</v>
          </cell>
          <cell r="E5035">
            <v>8.11</v>
          </cell>
          <cell r="H5035">
            <v>45501</v>
          </cell>
          <cell r="I5035">
            <v>0.59555555555555562</v>
          </cell>
          <cell r="J5035">
            <v>23.33111111111111</v>
          </cell>
        </row>
        <row r="5036">
          <cell r="B5036">
            <v>23.88</v>
          </cell>
          <cell r="C5036">
            <v>55.15</v>
          </cell>
          <cell r="D5036">
            <v>16.739999999999998</v>
          </cell>
          <cell r="E5036">
            <v>8.15</v>
          </cell>
          <cell r="H5036">
            <v>45501</v>
          </cell>
          <cell r="I5036">
            <v>0.5855555555555555</v>
          </cell>
          <cell r="J5036">
            <v>23.473333333333333</v>
          </cell>
        </row>
        <row r="5037">
          <cell r="B5037">
            <v>23.82</v>
          </cell>
          <cell r="C5037">
            <v>53.55</v>
          </cell>
          <cell r="D5037">
            <v>16.98</v>
          </cell>
          <cell r="E5037">
            <v>8.09</v>
          </cell>
          <cell r="H5037">
            <v>45501</v>
          </cell>
          <cell r="I5037">
            <v>0.57333333333333336</v>
          </cell>
          <cell r="J5037">
            <v>23.534444444444446</v>
          </cell>
        </row>
        <row r="5038">
          <cell r="B5038">
            <v>48.18</v>
          </cell>
          <cell r="C5038">
            <v>74</v>
          </cell>
          <cell r="D5038">
            <v>16.920000000000002</v>
          </cell>
          <cell r="E5038">
            <v>8.07</v>
          </cell>
          <cell r="H5038">
            <v>45501</v>
          </cell>
          <cell r="I5038">
            <v>0.55888888888888877</v>
          </cell>
          <cell r="J5038">
            <v>23.538888888888888</v>
          </cell>
        </row>
        <row r="5039">
          <cell r="B5039">
            <v>30.93</v>
          </cell>
          <cell r="C5039">
            <v>58.58</v>
          </cell>
          <cell r="D5039">
            <v>16.88</v>
          </cell>
          <cell r="E5039">
            <v>8.18</v>
          </cell>
          <cell r="H5039">
            <v>45501</v>
          </cell>
          <cell r="I5039">
            <v>0.54666666666666663</v>
          </cell>
          <cell r="J5039">
            <v>23.498888888888885</v>
          </cell>
        </row>
        <row r="5040">
          <cell r="B5040">
            <v>18.2</v>
          </cell>
          <cell r="C5040">
            <v>47.73</v>
          </cell>
          <cell r="D5040">
            <v>16.61</v>
          </cell>
          <cell r="E5040">
            <v>8.35</v>
          </cell>
          <cell r="H5040">
            <v>45501</v>
          </cell>
          <cell r="I5040">
            <v>0.53111111111111109</v>
          </cell>
          <cell r="J5040">
            <v>23.527777777777779</v>
          </cell>
        </row>
        <row r="5041">
          <cell r="B5041">
            <v>16.489999999999998</v>
          </cell>
          <cell r="C5041">
            <v>45.38</v>
          </cell>
          <cell r="D5041">
            <v>16.55</v>
          </cell>
          <cell r="E5041">
            <v>8.3000000000000007</v>
          </cell>
          <cell r="H5041">
            <v>45501</v>
          </cell>
          <cell r="I5041">
            <v>0.51555555555555566</v>
          </cell>
          <cell r="J5041">
            <v>23.52333333333333</v>
          </cell>
        </row>
        <row r="5042">
          <cell r="B5042">
            <v>17.82</v>
          </cell>
          <cell r="C5042">
            <v>45.18</v>
          </cell>
          <cell r="D5042">
            <v>16.149999999999999</v>
          </cell>
          <cell r="E5042">
            <v>7.92</v>
          </cell>
          <cell r="H5042">
            <v>45502</v>
          </cell>
          <cell r="I5042">
            <v>0.49666666666666676</v>
          </cell>
          <cell r="J5042">
            <v>23.391111111111112</v>
          </cell>
        </row>
        <row r="5043">
          <cell r="B5043">
            <v>16.559999999999999</v>
          </cell>
          <cell r="C5043">
            <v>41.64</v>
          </cell>
          <cell r="D5043">
            <v>16.07</v>
          </cell>
          <cell r="E5043">
            <v>8.1999999999999993</v>
          </cell>
          <cell r="H5043">
            <v>45502</v>
          </cell>
          <cell r="I5043">
            <v>0.49444444444444446</v>
          </cell>
          <cell r="J5043">
            <v>23.298888888888889</v>
          </cell>
        </row>
        <row r="5044">
          <cell r="B5044">
            <v>15.5</v>
          </cell>
          <cell r="C5044">
            <v>40.06</v>
          </cell>
          <cell r="D5044">
            <v>15.81</v>
          </cell>
          <cell r="E5044">
            <v>8.18</v>
          </cell>
          <cell r="H5044">
            <v>45502</v>
          </cell>
          <cell r="I5044">
            <v>0.49111111111111111</v>
          </cell>
          <cell r="J5044">
            <v>23.254444444444442</v>
          </cell>
        </row>
        <row r="5045">
          <cell r="B5045">
            <v>13.96</v>
          </cell>
          <cell r="C5045">
            <v>34.729999999999997</v>
          </cell>
          <cell r="D5045">
            <v>15.65</v>
          </cell>
          <cell r="E5045">
            <v>8.1300000000000008</v>
          </cell>
          <cell r="H5045">
            <v>45502</v>
          </cell>
          <cell r="I5045">
            <v>0.48666666666666658</v>
          </cell>
          <cell r="J5045">
            <v>23.224444444444448</v>
          </cell>
        </row>
        <row r="5046">
          <cell r="B5046">
            <v>14.73</v>
          </cell>
          <cell r="C5046">
            <v>35.270000000000003</v>
          </cell>
          <cell r="D5046">
            <v>15.78</v>
          </cell>
          <cell r="E5046">
            <v>7.96</v>
          </cell>
          <cell r="H5046">
            <v>45502</v>
          </cell>
          <cell r="I5046">
            <v>0.4844444444444444</v>
          </cell>
          <cell r="J5046">
            <v>23.196666666666669</v>
          </cell>
        </row>
        <row r="5047">
          <cell r="B5047">
            <v>14.01</v>
          </cell>
          <cell r="C5047">
            <v>35.15</v>
          </cell>
          <cell r="D5047">
            <v>16.16</v>
          </cell>
          <cell r="E5047">
            <v>8.02</v>
          </cell>
          <cell r="H5047">
            <v>45502</v>
          </cell>
          <cell r="I5047">
            <v>0.48222222222222222</v>
          </cell>
          <cell r="J5047">
            <v>23.146666666666668</v>
          </cell>
        </row>
        <row r="5048">
          <cell r="B5048">
            <v>17.809999999999999</v>
          </cell>
          <cell r="C5048">
            <v>41.78</v>
          </cell>
          <cell r="D5048">
            <v>16.28</v>
          </cell>
          <cell r="E5048">
            <v>7.97</v>
          </cell>
          <cell r="H5048">
            <v>45502</v>
          </cell>
          <cell r="I5048">
            <v>0.48555555555555546</v>
          </cell>
          <cell r="J5048">
            <v>23.104444444444439</v>
          </cell>
        </row>
        <row r="5049">
          <cell r="B5049">
            <v>18.82</v>
          </cell>
          <cell r="C5049">
            <v>44.24</v>
          </cell>
          <cell r="D5049">
            <v>16.53</v>
          </cell>
          <cell r="E5049">
            <v>8.36</v>
          </cell>
          <cell r="H5049">
            <v>45502</v>
          </cell>
          <cell r="I5049">
            <v>0.48777777777777787</v>
          </cell>
          <cell r="J5049">
            <v>23.02333333333333</v>
          </cell>
        </row>
        <row r="5050">
          <cell r="B5050">
            <v>19.149999999999999</v>
          </cell>
          <cell r="C5050">
            <v>46.38</v>
          </cell>
          <cell r="D5050">
            <v>16.989999999999998</v>
          </cell>
          <cell r="E5050">
            <v>8.35</v>
          </cell>
          <cell r="H5050">
            <v>45502</v>
          </cell>
          <cell r="I5050">
            <v>0.50111111111111106</v>
          </cell>
          <cell r="J5050">
            <v>22.915555555555553</v>
          </cell>
        </row>
        <row r="5051">
          <cell r="B5051">
            <v>19.739999999999998</v>
          </cell>
          <cell r="C5051">
            <v>51.61</v>
          </cell>
          <cell r="D5051">
            <v>17.29</v>
          </cell>
          <cell r="E5051">
            <v>8.4499999999999993</v>
          </cell>
          <cell r="H5051">
            <v>45502</v>
          </cell>
          <cell r="I5051">
            <v>0.51222222222222213</v>
          </cell>
          <cell r="J5051">
            <v>22.854444444444443</v>
          </cell>
        </row>
        <row r="5052">
          <cell r="B5052">
            <v>21.23</v>
          </cell>
          <cell r="C5052">
            <v>54.79</v>
          </cell>
          <cell r="D5052">
            <v>17.329999999999998</v>
          </cell>
          <cell r="E5052">
            <v>8.67</v>
          </cell>
          <cell r="H5052">
            <v>45502</v>
          </cell>
          <cell r="I5052">
            <v>0.52</v>
          </cell>
          <cell r="J5052">
            <v>22.952222222222222</v>
          </cell>
        </row>
        <row r="5053">
          <cell r="B5053">
            <v>20.11</v>
          </cell>
          <cell r="C5053">
            <v>56.19</v>
          </cell>
          <cell r="D5053">
            <v>17.149999999999999</v>
          </cell>
          <cell r="E5053">
            <v>8.99</v>
          </cell>
          <cell r="H5053">
            <v>45502</v>
          </cell>
          <cell r="I5053">
            <v>0.52444444444444449</v>
          </cell>
          <cell r="J5053">
            <v>23.064444444444444</v>
          </cell>
        </row>
        <row r="5054">
          <cell r="B5054">
            <v>20.99</v>
          </cell>
          <cell r="C5054">
            <v>58.07</v>
          </cell>
          <cell r="D5054">
            <v>16.63</v>
          </cell>
          <cell r="E5054">
            <v>8.69</v>
          </cell>
          <cell r="H5054">
            <v>45502</v>
          </cell>
          <cell r="I5054">
            <v>0.53111111111111109</v>
          </cell>
          <cell r="J5054">
            <v>23.341111111111111</v>
          </cell>
        </row>
        <row r="5055">
          <cell r="B5055">
            <v>22.1</v>
          </cell>
          <cell r="C5055">
            <v>60.61</v>
          </cell>
          <cell r="D5055">
            <v>16.600000000000001</v>
          </cell>
          <cell r="E5055">
            <v>8.57</v>
          </cell>
          <cell r="H5055">
            <v>45502</v>
          </cell>
          <cell r="I5055">
            <v>0.53555555555555556</v>
          </cell>
          <cell r="J5055">
            <v>23.58111111111111</v>
          </cell>
        </row>
        <row r="5056">
          <cell r="B5056">
            <v>23.39</v>
          </cell>
          <cell r="C5056">
            <v>61.56</v>
          </cell>
          <cell r="D5056">
            <v>16.66</v>
          </cell>
          <cell r="E5056">
            <v>8.31</v>
          </cell>
          <cell r="H5056">
            <v>45502</v>
          </cell>
          <cell r="I5056">
            <v>0.53999999999999992</v>
          </cell>
          <cell r="J5056">
            <v>23.766666666666666</v>
          </cell>
        </row>
        <row r="5057">
          <cell r="B5057">
            <v>21.79</v>
          </cell>
          <cell r="C5057">
            <v>58.42</v>
          </cell>
          <cell r="D5057">
            <v>17.11</v>
          </cell>
          <cell r="E5057">
            <v>8.36</v>
          </cell>
          <cell r="H5057">
            <v>45502</v>
          </cell>
          <cell r="I5057">
            <v>0.54222222222222227</v>
          </cell>
          <cell r="J5057">
            <v>24.099999999999998</v>
          </cell>
        </row>
        <row r="5058">
          <cell r="B5058">
            <v>22.67</v>
          </cell>
          <cell r="C5058">
            <v>60.72</v>
          </cell>
          <cell r="D5058">
            <v>17.46</v>
          </cell>
          <cell r="E5058">
            <v>8.57</v>
          </cell>
          <cell r="H5058">
            <v>45502</v>
          </cell>
          <cell r="I5058">
            <v>0.53888888888888897</v>
          </cell>
          <cell r="J5058">
            <v>24.756666666666664</v>
          </cell>
        </row>
        <row r="5059">
          <cell r="B5059">
            <v>23.67</v>
          </cell>
          <cell r="C5059">
            <v>61.44</v>
          </cell>
          <cell r="D5059">
            <v>16.61</v>
          </cell>
          <cell r="E5059">
            <v>8.98</v>
          </cell>
          <cell r="H5059">
            <v>45502</v>
          </cell>
          <cell r="I5059">
            <v>0.53222222222222226</v>
          </cell>
          <cell r="J5059">
            <v>24.925555555555555</v>
          </cell>
        </row>
        <row r="5060">
          <cell r="B5060">
            <v>27.6</v>
          </cell>
          <cell r="C5060">
            <v>67.83</v>
          </cell>
          <cell r="D5060">
            <v>16.760000000000002</v>
          </cell>
          <cell r="E5060">
            <v>9.0500000000000007</v>
          </cell>
          <cell r="H5060">
            <v>45502</v>
          </cell>
          <cell r="I5060">
            <v>0.53555555555555545</v>
          </cell>
          <cell r="J5060">
            <v>24.796666666666663</v>
          </cell>
        </row>
        <row r="5061">
          <cell r="B5061">
            <v>31</v>
          </cell>
          <cell r="C5061">
            <v>72.11</v>
          </cell>
          <cell r="D5061">
            <v>17.36</v>
          </cell>
          <cell r="E5061">
            <v>9.02</v>
          </cell>
          <cell r="H5061">
            <v>45502</v>
          </cell>
          <cell r="I5061">
            <v>0.53888888888888886</v>
          </cell>
          <cell r="J5061">
            <v>24.468888888888888</v>
          </cell>
        </row>
        <row r="5062">
          <cell r="B5062">
            <v>29.47</v>
          </cell>
          <cell r="C5062">
            <v>68.459999999999994</v>
          </cell>
          <cell r="D5062">
            <v>17.670000000000002</v>
          </cell>
          <cell r="E5062">
            <v>9.02</v>
          </cell>
          <cell r="H5062">
            <v>45502</v>
          </cell>
          <cell r="I5062">
            <v>0.54555555555555557</v>
          </cell>
          <cell r="J5062">
            <v>24.438888888888883</v>
          </cell>
        </row>
        <row r="5063">
          <cell r="B5063">
            <v>28.49</v>
          </cell>
          <cell r="C5063">
            <v>61.87</v>
          </cell>
          <cell r="D5063">
            <v>17.420000000000002</v>
          </cell>
          <cell r="E5063">
            <v>8.9700000000000006</v>
          </cell>
          <cell r="H5063">
            <v>45502</v>
          </cell>
          <cell r="I5063">
            <v>0.5477777777777777</v>
          </cell>
          <cell r="J5063">
            <v>24.252222222222219</v>
          </cell>
        </row>
        <row r="5064">
          <cell r="B5064">
            <v>27.31</v>
          </cell>
          <cell r="C5064">
            <v>62.84</v>
          </cell>
          <cell r="D5064">
            <v>17.27</v>
          </cell>
          <cell r="E5064">
            <v>8.89</v>
          </cell>
          <cell r="H5064">
            <v>45502</v>
          </cell>
          <cell r="I5064">
            <v>0.5477777777777777</v>
          </cell>
          <cell r="J5064">
            <v>24.06</v>
          </cell>
        </row>
        <row r="5065">
          <cell r="B5065">
            <v>25.99</v>
          </cell>
          <cell r="C5065">
            <v>57.77</v>
          </cell>
          <cell r="D5065">
            <v>16.579999999999998</v>
          </cell>
          <cell r="E5065">
            <v>8.7100000000000009</v>
          </cell>
          <cell r="H5065">
            <v>45502</v>
          </cell>
          <cell r="I5065">
            <v>0.54666666666666663</v>
          </cell>
          <cell r="J5065">
            <v>23.973333333333333</v>
          </cell>
        </row>
        <row r="5066">
          <cell r="B5066">
            <v>23.04</v>
          </cell>
          <cell r="C5066">
            <v>51.1</v>
          </cell>
          <cell r="D5066">
            <v>16.260000000000002</v>
          </cell>
          <cell r="E5066">
            <v>8.49</v>
          </cell>
          <cell r="H5066">
            <v>45503</v>
          </cell>
          <cell r="I5066">
            <v>0.5411111111111111</v>
          </cell>
          <cell r="J5066">
            <v>23.86</v>
          </cell>
        </row>
        <row r="5067">
          <cell r="B5067">
            <v>25.06</v>
          </cell>
          <cell r="C5067">
            <v>48.73</v>
          </cell>
          <cell r="D5067">
            <v>16.010000000000002</v>
          </cell>
          <cell r="E5067">
            <v>8.67</v>
          </cell>
          <cell r="H5067">
            <v>45503</v>
          </cell>
          <cell r="I5067">
            <v>0.53666666666666663</v>
          </cell>
          <cell r="J5067">
            <v>23.42</v>
          </cell>
        </row>
        <row r="5068">
          <cell r="B5068">
            <v>26.1</v>
          </cell>
          <cell r="C5068">
            <v>41.34</v>
          </cell>
          <cell r="D5068">
            <v>15.98</v>
          </cell>
          <cell r="E5068">
            <v>8.66</v>
          </cell>
          <cell r="H5068">
            <v>45503</v>
          </cell>
          <cell r="I5068">
            <v>0.53333333333333333</v>
          </cell>
          <cell r="J5068">
            <v>23.461111111111116</v>
          </cell>
        </row>
        <row r="5069">
          <cell r="B5069">
            <v>25.13</v>
          </cell>
          <cell r="C5069">
            <v>41.16</v>
          </cell>
          <cell r="D5069">
            <v>16.059999999999999</v>
          </cell>
          <cell r="E5069">
            <v>8.61</v>
          </cell>
          <cell r="H5069">
            <v>45503</v>
          </cell>
          <cell r="I5069">
            <v>0.52222222222222225</v>
          </cell>
          <cell r="J5069">
            <v>23.703333333333333</v>
          </cell>
        </row>
        <row r="5070">
          <cell r="B5070">
            <v>22.45</v>
          </cell>
          <cell r="C5070">
            <v>36.18</v>
          </cell>
          <cell r="D5070">
            <v>15.99</v>
          </cell>
          <cell r="E5070">
            <v>8.3000000000000007</v>
          </cell>
          <cell r="H5070">
            <v>45503</v>
          </cell>
          <cell r="I5070">
            <v>0.51111111111111107</v>
          </cell>
          <cell r="J5070">
            <v>24.038888888888884</v>
          </cell>
        </row>
        <row r="5071">
          <cell r="B5071">
            <v>16.66</v>
          </cell>
          <cell r="C5071">
            <v>32.03</v>
          </cell>
          <cell r="D5071">
            <v>16.309999999999999</v>
          </cell>
          <cell r="E5071">
            <v>8.76</v>
          </cell>
          <cell r="H5071">
            <v>45503</v>
          </cell>
          <cell r="I5071">
            <v>0.50666666666666671</v>
          </cell>
          <cell r="J5071">
            <v>24.111111111111107</v>
          </cell>
        </row>
        <row r="5072">
          <cell r="B5072">
            <v>15.28</v>
          </cell>
          <cell r="C5072">
            <v>31.25</v>
          </cell>
          <cell r="D5072">
            <v>16.57</v>
          </cell>
          <cell r="E5072">
            <v>8.7100000000000009</v>
          </cell>
          <cell r="H5072">
            <v>45503</v>
          </cell>
          <cell r="I5072">
            <v>0.50333333333333341</v>
          </cell>
          <cell r="J5072">
            <v>24.112222222222226</v>
          </cell>
        </row>
        <row r="5073">
          <cell r="B5073">
            <v>15.16</v>
          </cell>
          <cell r="C5073">
            <v>32.21</v>
          </cell>
          <cell r="D5073">
            <v>16.84</v>
          </cell>
          <cell r="E5073">
            <v>8.6300000000000008</v>
          </cell>
          <cell r="H5073">
            <v>45503</v>
          </cell>
          <cell r="I5073">
            <v>0.50888888888888895</v>
          </cell>
          <cell r="J5073">
            <v>24.18333333333333</v>
          </cell>
        </row>
        <row r="5074">
          <cell r="B5074">
            <v>15.97</v>
          </cell>
          <cell r="C5074">
            <v>35.54</v>
          </cell>
          <cell r="D5074">
            <v>16.93</v>
          </cell>
          <cell r="E5074">
            <v>8.56</v>
          </cell>
          <cell r="H5074">
            <v>45503</v>
          </cell>
          <cell r="I5074">
            <v>0.52</v>
          </cell>
          <cell r="J5074">
            <v>24.261111111111106</v>
          </cell>
        </row>
        <row r="5075">
          <cell r="B5075">
            <v>16.25</v>
          </cell>
          <cell r="C5075">
            <v>37.51</v>
          </cell>
          <cell r="D5075">
            <v>16.7</v>
          </cell>
          <cell r="E5075">
            <v>8.75</v>
          </cell>
          <cell r="H5075">
            <v>45503</v>
          </cell>
          <cell r="I5075">
            <v>0.53222222222222226</v>
          </cell>
          <cell r="J5075">
            <v>24.244444444444444</v>
          </cell>
        </row>
        <row r="5076">
          <cell r="B5076">
            <v>15.38</v>
          </cell>
          <cell r="C5076">
            <v>39.869999999999997</v>
          </cell>
          <cell r="D5076">
            <v>15.44</v>
          </cell>
          <cell r="E5076">
            <v>8.8699999999999992</v>
          </cell>
          <cell r="H5076">
            <v>45503</v>
          </cell>
          <cell r="I5076">
            <v>0.54888888888888887</v>
          </cell>
          <cell r="J5076">
            <v>24.252222222222223</v>
          </cell>
        </row>
        <row r="5077">
          <cell r="B5077">
            <v>15</v>
          </cell>
          <cell r="C5077">
            <v>41.16</v>
          </cell>
          <cell r="D5077">
            <v>15.98</v>
          </cell>
          <cell r="E5077">
            <v>8.73</v>
          </cell>
          <cell r="H5077">
            <v>45503</v>
          </cell>
          <cell r="I5077">
            <v>0.55555555555555558</v>
          </cell>
          <cell r="J5077">
            <v>24.673333333333336</v>
          </cell>
        </row>
        <row r="5078">
          <cell r="B5078">
            <v>15.95</v>
          </cell>
          <cell r="C5078">
            <v>43.04</v>
          </cell>
          <cell r="D5078">
            <v>17.010000000000002</v>
          </cell>
          <cell r="E5078">
            <v>8.75</v>
          </cell>
          <cell r="H5078">
            <v>45503</v>
          </cell>
          <cell r="I5078">
            <v>0.57333333333333347</v>
          </cell>
          <cell r="J5078">
            <v>24.803333333333335</v>
          </cell>
        </row>
        <row r="5079">
          <cell r="B5079">
            <v>15.25</v>
          </cell>
          <cell r="C5079">
            <v>43.55</v>
          </cell>
          <cell r="D5079">
            <v>16.940000000000001</v>
          </cell>
          <cell r="E5079">
            <v>8.6199999999999992</v>
          </cell>
          <cell r="H5079">
            <v>45503</v>
          </cell>
          <cell r="I5079">
            <v>0.59000000000000008</v>
          </cell>
          <cell r="J5079">
            <v>25.028888888888893</v>
          </cell>
        </row>
        <row r="5080">
          <cell r="B5080">
            <v>15.67</v>
          </cell>
          <cell r="C5080">
            <v>41.73</v>
          </cell>
          <cell r="D5080">
            <v>17.100000000000001</v>
          </cell>
          <cell r="E5080">
            <v>8.14</v>
          </cell>
          <cell r="H5080">
            <v>45503</v>
          </cell>
          <cell r="I5080">
            <v>0.60222222222222221</v>
          </cell>
          <cell r="J5080">
            <v>25.28</v>
          </cell>
        </row>
        <row r="5081">
          <cell r="B5081">
            <v>16.88</v>
          </cell>
          <cell r="C5081">
            <v>42.63</v>
          </cell>
          <cell r="D5081">
            <v>17.54</v>
          </cell>
          <cell r="E5081">
            <v>7.97</v>
          </cell>
          <cell r="H5081">
            <v>45503</v>
          </cell>
          <cell r="I5081">
            <v>0.61555555555555552</v>
          </cell>
          <cell r="J5081">
            <v>25.662222222222223</v>
          </cell>
        </row>
        <row r="5082">
          <cell r="B5082">
            <v>18.079999999999998</v>
          </cell>
          <cell r="C5082">
            <v>48.11</v>
          </cell>
          <cell r="D5082">
            <v>17.600000000000001</v>
          </cell>
          <cell r="E5082">
            <v>8.23</v>
          </cell>
          <cell r="H5082">
            <v>45503</v>
          </cell>
          <cell r="I5082">
            <v>0.62</v>
          </cell>
          <cell r="J5082">
            <v>26.046666666666667</v>
          </cell>
        </row>
        <row r="5083">
          <cell r="B5083">
            <v>18.43</v>
          </cell>
          <cell r="C5083">
            <v>45.14</v>
          </cell>
          <cell r="D5083">
            <v>17.36</v>
          </cell>
          <cell r="E5083">
            <v>8.67</v>
          </cell>
          <cell r="H5083">
            <v>45503</v>
          </cell>
          <cell r="I5083">
            <v>0.62666666666666671</v>
          </cell>
          <cell r="J5083">
            <v>26.237777777777772</v>
          </cell>
        </row>
        <row r="5084">
          <cell r="B5084">
            <v>19.3</v>
          </cell>
          <cell r="C5084">
            <v>38.25</v>
          </cell>
          <cell r="D5084">
            <v>18.39</v>
          </cell>
          <cell r="E5084">
            <v>9.32</v>
          </cell>
          <cell r="H5084">
            <v>45503</v>
          </cell>
          <cell r="I5084">
            <v>0.63777777777777778</v>
          </cell>
          <cell r="J5084">
            <v>26.153333333333332</v>
          </cell>
        </row>
        <row r="5085">
          <cell r="B5085">
            <v>18.59</v>
          </cell>
          <cell r="C5085">
            <v>37.89</v>
          </cell>
          <cell r="D5085">
            <v>19.3</v>
          </cell>
          <cell r="E5085">
            <v>9.5299999999999994</v>
          </cell>
          <cell r="H5085">
            <v>45503</v>
          </cell>
          <cell r="I5085">
            <v>0.6511111111111112</v>
          </cell>
          <cell r="J5085">
            <v>26.036666666666662</v>
          </cell>
        </row>
        <row r="5086">
          <cell r="B5086">
            <v>18.41</v>
          </cell>
          <cell r="C5086">
            <v>38.369999999999997</v>
          </cell>
          <cell r="D5086">
            <v>19.399999999999999</v>
          </cell>
          <cell r="E5086">
            <v>10.039999999999999</v>
          </cell>
          <cell r="H5086">
            <v>45503</v>
          </cell>
          <cell r="I5086">
            <v>0.66888888888888887</v>
          </cell>
          <cell r="J5086">
            <v>25.573333333333331</v>
          </cell>
        </row>
        <row r="5087">
          <cell r="B5087">
            <v>18.100000000000001</v>
          </cell>
          <cell r="C5087">
            <v>37.5</v>
          </cell>
          <cell r="D5087">
            <v>19.53</v>
          </cell>
          <cell r="E5087">
            <v>10.72</v>
          </cell>
          <cell r="H5087">
            <v>45503</v>
          </cell>
          <cell r="I5087">
            <v>0.67444444444444462</v>
          </cell>
          <cell r="J5087">
            <v>25.361111111111111</v>
          </cell>
        </row>
        <row r="5088">
          <cell r="B5088">
            <v>18.670000000000002</v>
          </cell>
          <cell r="C5088">
            <v>40.119999999999997</v>
          </cell>
          <cell r="D5088">
            <v>18.78</v>
          </cell>
          <cell r="E5088">
            <v>10.35</v>
          </cell>
          <cell r="H5088">
            <v>45503</v>
          </cell>
          <cell r="I5088">
            <v>0.67222222222222228</v>
          </cell>
          <cell r="J5088">
            <v>25.022222222222219</v>
          </cell>
        </row>
        <row r="5089">
          <cell r="B5089">
            <v>17.77</v>
          </cell>
          <cell r="C5089">
            <v>39.799999999999997</v>
          </cell>
          <cell r="D5089">
            <v>18.25</v>
          </cell>
          <cell r="E5089">
            <v>10.16</v>
          </cell>
          <cell r="H5089">
            <v>45503</v>
          </cell>
          <cell r="I5089">
            <v>0.66888888888888898</v>
          </cell>
          <cell r="J5089">
            <v>24.693333333333335</v>
          </cell>
        </row>
        <row r="5090">
          <cell r="B5090">
            <v>16.21</v>
          </cell>
          <cell r="C5090">
            <v>37.82</v>
          </cell>
          <cell r="D5090">
            <v>17.52</v>
          </cell>
          <cell r="E5090">
            <v>9.69</v>
          </cell>
          <cell r="H5090">
            <v>45504</v>
          </cell>
          <cell r="I5090">
            <v>0.66555555555555557</v>
          </cell>
          <cell r="J5090">
            <v>24.364444444444445</v>
          </cell>
        </row>
        <row r="5091">
          <cell r="B5091">
            <v>15.68</v>
          </cell>
          <cell r="C5091">
            <v>36.82</v>
          </cell>
          <cell r="D5091">
            <v>17.14</v>
          </cell>
          <cell r="E5091">
            <v>9.8000000000000007</v>
          </cell>
          <cell r="H5091">
            <v>45504</v>
          </cell>
          <cell r="I5091">
            <v>0.67222222222222217</v>
          </cell>
          <cell r="J5091">
            <v>24.023333333333333</v>
          </cell>
        </row>
        <row r="5092">
          <cell r="B5092">
            <v>17.87</v>
          </cell>
          <cell r="C5092">
            <v>37.93</v>
          </cell>
          <cell r="D5092">
            <v>17.03</v>
          </cell>
          <cell r="E5092">
            <v>10.050000000000001</v>
          </cell>
          <cell r="H5092">
            <v>45504</v>
          </cell>
          <cell r="I5092">
            <v>0.67444444444444451</v>
          </cell>
          <cell r="J5092">
            <v>23.898888888888891</v>
          </cell>
        </row>
        <row r="5093">
          <cell r="B5093">
            <v>17.649999999999999</v>
          </cell>
          <cell r="C5093">
            <v>36.85</v>
          </cell>
          <cell r="D5093">
            <v>17.04</v>
          </cell>
          <cell r="E5093">
            <v>10.199999999999999</v>
          </cell>
          <cell r="H5093">
            <v>45504</v>
          </cell>
          <cell r="I5093">
            <v>0.6744444444444444</v>
          </cell>
          <cell r="J5093">
            <v>23.996666666666666</v>
          </cell>
        </row>
        <row r="5094">
          <cell r="B5094">
            <v>19.73</v>
          </cell>
          <cell r="C5094">
            <v>39.43</v>
          </cell>
          <cell r="D5094">
            <v>17.12</v>
          </cell>
          <cell r="E5094">
            <v>9.76</v>
          </cell>
          <cell r="H5094">
            <v>45504</v>
          </cell>
          <cell r="I5094">
            <v>0.6711111111111111</v>
          </cell>
          <cell r="J5094">
            <v>24.102222222222224</v>
          </cell>
        </row>
        <row r="5095">
          <cell r="B5095">
            <v>20.059999999999999</v>
          </cell>
          <cell r="C5095">
            <v>43.49</v>
          </cell>
          <cell r="D5095">
            <v>17.63</v>
          </cell>
          <cell r="E5095">
            <v>9.83</v>
          </cell>
          <cell r="H5095">
            <v>45504</v>
          </cell>
          <cell r="I5095">
            <v>0.66555555555555546</v>
          </cell>
          <cell r="J5095">
            <v>24.122222222222224</v>
          </cell>
        </row>
        <row r="5096">
          <cell r="B5096">
            <v>19.399999999999999</v>
          </cell>
          <cell r="C5096">
            <v>41.17</v>
          </cell>
          <cell r="D5096">
            <v>18.600000000000001</v>
          </cell>
          <cell r="E5096">
            <v>9.67</v>
          </cell>
          <cell r="H5096">
            <v>45504</v>
          </cell>
          <cell r="I5096">
            <v>0.66555555555555557</v>
          </cell>
          <cell r="J5096">
            <v>24.096666666666671</v>
          </cell>
        </row>
        <row r="5097">
          <cell r="B5097">
            <v>20.74</v>
          </cell>
          <cell r="C5097">
            <v>44.85</v>
          </cell>
          <cell r="D5097">
            <v>18.66</v>
          </cell>
          <cell r="E5097">
            <v>9.98</v>
          </cell>
          <cell r="H5097">
            <v>45504</v>
          </cell>
          <cell r="I5097">
            <v>0.68111111111111111</v>
          </cell>
          <cell r="J5097">
            <v>24.076666666666668</v>
          </cell>
        </row>
        <row r="5098">
          <cell r="B5098">
            <v>20.9</v>
          </cell>
          <cell r="C5098">
            <v>45.86</v>
          </cell>
          <cell r="D5098">
            <v>18.170000000000002</v>
          </cell>
          <cell r="E5098">
            <v>10.050000000000001</v>
          </cell>
          <cell r="H5098">
            <v>45504</v>
          </cell>
          <cell r="I5098">
            <v>0.69333333333333325</v>
          </cell>
          <cell r="J5098">
            <v>23.99</v>
          </cell>
        </row>
        <row r="5099">
          <cell r="B5099">
            <v>20.350000000000001</v>
          </cell>
          <cell r="C5099">
            <v>47.33</v>
          </cell>
          <cell r="D5099">
            <v>18.440000000000001</v>
          </cell>
          <cell r="E5099">
            <v>10.08</v>
          </cell>
          <cell r="H5099">
            <v>45504</v>
          </cell>
          <cell r="I5099">
            <v>0.70777777777777773</v>
          </cell>
          <cell r="J5099">
            <v>23.873333333333335</v>
          </cell>
        </row>
        <row r="5100">
          <cell r="B5100">
            <v>20.46</v>
          </cell>
          <cell r="C5100">
            <v>50.79</v>
          </cell>
          <cell r="D5100">
            <v>18.41</v>
          </cell>
          <cell r="E5100">
            <v>9.93</v>
          </cell>
          <cell r="H5100">
            <v>45504</v>
          </cell>
          <cell r="I5100">
            <v>0.71666666666666656</v>
          </cell>
          <cell r="J5100">
            <v>23.838888888888889</v>
          </cell>
        </row>
        <row r="5101">
          <cell r="B5101">
            <v>19.78</v>
          </cell>
          <cell r="C5101">
            <v>49.6</v>
          </cell>
          <cell r="D5101">
            <v>17.79</v>
          </cell>
          <cell r="E5101">
            <v>9.76</v>
          </cell>
          <cell r="H5101">
            <v>45504</v>
          </cell>
          <cell r="I5101">
            <v>0.72</v>
          </cell>
          <cell r="J5101">
            <v>23.97666666666667</v>
          </cell>
        </row>
        <row r="5102">
          <cell r="B5102">
            <v>20.25</v>
          </cell>
          <cell r="C5102">
            <v>53.58</v>
          </cell>
          <cell r="D5102">
            <v>17.39</v>
          </cell>
          <cell r="E5102">
            <v>9.64</v>
          </cell>
          <cell r="H5102">
            <v>45504</v>
          </cell>
          <cell r="I5102">
            <v>0.7222222222222221</v>
          </cell>
          <cell r="J5102">
            <v>24.237777777777776</v>
          </cell>
        </row>
        <row r="5103">
          <cell r="B5103">
            <v>19.53</v>
          </cell>
          <cell r="C5103">
            <v>58.64</v>
          </cell>
          <cell r="D5103">
            <v>17.190000000000001</v>
          </cell>
          <cell r="E5103">
            <v>9.0399999999999991</v>
          </cell>
          <cell r="H5103">
            <v>45504</v>
          </cell>
          <cell r="I5103">
            <v>0.72111111111111104</v>
          </cell>
          <cell r="J5103">
            <v>24.837777777777781</v>
          </cell>
        </row>
        <row r="5104">
          <cell r="B5104">
            <v>20.12</v>
          </cell>
          <cell r="C5104">
            <v>58.51</v>
          </cell>
          <cell r="D5104">
            <v>17.149999999999999</v>
          </cell>
          <cell r="E5104">
            <v>9.1199999999999992</v>
          </cell>
          <cell r="H5104">
            <v>45504</v>
          </cell>
          <cell r="I5104">
            <v>0.72222222222222221</v>
          </cell>
          <cell r="J5104">
            <v>25.475555555555559</v>
          </cell>
        </row>
        <row r="5105">
          <cell r="B5105">
            <v>19.88</v>
          </cell>
          <cell r="C5105">
            <v>58.65</v>
          </cell>
          <cell r="D5105">
            <v>16.84</v>
          </cell>
          <cell r="E5105">
            <v>9.1999999999999993</v>
          </cell>
          <cell r="H5105">
            <v>45504</v>
          </cell>
          <cell r="I5105">
            <v>0.71666666666666679</v>
          </cell>
          <cell r="J5105">
            <v>26.028888888888886</v>
          </cell>
        </row>
        <row r="5106">
          <cell r="B5106">
            <v>20.05</v>
          </cell>
          <cell r="C5106">
            <v>56.55</v>
          </cell>
          <cell r="D5106">
            <v>17.89</v>
          </cell>
          <cell r="E5106">
            <v>8.8699999999999992</v>
          </cell>
          <cell r="H5106">
            <v>45504</v>
          </cell>
          <cell r="I5106">
            <v>0.70888888888888879</v>
          </cell>
          <cell r="J5106">
            <v>26.388888888888886</v>
          </cell>
        </row>
        <row r="5107">
          <cell r="B5107">
            <v>22.22</v>
          </cell>
          <cell r="C5107">
            <v>58.53</v>
          </cell>
          <cell r="D5107">
            <v>17.649999999999999</v>
          </cell>
          <cell r="E5107">
            <v>8.15</v>
          </cell>
          <cell r="H5107">
            <v>45504</v>
          </cell>
          <cell r="I5107">
            <v>0.70666666666666667</v>
          </cell>
          <cell r="J5107">
            <v>26.615555555555552</v>
          </cell>
        </row>
        <row r="5108">
          <cell r="B5108">
            <v>24.98</v>
          </cell>
          <cell r="C5108">
            <v>63.94</v>
          </cell>
          <cell r="D5108">
            <v>18.11</v>
          </cell>
          <cell r="E5108">
            <v>8.57</v>
          </cell>
          <cell r="H5108">
            <v>45504</v>
          </cell>
          <cell r="I5108">
            <v>0.71555555555555561</v>
          </cell>
          <cell r="J5108">
            <v>26.700000000000003</v>
          </cell>
        </row>
        <row r="5109">
          <cell r="B5109">
            <v>23.58</v>
          </cell>
          <cell r="C5109">
            <v>45.88</v>
          </cell>
          <cell r="D5109">
            <v>18.38</v>
          </cell>
          <cell r="E5109">
            <v>8.4600000000000009</v>
          </cell>
          <cell r="H5109">
            <v>45504</v>
          </cell>
          <cell r="I5109">
            <v>0.71555555555555561</v>
          </cell>
          <cell r="J5109">
            <v>26.630000000000003</v>
          </cell>
        </row>
        <row r="5110">
          <cell r="B5110">
            <v>21.99</v>
          </cell>
          <cell r="C5110">
            <v>43.89</v>
          </cell>
          <cell r="D5110">
            <v>19.12</v>
          </cell>
          <cell r="E5110">
            <v>8.52</v>
          </cell>
          <cell r="H5110">
            <v>45504</v>
          </cell>
          <cell r="I5110">
            <v>0.72222222222222221</v>
          </cell>
          <cell r="J5110">
            <v>26.38111111111111</v>
          </cell>
        </row>
        <row r="5111">
          <cell r="B5111">
            <v>22.65</v>
          </cell>
          <cell r="C5111">
            <v>42.47</v>
          </cell>
          <cell r="D5111">
            <v>18.63</v>
          </cell>
          <cell r="E5111">
            <v>8.5500000000000007</v>
          </cell>
          <cell r="H5111">
            <v>45504</v>
          </cell>
          <cell r="I5111">
            <v>0.71666666666666656</v>
          </cell>
          <cell r="J5111">
            <v>26.09</v>
          </cell>
        </row>
        <row r="5112">
          <cell r="B5112">
            <v>22.57</v>
          </cell>
          <cell r="C5112">
            <v>40.28</v>
          </cell>
          <cell r="D5112">
            <v>17.95</v>
          </cell>
          <cell r="E5112">
            <v>8.24</v>
          </cell>
          <cell r="H5112">
            <v>45504</v>
          </cell>
          <cell r="I5112">
            <v>0.7088888888888889</v>
          </cell>
          <cell r="J5112">
            <v>25.33111111111111</v>
          </cell>
        </row>
        <row r="5113">
          <cell r="B5113">
            <v>22.26</v>
          </cell>
          <cell r="C5113">
            <v>39.840000000000003</v>
          </cell>
          <cell r="D5113">
            <v>17.670000000000002</v>
          </cell>
          <cell r="E5113">
            <v>8.15</v>
          </cell>
          <cell r="H5113">
            <v>45504</v>
          </cell>
          <cell r="I5113">
            <v>0.69888888888888889</v>
          </cell>
          <cell r="J5113">
            <v>24.871111111111112</v>
          </cell>
        </row>
        <row r="5114">
          <cell r="B5114">
            <v>18.260000000000002</v>
          </cell>
          <cell r="C5114">
            <v>34.950000000000003</v>
          </cell>
          <cell r="D5114">
            <v>16.899999999999999</v>
          </cell>
          <cell r="E5114">
            <v>8.2100000000000009</v>
          </cell>
          <cell r="H5114">
            <v>45505</v>
          </cell>
          <cell r="I5114">
            <v>0.69333333333333325</v>
          </cell>
          <cell r="J5114">
            <v>24.484444444444442</v>
          </cell>
        </row>
        <row r="5115">
          <cell r="B5115">
            <v>15.92</v>
          </cell>
          <cell r="C5115">
            <v>33.33</v>
          </cell>
          <cell r="D5115">
            <v>16.739999999999998</v>
          </cell>
          <cell r="E5115">
            <v>8.6199999999999992</v>
          </cell>
          <cell r="H5115">
            <v>45505</v>
          </cell>
          <cell r="I5115">
            <v>0.68222222222222206</v>
          </cell>
          <cell r="J5115">
            <v>24.290000000000003</v>
          </cell>
        </row>
        <row r="5116">
          <cell r="B5116">
            <v>15.52</v>
          </cell>
          <cell r="C5116">
            <v>33.26</v>
          </cell>
          <cell r="D5116">
            <v>16.79</v>
          </cell>
          <cell r="E5116">
            <v>8.75</v>
          </cell>
          <cell r="H5116">
            <v>45505</v>
          </cell>
          <cell r="I5116">
            <v>0.6744444444444444</v>
          </cell>
          <cell r="J5116">
            <v>24.167777777777779</v>
          </cell>
        </row>
        <row r="5117">
          <cell r="B5117">
            <v>15.42</v>
          </cell>
          <cell r="C5117">
            <v>33.49</v>
          </cell>
          <cell r="D5117">
            <v>16.809999999999999</v>
          </cell>
          <cell r="E5117">
            <v>8.44</v>
          </cell>
          <cell r="H5117">
            <v>45505</v>
          </cell>
          <cell r="I5117">
            <v>0.65333333333333321</v>
          </cell>
          <cell r="J5117">
            <v>24.160000000000004</v>
          </cell>
        </row>
        <row r="5118">
          <cell r="B5118">
            <v>16.32</v>
          </cell>
          <cell r="C5118">
            <v>35.31</v>
          </cell>
          <cell r="D5118">
            <v>17.09</v>
          </cell>
          <cell r="E5118">
            <v>8.19</v>
          </cell>
          <cell r="H5118">
            <v>45505</v>
          </cell>
          <cell r="I5118">
            <v>0.63777777777777778</v>
          </cell>
          <cell r="J5118">
            <v>24.243333333333336</v>
          </cell>
        </row>
        <row r="5119">
          <cell r="B5119">
            <v>16.16</v>
          </cell>
          <cell r="C5119">
            <v>36.67</v>
          </cell>
          <cell r="D5119">
            <v>17.27</v>
          </cell>
          <cell r="E5119">
            <v>8.17</v>
          </cell>
          <cell r="H5119">
            <v>45505</v>
          </cell>
          <cell r="I5119">
            <v>0.62333333333333329</v>
          </cell>
          <cell r="J5119">
            <v>24.25555555555556</v>
          </cell>
        </row>
        <row r="5120">
          <cell r="B5120">
            <v>16.899999999999999</v>
          </cell>
          <cell r="C5120">
            <v>38.57</v>
          </cell>
          <cell r="D5120">
            <v>17.82</v>
          </cell>
          <cell r="E5120">
            <v>8.26</v>
          </cell>
          <cell r="H5120">
            <v>45505</v>
          </cell>
          <cell r="I5120">
            <v>0.61999999999999988</v>
          </cell>
          <cell r="J5120">
            <v>24.218888888888888</v>
          </cell>
        </row>
        <row r="5121">
          <cell r="B5121">
            <v>18.309999999999999</v>
          </cell>
          <cell r="C5121">
            <v>39.53</v>
          </cell>
          <cell r="D5121">
            <v>18.399999999999999</v>
          </cell>
          <cell r="E5121">
            <v>8.4600000000000009</v>
          </cell>
          <cell r="H5121">
            <v>45505</v>
          </cell>
          <cell r="I5121">
            <v>0.62111111111111095</v>
          </cell>
          <cell r="J5121">
            <v>24.355555555555554</v>
          </cell>
        </row>
        <row r="5122">
          <cell r="B5122">
            <v>18.88</v>
          </cell>
          <cell r="C5122">
            <v>42.83</v>
          </cell>
          <cell r="D5122">
            <v>17.850000000000001</v>
          </cell>
          <cell r="E5122">
            <v>8.42</v>
          </cell>
          <cell r="H5122">
            <v>45505</v>
          </cell>
          <cell r="I5122">
            <v>0.62777777777777777</v>
          </cell>
          <cell r="J5122">
            <v>24.206666666666663</v>
          </cell>
        </row>
        <row r="5123">
          <cell r="B5123">
            <v>19.14</v>
          </cell>
          <cell r="C5123">
            <v>45.35</v>
          </cell>
          <cell r="D5123">
            <v>18.11</v>
          </cell>
          <cell r="E5123">
            <v>8.1</v>
          </cell>
          <cell r="H5123">
            <v>45505</v>
          </cell>
          <cell r="I5123">
            <v>0.63555555555555554</v>
          </cell>
          <cell r="J5123">
            <v>24.27333333333333</v>
          </cell>
        </row>
        <row r="5124">
          <cell r="B5124">
            <v>20.100000000000001</v>
          </cell>
          <cell r="C5124">
            <v>53.35</v>
          </cell>
          <cell r="D5124">
            <v>17.329999999999998</v>
          </cell>
          <cell r="E5124">
            <v>8.48</v>
          </cell>
          <cell r="H5124">
            <v>45505</v>
          </cell>
          <cell r="I5124">
            <v>0.64222222222222225</v>
          </cell>
          <cell r="J5124">
            <v>24.255555555555556</v>
          </cell>
        </row>
        <row r="5125">
          <cell r="B5125">
            <v>20.25</v>
          </cell>
          <cell r="C5125">
            <v>59.22</v>
          </cell>
          <cell r="D5125">
            <v>17.079999999999998</v>
          </cell>
          <cell r="E5125">
            <v>9.6300000000000008</v>
          </cell>
          <cell r="H5125">
            <v>45505</v>
          </cell>
          <cell r="I5125">
            <v>0.64222222222222236</v>
          </cell>
          <cell r="J5125">
            <v>24.498888888888889</v>
          </cell>
        </row>
        <row r="5126">
          <cell r="B5126">
            <v>19.350000000000001</v>
          </cell>
          <cell r="C5126">
            <v>63.22</v>
          </cell>
          <cell r="D5126">
            <v>17.54</v>
          </cell>
          <cell r="E5126">
            <v>9.5299999999999994</v>
          </cell>
          <cell r="H5126">
            <v>45505</v>
          </cell>
          <cell r="I5126">
            <v>0.64222222222222225</v>
          </cell>
          <cell r="J5126">
            <v>24.703333333333333</v>
          </cell>
        </row>
        <row r="5127">
          <cell r="B5127">
            <v>18.760000000000002</v>
          </cell>
          <cell r="C5127">
            <v>64.42</v>
          </cell>
          <cell r="D5127">
            <v>17.3</v>
          </cell>
          <cell r="E5127">
            <v>9.8000000000000007</v>
          </cell>
          <cell r="H5127">
            <v>45505</v>
          </cell>
          <cell r="I5127">
            <v>0.64222222222222225</v>
          </cell>
          <cell r="J5127">
            <v>24.924444444444443</v>
          </cell>
        </row>
        <row r="5128">
          <cell r="B5128">
            <v>17.829999999999998</v>
          </cell>
          <cell r="C5128">
            <v>59.61</v>
          </cell>
          <cell r="D5128">
            <v>17.3</v>
          </cell>
          <cell r="E5128">
            <v>9.56</v>
          </cell>
          <cell r="H5128">
            <v>45505</v>
          </cell>
          <cell r="I5128">
            <v>0.64888888888888885</v>
          </cell>
          <cell r="J5128">
            <v>25.402222222222221</v>
          </cell>
        </row>
        <row r="5129">
          <cell r="B5129">
            <v>18.2</v>
          </cell>
          <cell r="C5129">
            <v>57.73</v>
          </cell>
          <cell r="D5129">
            <v>16.43</v>
          </cell>
          <cell r="E5129">
            <v>9.2799999999999994</v>
          </cell>
          <cell r="H5129">
            <v>45505</v>
          </cell>
          <cell r="I5129">
            <v>0.65222222222222226</v>
          </cell>
          <cell r="J5129">
            <v>25.823333333333338</v>
          </cell>
        </row>
        <row r="5130">
          <cell r="B5130">
            <v>19.09</v>
          </cell>
          <cell r="C5130">
            <v>55.7</v>
          </cell>
          <cell r="D5130">
            <v>15.84</v>
          </cell>
          <cell r="E5130">
            <v>10.119999999999999</v>
          </cell>
          <cell r="H5130">
            <v>45505</v>
          </cell>
          <cell r="I5130">
            <v>0.65888888888888886</v>
          </cell>
          <cell r="J5130">
            <v>26.477777777777778</v>
          </cell>
        </row>
        <row r="5131">
          <cell r="B5131">
            <v>18.97</v>
          </cell>
          <cell r="C5131">
            <v>51.52</v>
          </cell>
          <cell r="D5131">
            <v>15.38</v>
          </cell>
          <cell r="E5131">
            <v>8.65</v>
          </cell>
          <cell r="H5131">
            <v>45505</v>
          </cell>
          <cell r="I5131">
            <v>0.66222222222222227</v>
          </cell>
          <cell r="J5131">
            <v>27.067777777777781</v>
          </cell>
        </row>
        <row r="5132">
          <cell r="B5132">
            <v>19.48</v>
          </cell>
          <cell r="C5132">
            <v>45.44</v>
          </cell>
          <cell r="D5132">
            <v>15.67</v>
          </cell>
          <cell r="E5132">
            <v>8.86</v>
          </cell>
          <cell r="H5132">
            <v>45505</v>
          </cell>
          <cell r="I5132">
            <v>0.67111111111111099</v>
          </cell>
          <cell r="J5132">
            <v>27.151111111111113</v>
          </cell>
        </row>
        <row r="5133">
          <cell r="B5133">
            <v>17.54</v>
          </cell>
          <cell r="C5133">
            <v>45.45</v>
          </cell>
          <cell r="D5133">
            <v>16.34</v>
          </cell>
          <cell r="E5133">
            <v>8.73</v>
          </cell>
          <cell r="H5133">
            <v>45505</v>
          </cell>
          <cell r="I5133">
            <v>0.68666666666666676</v>
          </cell>
          <cell r="J5133">
            <v>27.073333333333334</v>
          </cell>
        </row>
        <row r="5134">
          <cell r="B5134">
            <v>19.190000000000001</v>
          </cell>
          <cell r="C5134">
            <v>46.97</v>
          </cell>
          <cell r="D5134">
            <v>16.059999999999999</v>
          </cell>
          <cell r="E5134">
            <v>8.83</v>
          </cell>
          <cell r="H5134">
            <v>45505</v>
          </cell>
          <cell r="I5134">
            <v>0.69888888888888889</v>
          </cell>
          <cell r="J5134">
            <v>26.841111111111111</v>
          </cell>
        </row>
        <row r="5135">
          <cell r="B5135">
            <v>17.91</v>
          </cell>
          <cell r="C5135">
            <v>47.03</v>
          </cell>
          <cell r="D5135">
            <v>15.48</v>
          </cell>
          <cell r="E5135">
            <v>8.64</v>
          </cell>
          <cell r="H5135">
            <v>45505</v>
          </cell>
          <cell r="I5135">
            <v>0.70222222222222219</v>
          </cell>
          <cell r="J5135">
            <v>26.707777777777775</v>
          </cell>
        </row>
        <row r="5136">
          <cell r="B5136">
            <v>19.18</v>
          </cell>
          <cell r="C5136">
            <v>47.06</v>
          </cell>
          <cell r="D5136">
            <v>15.49</v>
          </cell>
          <cell r="E5136">
            <v>8.61</v>
          </cell>
          <cell r="H5136">
            <v>45505</v>
          </cell>
          <cell r="I5136">
            <v>0.7055555555555556</v>
          </cell>
          <cell r="J5136">
            <v>26.45888888888889</v>
          </cell>
        </row>
        <row r="5137">
          <cell r="B5137">
            <v>21.79</v>
          </cell>
          <cell r="C5137">
            <v>46.08</v>
          </cell>
          <cell r="D5137">
            <v>15.12</v>
          </cell>
          <cell r="E5137">
            <v>8.64</v>
          </cell>
          <cell r="H5137">
            <v>45505</v>
          </cell>
          <cell r="I5137">
            <v>0.69555555555555548</v>
          </cell>
          <cell r="J5137">
            <v>26.071111111111112</v>
          </cell>
        </row>
        <row r="5138">
          <cell r="B5138">
            <v>22</v>
          </cell>
          <cell r="C5138">
            <v>44.95</v>
          </cell>
          <cell r="D5138">
            <v>14.7</v>
          </cell>
          <cell r="E5138">
            <v>8.3800000000000008</v>
          </cell>
          <cell r="H5138">
            <v>45506</v>
          </cell>
          <cell r="I5138">
            <v>0.68444444444444441</v>
          </cell>
          <cell r="J5138">
            <v>25.828888888888891</v>
          </cell>
        </row>
        <row r="5139">
          <cell r="B5139">
            <v>17.87</v>
          </cell>
          <cell r="C5139">
            <v>38.31</v>
          </cell>
          <cell r="D5139">
            <v>14.25</v>
          </cell>
          <cell r="E5139">
            <v>8.11</v>
          </cell>
          <cell r="H5139">
            <v>45506</v>
          </cell>
          <cell r="I5139">
            <v>0.67555555555555558</v>
          </cell>
          <cell r="J5139">
            <v>25.39777777777778</v>
          </cell>
        </row>
        <row r="5140">
          <cell r="B5140">
            <v>16.66</v>
          </cell>
          <cell r="C5140">
            <v>30.23</v>
          </cell>
          <cell r="D5140">
            <v>14.11</v>
          </cell>
          <cell r="E5140">
            <v>8.0500000000000007</v>
          </cell>
          <cell r="H5140">
            <v>45506</v>
          </cell>
          <cell r="I5140">
            <v>0.67222222222222228</v>
          </cell>
          <cell r="J5140">
            <v>24.907777777777781</v>
          </cell>
        </row>
        <row r="5141">
          <cell r="B5141">
            <v>17.670000000000002</v>
          </cell>
          <cell r="C5141">
            <v>30.39</v>
          </cell>
          <cell r="D5141">
            <v>14.14</v>
          </cell>
          <cell r="E5141">
            <v>8.24</v>
          </cell>
          <cell r="H5141">
            <v>45506</v>
          </cell>
          <cell r="I5141">
            <v>0.66222222222222227</v>
          </cell>
          <cell r="J5141">
            <v>24.782222222222224</v>
          </cell>
        </row>
        <row r="5142">
          <cell r="B5142">
            <v>16.440000000000001</v>
          </cell>
          <cell r="C5142">
            <v>30.82</v>
          </cell>
          <cell r="D5142">
            <v>13.99</v>
          </cell>
          <cell r="E5142">
            <v>8.15</v>
          </cell>
          <cell r="H5142">
            <v>45506</v>
          </cell>
          <cell r="I5142">
            <v>0.64555555555555555</v>
          </cell>
          <cell r="J5142">
            <v>24.911111111111111</v>
          </cell>
        </row>
        <row r="5143">
          <cell r="B5143">
            <v>16.690000000000001</v>
          </cell>
          <cell r="C5143">
            <v>32.71</v>
          </cell>
          <cell r="D5143">
            <v>14.35</v>
          </cell>
          <cell r="E5143">
            <v>8.6300000000000008</v>
          </cell>
          <cell r="H5143">
            <v>45506</v>
          </cell>
          <cell r="I5143">
            <v>0.63555555555555554</v>
          </cell>
          <cell r="J5143">
            <v>24.904444444444444</v>
          </cell>
        </row>
        <row r="5144">
          <cell r="B5144">
            <v>18.16</v>
          </cell>
          <cell r="C5144">
            <v>36.36</v>
          </cell>
          <cell r="D5144">
            <v>14.67</v>
          </cell>
          <cell r="E5144">
            <v>8.49</v>
          </cell>
          <cell r="H5144">
            <v>45506</v>
          </cell>
          <cell r="I5144">
            <v>0.64222222222222236</v>
          </cell>
          <cell r="J5144">
            <v>24.807777777777776</v>
          </cell>
        </row>
        <row r="5145">
          <cell r="B5145">
            <v>20.07</v>
          </cell>
          <cell r="C5145">
            <v>42.86</v>
          </cell>
          <cell r="D5145">
            <v>14.94</v>
          </cell>
          <cell r="E5145">
            <v>8.1999999999999993</v>
          </cell>
          <cell r="H5145">
            <v>45506</v>
          </cell>
          <cell r="I5145">
            <v>0.65333333333333343</v>
          </cell>
          <cell r="J5145">
            <v>24.77333333333333</v>
          </cell>
        </row>
        <row r="5146">
          <cell r="B5146">
            <v>24.1</v>
          </cell>
          <cell r="C5146">
            <v>47.28</v>
          </cell>
          <cell r="D5146">
            <v>15.24</v>
          </cell>
          <cell r="E5146">
            <v>8.27</v>
          </cell>
          <cell r="H5146">
            <v>45506</v>
          </cell>
          <cell r="I5146">
            <v>0.68</v>
          </cell>
          <cell r="J5146">
            <v>24.7</v>
          </cell>
        </row>
        <row r="5147">
          <cell r="B5147">
            <v>21.64</v>
          </cell>
          <cell r="C5147">
            <v>48</v>
          </cell>
          <cell r="D5147">
            <v>14.9</v>
          </cell>
          <cell r="E5147">
            <v>8.19</v>
          </cell>
          <cell r="H5147">
            <v>45506</v>
          </cell>
          <cell r="I5147">
            <v>0.70111111111111102</v>
          </cell>
          <cell r="J5147">
            <v>24.704444444444444</v>
          </cell>
        </row>
        <row r="5148">
          <cell r="B5148">
            <v>18.78</v>
          </cell>
          <cell r="C5148">
            <v>47.65</v>
          </cell>
          <cell r="D5148">
            <v>16.78</v>
          </cell>
          <cell r="E5148">
            <v>8.2100000000000009</v>
          </cell>
          <cell r="H5148">
            <v>45506</v>
          </cell>
          <cell r="I5148">
            <v>0.70111111111111102</v>
          </cell>
          <cell r="J5148">
            <v>24.660000000000004</v>
          </cell>
        </row>
        <row r="5149">
          <cell r="B5149">
            <v>17.68</v>
          </cell>
          <cell r="C5149">
            <v>47.77</v>
          </cell>
          <cell r="D5149">
            <v>16.73</v>
          </cell>
          <cell r="E5149">
            <v>9.3800000000000008</v>
          </cell>
          <cell r="H5149">
            <v>45506</v>
          </cell>
          <cell r="I5149">
            <v>0.71</v>
          </cell>
          <cell r="J5149">
            <v>24.81666666666667</v>
          </cell>
        </row>
        <row r="5150">
          <cell r="B5150">
            <v>17.89</v>
          </cell>
          <cell r="C5150">
            <v>47.62</v>
          </cell>
          <cell r="D5150">
            <v>16.57</v>
          </cell>
          <cell r="E5150">
            <v>8.67</v>
          </cell>
          <cell r="H5150">
            <v>45506</v>
          </cell>
          <cell r="I5150">
            <v>0.7122222222222222</v>
          </cell>
          <cell r="J5150">
            <v>25.07555555555556</v>
          </cell>
        </row>
        <row r="5151">
          <cell r="B5151">
            <v>18.27</v>
          </cell>
          <cell r="C5151">
            <v>48.61</v>
          </cell>
          <cell r="D5151">
            <v>16.5</v>
          </cell>
          <cell r="E5151">
            <v>8.7899999999999991</v>
          </cell>
          <cell r="H5151">
            <v>45506</v>
          </cell>
          <cell r="I5151">
            <v>0.72111111111111115</v>
          </cell>
          <cell r="J5151">
            <v>25.805555555555557</v>
          </cell>
        </row>
        <row r="5152">
          <cell r="B5152">
            <v>18.62</v>
          </cell>
          <cell r="C5152">
            <v>50.14</v>
          </cell>
          <cell r="D5152">
            <v>15.47</v>
          </cell>
          <cell r="E5152">
            <v>9.18</v>
          </cell>
          <cell r="H5152">
            <v>45506</v>
          </cell>
          <cell r="I5152">
            <v>0.72222222222222221</v>
          </cell>
          <cell r="J5152">
            <v>26.705555555555559</v>
          </cell>
        </row>
        <row r="5153">
          <cell r="B5153">
            <v>18.63</v>
          </cell>
          <cell r="C5153">
            <v>48.02</v>
          </cell>
          <cell r="D5153">
            <v>15.57</v>
          </cell>
          <cell r="E5153">
            <v>9.0299999999999994</v>
          </cell>
          <cell r="H5153">
            <v>45506</v>
          </cell>
          <cell r="I5153">
            <v>0.71222222222222209</v>
          </cell>
          <cell r="J5153">
            <v>27.266666666666669</v>
          </cell>
        </row>
        <row r="5154">
          <cell r="B5154">
            <v>20.260000000000002</v>
          </cell>
          <cell r="C5154">
            <v>46.7</v>
          </cell>
          <cell r="D5154">
            <v>15.79</v>
          </cell>
          <cell r="E5154">
            <v>8.9700000000000006</v>
          </cell>
          <cell r="H5154">
            <v>45506</v>
          </cell>
          <cell r="I5154">
            <v>0.72444444444444445</v>
          </cell>
          <cell r="J5154">
            <v>27.547777777777782</v>
          </cell>
        </row>
        <row r="5155">
          <cell r="B5155">
            <v>18.86</v>
          </cell>
          <cell r="C5155">
            <v>40.17</v>
          </cell>
          <cell r="D5155">
            <v>16.07</v>
          </cell>
          <cell r="E5155">
            <v>8.52</v>
          </cell>
          <cell r="H5155">
            <v>45506</v>
          </cell>
          <cell r="I5155">
            <v>0.7122222222222222</v>
          </cell>
          <cell r="J5155">
            <v>27.743333333333336</v>
          </cell>
        </row>
        <row r="5156">
          <cell r="B5156">
            <v>18.86</v>
          </cell>
          <cell r="C5156">
            <v>40.69</v>
          </cell>
          <cell r="D5156">
            <v>15.51</v>
          </cell>
          <cell r="E5156">
            <v>7.57</v>
          </cell>
          <cell r="H5156">
            <v>45506</v>
          </cell>
          <cell r="I5156">
            <v>0.71333333333333337</v>
          </cell>
          <cell r="J5156">
            <v>27.506666666666668</v>
          </cell>
        </row>
        <row r="5157">
          <cell r="B5157">
            <v>19.27</v>
          </cell>
          <cell r="C5157">
            <v>39.369999999999997</v>
          </cell>
          <cell r="D5157">
            <v>16.190000000000001</v>
          </cell>
          <cell r="E5157">
            <v>7.99</v>
          </cell>
          <cell r="H5157">
            <v>45506</v>
          </cell>
          <cell r="I5157">
            <v>0.7433333333333334</v>
          </cell>
          <cell r="J5157">
            <v>27.148888888888891</v>
          </cell>
        </row>
        <row r="5158">
          <cell r="B5158">
            <v>18.07</v>
          </cell>
          <cell r="C5158">
            <v>39.11</v>
          </cell>
          <cell r="D5158">
            <v>15.76</v>
          </cell>
          <cell r="E5158">
            <v>8.5500000000000007</v>
          </cell>
          <cell r="H5158">
            <v>45506</v>
          </cell>
          <cell r="I5158">
            <v>0.75</v>
          </cell>
          <cell r="J5158">
            <v>26.82555555555556</v>
          </cell>
        </row>
        <row r="5159">
          <cell r="B5159">
            <v>16.46</v>
          </cell>
          <cell r="C5159">
            <v>40.729999999999997</v>
          </cell>
          <cell r="D5159">
            <v>15.39</v>
          </cell>
          <cell r="E5159">
            <v>8.4600000000000009</v>
          </cell>
          <cell r="H5159">
            <v>45506</v>
          </cell>
          <cell r="I5159">
            <v>0.75333333333333341</v>
          </cell>
          <cell r="J5159">
            <v>26.475555555555559</v>
          </cell>
        </row>
        <row r="5160">
          <cell r="B5160">
            <v>16.489999999999998</v>
          </cell>
          <cell r="C5160">
            <v>40.29</v>
          </cell>
          <cell r="D5160">
            <v>15.02</v>
          </cell>
          <cell r="E5160">
            <v>7.75</v>
          </cell>
          <cell r="H5160">
            <v>45506</v>
          </cell>
          <cell r="I5160">
            <v>0.75</v>
          </cell>
          <cell r="J5160">
            <v>25.691111111111113</v>
          </cell>
        </row>
        <row r="5161">
          <cell r="B5161">
            <v>17.43</v>
          </cell>
          <cell r="C5161">
            <v>42.2</v>
          </cell>
          <cell r="D5161">
            <v>14.48</v>
          </cell>
          <cell r="E5161">
            <v>8.06</v>
          </cell>
          <cell r="H5161">
            <v>45506</v>
          </cell>
          <cell r="I5161">
            <v>0.74777777777777776</v>
          </cell>
          <cell r="J5161">
            <v>24.793333333333337</v>
          </cell>
        </row>
        <row r="5162">
          <cell r="B5162">
            <v>21.81</v>
          </cell>
          <cell r="C5162">
            <v>49.17</v>
          </cell>
          <cell r="D5162">
            <v>14.09</v>
          </cell>
          <cell r="E5162">
            <v>8.48</v>
          </cell>
          <cell r="H5162">
            <v>45507</v>
          </cell>
          <cell r="I5162">
            <v>0.74555555555555542</v>
          </cell>
          <cell r="J5162">
            <v>24.308888888888887</v>
          </cell>
        </row>
        <row r="5163">
          <cell r="B5163">
            <v>21.82</v>
          </cell>
          <cell r="C5163">
            <v>49</v>
          </cell>
          <cell r="D5163">
            <v>13.75</v>
          </cell>
          <cell r="E5163">
            <v>8.89</v>
          </cell>
          <cell r="H5163">
            <v>45507</v>
          </cell>
          <cell r="I5163">
            <v>0.71444444444444444</v>
          </cell>
          <cell r="J5163">
            <v>24.044444444444444</v>
          </cell>
        </row>
        <row r="5164">
          <cell r="B5164">
            <v>20.79</v>
          </cell>
          <cell r="C5164">
            <v>44.92</v>
          </cell>
          <cell r="D5164">
            <v>13.78</v>
          </cell>
          <cell r="E5164">
            <v>8.41</v>
          </cell>
          <cell r="H5164">
            <v>45507</v>
          </cell>
          <cell r="I5164">
            <v>0.69444444444444442</v>
          </cell>
          <cell r="J5164">
            <v>23.843333333333334</v>
          </cell>
        </row>
        <row r="5165">
          <cell r="B5165">
            <v>20.05</v>
          </cell>
          <cell r="C5165">
            <v>43.76</v>
          </cell>
          <cell r="D5165">
            <v>13.67</v>
          </cell>
          <cell r="E5165">
            <v>8.15</v>
          </cell>
          <cell r="H5165">
            <v>45507</v>
          </cell>
          <cell r="I5165">
            <v>0.67444444444444451</v>
          </cell>
          <cell r="J5165">
            <v>23.880000000000003</v>
          </cell>
        </row>
        <row r="5166">
          <cell r="B5166">
            <v>20.13</v>
          </cell>
          <cell r="C5166">
            <v>47.6</v>
          </cell>
          <cell r="D5166">
            <v>13.95</v>
          </cell>
          <cell r="E5166">
            <v>8.41</v>
          </cell>
          <cell r="H5166">
            <v>45507</v>
          </cell>
          <cell r="I5166">
            <v>0.64111111111111108</v>
          </cell>
          <cell r="J5166">
            <v>23.990000000000002</v>
          </cell>
        </row>
        <row r="5167">
          <cell r="B5167">
            <v>19.899999999999999</v>
          </cell>
          <cell r="C5167">
            <v>46.43</v>
          </cell>
          <cell r="D5167">
            <v>14.05</v>
          </cell>
          <cell r="E5167">
            <v>8.5500000000000007</v>
          </cell>
          <cell r="H5167">
            <v>45507</v>
          </cell>
          <cell r="I5167">
            <v>0.62333333333333329</v>
          </cell>
          <cell r="J5167">
            <v>23.878888888888891</v>
          </cell>
        </row>
        <row r="5168">
          <cell r="B5168">
            <v>20.96</v>
          </cell>
          <cell r="C5168">
            <v>46.94</v>
          </cell>
          <cell r="D5168">
            <v>14.23</v>
          </cell>
          <cell r="E5168">
            <v>8.68</v>
          </cell>
          <cell r="H5168">
            <v>45507</v>
          </cell>
          <cell r="I5168">
            <v>0.61333333333333329</v>
          </cell>
          <cell r="J5168">
            <v>23.662222222222226</v>
          </cell>
        </row>
        <row r="5169">
          <cell r="B5169">
            <v>21.74</v>
          </cell>
          <cell r="C5169">
            <v>48.82</v>
          </cell>
          <cell r="D5169">
            <v>14.34</v>
          </cell>
          <cell r="E5169">
            <v>8.57</v>
          </cell>
          <cell r="H5169">
            <v>45507</v>
          </cell>
          <cell r="I5169">
            <v>0.60666666666666669</v>
          </cell>
          <cell r="J5169">
            <v>23.434444444444445</v>
          </cell>
        </row>
        <row r="5170">
          <cell r="B5170">
            <v>22.24</v>
          </cell>
          <cell r="C5170">
            <v>48.34</v>
          </cell>
          <cell r="D5170">
            <v>14.4</v>
          </cell>
          <cell r="E5170">
            <v>8.3699999999999992</v>
          </cell>
          <cell r="H5170">
            <v>45507</v>
          </cell>
          <cell r="I5170">
            <v>0.62888888888888883</v>
          </cell>
          <cell r="J5170">
            <v>23.21</v>
          </cell>
        </row>
        <row r="5171">
          <cell r="B5171">
            <v>22.05</v>
          </cell>
          <cell r="C5171">
            <v>49</v>
          </cell>
          <cell r="D5171">
            <v>14.47</v>
          </cell>
          <cell r="E5171">
            <v>8.3000000000000007</v>
          </cell>
          <cell r="H5171">
            <v>45507</v>
          </cell>
          <cell r="I5171">
            <v>0.63444444444444448</v>
          </cell>
          <cell r="J5171">
            <v>22.99</v>
          </cell>
        </row>
        <row r="5172">
          <cell r="B5172">
            <v>20.010000000000002</v>
          </cell>
          <cell r="C5172">
            <v>46.86</v>
          </cell>
          <cell r="D5172">
            <v>14.7</v>
          </cell>
          <cell r="E5172">
            <v>7.92</v>
          </cell>
          <cell r="H5172">
            <v>45507</v>
          </cell>
          <cell r="I5172">
            <v>0.64111111111111108</v>
          </cell>
          <cell r="J5172">
            <v>22.888888888888889</v>
          </cell>
        </row>
        <row r="5173">
          <cell r="B5173">
            <v>19.55</v>
          </cell>
          <cell r="C5173">
            <v>49.07</v>
          </cell>
          <cell r="D5173">
            <v>15.81</v>
          </cell>
          <cell r="E5173">
            <v>8.89</v>
          </cell>
          <cell r="H5173">
            <v>45507</v>
          </cell>
          <cell r="I5173">
            <v>0.66222222222222227</v>
          </cell>
          <cell r="J5173">
            <v>22.939999999999998</v>
          </cell>
        </row>
        <row r="5174">
          <cell r="B5174">
            <v>20.68</v>
          </cell>
          <cell r="C5174">
            <v>58.48</v>
          </cell>
          <cell r="D5174">
            <v>16.579999999999998</v>
          </cell>
          <cell r="E5174">
            <v>9.42</v>
          </cell>
          <cell r="H5174">
            <v>45507</v>
          </cell>
          <cell r="I5174">
            <v>0.67222222222222217</v>
          </cell>
          <cell r="J5174">
            <v>23.096666666666671</v>
          </cell>
        </row>
        <row r="5175">
          <cell r="B5175">
            <v>21.26</v>
          </cell>
          <cell r="C5175">
            <v>61.51</v>
          </cell>
          <cell r="D5175">
            <v>16.7</v>
          </cell>
          <cell r="E5175">
            <v>9.4600000000000009</v>
          </cell>
          <cell r="H5175">
            <v>45507</v>
          </cell>
          <cell r="I5175">
            <v>0.68555555555555558</v>
          </cell>
          <cell r="J5175">
            <v>23.173333333333332</v>
          </cell>
        </row>
        <row r="5176">
          <cell r="B5176">
            <v>20.23</v>
          </cell>
          <cell r="C5176">
            <v>52.54</v>
          </cell>
          <cell r="D5176">
            <v>16.68</v>
          </cell>
          <cell r="E5176">
            <v>9.31</v>
          </cell>
          <cell r="H5176">
            <v>45507</v>
          </cell>
          <cell r="I5176">
            <v>0.681111111111111</v>
          </cell>
          <cell r="J5176">
            <v>23.498888888888885</v>
          </cell>
        </row>
        <row r="5177">
          <cell r="B5177">
            <v>18.920000000000002</v>
          </cell>
          <cell r="C5177">
            <v>51.47</v>
          </cell>
          <cell r="D5177">
            <v>17.36</v>
          </cell>
          <cell r="E5177">
            <v>9.68</v>
          </cell>
          <cell r="H5177">
            <v>45507</v>
          </cell>
          <cell r="I5177">
            <v>0.68555555555555558</v>
          </cell>
          <cell r="J5177">
            <v>23.961111111111109</v>
          </cell>
        </row>
        <row r="5178">
          <cell r="B5178">
            <v>19.14</v>
          </cell>
          <cell r="C5178">
            <v>54.31</v>
          </cell>
          <cell r="D5178">
            <v>17.72</v>
          </cell>
          <cell r="E5178">
            <v>9.93</v>
          </cell>
          <cell r="H5178">
            <v>45507</v>
          </cell>
          <cell r="I5178">
            <v>0.69222222222222229</v>
          </cell>
          <cell r="J5178">
            <v>24.314444444444447</v>
          </cell>
        </row>
        <row r="5179">
          <cell r="B5179">
            <v>20.63</v>
          </cell>
          <cell r="C5179">
            <v>62.92</v>
          </cell>
          <cell r="D5179">
            <v>18.059999999999999</v>
          </cell>
          <cell r="E5179">
            <v>9.84</v>
          </cell>
          <cell r="H5179">
            <v>45507</v>
          </cell>
          <cell r="I5179">
            <v>0.68000000000000016</v>
          </cell>
          <cell r="J5179">
            <v>24.61888888888889</v>
          </cell>
        </row>
        <row r="5180">
          <cell r="B5180">
            <v>21.01</v>
          </cell>
          <cell r="C5180">
            <v>62.38</v>
          </cell>
          <cell r="D5180">
            <v>18.41</v>
          </cell>
          <cell r="E5180">
            <v>9.92</v>
          </cell>
          <cell r="H5180">
            <v>45507</v>
          </cell>
          <cell r="I5180">
            <v>0.69222222222222241</v>
          </cell>
          <cell r="J5180">
            <v>24.75888888888889</v>
          </cell>
        </row>
        <row r="5181">
          <cell r="B5181">
            <v>21.06</v>
          </cell>
          <cell r="C5181">
            <v>61.86</v>
          </cell>
          <cell r="D5181">
            <v>18.149999999999999</v>
          </cell>
          <cell r="E5181">
            <v>9.15</v>
          </cell>
          <cell r="H5181">
            <v>45507</v>
          </cell>
          <cell r="I5181">
            <v>0.71111111111111114</v>
          </cell>
          <cell r="J5181">
            <v>24.688888888888886</v>
          </cell>
        </row>
        <row r="5182">
          <cell r="B5182">
            <v>21.54</v>
          </cell>
          <cell r="C5182">
            <v>54.41</v>
          </cell>
          <cell r="D5182">
            <v>16.559999999999999</v>
          </cell>
          <cell r="E5182">
            <v>7.99</v>
          </cell>
          <cell r="H5182">
            <v>45507</v>
          </cell>
          <cell r="I5182">
            <v>0.71666666666666667</v>
          </cell>
          <cell r="J5182">
            <v>24.472222222222221</v>
          </cell>
        </row>
        <row r="5183">
          <cell r="B5183">
            <v>20.86</v>
          </cell>
          <cell r="C5183">
            <v>50.69</v>
          </cell>
          <cell r="D5183">
            <v>16.18</v>
          </cell>
          <cell r="E5183">
            <v>8.07</v>
          </cell>
          <cell r="H5183">
            <v>45507</v>
          </cell>
          <cell r="I5183">
            <v>0.71222222222222209</v>
          </cell>
          <cell r="J5183">
            <v>24.27</v>
          </cell>
        </row>
        <row r="5184">
          <cell r="B5184">
            <v>19.89</v>
          </cell>
          <cell r="C5184">
            <v>47.62</v>
          </cell>
          <cell r="D5184">
            <v>15.85</v>
          </cell>
          <cell r="E5184">
            <v>7.86</v>
          </cell>
          <cell r="H5184">
            <v>45507</v>
          </cell>
          <cell r="I5184">
            <v>0.70888888888888879</v>
          </cell>
          <cell r="J5184">
            <v>24.15</v>
          </cell>
        </row>
        <row r="5185">
          <cell r="B5185">
            <v>19.899999999999999</v>
          </cell>
          <cell r="C5185">
            <v>43.33</v>
          </cell>
          <cell r="D5185">
            <v>15.46</v>
          </cell>
          <cell r="E5185">
            <v>7.96</v>
          </cell>
          <cell r="H5185">
            <v>45507</v>
          </cell>
          <cell r="I5185">
            <v>0.71666666666666656</v>
          </cell>
          <cell r="J5185">
            <v>23.866666666666664</v>
          </cell>
        </row>
        <row r="5186">
          <cell r="B5186">
            <v>21.24</v>
          </cell>
          <cell r="C5186">
            <v>44.19</v>
          </cell>
          <cell r="D5186">
            <v>15.33</v>
          </cell>
          <cell r="E5186">
            <v>7.82</v>
          </cell>
          <cell r="H5186">
            <v>45508</v>
          </cell>
          <cell r="I5186">
            <v>0.71333333333333326</v>
          </cell>
          <cell r="J5186">
            <v>23.536666666666669</v>
          </cell>
        </row>
        <row r="5187">
          <cell r="B5187">
            <v>21.45</v>
          </cell>
          <cell r="C5187">
            <v>46.44</v>
          </cell>
          <cell r="D5187">
            <v>15.15</v>
          </cell>
          <cell r="E5187">
            <v>7.56</v>
          </cell>
          <cell r="H5187">
            <v>45508</v>
          </cell>
          <cell r="I5187">
            <v>0.71111111111111114</v>
          </cell>
          <cell r="J5187">
            <v>23.283333333333335</v>
          </cell>
        </row>
        <row r="5188">
          <cell r="B5188">
            <v>21.63</v>
          </cell>
          <cell r="C5188">
            <v>43.42</v>
          </cell>
          <cell r="D5188">
            <v>14.86</v>
          </cell>
          <cell r="E5188">
            <v>7.38</v>
          </cell>
          <cell r="H5188">
            <v>45508</v>
          </cell>
          <cell r="I5188">
            <v>0.7</v>
          </cell>
          <cell r="J5188">
            <v>23.128888888888888</v>
          </cell>
        </row>
        <row r="5189">
          <cell r="B5189">
            <v>21.25</v>
          </cell>
          <cell r="C5189">
            <v>43.45</v>
          </cell>
          <cell r="D5189">
            <v>14.6</v>
          </cell>
          <cell r="E5189">
            <v>7.4</v>
          </cell>
          <cell r="H5189">
            <v>45508</v>
          </cell>
          <cell r="I5189">
            <v>0.67888888888888888</v>
          </cell>
          <cell r="J5189">
            <v>23.021111111111111</v>
          </cell>
        </row>
        <row r="5190">
          <cell r="B5190">
            <v>20.12</v>
          </cell>
          <cell r="C5190">
            <v>41.23</v>
          </cell>
          <cell r="D5190">
            <v>14.73</v>
          </cell>
          <cell r="E5190">
            <v>7.18</v>
          </cell>
          <cell r="H5190">
            <v>45508</v>
          </cell>
          <cell r="I5190">
            <v>0.66111111111111098</v>
          </cell>
          <cell r="J5190">
            <v>23.072222222222219</v>
          </cell>
        </row>
        <row r="5191">
          <cell r="B5191">
            <v>19.53</v>
          </cell>
          <cell r="C5191">
            <v>38.25</v>
          </cell>
          <cell r="D5191">
            <v>14.95</v>
          </cell>
          <cell r="E5191">
            <v>7.32</v>
          </cell>
          <cell r="H5191">
            <v>45508</v>
          </cell>
          <cell r="I5191">
            <v>0.64555555555555555</v>
          </cell>
          <cell r="J5191">
            <v>23.078888888888887</v>
          </cell>
        </row>
        <row r="5192">
          <cell r="B5192">
            <v>18.809999999999999</v>
          </cell>
          <cell r="C5192">
            <v>39.08</v>
          </cell>
          <cell r="D5192">
            <v>15.19</v>
          </cell>
          <cell r="E5192">
            <v>7.26</v>
          </cell>
          <cell r="H5192">
            <v>45508</v>
          </cell>
          <cell r="I5192">
            <v>0.65333333333333332</v>
          </cell>
          <cell r="J5192">
            <v>22.98</v>
          </cell>
        </row>
        <row r="5193">
          <cell r="B5193">
            <v>21.04</v>
          </cell>
          <cell r="C5193">
            <v>44.26</v>
          </cell>
          <cell r="D5193">
            <v>15.29</v>
          </cell>
          <cell r="E5193">
            <v>7.66</v>
          </cell>
          <cell r="H5193">
            <v>45508</v>
          </cell>
          <cell r="I5193">
            <v>0.66111111111111109</v>
          </cell>
          <cell r="J5193">
            <v>22.907777777777778</v>
          </cell>
        </row>
        <row r="5194">
          <cell r="B5194">
            <v>20.86</v>
          </cell>
          <cell r="C5194">
            <v>45.69</v>
          </cell>
          <cell r="D5194">
            <v>15.18</v>
          </cell>
          <cell r="E5194">
            <v>7.39</v>
          </cell>
          <cell r="H5194">
            <v>45508</v>
          </cell>
          <cell r="I5194">
            <v>0.66555555555555557</v>
          </cell>
          <cell r="J5194">
            <v>22.905555555555551</v>
          </cell>
        </row>
        <row r="5195">
          <cell r="B5195">
            <v>20.98</v>
          </cell>
          <cell r="C5195">
            <v>46.99</v>
          </cell>
          <cell r="D5195">
            <v>15.22</v>
          </cell>
          <cell r="E5195">
            <v>7.19</v>
          </cell>
          <cell r="H5195">
            <v>45508</v>
          </cell>
          <cell r="I5195">
            <v>0.67333333333333334</v>
          </cell>
          <cell r="J5195">
            <v>23.227777777777778</v>
          </cell>
        </row>
        <row r="5196">
          <cell r="B5196">
            <v>20.47</v>
          </cell>
          <cell r="C5196">
            <v>44.13</v>
          </cell>
          <cell r="D5196">
            <v>15.31</v>
          </cell>
          <cell r="E5196">
            <v>7.47</v>
          </cell>
          <cell r="H5196">
            <v>45508</v>
          </cell>
          <cell r="I5196">
            <v>0.67888888888888888</v>
          </cell>
          <cell r="J5196">
            <v>23.567777777777778</v>
          </cell>
        </row>
        <row r="5197">
          <cell r="B5197">
            <v>20.79</v>
          </cell>
          <cell r="C5197">
            <v>43.85</v>
          </cell>
          <cell r="D5197">
            <v>15.66</v>
          </cell>
          <cell r="E5197">
            <v>7.48</v>
          </cell>
          <cell r="H5197">
            <v>45508</v>
          </cell>
          <cell r="I5197">
            <v>0.68333333333333335</v>
          </cell>
          <cell r="J5197">
            <v>23.954444444444448</v>
          </cell>
        </row>
        <row r="5198">
          <cell r="B5198">
            <v>17.670000000000002</v>
          </cell>
          <cell r="C5198">
            <v>43.45</v>
          </cell>
          <cell r="D5198">
            <v>15.76</v>
          </cell>
          <cell r="E5198">
            <v>7.31</v>
          </cell>
          <cell r="H5198">
            <v>45508</v>
          </cell>
          <cell r="I5198">
            <v>0.69222222222222218</v>
          </cell>
          <cell r="J5198">
            <v>24.367777777777775</v>
          </cell>
        </row>
        <row r="5199">
          <cell r="B5199">
            <v>17.739999999999998</v>
          </cell>
          <cell r="C5199">
            <v>47.09</v>
          </cell>
          <cell r="D5199">
            <v>15.62</v>
          </cell>
          <cell r="E5199">
            <v>7.38</v>
          </cell>
          <cell r="H5199">
            <v>45508</v>
          </cell>
          <cell r="I5199">
            <v>0.69666666666666666</v>
          </cell>
          <cell r="J5199">
            <v>24.805555555555554</v>
          </cell>
        </row>
        <row r="5200">
          <cell r="B5200">
            <v>17</v>
          </cell>
          <cell r="C5200">
            <v>42.01</v>
          </cell>
          <cell r="D5200">
            <v>15.57</v>
          </cell>
          <cell r="E5200">
            <v>7.46</v>
          </cell>
          <cell r="H5200">
            <v>45508</v>
          </cell>
          <cell r="I5200">
            <v>0.70111111111111102</v>
          </cell>
          <cell r="J5200">
            <v>25.336666666666662</v>
          </cell>
        </row>
        <row r="5201">
          <cell r="B5201">
            <v>17.61</v>
          </cell>
          <cell r="C5201">
            <v>43.61</v>
          </cell>
          <cell r="D5201">
            <v>15.51</v>
          </cell>
          <cell r="E5201">
            <v>7.4</v>
          </cell>
          <cell r="H5201">
            <v>45508</v>
          </cell>
          <cell r="I5201">
            <v>0.69444444444444442</v>
          </cell>
          <cell r="J5201">
            <v>25.922222222222224</v>
          </cell>
        </row>
        <row r="5202">
          <cell r="B5202">
            <v>18.05</v>
          </cell>
          <cell r="C5202">
            <v>44.33</v>
          </cell>
          <cell r="D5202">
            <v>15.92</v>
          </cell>
          <cell r="E5202">
            <v>7.47</v>
          </cell>
          <cell r="H5202">
            <v>45508</v>
          </cell>
          <cell r="I5202">
            <v>0.68888888888888888</v>
          </cell>
          <cell r="J5202">
            <v>26.526666666666664</v>
          </cell>
        </row>
        <row r="5203">
          <cell r="B5203">
            <v>17.68</v>
          </cell>
          <cell r="C5203">
            <v>45.36</v>
          </cell>
          <cell r="D5203">
            <v>16.41</v>
          </cell>
          <cell r="E5203">
            <v>7.8</v>
          </cell>
          <cell r="H5203">
            <v>45508</v>
          </cell>
          <cell r="I5203">
            <v>0.68555555555555558</v>
          </cell>
          <cell r="J5203">
            <v>27.042222222222225</v>
          </cell>
        </row>
        <row r="5204">
          <cell r="B5204">
            <v>17.54</v>
          </cell>
          <cell r="C5204">
            <v>44.76</v>
          </cell>
          <cell r="D5204">
            <v>16.3</v>
          </cell>
          <cell r="E5204">
            <v>7.78</v>
          </cell>
          <cell r="H5204">
            <v>45508</v>
          </cell>
          <cell r="I5204">
            <v>0.6855555555555557</v>
          </cell>
          <cell r="J5204">
            <v>27.064444444444447</v>
          </cell>
        </row>
        <row r="5205">
          <cell r="B5205">
            <v>20.12</v>
          </cell>
          <cell r="C5205">
            <v>46.01</v>
          </cell>
          <cell r="D5205">
            <v>16.2</v>
          </cell>
          <cell r="E5205">
            <v>7.71</v>
          </cell>
          <cell r="H5205">
            <v>45508</v>
          </cell>
          <cell r="I5205">
            <v>0.67999999999999994</v>
          </cell>
          <cell r="J5205">
            <v>26.935555555555556</v>
          </cell>
        </row>
        <row r="5206">
          <cell r="B5206">
            <v>19.920000000000002</v>
          </cell>
          <cell r="C5206">
            <v>47.05</v>
          </cell>
          <cell r="D5206">
            <v>16.11</v>
          </cell>
          <cell r="E5206">
            <v>7.77</v>
          </cell>
          <cell r="H5206">
            <v>45508</v>
          </cell>
          <cell r="I5206">
            <v>0.681111111111111</v>
          </cell>
          <cell r="J5206">
            <v>26.66555555555556</v>
          </cell>
        </row>
        <row r="5207">
          <cell r="B5207">
            <v>20.66</v>
          </cell>
          <cell r="C5207">
            <v>47.74</v>
          </cell>
          <cell r="D5207">
            <v>15.92</v>
          </cell>
          <cell r="E5207">
            <v>7.89</v>
          </cell>
          <cell r="H5207">
            <v>45508</v>
          </cell>
          <cell r="I5207">
            <v>0.68222222222222206</v>
          </cell>
          <cell r="J5207">
            <v>26.434444444444448</v>
          </cell>
        </row>
        <row r="5208">
          <cell r="B5208">
            <v>19.739999999999998</v>
          </cell>
          <cell r="C5208">
            <v>48.07</v>
          </cell>
          <cell r="D5208">
            <v>15.8</v>
          </cell>
          <cell r="E5208">
            <v>7.69</v>
          </cell>
          <cell r="H5208">
            <v>45508</v>
          </cell>
          <cell r="I5208">
            <v>0.67888888888888888</v>
          </cell>
          <cell r="J5208">
            <v>26.237777777777776</v>
          </cell>
        </row>
        <row r="5209">
          <cell r="B5209">
            <v>19.149999999999999</v>
          </cell>
          <cell r="C5209">
            <v>48.89</v>
          </cell>
          <cell r="D5209">
            <v>15.38</v>
          </cell>
          <cell r="E5209">
            <v>7.55</v>
          </cell>
          <cell r="H5209">
            <v>45508</v>
          </cell>
          <cell r="I5209">
            <v>0.67222222222222217</v>
          </cell>
          <cell r="J5209">
            <v>26.034444444444446</v>
          </cell>
        </row>
        <row r="5210">
          <cell r="B5210">
            <v>17.89</v>
          </cell>
          <cell r="C5210">
            <v>43.5</v>
          </cell>
          <cell r="D5210">
            <v>15.26</v>
          </cell>
          <cell r="E5210">
            <v>7.4</v>
          </cell>
          <cell r="H5210">
            <v>45509</v>
          </cell>
          <cell r="I5210">
            <v>0.67444444444444451</v>
          </cell>
          <cell r="J5210">
            <v>25.79111111111111</v>
          </cell>
        </row>
        <row r="5211">
          <cell r="B5211">
            <v>18.329999999999998</v>
          </cell>
          <cell r="C5211">
            <v>41.66</v>
          </cell>
          <cell r="D5211">
            <v>14.92</v>
          </cell>
          <cell r="E5211">
            <v>7.68</v>
          </cell>
          <cell r="H5211">
            <v>45509</v>
          </cell>
          <cell r="I5211">
            <v>0.6711111111111111</v>
          </cell>
          <cell r="J5211">
            <v>25.501111111111115</v>
          </cell>
        </row>
        <row r="5212">
          <cell r="B5212">
            <v>17.63</v>
          </cell>
          <cell r="C5212">
            <v>38.15</v>
          </cell>
          <cell r="D5212">
            <v>14.86</v>
          </cell>
          <cell r="E5212">
            <v>7.75</v>
          </cell>
          <cell r="H5212">
            <v>45509</v>
          </cell>
          <cell r="I5212">
            <v>0.6711111111111111</v>
          </cell>
          <cell r="J5212">
            <v>25.285555555555554</v>
          </cell>
        </row>
        <row r="5213">
          <cell r="B5213">
            <v>16.03</v>
          </cell>
          <cell r="C5213">
            <v>36.22</v>
          </cell>
          <cell r="D5213">
            <v>14.67</v>
          </cell>
          <cell r="E5213">
            <v>7.71</v>
          </cell>
          <cell r="H5213">
            <v>45509</v>
          </cell>
          <cell r="I5213">
            <v>0.66555555555555557</v>
          </cell>
          <cell r="J5213">
            <v>25.188888888888883</v>
          </cell>
        </row>
        <row r="5214">
          <cell r="B5214">
            <v>15.4</v>
          </cell>
          <cell r="C5214">
            <v>34.68</v>
          </cell>
          <cell r="D5214">
            <v>14.79</v>
          </cell>
          <cell r="E5214">
            <v>7.79</v>
          </cell>
          <cell r="H5214">
            <v>45509</v>
          </cell>
          <cell r="I5214">
            <v>0.66111111111111109</v>
          </cell>
          <cell r="J5214">
            <v>25.15111111111111</v>
          </cell>
        </row>
        <row r="5215">
          <cell r="B5215">
            <v>16.75</v>
          </cell>
          <cell r="C5215">
            <v>36.049999999999997</v>
          </cell>
          <cell r="D5215">
            <v>15.08</v>
          </cell>
          <cell r="E5215">
            <v>7.87</v>
          </cell>
          <cell r="H5215">
            <v>45509</v>
          </cell>
          <cell r="I5215">
            <v>0.66333333333333344</v>
          </cell>
          <cell r="J5215">
            <v>25.105555555555554</v>
          </cell>
        </row>
        <row r="5216">
          <cell r="B5216">
            <v>49.2</v>
          </cell>
          <cell r="C5216">
            <v>66.42</v>
          </cell>
          <cell r="D5216">
            <v>15.41</v>
          </cell>
          <cell r="E5216">
            <v>7.69</v>
          </cell>
          <cell r="H5216">
            <v>45509</v>
          </cell>
          <cell r="I5216">
            <v>0.66888888888888887</v>
          </cell>
          <cell r="J5216">
            <v>25.002222222222226</v>
          </cell>
        </row>
        <row r="5217">
          <cell r="B5217">
            <v>19.75</v>
          </cell>
          <cell r="C5217">
            <v>47.92</v>
          </cell>
          <cell r="D5217">
            <v>15.81</v>
          </cell>
          <cell r="E5217">
            <v>7.76</v>
          </cell>
          <cell r="H5217">
            <v>45509</v>
          </cell>
          <cell r="I5217">
            <v>0.68444444444444441</v>
          </cell>
          <cell r="J5217">
            <v>24.826666666666668</v>
          </cell>
        </row>
        <row r="5218">
          <cell r="B5218">
            <v>23.54</v>
          </cell>
          <cell r="C5218">
            <v>54.4</v>
          </cell>
          <cell r="D5218">
            <v>15.59</v>
          </cell>
          <cell r="E5218">
            <v>7.88</v>
          </cell>
          <cell r="H5218">
            <v>45509</v>
          </cell>
          <cell r="I5218">
            <v>0.70111111111111113</v>
          </cell>
          <cell r="J5218">
            <v>24.648888888888891</v>
          </cell>
        </row>
        <row r="5219">
          <cell r="B5219">
            <v>22.1</v>
          </cell>
          <cell r="C5219">
            <v>54.47</v>
          </cell>
          <cell r="D5219">
            <v>15.88</v>
          </cell>
          <cell r="E5219">
            <v>7.96</v>
          </cell>
          <cell r="H5219">
            <v>45509</v>
          </cell>
          <cell r="I5219">
            <v>0.71555555555555561</v>
          </cell>
          <cell r="J5219">
            <v>24.627777777777776</v>
          </cell>
        </row>
        <row r="5220">
          <cell r="B5220">
            <v>20.74</v>
          </cell>
          <cell r="C5220">
            <v>53.13</v>
          </cell>
          <cell r="D5220">
            <v>15.83</v>
          </cell>
          <cell r="E5220">
            <v>7.98</v>
          </cell>
          <cell r="H5220">
            <v>45509</v>
          </cell>
          <cell r="I5220">
            <v>0.74555555555555542</v>
          </cell>
          <cell r="J5220">
            <v>24.70888888888889</v>
          </cell>
        </row>
        <row r="5221">
          <cell r="B5221">
            <v>35.39</v>
          </cell>
          <cell r="C5221">
            <v>61.72</v>
          </cell>
          <cell r="D5221">
            <v>16.63</v>
          </cell>
          <cell r="E5221">
            <v>8.56</v>
          </cell>
          <cell r="H5221">
            <v>45509</v>
          </cell>
          <cell r="I5221">
            <v>0.75222222222222213</v>
          </cell>
          <cell r="J5221">
            <v>24.975555555555552</v>
          </cell>
        </row>
        <row r="5222">
          <cell r="B5222">
            <v>26.45</v>
          </cell>
          <cell r="C5222">
            <v>56.64</v>
          </cell>
          <cell r="D5222">
            <v>17.29</v>
          </cell>
          <cell r="E5222">
            <v>8.81</v>
          </cell>
          <cell r="H5222">
            <v>45509</v>
          </cell>
          <cell r="I5222">
            <v>0.76111111111111129</v>
          </cell>
          <cell r="J5222">
            <v>25.52</v>
          </cell>
        </row>
        <row r="5223">
          <cell r="B5223">
            <v>20.149999999999999</v>
          </cell>
          <cell r="C5223">
            <v>51.97</v>
          </cell>
          <cell r="D5223">
            <v>17.07</v>
          </cell>
          <cell r="E5223">
            <v>9.09</v>
          </cell>
          <cell r="H5223">
            <v>45509</v>
          </cell>
          <cell r="I5223">
            <v>0.77222222222222237</v>
          </cell>
          <cell r="J5223">
            <v>26.555555555555557</v>
          </cell>
        </row>
        <row r="5224">
          <cell r="B5224">
            <v>18.84</v>
          </cell>
          <cell r="C5224">
            <v>50.44</v>
          </cell>
          <cell r="D5224">
            <v>17.09</v>
          </cell>
          <cell r="E5224">
            <v>9.23</v>
          </cell>
          <cell r="H5224">
            <v>45509</v>
          </cell>
          <cell r="I5224">
            <v>0.77555555555555578</v>
          </cell>
          <cell r="J5224">
            <v>27.588888888888889</v>
          </cell>
        </row>
        <row r="5225">
          <cell r="B5225">
            <v>19.86</v>
          </cell>
          <cell r="C5225">
            <v>53.91</v>
          </cell>
          <cell r="D5225">
            <v>17.32</v>
          </cell>
          <cell r="E5225">
            <v>12.51</v>
          </cell>
          <cell r="H5225">
            <v>45509</v>
          </cell>
          <cell r="I5225">
            <v>0.77777777777777779</v>
          </cell>
          <cell r="J5225">
            <v>28.496666666666663</v>
          </cell>
        </row>
        <row r="5226">
          <cell r="B5226">
            <v>20.88</v>
          </cell>
          <cell r="C5226">
            <v>57.63</v>
          </cell>
          <cell r="D5226">
            <v>17.14</v>
          </cell>
          <cell r="E5226">
            <v>9.5500000000000007</v>
          </cell>
          <cell r="H5226">
            <v>45509</v>
          </cell>
          <cell r="I5226">
            <v>0.77555555555555555</v>
          </cell>
          <cell r="J5226">
            <v>29.384444444444441</v>
          </cell>
        </row>
        <row r="5227">
          <cell r="B5227">
            <v>23.01</v>
          </cell>
          <cell r="C5227">
            <v>60.86</v>
          </cell>
          <cell r="D5227">
            <v>17.7</v>
          </cell>
          <cell r="E5227">
            <v>10.050000000000001</v>
          </cell>
          <cell r="H5227">
            <v>45509</v>
          </cell>
          <cell r="I5227">
            <v>0.77777777777777779</v>
          </cell>
          <cell r="J5227">
            <v>29.760000000000005</v>
          </cell>
        </row>
        <row r="5228">
          <cell r="B5228">
            <v>27.23</v>
          </cell>
          <cell r="C5228">
            <v>62.11</v>
          </cell>
          <cell r="D5228">
            <v>18.329999999999998</v>
          </cell>
          <cell r="E5228">
            <v>8.7899999999999991</v>
          </cell>
          <cell r="H5228">
            <v>45509</v>
          </cell>
          <cell r="I5228">
            <v>0.82888888888888901</v>
          </cell>
          <cell r="J5228">
            <v>29.585555555555558</v>
          </cell>
        </row>
        <row r="5229">
          <cell r="B5229">
            <v>27.61</v>
          </cell>
          <cell r="C5229">
            <v>53.52</v>
          </cell>
          <cell r="D5229">
            <v>20.93</v>
          </cell>
          <cell r="E5229">
            <v>9.35</v>
          </cell>
          <cell r="H5229">
            <v>45509</v>
          </cell>
          <cell r="I5229">
            <v>0.90666666666666673</v>
          </cell>
          <cell r="J5229">
            <v>29.185555555555553</v>
          </cell>
        </row>
        <row r="5230">
          <cell r="B5230">
            <v>30.97</v>
          </cell>
          <cell r="C5230">
            <v>59.43</v>
          </cell>
          <cell r="D5230">
            <v>21.01</v>
          </cell>
          <cell r="E5230">
            <v>9.94</v>
          </cell>
          <cell r="H5230">
            <v>45509</v>
          </cell>
          <cell r="I5230">
            <v>0.99888888888888872</v>
          </cell>
          <cell r="J5230">
            <v>28.548888888888889</v>
          </cell>
        </row>
        <row r="5231">
          <cell r="B5231">
            <v>26.97</v>
          </cell>
          <cell r="C5231">
            <v>54.43</v>
          </cell>
          <cell r="D5231">
            <v>19.39</v>
          </cell>
          <cell r="E5231">
            <v>9.4700000000000006</v>
          </cell>
          <cell r="H5231">
            <v>45509</v>
          </cell>
          <cell r="I5231">
            <v>1.0033333333333332</v>
          </cell>
          <cell r="J5231">
            <v>27.856666666666666</v>
          </cell>
        </row>
        <row r="5232">
          <cell r="B5232">
            <v>17.02</v>
          </cell>
          <cell r="C5232">
            <v>40.47</v>
          </cell>
          <cell r="D5232">
            <v>18.850000000000001</v>
          </cell>
          <cell r="E5232">
            <v>8.9600000000000009</v>
          </cell>
          <cell r="H5232">
            <v>45509</v>
          </cell>
          <cell r="I5232">
            <v>1.0166666666666666</v>
          </cell>
          <cell r="J5232">
            <v>26.607777777777773</v>
          </cell>
        </row>
        <row r="5233">
          <cell r="B5233">
            <v>15.85</v>
          </cell>
          <cell r="C5233">
            <v>36.72</v>
          </cell>
          <cell r="D5233">
            <v>18.16</v>
          </cell>
          <cell r="E5233">
            <v>8.44</v>
          </cell>
          <cell r="H5233">
            <v>45509</v>
          </cell>
          <cell r="I5233">
            <v>1.01</v>
          </cell>
          <cell r="J5233">
            <v>25.62222222222222</v>
          </cell>
        </row>
        <row r="5234">
          <cell r="B5234">
            <v>15.17</v>
          </cell>
          <cell r="C5234">
            <v>36.9</v>
          </cell>
          <cell r="D5234">
            <v>16.399999999999999</v>
          </cell>
          <cell r="E5234">
            <v>8.4499999999999993</v>
          </cell>
          <cell r="H5234">
            <v>45510</v>
          </cell>
          <cell r="I5234">
            <v>0.99555555555555542</v>
          </cell>
          <cell r="J5234">
            <v>24.875555555555554</v>
          </cell>
        </row>
        <row r="5235">
          <cell r="B5235">
            <v>14.43</v>
          </cell>
          <cell r="C5235">
            <v>35.299999999999997</v>
          </cell>
          <cell r="D5235">
            <v>15.72</v>
          </cell>
          <cell r="E5235">
            <v>8.7799999999999994</v>
          </cell>
          <cell r="H5235">
            <v>45510</v>
          </cell>
          <cell r="I5235">
            <v>0.97555555555555551</v>
          </cell>
          <cell r="J5235">
            <v>24.114444444444448</v>
          </cell>
        </row>
        <row r="5236">
          <cell r="B5236">
            <v>13.74</v>
          </cell>
          <cell r="C5236">
            <v>32.99</v>
          </cell>
          <cell r="D5236">
            <v>15.67</v>
          </cell>
          <cell r="E5236">
            <v>8.4</v>
          </cell>
          <cell r="H5236">
            <v>45510</v>
          </cell>
          <cell r="I5236">
            <v>0.94999999999999984</v>
          </cell>
          <cell r="J5236">
            <v>23.792222222222222</v>
          </cell>
        </row>
        <row r="5237">
          <cell r="B5237">
            <v>12.96</v>
          </cell>
          <cell r="C5237">
            <v>31.31</v>
          </cell>
          <cell r="D5237">
            <v>15.56</v>
          </cell>
          <cell r="E5237">
            <v>8.56</v>
          </cell>
          <cell r="H5237">
            <v>45510</v>
          </cell>
          <cell r="I5237">
            <v>0.87555555555555553</v>
          </cell>
          <cell r="J5237">
            <v>23.87</v>
          </cell>
        </row>
        <row r="5238">
          <cell r="B5238">
            <v>13.32</v>
          </cell>
          <cell r="C5238">
            <v>29.79</v>
          </cell>
          <cell r="D5238">
            <v>15.46</v>
          </cell>
          <cell r="E5238">
            <v>8.51</v>
          </cell>
          <cell r="H5238">
            <v>45510</v>
          </cell>
          <cell r="I5238">
            <v>0.76222222222222213</v>
          </cell>
          <cell r="J5238">
            <v>24.034444444444446</v>
          </cell>
        </row>
        <row r="5239">
          <cell r="B5239">
            <v>15.99</v>
          </cell>
          <cell r="C5239">
            <v>32.450000000000003</v>
          </cell>
          <cell r="D5239">
            <v>15.7</v>
          </cell>
          <cell r="E5239">
            <v>8.34</v>
          </cell>
          <cell r="H5239">
            <v>45510</v>
          </cell>
          <cell r="I5239">
            <v>0.66111111111111109</v>
          </cell>
          <cell r="J5239">
            <v>24.143333333333331</v>
          </cell>
        </row>
        <row r="5240">
          <cell r="B5240">
            <v>17.440000000000001</v>
          </cell>
          <cell r="C5240">
            <v>35.840000000000003</v>
          </cell>
          <cell r="D5240">
            <v>16.37</v>
          </cell>
          <cell r="E5240">
            <v>8.35</v>
          </cell>
          <cell r="H5240">
            <v>45510</v>
          </cell>
          <cell r="I5240">
            <v>0.65333333333333332</v>
          </cell>
          <cell r="J5240">
            <v>24.00333333333333</v>
          </cell>
        </row>
        <row r="5241">
          <cell r="B5241">
            <v>18.940000000000001</v>
          </cell>
          <cell r="C5241">
            <v>41.04</v>
          </cell>
          <cell r="D5241">
            <v>16.47</v>
          </cell>
          <cell r="E5241">
            <v>8.2100000000000009</v>
          </cell>
          <cell r="H5241">
            <v>45510</v>
          </cell>
          <cell r="I5241">
            <v>0.63888888888888884</v>
          </cell>
          <cell r="J5241">
            <v>23.997777777777777</v>
          </cell>
        </row>
        <row r="5242">
          <cell r="B5242">
            <v>20.69</v>
          </cell>
          <cell r="C5242">
            <v>45.3</v>
          </cell>
          <cell r="D5242">
            <v>16.59</v>
          </cell>
          <cell r="E5242">
            <v>8.4</v>
          </cell>
          <cell r="H5242">
            <v>45510</v>
          </cell>
          <cell r="I5242">
            <v>0.64666666666666672</v>
          </cell>
          <cell r="J5242">
            <v>23.822222222222223</v>
          </cell>
        </row>
        <row r="5243">
          <cell r="B5243">
            <v>19.73</v>
          </cell>
          <cell r="C5243">
            <v>43.78</v>
          </cell>
          <cell r="D5243">
            <v>16.579999999999998</v>
          </cell>
          <cell r="E5243">
            <v>8.64</v>
          </cell>
          <cell r="H5243">
            <v>45510</v>
          </cell>
          <cell r="I5243">
            <v>0.65777777777777779</v>
          </cell>
          <cell r="J5243">
            <v>23.630000000000003</v>
          </cell>
        </row>
        <row r="5244">
          <cell r="B5244">
            <v>19.079999999999998</v>
          </cell>
          <cell r="C5244">
            <v>44.5</v>
          </cell>
          <cell r="D5244">
            <v>16.72</v>
          </cell>
          <cell r="E5244">
            <v>8.08</v>
          </cell>
          <cell r="H5244">
            <v>45510</v>
          </cell>
          <cell r="I5244">
            <v>0.6644444444444445</v>
          </cell>
          <cell r="J5244">
            <v>23.62777777777778</v>
          </cell>
        </row>
        <row r="5245">
          <cell r="B5245">
            <v>18.18</v>
          </cell>
          <cell r="C5245">
            <v>45.62</v>
          </cell>
          <cell r="D5245">
            <v>17.09</v>
          </cell>
          <cell r="E5245">
            <v>8.5299999999999994</v>
          </cell>
          <cell r="H5245">
            <v>45510</v>
          </cell>
          <cell r="I5245">
            <v>0.6711111111111111</v>
          </cell>
          <cell r="J5245">
            <v>23.71777777777778</v>
          </cell>
        </row>
        <row r="5246">
          <cell r="B5246">
            <v>17.670000000000002</v>
          </cell>
          <cell r="C5246">
            <v>50.7</v>
          </cell>
          <cell r="D5246">
            <v>16.350000000000001</v>
          </cell>
          <cell r="E5246">
            <v>8.26</v>
          </cell>
          <cell r="H5246">
            <v>45510</v>
          </cell>
          <cell r="I5246">
            <v>0.67666666666666664</v>
          </cell>
          <cell r="J5246">
            <v>23.767777777777777</v>
          </cell>
        </row>
        <row r="5247">
          <cell r="B5247">
            <v>19.09</v>
          </cell>
          <cell r="C5247">
            <v>54.85</v>
          </cell>
          <cell r="D5247">
            <v>15.6</v>
          </cell>
          <cell r="E5247">
            <v>8.26</v>
          </cell>
          <cell r="H5247">
            <v>45510</v>
          </cell>
          <cell r="I5247">
            <v>0.68333333333333324</v>
          </cell>
          <cell r="J5247">
            <v>24.186666666666667</v>
          </cell>
        </row>
        <row r="5248">
          <cell r="B5248">
            <v>25.86</v>
          </cell>
          <cell r="C5248">
            <v>60.13</v>
          </cell>
          <cell r="D5248">
            <v>16.95</v>
          </cell>
          <cell r="E5248">
            <v>8.3699999999999992</v>
          </cell>
          <cell r="H5248">
            <v>45510</v>
          </cell>
          <cell r="I5248">
            <v>0.7155555555555555</v>
          </cell>
          <cell r="J5248">
            <v>24.852222222222224</v>
          </cell>
        </row>
        <row r="5249">
          <cell r="B5249">
            <v>22.88</v>
          </cell>
          <cell r="C5249">
            <v>53.59</v>
          </cell>
          <cell r="D5249">
            <v>17.02</v>
          </cell>
          <cell r="E5249">
            <v>8.11</v>
          </cell>
          <cell r="H5249">
            <v>45510</v>
          </cell>
          <cell r="I5249">
            <v>0.71666666666666656</v>
          </cell>
          <cell r="J5249">
            <v>25.731111111111108</v>
          </cell>
        </row>
        <row r="5250">
          <cell r="B5250">
            <v>20.55</v>
          </cell>
          <cell r="C5250">
            <v>52.02</v>
          </cell>
          <cell r="D5250">
            <v>16.05</v>
          </cell>
          <cell r="E5250">
            <v>7.92</v>
          </cell>
          <cell r="H5250">
            <v>45510</v>
          </cell>
          <cell r="I5250">
            <v>0.71777777777777785</v>
          </cell>
          <cell r="J5250">
            <v>26.251111111111111</v>
          </cell>
        </row>
        <row r="5251">
          <cell r="B5251">
            <v>20.29</v>
          </cell>
          <cell r="C5251">
            <v>49.88</v>
          </cell>
          <cell r="D5251">
            <v>16.34</v>
          </cell>
          <cell r="E5251">
            <v>8.26</v>
          </cell>
          <cell r="H5251">
            <v>45510</v>
          </cell>
          <cell r="I5251">
            <v>0.72888888888888892</v>
          </cell>
          <cell r="J5251">
            <v>26.165555555555553</v>
          </cell>
        </row>
        <row r="5252">
          <cell r="B5252">
            <v>16.14</v>
          </cell>
          <cell r="C5252">
            <v>34.9</v>
          </cell>
          <cell r="D5252">
            <v>17.600000000000001</v>
          </cell>
          <cell r="E5252">
            <v>8.23</v>
          </cell>
          <cell r="H5252">
            <v>45510</v>
          </cell>
          <cell r="I5252">
            <v>0.73888888888888893</v>
          </cell>
          <cell r="J5252">
            <v>25.977777777777774</v>
          </cell>
        </row>
        <row r="5253">
          <cell r="B5253">
            <v>14.71</v>
          </cell>
          <cell r="C5253">
            <v>34.26</v>
          </cell>
          <cell r="D5253">
            <v>18.39</v>
          </cell>
          <cell r="E5253">
            <v>7.97</v>
          </cell>
          <cell r="H5253">
            <v>45510</v>
          </cell>
          <cell r="I5253">
            <v>0.76111111111111107</v>
          </cell>
          <cell r="J5253">
            <v>25.57</v>
          </cell>
        </row>
        <row r="5254">
          <cell r="B5254">
            <v>14.59</v>
          </cell>
          <cell r="C5254">
            <v>34.159999999999997</v>
          </cell>
          <cell r="D5254">
            <v>19.3</v>
          </cell>
          <cell r="E5254">
            <v>7.78</v>
          </cell>
          <cell r="H5254">
            <v>45510</v>
          </cell>
          <cell r="I5254">
            <v>0.78444444444444428</v>
          </cell>
          <cell r="J5254">
            <v>25.078888888888887</v>
          </cell>
        </row>
        <row r="5255">
          <cell r="B5255">
            <v>15.42</v>
          </cell>
          <cell r="C5255">
            <v>34.35</v>
          </cell>
          <cell r="D5255">
            <v>20.350000000000001</v>
          </cell>
          <cell r="E5255">
            <v>7.68</v>
          </cell>
          <cell r="H5255">
            <v>45510</v>
          </cell>
          <cell r="I5255">
            <v>0.79888888888888887</v>
          </cell>
          <cell r="J5255">
            <v>24.668888888888887</v>
          </cell>
        </row>
        <row r="5256">
          <cell r="B5256">
            <v>15.61</v>
          </cell>
          <cell r="C5256">
            <v>32.869999999999997</v>
          </cell>
          <cell r="D5256">
            <v>19.71</v>
          </cell>
          <cell r="E5256">
            <v>7.79</v>
          </cell>
          <cell r="H5256">
            <v>45510</v>
          </cell>
          <cell r="I5256">
            <v>0.79666666666666641</v>
          </cell>
          <cell r="J5256">
            <v>23.916666666666664</v>
          </cell>
        </row>
        <row r="5257">
          <cell r="B5257">
            <v>13.83</v>
          </cell>
          <cell r="C5257">
            <v>31.72</v>
          </cell>
          <cell r="D5257">
            <v>17.489999999999998</v>
          </cell>
          <cell r="E5257">
            <v>7.98</v>
          </cell>
          <cell r="H5257">
            <v>45510</v>
          </cell>
          <cell r="I5257">
            <v>0.76555555555555566</v>
          </cell>
          <cell r="J5257">
            <v>22.931111111111111</v>
          </cell>
        </row>
        <row r="5258">
          <cell r="B5258">
            <v>13.57</v>
          </cell>
          <cell r="C5258">
            <v>32.03</v>
          </cell>
          <cell r="D5258">
            <v>16.73</v>
          </cell>
          <cell r="E5258">
            <v>8.23</v>
          </cell>
          <cell r="H5258">
            <v>45511</v>
          </cell>
          <cell r="I5258">
            <v>0.75222222222222213</v>
          </cell>
          <cell r="J5258">
            <v>21.778888888888886</v>
          </cell>
        </row>
        <row r="5259">
          <cell r="B5259">
            <v>12.69</v>
          </cell>
          <cell r="C5259">
            <v>31.83</v>
          </cell>
          <cell r="D5259">
            <v>16.73</v>
          </cell>
          <cell r="E5259">
            <v>8.1</v>
          </cell>
          <cell r="H5259">
            <v>45511</v>
          </cell>
          <cell r="I5259">
            <v>0.7433333333333334</v>
          </cell>
          <cell r="J5259">
            <v>21.03</v>
          </cell>
        </row>
        <row r="5260">
          <cell r="B5260">
            <v>12.55</v>
          </cell>
          <cell r="C5260">
            <v>31.64</v>
          </cell>
          <cell r="D5260">
            <v>16.37</v>
          </cell>
          <cell r="E5260">
            <v>8.0399999999999991</v>
          </cell>
          <cell r="H5260">
            <v>45511</v>
          </cell>
          <cell r="I5260">
            <v>0.72555555555555562</v>
          </cell>
          <cell r="J5260">
            <v>20.877777777777776</v>
          </cell>
        </row>
        <row r="5261">
          <cell r="B5261">
            <v>13.47</v>
          </cell>
          <cell r="C5261">
            <v>30.93</v>
          </cell>
          <cell r="D5261">
            <v>16.690000000000001</v>
          </cell>
          <cell r="E5261">
            <v>8.31</v>
          </cell>
          <cell r="H5261">
            <v>45511</v>
          </cell>
          <cell r="I5261">
            <v>0.70666666666666655</v>
          </cell>
          <cell r="J5261">
            <v>20.759999999999998</v>
          </cell>
        </row>
        <row r="5262">
          <cell r="B5262">
            <v>14.73</v>
          </cell>
          <cell r="C5262">
            <v>33.5</v>
          </cell>
          <cell r="D5262">
            <v>15.99</v>
          </cell>
          <cell r="E5262">
            <v>8.2200000000000006</v>
          </cell>
          <cell r="H5262">
            <v>45511</v>
          </cell>
          <cell r="I5262">
            <v>0.67444444444444451</v>
          </cell>
          <cell r="J5262">
            <v>20.728888888888889</v>
          </cell>
        </row>
        <row r="5263">
          <cell r="B5263">
            <v>14.84</v>
          </cell>
          <cell r="C5263">
            <v>35.57</v>
          </cell>
          <cell r="D5263">
            <v>16.420000000000002</v>
          </cell>
          <cell r="E5263">
            <v>8.2200000000000006</v>
          </cell>
          <cell r="H5263">
            <v>45511</v>
          </cell>
          <cell r="I5263">
            <v>0.64777777777777767</v>
          </cell>
          <cell r="J5263">
            <v>20.704444444444444</v>
          </cell>
        </row>
        <row r="5264">
          <cell r="B5264">
            <v>17.21</v>
          </cell>
          <cell r="C5264">
            <v>38.97</v>
          </cell>
          <cell r="D5264">
            <v>16.79</v>
          </cell>
          <cell r="E5264">
            <v>8.0299999999999994</v>
          </cell>
          <cell r="H5264">
            <v>45511</v>
          </cell>
          <cell r="I5264">
            <v>0.63111111111111118</v>
          </cell>
          <cell r="J5264">
            <v>20.675555555555558</v>
          </cell>
        </row>
        <row r="5265">
          <cell r="B5265">
            <v>18.559999999999999</v>
          </cell>
          <cell r="C5265">
            <v>41.66</v>
          </cell>
          <cell r="D5265">
            <v>17.04</v>
          </cell>
          <cell r="E5265">
            <v>8.2200000000000006</v>
          </cell>
          <cell r="H5265">
            <v>45511</v>
          </cell>
          <cell r="I5265">
            <v>0.6333333333333333</v>
          </cell>
          <cell r="J5265">
            <v>20.706666666666667</v>
          </cell>
        </row>
        <row r="5266">
          <cell r="B5266">
            <v>19.260000000000002</v>
          </cell>
          <cell r="C5266">
            <v>49.12</v>
          </cell>
          <cell r="D5266">
            <v>17.45</v>
          </cell>
          <cell r="E5266">
            <v>9.8800000000000008</v>
          </cell>
          <cell r="H5266">
            <v>45511</v>
          </cell>
          <cell r="I5266">
            <v>0.64222222222222214</v>
          </cell>
          <cell r="J5266">
            <v>20.766666666666669</v>
          </cell>
        </row>
        <row r="5267">
          <cell r="B5267">
            <v>20.45</v>
          </cell>
          <cell r="C5267">
            <v>52.66</v>
          </cell>
          <cell r="D5267">
            <v>17.63</v>
          </cell>
          <cell r="E5267">
            <v>10.85</v>
          </cell>
          <cell r="H5267">
            <v>45511</v>
          </cell>
          <cell r="I5267">
            <v>0.65555555555555556</v>
          </cell>
          <cell r="J5267">
            <v>20.87777777777778</v>
          </cell>
        </row>
        <row r="5268">
          <cell r="B5268">
            <v>20.05</v>
          </cell>
          <cell r="C5268">
            <v>53.51</v>
          </cell>
          <cell r="D5268">
            <v>18.55</v>
          </cell>
          <cell r="E5268">
            <v>10.77</v>
          </cell>
          <cell r="H5268">
            <v>45511</v>
          </cell>
          <cell r="I5268">
            <v>0.66000000000000014</v>
          </cell>
          <cell r="J5268">
            <v>21.053333333333335</v>
          </cell>
        </row>
        <row r="5269">
          <cell r="B5269">
            <v>20.79</v>
          </cell>
          <cell r="C5269">
            <v>55.01</v>
          </cell>
          <cell r="D5269">
            <v>16.37</v>
          </cell>
          <cell r="E5269">
            <v>11.27</v>
          </cell>
          <cell r="H5269">
            <v>45511</v>
          </cell>
          <cell r="I5269">
            <v>0.65777777777777779</v>
          </cell>
          <cell r="J5269">
            <v>21.31</v>
          </cell>
        </row>
        <row r="5270">
          <cell r="B5270">
            <v>21.74</v>
          </cell>
          <cell r="C5270">
            <v>61.73</v>
          </cell>
          <cell r="D5270">
            <v>16.34</v>
          </cell>
          <cell r="E5270">
            <v>11.27</v>
          </cell>
          <cell r="H5270">
            <v>45511</v>
          </cell>
          <cell r="I5270">
            <v>0.65222222222222226</v>
          </cell>
          <cell r="J5270">
            <v>21.676666666666666</v>
          </cell>
        </row>
        <row r="5271">
          <cell r="B5271">
            <v>20.440000000000001</v>
          </cell>
          <cell r="C5271">
            <v>64.099999999999994</v>
          </cell>
          <cell r="D5271">
            <v>17.329999999999998</v>
          </cell>
          <cell r="E5271">
            <v>10.53</v>
          </cell>
          <cell r="H5271">
            <v>45511</v>
          </cell>
          <cell r="I5271">
            <v>0.66222222222222227</v>
          </cell>
          <cell r="J5271">
            <v>22.204444444444444</v>
          </cell>
        </row>
        <row r="5272">
          <cell r="B5272">
            <v>20.49</v>
          </cell>
          <cell r="C5272">
            <v>65.28</v>
          </cell>
          <cell r="D5272">
            <v>18.05</v>
          </cell>
          <cell r="E5272">
            <v>9.85</v>
          </cell>
          <cell r="H5272">
            <v>45511</v>
          </cell>
          <cell r="I5272">
            <v>0.6744444444444444</v>
          </cell>
          <cell r="J5272">
            <v>22.804444444444446</v>
          </cell>
        </row>
        <row r="5273">
          <cell r="B5273">
            <v>19.54</v>
          </cell>
          <cell r="C5273">
            <v>65.400000000000006</v>
          </cell>
          <cell r="D5273">
            <v>17.940000000000001</v>
          </cell>
          <cell r="E5273">
            <v>10.46</v>
          </cell>
          <cell r="H5273">
            <v>45511</v>
          </cell>
          <cell r="I5273">
            <v>0.67666666666666664</v>
          </cell>
          <cell r="J5273">
            <v>23.336666666666666</v>
          </cell>
        </row>
        <row r="5274">
          <cell r="B5274">
            <v>19.940000000000001</v>
          </cell>
          <cell r="C5274">
            <v>65.959999999999994</v>
          </cell>
          <cell r="D5274">
            <v>18.12</v>
          </cell>
          <cell r="E5274">
            <v>9.9</v>
          </cell>
          <cell r="H5274">
            <v>45511</v>
          </cell>
          <cell r="I5274">
            <v>0.67111111111111099</v>
          </cell>
          <cell r="J5274">
            <v>23.722222222222221</v>
          </cell>
        </row>
        <row r="5275">
          <cell r="B5275">
            <v>19.079999999999998</v>
          </cell>
          <cell r="C5275">
            <v>63.94</v>
          </cell>
          <cell r="D5275">
            <v>19.2</v>
          </cell>
          <cell r="E5275">
            <v>10.14</v>
          </cell>
          <cell r="H5275">
            <v>45511</v>
          </cell>
          <cell r="I5275">
            <v>0.65888888888888875</v>
          </cell>
          <cell r="J5275">
            <v>24.057777777777776</v>
          </cell>
        </row>
        <row r="5276">
          <cell r="B5276">
            <v>21.79</v>
          </cell>
          <cell r="C5276">
            <v>63.59</v>
          </cell>
          <cell r="D5276">
            <v>19.170000000000002</v>
          </cell>
          <cell r="E5276">
            <v>10.34</v>
          </cell>
          <cell r="H5276">
            <v>45511</v>
          </cell>
          <cell r="I5276">
            <v>0.66555555555555557</v>
          </cell>
          <cell r="J5276">
            <v>24.227777777777774</v>
          </cell>
        </row>
        <row r="5277">
          <cell r="B5277">
            <v>24.09</v>
          </cell>
          <cell r="C5277">
            <v>66.5</v>
          </cell>
          <cell r="D5277">
            <v>19.75</v>
          </cell>
          <cell r="E5277">
            <v>10.32</v>
          </cell>
          <cell r="H5277">
            <v>45511</v>
          </cell>
          <cell r="I5277">
            <v>0.69555555555555559</v>
          </cell>
          <cell r="J5277">
            <v>24.248888888888889</v>
          </cell>
        </row>
        <row r="5278">
          <cell r="B5278">
            <v>25.31</v>
          </cell>
          <cell r="C5278">
            <v>66.45</v>
          </cell>
          <cell r="D5278">
            <v>20.22</v>
          </cell>
          <cell r="E5278">
            <v>10.029999999999999</v>
          </cell>
          <cell r="H5278">
            <v>45511</v>
          </cell>
          <cell r="I5278">
            <v>0.72444444444444445</v>
          </cell>
          <cell r="J5278">
            <v>24.091111111111111</v>
          </cell>
        </row>
        <row r="5279">
          <cell r="B5279">
            <v>26.42</v>
          </cell>
          <cell r="C5279">
            <v>66.33</v>
          </cell>
          <cell r="D5279">
            <v>19.45</v>
          </cell>
          <cell r="E5279">
            <v>10.11</v>
          </cell>
          <cell r="H5279">
            <v>45511</v>
          </cell>
          <cell r="I5279">
            <v>0.73777777777777787</v>
          </cell>
          <cell r="J5279">
            <v>23.86888888888889</v>
          </cell>
        </row>
        <row r="5280">
          <cell r="B5280">
            <v>26.9</v>
          </cell>
          <cell r="C5280">
            <v>60.76</v>
          </cell>
          <cell r="D5280">
            <v>18.760000000000002</v>
          </cell>
          <cell r="E5280">
            <v>10.08</v>
          </cell>
          <cell r="H5280">
            <v>45511</v>
          </cell>
          <cell r="I5280">
            <v>0.73777777777777775</v>
          </cell>
          <cell r="J5280">
            <v>23.498888888888889</v>
          </cell>
        </row>
        <row r="5281">
          <cell r="B5281">
            <v>25.33</v>
          </cell>
          <cell r="C5281">
            <v>61.2</v>
          </cell>
          <cell r="D5281">
            <v>18.420000000000002</v>
          </cell>
          <cell r="E5281">
            <v>10.029999999999999</v>
          </cell>
          <cell r="H5281">
            <v>45511</v>
          </cell>
          <cell r="I5281">
            <v>0.72444444444444445</v>
          </cell>
          <cell r="J5281">
            <v>23.087777777777781</v>
          </cell>
        </row>
        <row r="5282">
          <cell r="B5282">
            <v>21.68</v>
          </cell>
          <cell r="C5282">
            <v>59.49</v>
          </cell>
          <cell r="D5282">
            <v>17.21</v>
          </cell>
          <cell r="E5282">
            <v>9.39</v>
          </cell>
          <cell r="H5282">
            <v>45512</v>
          </cell>
          <cell r="I5282">
            <v>0.70777777777777784</v>
          </cell>
          <cell r="J5282">
            <v>22.761111111111113</v>
          </cell>
        </row>
        <row r="5283">
          <cell r="B5283">
            <v>19.940000000000001</v>
          </cell>
          <cell r="C5283">
            <v>49.44</v>
          </cell>
          <cell r="D5283">
            <v>16.82</v>
          </cell>
          <cell r="E5283">
            <v>9</v>
          </cell>
          <cell r="H5283">
            <v>45512</v>
          </cell>
          <cell r="I5283">
            <v>0.69888888888888889</v>
          </cell>
          <cell r="J5283">
            <v>22.514444444444443</v>
          </cell>
        </row>
        <row r="5284">
          <cell r="B5284">
            <v>19.14</v>
          </cell>
          <cell r="C5284">
            <v>45.06</v>
          </cell>
          <cell r="D5284">
            <v>16.850000000000001</v>
          </cell>
          <cell r="E5284">
            <v>8.9600000000000009</v>
          </cell>
          <cell r="H5284">
            <v>45512</v>
          </cell>
          <cell r="I5284">
            <v>0.68333333333333324</v>
          </cell>
          <cell r="J5284">
            <v>22.364444444444445</v>
          </cell>
        </row>
        <row r="5285">
          <cell r="B5285">
            <v>18.350000000000001</v>
          </cell>
          <cell r="C5285">
            <v>45.58</v>
          </cell>
          <cell r="D5285">
            <v>16.63</v>
          </cell>
          <cell r="E5285">
            <v>9.1</v>
          </cell>
          <cell r="H5285">
            <v>45512</v>
          </cell>
          <cell r="I5285">
            <v>0.65222222222222226</v>
          </cell>
          <cell r="J5285">
            <v>22.296666666666667</v>
          </cell>
        </row>
        <row r="5286">
          <cell r="B5286">
            <v>18.97</v>
          </cell>
          <cell r="C5286">
            <v>45.72</v>
          </cell>
          <cell r="D5286">
            <v>16.579999999999998</v>
          </cell>
          <cell r="E5286">
            <v>8.9499999999999993</v>
          </cell>
          <cell r="H5286">
            <v>45512</v>
          </cell>
          <cell r="I5286">
            <v>0.59777777777777774</v>
          </cell>
          <cell r="J5286">
            <v>22.286666666666669</v>
          </cell>
        </row>
        <row r="5287">
          <cell r="B5287">
            <v>19.57</v>
          </cell>
          <cell r="C5287">
            <v>48.18</v>
          </cell>
          <cell r="D5287">
            <v>16.72</v>
          </cell>
          <cell r="E5287">
            <v>9.09</v>
          </cell>
          <cell r="H5287">
            <v>45512</v>
          </cell>
          <cell r="I5287">
            <v>0.55222222222222217</v>
          </cell>
          <cell r="J5287">
            <v>22.248888888888889</v>
          </cell>
        </row>
        <row r="5288">
          <cell r="B5288">
            <v>21.5</v>
          </cell>
          <cell r="C5288">
            <v>55.23</v>
          </cell>
          <cell r="D5288">
            <v>17.79</v>
          </cell>
          <cell r="E5288">
            <v>9.08</v>
          </cell>
          <cell r="H5288">
            <v>45512</v>
          </cell>
          <cell r="I5288">
            <v>0.53555555555555556</v>
          </cell>
          <cell r="J5288">
            <v>22.172222222222228</v>
          </cell>
        </row>
        <row r="5289">
          <cell r="B5289">
            <v>24.12</v>
          </cell>
          <cell r="C5289">
            <v>60.74</v>
          </cell>
          <cell r="D5289">
            <v>18.34</v>
          </cell>
          <cell r="E5289">
            <v>9.26</v>
          </cell>
          <cell r="H5289">
            <v>45512</v>
          </cell>
          <cell r="I5289">
            <v>0.53333333333333333</v>
          </cell>
          <cell r="J5289">
            <v>22.112222222222229</v>
          </cell>
        </row>
        <row r="5290">
          <cell r="B5290">
            <v>25.6</v>
          </cell>
          <cell r="C5290">
            <v>64.55</v>
          </cell>
          <cell r="D5290">
            <v>18.55</v>
          </cell>
          <cell r="E5290">
            <v>9.1199999999999992</v>
          </cell>
          <cell r="H5290">
            <v>45512</v>
          </cell>
          <cell r="I5290">
            <v>0.54333333333333345</v>
          </cell>
          <cell r="J5290">
            <v>22.051111111111108</v>
          </cell>
        </row>
        <row r="5291">
          <cell r="B5291">
            <v>23.61</v>
          </cell>
          <cell r="C5291">
            <v>64.59</v>
          </cell>
          <cell r="D5291">
            <v>17.96</v>
          </cell>
          <cell r="E5291">
            <v>8.94</v>
          </cell>
          <cell r="H5291">
            <v>45512</v>
          </cell>
          <cell r="I5291">
            <v>0.56111111111111112</v>
          </cell>
          <cell r="J5291">
            <v>22.044444444444441</v>
          </cell>
        </row>
        <row r="5292">
          <cell r="B5292">
            <v>22.61</v>
          </cell>
          <cell r="C5292">
            <v>64.53</v>
          </cell>
          <cell r="D5292">
            <v>18.54</v>
          </cell>
          <cell r="E5292">
            <v>8.99</v>
          </cell>
          <cell r="H5292">
            <v>45512</v>
          </cell>
          <cell r="I5292">
            <v>0.56777777777777783</v>
          </cell>
          <cell r="J5292">
            <v>22.243333333333332</v>
          </cell>
        </row>
        <row r="5293">
          <cell r="B5293">
            <v>21.56</v>
          </cell>
          <cell r="C5293">
            <v>64.52</v>
          </cell>
          <cell r="D5293">
            <v>18.350000000000001</v>
          </cell>
          <cell r="E5293">
            <v>8.57</v>
          </cell>
          <cell r="H5293">
            <v>45512</v>
          </cell>
          <cell r="I5293">
            <v>0.57000000000000006</v>
          </cell>
          <cell r="J5293">
            <v>22.531111111111116</v>
          </cell>
        </row>
        <row r="5294">
          <cell r="B5294">
            <v>21.08</v>
          </cell>
          <cell r="C5294">
            <v>65.81</v>
          </cell>
          <cell r="D5294">
            <v>17.39</v>
          </cell>
          <cell r="E5294">
            <v>7.94</v>
          </cell>
          <cell r="H5294">
            <v>45512</v>
          </cell>
          <cell r="I5294">
            <v>0.57666666666666666</v>
          </cell>
          <cell r="J5294">
            <v>22.896666666666665</v>
          </cell>
        </row>
        <row r="5295">
          <cell r="B5295">
            <v>20.55</v>
          </cell>
          <cell r="C5295">
            <v>62.64</v>
          </cell>
          <cell r="D5295">
            <v>17.12</v>
          </cell>
          <cell r="E5295">
            <v>8.15</v>
          </cell>
          <cell r="H5295">
            <v>45512</v>
          </cell>
          <cell r="I5295">
            <v>0.59222222222222221</v>
          </cell>
          <cell r="J5295">
            <v>23.182222222222222</v>
          </cell>
        </row>
        <row r="5296">
          <cell r="B5296">
            <v>19.77</v>
          </cell>
          <cell r="C5296">
            <v>59.12</v>
          </cell>
          <cell r="D5296">
            <v>17.059999999999999</v>
          </cell>
          <cell r="E5296">
            <v>8.16</v>
          </cell>
          <cell r="H5296">
            <v>45512</v>
          </cell>
          <cell r="I5296">
            <v>0.6166666666666667</v>
          </cell>
          <cell r="J5296">
            <v>23.64</v>
          </cell>
        </row>
        <row r="5297">
          <cell r="B5297">
            <v>21.36</v>
          </cell>
          <cell r="C5297">
            <v>60.2</v>
          </cell>
          <cell r="D5297">
            <v>17.190000000000001</v>
          </cell>
          <cell r="E5297">
            <v>8.2799999999999994</v>
          </cell>
          <cell r="H5297">
            <v>45512</v>
          </cell>
          <cell r="I5297">
            <v>0.62555555555555553</v>
          </cell>
          <cell r="J5297">
            <v>24.122222222222224</v>
          </cell>
        </row>
        <row r="5298">
          <cell r="B5298">
            <v>22.04</v>
          </cell>
          <cell r="C5298">
            <v>53.96</v>
          </cell>
          <cell r="D5298">
            <v>17.170000000000002</v>
          </cell>
          <cell r="E5298">
            <v>8.0500000000000007</v>
          </cell>
          <cell r="H5298">
            <v>45512</v>
          </cell>
          <cell r="I5298">
            <v>0.62111111111111095</v>
          </cell>
          <cell r="J5298">
            <v>24.724444444444444</v>
          </cell>
        </row>
        <row r="5299">
          <cell r="B5299">
            <v>20.71</v>
          </cell>
          <cell r="C5299">
            <v>51.14</v>
          </cell>
          <cell r="D5299">
            <v>17.32</v>
          </cell>
          <cell r="E5299">
            <v>8.19</v>
          </cell>
          <cell r="H5299">
            <v>45512</v>
          </cell>
          <cell r="I5299">
            <v>0.61555555555555541</v>
          </cell>
          <cell r="J5299">
            <v>25.245555555555555</v>
          </cell>
        </row>
        <row r="5300">
          <cell r="B5300">
            <v>20.53</v>
          </cell>
          <cell r="C5300">
            <v>49.97</v>
          </cell>
          <cell r="D5300">
            <v>17.78</v>
          </cell>
          <cell r="E5300">
            <v>8.39</v>
          </cell>
          <cell r="H5300">
            <v>45512</v>
          </cell>
          <cell r="I5300">
            <v>0.62</v>
          </cell>
          <cell r="J5300">
            <v>25.467777777777776</v>
          </cell>
        </row>
        <row r="5301">
          <cell r="B5301">
            <v>22.35</v>
          </cell>
          <cell r="C5301">
            <v>56.49</v>
          </cell>
          <cell r="D5301">
            <v>18.38</v>
          </cell>
          <cell r="E5301">
            <v>8.2100000000000009</v>
          </cell>
          <cell r="H5301">
            <v>45512</v>
          </cell>
          <cell r="I5301">
            <v>0.63555555555555565</v>
          </cell>
          <cell r="J5301">
            <v>25.356666666666666</v>
          </cell>
        </row>
        <row r="5302">
          <cell r="B5302">
            <v>24.3</v>
          </cell>
          <cell r="C5302">
            <v>58.48</v>
          </cell>
          <cell r="D5302">
            <v>18.420000000000002</v>
          </cell>
          <cell r="E5302">
            <v>8.02</v>
          </cell>
          <cell r="H5302">
            <v>45512</v>
          </cell>
          <cell r="I5302">
            <v>0.66111111111111109</v>
          </cell>
          <cell r="J5302">
            <v>25.041111111111107</v>
          </cell>
        </row>
        <row r="5303">
          <cell r="B5303">
            <v>23.91</v>
          </cell>
          <cell r="C5303">
            <v>60.27</v>
          </cell>
          <cell r="D5303">
            <v>17.86</v>
          </cell>
          <cell r="E5303">
            <v>7.94</v>
          </cell>
          <cell r="H5303">
            <v>45512</v>
          </cell>
          <cell r="I5303">
            <v>0.66666666666666663</v>
          </cell>
          <cell r="J5303">
            <v>24.722222222222218</v>
          </cell>
        </row>
        <row r="5304">
          <cell r="B5304">
            <v>21.16</v>
          </cell>
          <cell r="C5304">
            <v>54.97</v>
          </cell>
          <cell r="D5304">
            <v>16.920000000000002</v>
          </cell>
          <cell r="E5304">
            <v>7.88</v>
          </cell>
          <cell r="H5304">
            <v>45512</v>
          </cell>
          <cell r="I5304">
            <v>0.65999999999999992</v>
          </cell>
          <cell r="J5304">
            <v>24.476666666666667</v>
          </cell>
        </row>
        <row r="5305">
          <cell r="B5305">
            <v>18.27</v>
          </cell>
          <cell r="C5305">
            <v>51.46</v>
          </cell>
          <cell r="D5305">
            <v>16.7</v>
          </cell>
          <cell r="E5305">
            <v>8.06</v>
          </cell>
          <cell r="H5305">
            <v>45512</v>
          </cell>
          <cell r="I5305">
            <v>0.63444444444444448</v>
          </cell>
          <cell r="J5305">
            <v>24.186666666666664</v>
          </cell>
        </row>
        <row r="5306">
          <cell r="B5306">
            <v>15.97</v>
          </cell>
          <cell r="C5306">
            <v>45.19</v>
          </cell>
          <cell r="D5306">
            <v>15.79</v>
          </cell>
          <cell r="E5306">
            <v>7.9</v>
          </cell>
          <cell r="H5306">
            <v>45513</v>
          </cell>
          <cell r="I5306">
            <v>0.62333333333333329</v>
          </cell>
          <cell r="J5306">
            <v>23.928888888888888</v>
          </cell>
        </row>
        <row r="5307">
          <cell r="B5307">
            <v>14.78</v>
          </cell>
          <cell r="C5307">
            <v>39.76</v>
          </cell>
          <cell r="D5307">
            <v>15.86</v>
          </cell>
          <cell r="E5307">
            <v>8.11</v>
          </cell>
          <cell r="H5307">
            <v>45513</v>
          </cell>
          <cell r="I5307">
            <v>0.61777777777777787</v>
          </cell>
          <cell r="J5307">
            <v>23.534444444444443</v>
          </cell>
        </row>
        <row r="5308">
          <cell r="B5308">
            <v>13.64</v>
          </cell>
          <cell r="C5308">
            <v>35.880000000000003</v>
          </cell>
          <cell r="D5308">
            <v>15.29</v>
          </cell>
          <cell r="E5308">
            <v>7.9</v>
          </cell>
          <cell r="H5308">
            <v>45513</v>
          </cell>
          <cell r="I5308">
            <v>0.60777777777777775</v>
          </cell>
          <cell r="J5308">
            <v>23.195555555555554</v>
          </cell>
        </row>
        <row r="5309">
          <cell r="B5309">
            <v>14.93</v>
          </cell>
          <cell r="C5309">
            <v>39.590000000000003</v>
          </cell>
          <cell r="D5309">
            <v>15.35</v>
          </cell>
          <cell r="E5309">
            <v>8.15</v>
          </cell>
          <cell r="H5309">
            <v>45513</v>
          </cell>
          <cell r="I5309">
            <v>0.59555555555555562</v>
          </cell>
          <cell r="J5309">
            <v>22.993333333333332</v>
          </cell>
        </row>
        <row r="5310">
          <cell r="B5310">
            <v>17.14</v>
          </cell>
          <cell r="C5310">
            <v>42.52</v>
          </cell>
          <cell r="D5310">
            <v>15.5</v>
          </cell>
          <cell r="E5310">
            <v>8.06</v>
          </cell>
          <cell r="H5310">
            <v>45513</v>
          </cell>
          <cell r="I5310">
            <v>0.57444444444444442</v>
          </cell>
          <cell r="J5310">
            <v>22.933333333333334</v>
          </cell>
        </row>
        <row r="5311">
          <cell r="B5311">
            <v>18.5</v>
          </cell>
          <cell r="C5311">
            <v>47.07</v>
          </cell>
          <cell r="D5311">
            <v>16</v>
          </cell>
          <cell r="E5311">
            <v>8.02</v>
          </cell>
          <cell r="H5311">
            <v>45513</v>
          </cell>
          <cell r="I5311">
            <v>0.55777777777777771</v>
          </cell>
          <cell r="J5311">
            <v>22.925555555555558</v>
          </cell>
        </row>
        <row r="5312">
          <cell r="B5312">
            <v>21.03</v>
          </cell>
          <cell r="C5312">
            <v>51.24</v>
          </cell>
          <cell r="D5312">
            <v>16.690000000000001</v>
          </cell>
          <cell r="E5312">
            <v>8.15</v>
          </cell>
          <cell r="H5312">
            <v>45513</v>
          </cell>
          <cell r="I5312">
            <v>0.56111111111111112</v>
          </cell>
          <cell r="J5312">
            <v>22.813333333333336</v>
          </cell>
        </row>
        <row r="5313">
          <cell r="B5313">
            <v>24.73</v>
          </cell>
          <cell r="C5313">
            <v>58.59</v>
          </cell>
          <cell r="D5313">
            <v>17.2</v>
          </cell>
          <cell r="E5313">
            <v>8.34</v>
          </cell>
          <cell r="H5313">
            <v>45513</v>
          </cell>
          <cell r="I5313">
            <v>0.5788888888888889</v>
          </cell>
          <cell r="J5313">
            <v>22.642222222222223</v>
          </cell>
        </row>
        <row r="5314">
          <cell r="B5314">
            <v>25.94</v>
          </cell>
          <cell r="C5314">
            <v>69.17</v>
          </cell>
          <cell r="D5314">
            <v>17.32</v>
          </cell>
          <cell r="E5314">
            <v>8.19</v>
          </cell>
          <cell r="H5314">
            <v>45513</v>
          </cell>
          <cell r="I5314">
            <v>0.60555555555555562</v>
          </cell>
          <cell r="J5314">
            <v>22.531111111111112</v>
          </cell>
        </row>
        <row r="5315">
          <cell r="B5315">
            <v>25.88</v>
          </cell>
          <cell r="C5315">
            <v>67.56</v>
          </cell>
          <cell r="D5315">
            <v>17.21</v>
          </cell>
          <cell r="E5315">
            <v>8.59</v>
          </cell>
          <cell r="H5315">
            <v>45513</v>
          </cell>
          <cell r="I5315">
            <v>0.62222222222222223</v>
          </cell>
          <cell r="J5315">
            <v>22.521111111111107</v>
          </cell>
        </row>
        <row r="5316">
          <cell r="B5316">
            <v>23.84</v>
          </cell>
          <cell r="C5316">
            <v>64.5</v>
          </cell>
          <cell r="D5316">
            <v>17.93</v>
          </cell>
          <cell r="E5316">
            <v>8.64</v>
          </cell>
          <cell r="H5316">
            <v>45513</v>
          </cell>
          <cell r="I5316">
            <v>0.63777777777777778</v>
          </cell>
          <cell r="J5316">
            <v>22.735555555555553</v>
          </cell>
        </row>
        <row r="5317">
          <cell r="B5317">
            <v>22.54</v>
          </cell>
          <cell r="C5317">
            <v>59.75</v>
          </cell>
          <cell r="D5317">
            <v>17.600000000000001</v>
          </cell>
          <cell r="E5317">
            <v>8.5399999999999991</v>
          </cell>
          <cell r="H5317">
            <v>45513</v>
          </cell>
          <cell r="I5317">
            <v>0.6433333333333332</v>
          </cell>
          <cell r="J5317">
            <v>23.04</v>
          </cell>
        </row>
        <row r="5318">
          <cell r="B5318">
            <v>22.53</v>
          </cell>
          <cell r="C5318">
            <v>66.290000000000006</v>
          </cell>
          <cell r="D5318">
            <v>17.739999999999998</v>
          </cell>
          <cell r="E5318">
            <v>8.24</v>
          </cell>
          <cell r="H5318">
            <v>45513</v>
          </cell>
          <cell r="I5318">
            <v>0.64888888888888885</v>
          </cell>
          <cell r="J5318">
            <v>23.525555555555552</v>
          </cell>
        </row>
        <row r="5319">
          <cell r="B5319">
            <v>24.3</v>
          </cell>
          <cell r="C5319">
            <v>69.2</v>
          </cell>
          <cell r="D5319">
            <v>18.190000000000001</v>
          </cell>
          <cell r="E5319">
            <v>8.41</v>
          </cell>
          <cell r="H5319">
            <v>45513</v>
          </cell>
          <cell r="I5319">
            <v>0.6677777777777778</v>
          </cell>
          <cell r="J5319">
            <v>23.945555555555554</v>
          </cell>
        </row>
        <row r="5320">
          <cell r="B5320">
            <v>24.32</v>
          </cell>
          <cell r="C5320">
            <v>73.739999999999995</v>
          </cell>
          <cell r="D5320">
            <v>17.91</v>
          </cell>
          <cell r="E5320">
            <v>8.6199999999999992</v>
          </cell>
          <cell r="H5320">
            <v>45513</v>
          </cell>
          <cell r="I5320">
            <v>0.68111111111111111</v>
          </cell>
          <cell r="J5320">
            <v>24.555555555555557</v>
          </cell>
        </row>
        <row r="5321">
          <cell r="B5321">
            <v>23.52</v>
          </cell>
          <cell r="C5321">
            <v>75.83</v>
          </cell>
          <cell r="D5321">
            <v>17.88</v>
          </cell>
          <cell r="E5321">
            <v>9.16</v>
          </cell>
          <cell r="H5321">
            <v>45513</v>
          </cell>
          <cell r="I5321">
            <v>0.69</v>
          </cell>
          <cell r="J5321">
            <v>25.347777777777779</v>
          </cell>
        </row>
        <row r="5322">
          <cell r="B5322">
            <v>23.96</v>
          </cell>
          <cell r="C5322">
            <v>74.790000000000006</v>
          </cell>
          <cell r="D5322">
            <v>17.89</v>
          </cell>
          <cell r="E5322">
            <v>10.09</v>
          </cell>
          <cell r="H5322">
            <v>45513</v>
          </cell>
          <cell r="I5322">
            <v>0.69888888888888889</v>
          </cell>
          <cell r="J5322">
            <v>26.228888888888889</v>
          </cell>
        </row>
        <row r="5323">
          <cell r="B5323">
            <v>27.91</v>
          </cell>
          <cell r="C5323">
            <v>73.819999999999993</v>
          </cell>
          <cell r="D5323">
            <v>18.600000000000001</v>
          </cell>
          <cell r="E5323">
            <v>9.59</v>
          </cell>
          <cell r="H5323">
            <v>45513</v>
          </cell>
          <cell r="I5323">
            <v>0.71333333333333337</v>
          </cell>
          <cell r="J5323">
            <v>26.822222222222223</v>
          </cell>
        </row>
        <row r="5324">
          <cell r="B5324">
            <v>27.67</v>
          </cell>
          <cell r="C5324">
            <v>76.08</v>
          </cell>
          <cell r="D5324">
            <v>18.239999999999998</v>
          </cell>
          <cell r="E5324">
            <v>8.82</v>
          </cell>
          <cell r="H5324">
            <v>45513</v>
          </cell>
          <cell r="I5324">
            <v>0.73888888888888893</v>
          </cell>
          <cell r="J5324">
            <v>26.976666666666667</v>
          </cell>
        </row>
        <row r="5325">
          <cell r="B5325">
            <v>28.83</v>
          </cell>
          <cell r="C5325">
            <v>80.12</v>
          </cell>
          <cell r="D5325">
            <v>19.07</v>
          </cell>
          <cell r="E5325">
            <v>8.5</v>
          </cell>
          <cell r="H5325">
            <v>45513</v>
          </cell>
          <cell r="I5325">
            <v>0.77999999999999992</v>
          </cell>
          <cell r="J5325">
            <v>26.59888888888889</v>
          </cell>
        </row>
        <row r="5326">
          <cell r="B5326">
            <v>32.5</v>
          </cell>
          <cell r="C5326">
            <v>85.83</v>
          </cell>
          <cell r="D5326">
            <v>19.940000000000001</v>
          </cell>
          <cell r="E5326">
            <v>8.56</v>
          </cell>
          <cell r="H5326">
            <v>45513</v>
          </cell>
          <cell r="I5326">
            <v>0.84333333333333327</v>
          </cell>
          <cell r="J5326">
            <v>26.063333333333333</v>
          </cell>
        </row>
        <row r="5327">
          <cell r="B5327">
            <v>36.67</v>
          </cell>
          <cell r="C5327">
            <v>94.63</v>
          </cell>
          <cell r="D5327">
            <v>20.57</v>
          </cell>
          <cell r="E5327">
            <v>9.0500000000000007</v>
          </cell>
          <cell r="H5327">
            <v>45513</v>
          </cell>
          <cell r="I5327">
            <v>0.8833333333333333</v>
          </cell>
          <cell r="J5327">
            <v>25.424444444444443</v>
          </cell>
        </row>
        <row r="5328">
          <cell r="B5328">
            <v>34.159999999999997</v>
          </cell>
          <cell r="C5328">
            <v>88.21</v>
          </cell>
          <cell r="D5328">
            <v>18.899999999999999</v>
          </cell>
          <cell r="E5328">
            <v>8.8699999999999992</v>
          </cell>
          <cell r="H5328">
            <v>45513</v>
          </cell>
          <cell r="I5328">
            <v>0.88222222222222213</v>
          </cell>
          <cell r="J5328">
            <v>25.003333333333334</v>
          </cell>
        </row>
        <row r="5329">
          <cell r="B5329">
            <v>25.85</v>
          </cell>
          <cell r="C5329">
            <v>69.03</v>
          </cell>
          <cell r="D5329">
            <v>17.73</v>
          </cell>
          <cell r="E5329">
            <v>8.56</v>
          </cell>
          <cell r="H5329">
            <v>45513</v>
          </cell>
          <cell r="I5329">
            <v>0.87</v>
          </cell>
          <cell r="J5329">
            <v>24.461111111111112</v>
          </cell>
        </row>
        <row r="5330">
          <cell r="B5330">
            <v>24.12</v>
          </cell>
          <cell r="C5330">
            <v>61.92</v>
          </cell>
          <cell r="D5330">
            <v>17.07</v>
          </cell>
          <cell r="E5330">
            <v>7.84</v>
          </cell>
          <cell r="H5330">
            <v>45514</v>
          </cell>
          <cell r="I5330">
            <v>0.85888888888888892</v>
          </cell>
          <cell r="J5330">
            <v>23.862222222222226</v>
          </cell>
        </row>
        <row r="5331">
          <cell r="B5331">
            <v>24.63</v>
          </cell>
          <cell r="C5331">
            <v>51.85</v>
          </cell>
          <cell r="D5331">
            <v>16.079999999999998</v>
          </cell>
          <cell r="E5331">
            <v>7.77</v>
          </cell>
          <cell r="H5331">
            <v>45514</v>
          </cell>
          <cell r="I5331">
            <v>0.84222222222222221</v>
          </cell>
          <cell r="J5331">
            <v>23.235555555555557</v>
          </cell>
        </row>
        <row r="5332">
          <cell r="B5332">
            <v>22.64</v>
          </cell>
          <cell r="C5332">
            <v>46.71</v>
          </cell>
          <cell r="D5332">
            <v>16.18</v>
          </cell>
          <cell r="E5332">
            <v>7.68</v>
          </cell>
          <cell r="H5332">
            <v>45514</v>
          </cell>
          <cell r="I5332">
            <v>0.81333333333333335</v>
          </cell>
          <cell r="J5332">
            <v>22.76</v>
          </cell>
        </row>
        <row r="5333">
          <cell r="B5333">
            <v>22.92</v>
          </cell>
          <cell r="C5333">
            <v>44.91</v>
          </cell>
          <cell r="D5333">
            <v>16.3</v>
          </cell>
          <cell r="E5333">
            <v>7.54</v>
          </cell>
          <cell r="H5333">
            <v>45514</v>
          </cell>
          <cell r="I5333">
            <v>0.77777777777777779</v>
          </cell>
          <cell r="J5333">
            <v>22.732222222222223</v>
          </cell>
        </row>
        <row r="5334">
          <cell r="B5334">
            <v>21.45</v>
          </cell>
          <cell r="C5334">
            <v>42.26</v>
          </cell>
          <cell r="D5334">
            <v>16.34</v>
          </cell>
          <cell r="E5334">
            <v>7.29</v>
          </cell>
          <cell r="H5334">
            <v>45514</v>
          </cell>
          <cell r="I5334">
            <v>0.72555555555555551</v>
          </cell>
          <cell r="J5334">
            <v>23.016666666666666</v>
          </cell>
        </row>
        <row r="5335">
          <cell r="B5335">
            <v>23.2</v>
          </cell>
          <cell r="C5335">
            <v>44.98</v>
          </cell>
          <cell r="D5335">
            <v>16.260000000000002</v>
          </cell>
          <cell r="E5335">
            <v>7.61</v>
          </cell>
          <cell r="H5335">
            <v>45514</v>
          </cell>
          <cell r="I5335">
            <v>0.65999999999999992</v>
          </cell>
          <cell r="J5335">
            <v>23.339999999999996</v>
          </cell>
        </row>
        <row r="5336">
          <cell r="B5336">
            <v>22.64</v>
          </cell>
          <cell r="C5336">
            <v>42.64</v>
          </cell>
          <cell r="D5336">
            <v>16.72</v>
          </cell>
          <cell r="E5336">
            <v>7.75</v>
          </cell>
          <cell r="H5336">
            <v>45514</v>
          </cell>
          <cell r="I5336">
            <v>0.62444444444444447</v>
          </cell>
          <cell r="J5336">
            <v>23.54</v>
          </cell>
        </row>
        <row r="5337">
          <cell r="B5337">
            <v>21.84</v>
          </cell>
          <cell r="C5337">
            <v>44.42</v>
          </cell>
          <cell r="D5337">
            <v>16.850000000000001</v>
          </cell>
          <cell r="E5337">
            <v>7.69</v>
          </cell>
          <cell r="H5337">
            <v>45514</v>
          </cell>
          <cell r="I5337">
            <v>0.62555555555555542</v>
          </cell>
          <cell r="J5337">
            <v>23.669999999999998</v>
          </cell>
        </row>
        <row r="5338">
          <cell r="B5338">
            <v>21.19</v>
          </cell>
          <cell r="C5338">
            <v>47.48</v>
          </cell>
          <cell r="D5338">
            <v>17.239999999999998</v>
          </cell>
          <cell r="E5338">
            <v>7.76</v>
          </cell>
          <cell r="H5338">
            <v>45514</v>
          </cell>
          <cell r="I5338">
            <v>0.64555555555555555</v>
          </cell>
          <cell r="J5338">
            <v>23.592222222222219</v>
          </cell>
        </row>
        <row r="5339">
          <cell r="B5339">
            <v>21.97</v>
          </cell>
          <cell r="C5339">
            <v>54.06</v>
          </cell>
          <cell r="D5339">
            <v>17.079999999999998</v>
          </cell>
          <cell r="E5339">
            <v>7.95</v>
          </cell>
          <cell r="H5339">
            <v>45514</v>
          </cell>
          <cell r="I5339">
            <v>0.6544444444444445</v>
          </cell>
          <cell r="J5339">
            <v>23.374444444444446</v>
          </cell>
        </row>
        <row r="5340">
          <cell r="B5340">
            <v>20.47</v>
          </cell>
          <cell r="C5340">
            <v>56.08</v>
          </cell>
          <cell r="D5340">
            <v>17.5</v>
          </cell>
          <cell r="E5340">
            <v>7.63</v>
          </cell>
          <cell r="H5340">
            <v>45514</v>
          </cell>
          <cell r="I5340">
            <v>0.6644444444444445</v>
          </cell>
          <cell r="J5340">
            <v>23.169999999999998</v>
          </cell>
        </row>
        <row r="5341">
          <cell r="B5341">
            <v>21.37</v>
          </cell>
          <cell r="C5341">
            <v>51.99</v>
          </cell>
          <cell r="D5341">
            <v>16.649999999999999</v>
          </cell>
          <cell r="E5341">
            <v>7.32</v>
          </cell>
          <cell r="H5341">
            <v>45514</v>
          </cell>
          <cell r="I5341">
            <v>0.68666666666666665</v>
          </cell>
          <cell r="J5341">
            <v>23.087777777777774</v>
          </cell>
        </row>
        <row r="5342">
          <cell r="B5342">
            <v>22.33</v>
          </cell>
          <cell r="C5342">
            <v>50.52</v>
          </cell>
          <cell r="D5342">
            <v>16.98</v>
          </cell>
          <cell r="E5342">
            <v>7.4</v>
          </cell>
          <cell r="H5342">
            <v>45514</v>
          </cell>
          <cell r="I5342">
            <v>0.69666666666666666</v>
          </cell>
          <cell r="J5342">
            <v>23.162222222222223</v>
          </cell>
        </row>
        <row r="5343">
          <cell r="B5343">
            <v>23.44</v>
          </cell>
          <cell r="C5343">
            <v>52.98</v>
          </cell>
          <cell r="D5343">
            <v>17.2</v>
          </cell>
          <cell r="E5343">
            <v>7.48</v>
          </cell>
          <cell r="H5343">
            <v>45514</v>
          </cell>
          <cell r="I5343">
            <v>0.71</v>
          </cell>
          <cell r="J5343">
            <v>23.86888888888889</v>
          </cell>
        </row>
        <row r="5344">
          <cell r="B5344">
            <v>23.77</v>
          </cell>
          <cell r="C5344">
            <v>59.44</v>
          </cell>
          <cell r="D5344">
            <v>17.739999999999998</v>
          </cell>
          <cell r="E5344">
            <v>7.17</v>
          </cell>
          <cell r="H5344">
            <v>45514</v>
          </cell>
          <cell r="I5344">
            <v>0.71777777777777774</v>
          </cell>
          <cell r="J5344">
            <v>25.164444444444442</v>
          </cell>
        </row>
        <row r="5345">
          <cell r="B5345">
            <v>24.26</v>
          </cell>
          <cell r="C5345">
            <v>62.71</v>
          </cell>
          <cell r="D5345">
            <v>18</v>
          </cell>
          <cell r="E5345">
            <v>7.54</v>
          </cell>
          <cell r="H5345">
            <v>45514</v>
          </cell>
          <cell r="I5345">
            <v>0.71333333333333337</v>
          </cell>
          <cell r="J5345">
            <v>26.548888888888889</v>
          </cell>
        </row>
        <row r="5346">
          <cell r="B5346">
            <v>22.71</v>
          </cell>
          <cell r="C5346">
            <v>62.31</v>
          </cell>
          <cell r="D5346">
            <v>18.170000000000002</v>
          </cell>
          <cell r="E5346">
            <v>7.84</v>
          </cell>
          <cell r="H5346">
            <v>45514</v>
          </cell>
          <cell r="I5346">
            <v>0.7022222222222223</v>
          </cell>
          <cell r="J5346">
            <v>27.19</v>
          </cell>
        </row>
        <row r="5347">
          <cell r="B5347">
            <v>21.11</v>
          </cell>
          <cell r="C5347">
            <v>66.959999999999994</v>
          </cell>
          <cell r="D5347">
            <v>18.079999999999998</v>
          </cell>
          <cell r="E5347">
            <v>7.74</v>
          </cell>
          <cell r="H5347">
            <v>45514</v>
          </cell>
          <cell r="I5347">
            <v>0.69666666666666677</v>
          </cell>
          <cell r="J5347">
            <v>27.595555555555556</v>
          </cell>
        </row>
        <row r="5348">
          <cell r="B5348">
            <v>25.42</v>
          </cell>
          <cell r="C5348">
            <v>70.66</v>
          </cell>
          <cell r="D5348">
            <v>18.420000000000002</v>
          </cell>
          <cell r="E5348">
            <v>7.48</v>
          </cell>
          <cell r="H5348">
            <v>45514</v>
          </cell>
          <cell r="I5348">
            <v>0.71555555555555561</v>
          </cell>
          <cell r="J5348">
            <v>27.908888888888885</v>
          </cell>
        </row>
        <row r="5349">
          <cell r="B5349">
            <v>29.56</v>
          </cell>
          <cell r="C5349">
            <v>72.42</v>
          </cell>
          <cell r="D5349">
            <v>19.329999999999998</v>
          </cell>
          <cell r="E5349">
            <v>7.57</v>
          </cell>
          <cell r="H5349">
            <v>45514</v>
          </cell>
          <cell r="I5349">
            <v>0.74111111111111116</v>
          </cell>
          <cell r="J5349">
            <v>28.115555555555559</v>
          </cell>
        </row>
        <row r="5350">
          <cell r="B5350">
            <v>32.32</v>
          </cell>
          <cell r="C5350">
            <v>81.3</v>
          </cell>
          <cell r="D5350">
            <v>19.32</v>
          </cell>
          <cell r="E5350">
            <v>7.66</v>
          </cell>
          <cell r="H5350">
            <v>45514</v>
          </cell>
          <cell r="I5350">
            <v>0.7466666666666667</v>
          </cell>
          <cell r="J5350">
            <v>28.124444444444446</v>
          </cell>
        </row>
        <row r="5351">
          <cell r="B5351">
            <v>30.13</v>
          </cell>
          <cell r="C5351">
            <v>72.25</v>
          </cell>
          <cell r="D5351">
            <v>18.32</v>
          </cell>
          <cell r="E5351">
            <v>7.49</v>
          </cell>
          <cell r="H5351">
            <v>45514</v>
          </cell>
          <cell r="I5351">
            <v>0.75222222222222224</v>
          </cell>
          <cell r="J5351">
            <v>27.87222222222222</v>
          </cell>
        </row>
        <row r="5352">
          <cell r="B5352">
            <v>28.48</v>
          </cell>
          <cell r="C5352">
            <v>71.709999999999994</v>
          </cell>
          <cell r="D5352">
            <v>17.98</v>
          </cell>
          <cell r="E5352">
            <v>7.4</v>
          </cell>
          <cell r="H5352">
            <v>45514</v>
          </cell>
          <cell r="I5352">
            <v>0.75555555555555565</v>
          </cell>
          <cell r="J5352">
            <v>26.923333333333332</v>
          </cell>
        </row>
        <row r="5353">
          <cell r="B5353">
            <v>27.34</v>
          </cell>
          <cell r="C5353">
            <v>70.38</v>
          </cell>
          <cell r="D5353">
            <v>18.09</v>
          </cell>
          <cell r="E5353">
            <v>7.42</v>
          </cell>
          <cell r="H5353">
            <v>45514</v>
          </cell>
          <cell r="I5353">
            <v>0.75888888888888895</v>
          </cell>
          <cell r="J5353">
            <v>25.468888888888891</v>
          </cell>
        </row>
        <row r="5354">
          <cell r="B5354">
            <v>24.6</v>
          </cell>
          <cell r="C5354">
            <v>61.3</v>
          </cell>
          <cell r="D5354">
            <v>16.899999999999999</v>
          </cell>
          <cell r="E5354">
            <v>7.69</v>
          </cell>
          <cell r="H5354">
            <v>45515</v>
          </cell>
          <cell r="I5354">
            <v>0.74777777777777776</v>
          </cell>
          <cell r="J5354">
            <v>24.080000000000002</v>
          </cell>
        </row>
        <row r="5355">
          <cell r="B5355">
            <v>21.57</v>
          </cell>
          <cell r="C5355">
            <v>53.66</v>
          </cell>
          <cell r="D5355">
            <v>16.05</v>
          </cell>
          <cell r="E5355">
            <v>7.82</v>
          </cell>
          <cell r="H5355">
            <v>45515</v>
          </cell>
          <cell r="I5355">
            <v>0.73555555555555563</v>
          </cell>
          <cell r="J5355">
            <v>23.413333333333334</v>
          </cell>
        </row>
        <row r="5356">
          <cell r="B5356">
            <v>19.899999999999999</v>
          </cell>
          <cell r="C5356">
            <v>52.04</v>
          </cell>
          <cell r="D5356">
            <v>15.92</v>
          </cell>
          <cell r="E5356">
            <v>7.36</v>
          </cell>
          <cell r="H5356">
            <v>45515</v>
          </cell>
          <cell r="I5356">
            <v>0.70666666666666678</v>
          </cell>
          <cell r="J5356">
            <v>23.144444444444446</v>
          </cell>
        </row>
        <row r="5357">
          <cell r="B5357">
            <v>18.809999999999999</v>
          </cell>
          <cell r="C5357">
            <v>49.3</v>
          </cell>
          <cell r="D5357">
            <v>15.83</v>
          </cell>
          <cell r="E5357">
            <v>7.33</v>
          </cell>
          <cell r="H5357">
            <v>45515</v>
          </cell>
          <cell r="I5357">
            <v>0.66555555555555557</v>
          </cell>
          <cell r="J5357">
            <v>23.001111111111111</v>
          </cell>
        </row>
        <row r="5358">
          <cell r="B5358">
            <v>17.600000000000001</v>
          </cell>
          <cell r="C5358">
            <v>46.43</v>
          </cell>
          <cell r="D5358">
            <v>15.61</v>
          </cell>
          <cell r="E5358">
            <v>7.5</v>
          </cell>
          <cell r="H5358">
            <v>45515</v>
          </cell>
          <cell r="I5358">
            <v>0.61222222222222245</v>
          </cell>
          <cell r="J5358">
            <v>22.93333333333333</v>
          </cell>
        </row>
        <row r="5359">
          <cell r="B5359">
            <v>17.52</v>
          </cell>
          <cell r="C5359">
            <v>43.48</v>
          </cell>
          <cell r="D5359">
            <v>15.99</v>
          </cell>
          <cell r="E5359">
            <v>7.73</v>
          </cell>
          <cell r="H5359">
            <v>45515</v>
          </cell>
          <cell r="I5359">
            <v>0.57777777777777783</v>
          </cell>
          <cell r="J5359">
            <v>23.01</v>
          </cell>
        </row>
        <row r="5360">
          <cell r="B5360">
            <v>18.11</v>
          </cell>
          <cell r="C5360">
            <v>43.85</v>
          </cell>
          <cell r="D5360">
            <v>16.57</v>
          </cell>
          <cell r="E5360">
            <v>7.66</v>
          </cell>
          <cell r="H5360">
            <v>45515</v>
          </cell>
          <cell r="I5360">
            <v>0.55888888888888888</v>
          </cell>
          <cell r="J5360">
            <v>23.027777777777779</v>
          </cell>
        </row>
        <row r="5361">
          <cell r="B5361">
            <v>18.78</v>
          </cell>
          <cell r="C5361">
            <v>44.49</v>
          </cell>
          <cell r="D5361">
            <v>16.55</v>
          </cell>
          <cell r="E5361">
            <v>7.91</v>
          </cell>
          <cell r="H5361">
            <v>45515</v>
          </cell>
          <cell r="I5361">
            <v>0.54444444444444451</v>
          </cell>
          <cell r="J5361">
            <v>23.10777777777778</v>
          </cell>
        </row>
        <row r="5362">
          <cell r="B5362">
            <v>19.39</v>
          </cell>
          <cell r="C5362">
            <v>48.22</v>
          </cell>
          <cell r="D5362">
            <v>16.34</v>
          </cell>
          <cell r="E5362">
            <v>7.98</v>
          </cell>
          <cell r="H5362">
            <v>45515</v>
          </cell>
          <cell r="I5362">
            <v>0.53555555555555545</v>
          </cell>
          <cell r="J5362">
            <v>23.267777777777781</v>
          </cell>
        </row>
        <row r="5363">
          <cell r="B5363">
            <v>18.28</v>
          </cell>
          <cell r="C5363">
            <v>51.67</v>
          </cell>
          <cell r="D5363">
            <v>16.420000000000002</v>
          </cell>
          <cell r="E5363">
            <v>8.16</v>
          </cell>
          <cell r="H5363">
            <v>45515</v>
          </cell>
          <cell r="I5363">
            <v>0.54555555555555557</v>
          </cell>
          <cell r="J5363">
            <v>23.40666666666667</v>
          </cell>
        </row>
        <row r="5364">
          <cell r="B5364">
            <v>20.36</v>
          </cell>
          <cell r="C5364">
            <v>54.93</v>
          </cell>
          <cell r="D5364">
            <v>16.52</v>
          </cell>
          <cell r="E5364">
            <v>8.01</v>
          </cell>
          <cell r="H5364">
            <v>45515</v>
          </cell>
          <cell r="I5364">
            <v>0.55444444444444441</v>
          </cell>
          <cell r="J5364">
            <v>23.543333333333333</v>
          </cell>
        </row>
        <row r="5365">
          <cell r="B5365">
            <v>19.899999999999999</v>
          </cell>
          <cell r="C5365">
            <v>55</v>
          </cell>
          <cell r="D5365">
            <v>16.63</v>
          </cell>
          <cell r="E5365">
            <v>7.88</v>
          </cell>
          <cell r="H5365">
            <v>45515</v>
          </cell>
          <cell r="I5365">
            <v>0.56666666666666665</v>
          </cell>
          <cell r="J5365">
            <v>23.834444444444443</v>
          </cell>
        </row>
        <row r="5366">
          <cell r="B5366">
            <v>20.93</v>
          </cell>
          <cell r="C5366">
            <v>55.09</v>
          </cell>
          <cell r="D5366">
            <v>16.760000000000002</v>
          </cell>
          <cell r="E5366">
            <v>7.76</v>
          </cell>
          <cell r="H5366">
            <v>45515</v>
          </cell>
          <cell r="I5366">
            <v>0.58000000000000007</v>
          </cell>
          <cell r="J5366">
            <v>24.186666666666664</v>
          </cell>
        </row>
        <row r="5367">
          <cell r="B5367">
            <v>20.67</v>
          </cell>
          <cell r="C5367">
            <v>54.37</v>
          </cell>
          <cell r="D5367">
            <v>16.87</v>
          </cell>
          <cell r="E5367">
            <v>7.91</v>
          </cell>
          <cell r="H5367">
            <v>45515</v>
          </cell>
          <cell r="I5367">
            <v>0.59111111111111125</v>
          </cell>
          <cell r="J5367">
            <v>24.57</v>
          </cell>
        </row>
        <row r="5368">
          <cell r="B5368">
            <v>20.149999999999999</v>
          </cell>
          <cell r="C5368">
            <v>54.51</v>
          </cell>
          <cell r="D5368">
            <v>16.91</v>
          </cell>
          <cell r="E5368">
            <v>7.91</v>
          </cell>
          <cell r="H5368">
            <v>45515</v>
          </cell>
          <cell r="I5368">
            <v>0.59222222222222221</v>
          </cell>
          <cell r="J5368">
            <v>24.937777777777782</v>
          </cell>
        </row>
        <row r="5369">
          <cell r="B5369">
            <v>20.39</v>
          </cell>
          <cell r="C5369">
            <v>55.9</v>
          </cell>
          <cell r="D5369">
            <v>16.66</v>
          </cell>
          <cell r="E5369">
            <v>7.82</v>
          </cell>
          <cell r="H5369">
            <v>45515</v>
          </cell>
          <cell r="I5369">
            <v>0.59666666666666668</v>
          </cell>
          <cell r="J5369">
            <v>25.311111111111114</v>
          </cell>
        </row>
        <row r="5370">
          <cell r="B5370">
            <v>20.350000000000001</v>
          </cell>
          <cell r="C5370">
            <v>60.92</v>
          </cell>
          <cell r="D5370">
            <v>16.87</v>
          </cell>
          <cell r="E5370">
            <v>8.14</v>
          </cell>
          <cell r="H5370">
            <v>45515</v>
          </cell>
          <cell r="I5370">
            <v>0.59777777777777785</v>
          </cell>
          <cell r="J5370">
            <v>25.737777777777776</v>
          </cell>
        </row>
        <row r="5371">
          <cell r="B5371">
            <v>20.5</v>
          </cell>
          <cell r="C5371">
            <v>61.78</v>
          </cell>
          <cell r="D5371">
            <v>17.11</v>
          </cell>
          <cell r="E5371">
            <v>8.15</v>
          </cell>
          <cell r="H5371">
            <v>45515</v>
          </cell>
          <cell r="I5371">
            <v>0.60555555555555562</v>
          </cell>
          <cell r="J5371">
            <v>26.038888888888884</v>
          </cell>
        </row>
        <row r="5372">
          <cell r="B5372">
            <v>23.39</v>
          </cell>
          <cell r="C5372">
            <v>68.34</v>
          </cell>
          <cell r="D5372">
            <v>17.100000000000001</v>
          </cell>
          <cell r="E5372">
            <v>8.06</v>
          </cell>
          <cell r="H5372">
            <v>45515</v>
          </cell>
          <cell r="I5372">
            <v>0.62222222222222223</v>
          </cell>
          <cell r="J5372">
            <v>26.133333333333336</v>
          </cell>
        </row>
        <row r="5373">
          <cell r="B5373">
            <v>28.04</v>
          </cell>
          <cell r="C5373">
            <v>72.430000000000007</v>
          </cell>
          <cell r="D5373">
            <v>17.88</v>
          </cell>
          <cell r="E5373">
            <v>8.06</v>
          </cell>
          <cell r="H5373">
            <v>45515</v>
          </cell>
          <cell r="I5373">
            <v>0.65444444444444438</v>
          </cell>
          <cell r="J5373">
            <v>25.923333333333332</v>
          </cell>
        </row>
        <row r="5374">
          <cell r="B5374">
            <v>31.58</v>
          </cell>
          <cell r="C5374">
            <v>80.83</v>
          </cell>
          <cell r="D5374">
            <v>18.38</v>
          </cell>
          <cell r="E5374">
            <v>8.0500000000000007</v>
          </cell>
          <cell r="H5374">
            <v>45515</v>
          </cell>
          <cell r="I5374">
            <v>0.69444444444444442</v>
          </cell>
          <cell r="J5374">
            <v>25.463333333333335</v>
          </cell>
        </row>
        <row r="5375">
          <cell r="B5375">
            <v>34.82</v>
          </cell>
          <cell r="C5375">
            <v>82.54</v>
          </cell>
          <cell r="D5375">
            <v>18.97</v>
          </cell>
          <cell r="E5375">
            <v>8.07</v>
          </cell>
          <cell r="H5375">
            <v>45515</v>
          </cell>
          <cell r="I5375">
            <v>0.73555555555555552</v>
          </cell>
          <cell r="J5375">
            <v>24.955555555555556</v>
          </cell>
        </row>
        <row r="5376">
          <cell r="B5376">
            <v>35.950000000000003</v>
          </cell>
          <cell r="C5376">
            <v>87.02</v>
          </cell>
          <cell r="D5376">
            <v>18.93</v>
          </cell>
          <cell r="E5376">
            <v>8.09</v>
          </cell>
          <cell r="H5376">
            <v>45515</v>
          </cell>
          <cell r="I5376">
            <v>0.77222222222222214</v>
          </cell>
          <cell r="J5376">
            <v>24.411111111111111</v>
          </cell>
        </row>
        <row r="5377">
          <cell r="B5377">
            <v>34.229999999999997</v>
          </cell>
          <cell r="C5377">
            <v>86.28</v>
          </cell>
          <cell r="D5377">
            <v>19.21</v>
          </cell>
          <cell r="E5377">
            <v>8.66</v>
          </cell>
          <cell r="H5377">
            <v>45515</v>
          </cell>
          <cell r="I5377">
            <v>0.80222222222222228</v>
          </cell>
          <cell r="J5377">
            <v>23.827777777777776</v>
          </cell>
        </row>
        <row r="5378">
          <cell r="B5378">
            <v>30.77</v>
          </cell>
          <cell r="C5378">
            <v>80.180000000000007</v>
          </cell>
          <cell r="D5378">
            <v>18.350000000000001</v>
          </cell>
          <cell r="E5378">
            <v>7.98</v>
          </cell>
          <cell r="H5378">
            <v>45516</v>
          </cell>
          <cell r="I5378">
            <v>0.79888888888888887</v>
          </cell>
          <cell r="J5378">
            <v>23.46444444444445</v>
          </cell>
        </row>
        <row r="5379">
          <cell r="B5379">
            <v>27.06</v>
          </cell>
          <cell r="C5379">
            <v>67.48</v>
          </cell>
          <cell r="D5379">
            <v>16.72</v>
          </cell>
          <cell r="E5379">
            <v>7.37</v>
          </cell>
          <cell r="H5379">
            <v>45516</v>
          </cell>
          <cell r="I5379">
            <v>0.79</v>
          </cell>
          <cell r="J5379">
            <v>23.166666666666668</v>
          </cell>
        </row>
        <row r="5380">
          <cell r="B5380">
            <v>23.96</v>
          </cell>
          <cell r="C5380">
            <v>54.46</v>
          </cell>
          <cell r="D5380">
            <v>16.12</v>
          </cell>
          <cell r="E5380">
            <v>7.42</v>
          </cell>
          <cell r="H5380">
            <v>45516</v>
          </cell>
          <cell r="I5380">
            <v>0.77</v>
          </cell>
          <cell r="J5380">
            <v>22.712222222222223</v>
          </cell>
        </row>
        <row r="5381">
          <cell r="B5381">
            <v>21.38</v>
          </cell>
          <cell r="C5381">
            <v>44.24</v>
          </cell>
          <cell r="D5381">
            <v>15.71</v>
          </cell>
          <cell r="E5381">
            <v>7.62</v>
          </cell>
          <cell r="H5381">
            <v>45516</v>
          </cell>
          <cell r="I5381">
            <v>0.73888888888888893</v>
          </cell>
          <cell r="J5381">
            <v>22.385555555555555</v>
          </cell>
        </row>
        <row r="5382">
          <cell r="B5382">
            <v>21.26</v>
          </cell>
          <cell r="C5382">
            <v>37.51</v>
          </cell>
          <cell r="D5382">
            <v>14.77</v>
          </cell>
          <cell r="E5382">
            <v>6.56</v>
          </cell>
          <cell r="H5382">
            <v>45516</v>
          </cell>
          <cell r="I5382">
            <v>0.69111111111111123</v>
          </cell>
          <cell r="J5382">
            <v>22.567777777777778</v>
          </cell>
        </row>
        <row r="5383">
          <cell r="B5383">
            <v>17.57</v>
          </cell>
          <cell r="C5383">
            <v>32.96</v>
          </cell>
          <cell r="D5383">
            <v>15.29</v>
          </cell>
          <cell r="E5383">
            <v>6.55</v>
          </cell>
          <cell r="H5383">
            <v>45516</v>
          </cell>
          <cell r="I5383">
            <v>0.63777777777777778</v>
          </cell>
          <cell r="J5383">
            <v>22.814444444444444</v>
          </cell>
        </row>
        <row r="5384">
          <cell r="B5384">
            <v>14.64</v>
          </cell>
          <cell r="C5384">
            <v>30</v>
          </cell>
          <cell r="D5384">
            <v>15.61</v>
          </cell>
          <cell r="E5384">
            <v>6.88</v>
          </cell>
          <cell r="H5384">
            <v>45516</v>
          </cell>
          <cell r="I5384">
            <v>0.5855555555555555</v>
          </cell>
          <cell r="J5384">
            <v>23.043333333333337</v>
          </cell>
        </row>
        <row r="5385">
          <cell r="B5385">
            <v>16.03</v>
          </cell>
          <cell r="C5385">
            <v>29.96</v>
          </cell>
          <cell r="D5385">
            <v>18.559999999999999</v>
          </cell>
          <cell r="E5385">
            <v>6.74</v>
          </cell>
          <cell r="H5385">
            <v>45516</v>
          </cell>
          <cell r="I5385">
            <v>0.56777777777777771</v>
          </cell>
          <cell r="J5385">
            <v>23.045555555555552</v>
          </cell>
        </row>
        <row r="5386">
          <cell r="B5386">
            <v>19.149999999999999</v>
          </cell>
          <cell r="C5386">
            <v>36.29</v>
          </cell>
          <cell r="D5386">
            <v>19.600000000000001</v>
          </cell>
          <cell r="E5386">
            <v>7.41</v>
          </cell>
          <cell r="H5386">
            <v>45516</v>
          </cell>
          <cell r="I5386">
            <v>0.58666666666666656</v>
          </cell>
          <cell r="J5386">
            <v>22.903333333333329</v>
          </cell>
        </row>
        <row r="5387">
          <cell r="B5387">
            <v>18.350000000000001</v>
          </cell>
          <cell r="C5387">
            <v>42.84</v>
          </cell>
          <cell r="D5387">
            <v>19.309999999999999</v>
          </cell>
          <cell r="E5387">
            <v>7.72</v>
          </cell>
          <cell r="H5387">
            <v>45516</v>
          </cell>
          <cell r="I5387">
            <v>0.62777777777777777</v>
          </cell>
          <cell r="J5387">
            <v>22.799999999999997</v>
          </cell>
        </row>
        <row r="5388">
          <cell r="B5388">
            <v>20.350000000000001</v>
          </cell>
          <cell r="C5388">
            <v>49.28</v>
          </cell>
          <cell r="D5388">
            <v>18.22</v>
          </cell>
          <cell r="E5388">
            <v>7.39</v>
          </cell>
          <cell r="H5388">
            <v>45516</v>
          </cell>
          <cell r="I5388">
            <v>0.66</v>
          </cell>
          <cell r="J5388">
            <v>23.004444444444445</v>
          </cell>
        </row>
        <row r="5389">
          <cell r="B5389">
            <v>22.07</v>
          </cell>
          <cell r="C5389">
            <v>56.62</v>
          </cell>
          <cell r="D5389">
            <v>18.79</v>
          </cell>
          <cell r="E5389">
            <v>7.48</v>
          </cell>
          <cell r="H5389">
            <v>45516</v>
          </cell>
          <cell r="I5389">
            <v>0.69555555555555548</v>
          </cell>
          <cell r="J5389">
            <v>23.654444444444444</v>
          </cell>
        </row>
        <row r="5390">
          <cell r="B5390">
            <v>21.95</v>
          </cell>
          <cell r="C5390">
            <v>59.03</v>
          </cell>
          <cell r="D5390">
            <v>20.34</v>
          </cell>
          <cell r="E5390">
            <v>7.24</v>
          </cell>
          <cell r="H5390">
            <v>45516</v>
          </cell>
          <cell r="I5390">
            <v>0.71888888888888891</v>
          </cell>
          <cell r="J5390">
            <v>24.399999999999995</v>
          </cell>
        </row>
        <row r="5391">
          <cell r="B5391">
            <v>22.51</v>
          </cell>
          <cell r="C5391">
            <v>70.87</v>
          </cell>
          <cell r="D5391">
            <v>21.93</v>
          </cell>
          <cell r="E5391">
            <v>7.93</v>
          </cell>
          <cell r="H5391">
            <v>45516</v>
          </cell>
          <cell r="I5391">
            <v>0.74555555555555564</v>
          </cell>
          <cell r="J5391">
            <v>24.857777777777773</v>
          </cell>
        </row>
        <row r="5392">
          <cell r="B5392">
            <v>23.58</v>
          </cell>
          <cell r="C5392">
            <v>70.36</v>
          </cell>
          <cell r="D5392">
            <v>20.07</v>
          </cell>
          <cell r="E5392">
            <v>8.02</v>
          </cell>
          <cell r="H5392">
            <v>45516</v>
          </cell>
          <cell r="I5392">
            <v>0.76888888888888884</v>
          </cell>
          <cell r="J5392">
            <v>25.421111111111113</v>
          </cell>
        </row>
        <row r="5393">
          <cell r="B5393">
            <v>21.84</v>
          </cell>
          <cell r="C5393">
            <v>73.319999999999993</v>
          </cell>
          <cell r="D5393">
            <v>19.46</v>
          </cell>
          <cell r="E5393">
            <v>8.61</v>
          </cell>
          <cell r="H5393">
            <v>45516</v>
          </cell>
          <cell r="I5393">
            <v>0.79444444444444451</v>
          </cell>
          <cell r="J5393">
            <v>26.18</v>
          </cell>
        </row>
        <row r="5394">
          <cell r="B5394">
            <v>25.17</v>
          </cell>
          <cell r="C5394">
            <v>81.209999999999994</v>
          </cell>
          <cell r="D5394">
            <v>19.600000000000001</v>
          </cell>
          <cell r="E5394">
            <v>8.83</v>
          </cell>
          <cell r="H5394">
            <v>45516</v>
          </cell>
          <cell r="I5394">
            <v>0.79333333333333345</v>
          </cell>
          <cell r="J5394">
            <v>27.255555555555556</v>
          </cell>
        </row>
        <row r="5395">
          <cell r="B5395">
            <v>30.17</v>
          </cell>
          <cell r="C5395">
            <v>83.63</v>
          </cell>
          <cell r="D5395">
            <v>19.760000000000002</v>
          </cell>
          <cell r="E5395">
            <v>8.6999999999999993</v>
          </cell>
          <cell r="H5395">
            <v>45516</v>
          </cell>
          <cell r="I5395">
            <v>0.77555555555555555</v>
          </cell>
          <cell r="J5395">
            <v>28.392222222222227</v>
          </cell>
        </row>
        <row r="5396">
          <cell r="B5396">
            <v>31.05</v>
          </cell>
          <cell r="C5396">
            <v>90.23</v>
          </cell>
          <cell r="D5396">
            <v>20.56</v>
          </cell>
          <cell r="E5396">
            <v>8.39</v>
          </cell>
          <cell r="H5396">
            <v>45516</v>
          </cell>
          <cell r="I5396">
            <v>0.77222222222222225</v>
          </cell>
          <cell r="J5396">
            <v>28.725555555555552</v>
          </cell>
        </row>
        <row r="5397">
          <cell r="B5397">
            <v>37.549999999999997</v>
          </cell>
          <cell r="C5397">
            <v>102.89</v>
          </cell>
          <cell r="D5397">
            <v>21.83</v>
          </cell>
          <cell r="E5397">
            <v>8.31</v>
          </cell>
          <cell r="H5397">
            <v>45516</v>
          </cell>
          <cell r="I5397">
            <v>0.80111111111111111</v>
          </cell>
          <cell r="J5397">
            <v>28.215555555555557</v>
          </cell>
        </row>
        <row r="5398">
          <cell r="B5398">
            <v>43.15</v>
          </cell>
          <cell r="C5398">
            <v>109.76</v>
          </cell>
          <cell r="D5398">
            <v>21.76</v>
          </cell>
          <cell r="E5398">
            <v>8.17</v>
          </cell>
          <cell r="H5398">
            <v>45516</v>
          </cell>
          <cell r="I5398">
            <v>0.83555555555555561</v>
          </cell>
          <cell r="J5398">
            <v>27.193333333333332</v>
          </cell>
        </row>
        <row r="5399">
          <cell r="B5399">
            <v>45.33</v>
          </cell>
          <cell r="C5399">
            <v>111.25</v>
          </cell>
          <cell r="D5399">
            <v>21.65</v>
          </cell>
          <cell r="E5399">
            <v>8.23</v>
          </cell>
          <cell r="H5399">
            <v>45516</v>
          </cell>
          <cell r="I5399">
            <v>0.87666666666666671</v>
          </cell>
          <cell r="J5399">
            <v>26.314444444444447</v>
          </cell>
        </row>
        <row r="5400">
          <cell r="B5400">
            <v>47.64</v>
          </cell>
          <cell r="C5400">
            <v>113.11</v>
          </cell>
          <cell r="D5400">
            <v>22.24</v>
          </cell>
          <cell r="E5400">
            <v>8.41</v>
          </cell>
          <cell r="H5400">
            <v>45516</v>
          </cell>
          <cell r="I5400">
            <v>0.92333333333333334</v>
          </cell>
          <cell r="J5400">
            <v>25.292222222222222</v>
          </cell>
        </row>
        <row r="5401">
          <cell r="B5401">
            <v>48.97</v>
          </cell>
          <cell r="C5401">
            <v>109.24</v>
          </cell>
          <cell r="D5401">
            <v>21.3</v>
          </cell>
          <cell r="E5401">
            <v>8.48</v>
          </cell>
          <cell r="H5401">
            <v>45516</v>
          </cell>
          <cell r="I5401">
            <v>0.95555555555555571</v>
          </cell>
          <cell r="J5401">
            <v>24.278888888888886</v>
          </cell>
        </row>
        <row r="5402">
          <cell r="B5402">
            <v>43.6</v>
          </cell>
          <cell r="C5402">
            <v>96.43</v>
          </cell>
          <cell r="D5402">
            <v>19.350000000000001</v>
          </cell>
          <cell r="E5402">
            <v>8.36</v>
          </cell>
          <cell r="H5402">
            <v>45517</v>
          </cell>
          <cell r="I5402">
            <v>0.95444444444444443</v>
          </cell>
          <cell r="J5402">
            <v>23.277777777777775</v>
          </cell>
        </row>
        <row r="5403">
          <cell r="B5403">
            <v>35.93</v>
          </cell>
          <cell r="C5403">
            <v>72.28</v>
          </cell>
          <cell r="D5403">
            <v>18.32</v>
          </cell>
          <cell r="E5403">
            <v>8.2799999999999994</v>
          </cell>
          <cell r="H5403">
            <v>45517</v>
          </cell>
          <cell r="I5403">
            <v>0.94666666666666666</v>
          </cell>
          <cell r="J5403">
            <v>22.117777777777775</v>
          </cell>
        </row>
        <row r="5404">
          <cell r="B5404">
            <v>37.32</v>
          </cell>
          <cell r="C5404">
            <v>69.13</v>
          </cell>
          <cell r="D5404">
            <v>18.18</v>
          </cell>
          <cell r="E5404">
            <v>7.61</v>
          </cell>
          <cell r="H5404">
            <v>45517</v>
          </cell>
          <cell r="I5404">
            <v>0.92555555555555558</v>
          </cell>
          <cell r="J5404">
            <v>20.99111111111111</v>
          </cell>
        </row>
        <row r="5405">
          <cell r="B5405">
            <v>35.47</v>
          </cell>
          <cell r="C5405">
            <v>69.569999999999993</v>
          </cell>
          <cell r="D5405">
            <v>17.84</v>
          </cell>
          <cell r="E5405">
            <v>7.5</v>
          </cell>
          <cell r="H5405">
            <v>45517</v>
          </cell>
          <cell r="I5405">
            <v>0.89666666666666672</v>
          </cell>
          <cell r="J5405">
            <v>20.346666666666664</v>
          </cell>
        </row>
        <row r="5406">
          <cell r="B5406">
            <v>34.770000000000003</v>
          </cell>
          <cell r="C5406">
            <v>64.06</v>
          </cell>
          <cell r="D5406">
            <v>18.18</v>
          </cell>
          <cell r="E5406">
            <v>7.66</v>
          </cell>
          <cell r="H5406">
            <v>45517</v>
          </cell>
          <cell r="I5406">
            <v>0.85222222222222221</v>
          </cell>
          <cell r="J5406">
            <v>20.103333333333332</v>
          </cell>
        </row>
        <row r="5407">
          <cell r="B5407">
            <v>28.6</v>
          </cell>
          <cell r="C5407">
            <v>55.98</v>
          </cell>
          <cell r="D5407">
            <v>18.28</v>
          </cell>
          <cell r="E5407">
            <v>8.06</v>
          </cell>
          <cell r="H5407">
            <v>45517</v>
          </cell>
          <cell r="I5407">
            <v>0.80666666666666675</v>
          </cell>
          <cell r="J5407">
            <v>20.228888888888886</v>
          </cell>
        </row>
        <row r="5408">
          <cell r="B5408">
            <v>25.1</v>
          </cell>
          <cell r="C5408">
            <v>52.06</v>
          </cell>
          <cell r="D5408">
            <v>18.059999999999999</v>
          </cell>
          <cell r="E5408">
            <v>8.4600000000000009</v>
          </cell>
          <cell r="H5408">
            <v>45517</v>
          </cell>
          <cell r="I5408">
            <v>0.78222222222222215</v>
          </cell>
          <cell r="J5408">
            <v>19.941111111111113</v>
          </cell>
        </row>
        <row r="5409">
          <cell r="B5409">
            <v>29.24</v>
          </cell>
          <cell r="C5409">
            <v>57.3</v>
          </cell>
          <cell r="D5409">
            <v>18.47</v>
          </cell>
          <cell r="E5409">
            <v>8.17</v>
          </cell>
          <cell r="H5409">
            <v>45517</v>
          </cell>
          <cell r="I5409">
            <v>0.74444444444444446</v>
          </cell>
          <cell r="J5409">
            <v>20.044444444444441</v>
          </cell>
        </row>
        <row r="5410">
          <cell r="B5410">
            <v>30.49</v>
          </cell>
          <cell r="C5410">
            <v>64.209999999999994</v>
          </cell>
          <cell r="D5410">
            <v>18.420000000000002</v>
          </cell>
          <cell r="E5410">
            <v>8.19</v>
          </cell>
          <cell r="H5410">
            <v>45517</v>
          </cell>
          <cell r="I5410">
            <v>0.72555555555555551</v>
          </cell>
          <cell r="J5410">
            <v>20.298888888888893</v>
          </cell>
        </row>
        <row r="5411">
          <cell r="B5411">
            <v>22.7</v>
          </cell>
          <cell r="C5411">
            <v>53.65</v>
          </cell>
          <cell r="D5411">
            <v>18.329999999999998</v>
          </cell>
          <cell r="E5411">
            <v>8.07</v>
          </cell>
          <cell r="H5411">
            <v>45517</v>
          </cell>
          <cell r="I5411">
            <v>0.73111111111111116</v>
          </cell>
          <cell r="J5411">
            <v>20.591111111111111</v>
          </cell>
        </row>
        <row r="5412">
          <cell r="B5412">
            <v>19.93</v>
          </cell>
          <cell r="C5412">
            <v>50.62</v>
          </cell>
          <cell r="D5412">
            <v>18.7</v>
          </cell>
          <cell r="E5412">
            <v>7.59</v>
          </cell>
          <cell r="H5412">
            <v>45517</v>
          </cell>
          <cell r="I5412">
            <v>0.75</v>
          </cell>
          <cell r="J5412">
            <v>21.57555555555556</v>
          </cell>
        </row>
        <row r="5413">
          <cell r="B5413">
            <v>17.36</v>
          </cell>
          <cell r="C5413">
            <v>49.85</v>
          </cell>
          <cell r="D5413">
            <v>18.420000000000002</v>
          </cell>
          <cell r="E5413">
            <v>8.65</v>
          </cell>
          <cell r="H5413">
            <v>45517</v>
          </cell>
          <cell r="I5413">
            <v>0.75888888888888895</v>
          </cell>
          <cell r="J5413">
            <v>22.758888888888894</v>
          </cell>
        </row>
        <row r="5414">
          <cell r="B5414">
            <v>19.170000000000002</v>
          </cell>
          <cell r="C5414">
            <v>50.6</v>
          </cell>
          <cell r="D5414">
            <v>18.690000000000001</v>
          </cell>
          <cell r="E5414">
            <v>8.81</v>
          </cell>
          <cell r="H5414">
            <v>45517</v>
          </cell>
          <cell r="I5414">
            <v>0.76444444444444448</v>
          </cell>
          <cell r="J5414">
            <v>24.12222222222222</v>
          </cell>
        </row>
        <row r="5415">
          <cell r="B5415">
            <v>21.4</v>
          </cell>
          <cell r="C5415">
            <v>53.2</v>
          </cell>
          <cell r="D5415">
            <v>18.72</v>
          </cell>
          <cell r="E5415">
            <v>9.1</v>
          </cell>
          <cell r="H5415">
            <v>45517</v>
          </cell>
          <cell r="I5415">
            <v>0.76444444444444448</v>
          </cell>
          <cell r="J5415">
            <v>25.353333333333335</v>
          </cell>
        </row>
        <row r="5416">
          <cell r="B5416">
            <v>25.68</v>
          </cell>
          <cell r="C5416">
            <v>62.96</v>
          </cell>
          <cell r="D5416">
            <v>18.61</v>
          </cell>
          <cell r="E5416">
            <v>8.83</v>
          </cell>
          <cell r="H5416">
            <v>45517</v>
          </cell>
          <cell r="I5416">
            <v>0.76111111111111096</v>
          </cell>
          <cell r="J5416">
            <v>26.296666666666667</v>
          </cell>
        </row>
        <row r="5417">
          <cell r="B5417">
            <v>25.85</v>
          </cell>
          <cell r="C5417">
            <v>62.32</v>
          </cell>
          <cell r="D5417">
            <v>18.940000000000001</v>
          </cell>
          <cell r="E5417">
            <v>9.5399999999999991</v>
          </cell>
          <cell r="H5417">
            <v>45517</v>
          </cell>
          <cell r="I5417">
            <v>0.74444444444444446</v>
          </cell>
          <cell r="J5417">
            <v>27.237777777777779</v>
          </cell>
        </row>
        <row r="5418">
          <cell r="B5418">
            <v>24.61</v>
          </cell>
          <cell r="C5418">
            <v>62.03</v>
          </cell>
          <cell r="D5418">
            <v>19.03</v>
          </cell>
          <cell r="E5418">
            <v>9.82</v>
          </cell>
          <cell r="H5418">
            <v>45517</v>
          </cell>
          <cell r="I5418">
            <v>0.74</v>
          </cell>
          <cell r="J5418">
            <v>28.135555555555555</v>
          </cell>
        </row>
        <row r="5419">
          <cell r="B5419">
            <v>24.23</v>
          </cell>
          <cell r="C5419">
            <v>65.849999999999994</v>
          </cell>
          <cell r="D5419">
            <v>19.16</v>
          </cell>
          <cell r="E5419">
            <v>7.87</v>
          </cell>
          <cell r="H5419">
            <v>45517</v>
          </cell>
          <cell r="I5419">
            <v>0.75222222222222224</v>
          </cell>
          <cell r="J5419">
            <v>28.63666666666667</v>
          </cell>
        </row>
        <row r="5420">
          <cell r="B5420">
            <v>26.42</v>
          </cell>
          <cell r="C5420">
            <v>83.73</v>
          </cell>
          <cell r="D5420">
            <v>19.27</v>
          </cell>
          <cell r="E5420">
            <v>6.98</v>
          </cell>
          <cell r="H5420">
            <v>45517</v>
          </cell>
          <cell r="I5420">
            <v>0.76555555555555566</v>
          </cell>
          <cell r="J5420">
            <v>28.468888888888891</v>
          </cell>
        </row>
        <row r="5421">
          <cell r="B5421">
            <v>30.09</v>
          </cell>
          <cell r="C5421">
            <v>86.07</v>
          </cell>
          <cell r="D5421">
            <v>19.010000000000002</v>
          </cell>
          <cell r="E5421">
            <v>7.36</v>
          </cell>
          <cell r="H5421">
            <v>45517</v>
          </cell>
          <cell r="I5421">
            <v>0.78666666666666674</v>
          </cell>
          <cell r="J5421">
            <v>27.569999999999997</v>
          </cell>
        </row>
        <row r="5422">
          <cell r="B5422">
            <v>34.94</v>
          </cell>
          <cell r="C5422">
            <v>80.739999999999995</v>
          </cell>
          <cell r="D5422">
            <v>19.399999999999999</v>
          </cell>
          <cell r="E5422">
            <v>7.36</v>
          </cell>
          <cell r="H5422">
            <v>45517</v>
          </cell>
          <cell r="I5422">
            <v>0.80000000000000016</v>
          </cell>
          <cell r="J5422">
            <v>26.567777777777778</v>
          </cell>
        </row>
        <row r="5423">
          <cell r="B5423">
            <v>35.200000000000003</v>
          </cell>
          <cell r="C5423">
            <v>76.64</v>
          </cell>
          <cell r="D5423">
            <v>18.690000000000001</v>
          </cell>
          <cell r="E5423">
            <v>7.71</v>
          </cell>
          <cell r="H5423">
            <v>45517</v>
          </cell>
          <cell r="I5423">
            <v>0.80444444444444452</v>
          </cell>
          <cell r="J5423">
            <v>25.489999999999995</v>
          </cell>
        </row>
        <row r="5424">
          <cell r="B5424">
            <v>33.880000000000003</v>
          </cell>
          <cell r="C5424">
            <v>74.05</v>
          </cell>
          <cell r="D5424">
            <v>17.739999999999998</v>
          </cell>
          <cell r="E5424">
            <v>7.58</v>
          </cell>
          <cell r="H5424">
            <v>45517</v>
          </cell>
          <cell r="I5424">
            <v>0.80666666666666664</v>
          </cell>
          <cell r="J5424">
            <v>24.683333333333337</v>
          </cell>
        </row>
        <row r="5425">
          <cell r="B5425">
            <v>33.32</v>
          </cell>
          <cell r="C5425">
            <v>71.17</v>
          </cell>
          <cell r="D5425">
            <v>17.350000000000001</v>
          </cell>
          <cell r="E5425">
            <v>8</v>
          </cell>
          <cell r="H5425">
            <v>45517</v>
          </cell>
          <cell r="I5425">
            <v>0.8</v>
          </cell>
          <cell r="J5425">
            <v>24.151111111111117</v>
          </cell>
        </row>
        <row r="5426">
          <cell r="B5426">
            <v>35.380000000000003</v>
          </cell>
          <cell r="C5426">
            <v>72.78</v>
          </cell>
          <cell r="D5426">
            <v>16.84</v>
          </cell>
          <cell r="E5426">
            <v>7.45</v>
          </cell>
          <cell r="H5426">
            <v>45518</v>
          </cell>
          <cell r="I5426">
            <v>0.79555555555555557</v>
          </cell>
          <cell r="J5426">
            <v>23.99</v>
          </cell>
        </row>
        <row r="5427">
          <cell r="B5427">
            <v>40.380000000000003</v>
          </cell>
          <cell r="C5427">
            <v>74.69</v>
          </cell>
          <cell r="D5427">
            <v>16.97</v>
          </cell>
          <cell r="E5427">
            <v>7.46</v>
          </cell>
          <cell r="H5427">
            <v>45518</v>
          </cell>
          <cell r="I5427">
            <v>0.80333333333333334</v>
          </cell>
          <cell r="J5427">
            <v>23.688888888888886</v>
          </cell>
        </row>
        <row r="5428">
          <cell r="B5428">
            <v>47.75</v>
          </cell>
          <cell r="C5428">
            <v>82.68</v>
          </cell>
          <cell r="D5428">
            <v>16.63</v>
          </cell>
          <cell r="E5428">
            <v>7.03</v>
          </cell>
          <cell r="H5428">
            <v>45518</v>
          </cell>
          <cell r="I5428">
            <v>0.77555555555555555</v>
          </cell>
          <cell r="J5428">
            <v>23.501111111111111</v>
          </cell>
        </row>
        <row r="5429">
          <cell r="B5429">
            <v>42.24</v>
          </cell>
          <cell r="C5429">
            <v>80.84</v>
          </cell>
          <cell r="D5429">
            <v>16.68</v>
          </cell>
          <cell r="E5429">
            <v>7.06</v>
          </cell>
          <cell r="H5429">
            <v>45518</v>
          </cell>
          <cell r="I5429">
            <v>0.74888888888888894</v>
          </cell>
          <cell r="J5429">
            <v>23.993333333333329</v>
          </cell>
        </row>
        <row r="5430">
          <cell r="B5430">
            <v>41.27</v>
          </cell>
          <cell r="C5430">
            <v>78.319999999999993</v>
          </cell>
          <cell r="D5430">
            <v>16.899999999999999</v>
          </cell>
          <cell r="E5430">
            <v>7.07</v>
          </cell>
          <cell r="H5430">
            <v>45518</v>
          </cell>
          <cell r="I5430">
            <v>0.70666666666666678</v>
          </cell>
          <cell r="J5430">
            <v>24.482222222222227</v>
          </cell>
        </row>
        <row r="5431">
          <cell r="B5431">
            <v>45.76</v>
          </cell>
          <cell r="C5431">
            <v>84.77</v>
          </cell>
          <cell r="D5431">
            <v>17.23</v>
          </cell>
          <cell r="E5431">
            <v>7.26</v>
          </cell>
          <cell r="H5431">
            <v>45518</v>
          </cell>
          <cell r="I5431">
            <v>0.69222222222222229</v>
          </cell>
          <cell r="J5431">
            <v>24.957777777777782</v>
          </cell>
        </row>
        <row r="5432">
          <cell r="B5432">
            <v>42.07</v>
          </cell>
          <cell r="C5432">
            <v>82.6</v>
          </cell>
          <cell r="D5432">
            <v>17.77</v>
          </cell>
          <cell r="E5432">
            <v>7.58</v>
          </cell>
          <cell r="H5432">
            <v>45518</v>
          </cell>
          <cell r="I5432">
            <v>0.69333333333333336</v>
          </cell>
          <cell r="J5432">
            <v>25.236666666666668</v>
          </cell>
        </row>
        <row r="5433">
          <cell r="B5433">
            <v>49.74</v>
          </cell>
          <cell r="C5433">
            <v>93.68</v>
          </cell>
          <cell r="D5433">
            <v>17.670000000000002</v>
          </cell>
          <cell r="E5433">
            <v>7.56</v>
          </cell>
          <cell r="H5433">
            <v>45518</v>
          </cell>
          <cell r="I5433">
            <v>0.74111111111111105</v>
          </cell>
          <cell r="J5433">
            <v>25.28777777777778</v>
          </cell>
        </row>
        <row r="5434">
          <cell r="B5434">
            <v>59.32</v>
          </cell>
          <cell r="C5434">
            <v>101.55</v>
          </cell>
          <cell r="D5434">
            <v>18.100000000000001</v>
          </cell>
          <cell r="E5434">
            <v>7.68</v>
          </cell>
          <cell r="H5434">
            <v>45518</v>
          </cell>
          <cell r="I5434">
            <v>0.77</v>
          </cell>
          <cell r="J5434">
            <v>25.12777777777778</v>
          </cell>
        </row>
        <row r="5435">
          <cell r="B5435">
            <v>37.28</v>
          </cell>
          <cell r="C5435">
            <v>83.3</v>
          </cell>
          <cell r="D5435">
            <v>17.62</v>
          </cell>
          <cell r="E5435">
            <v>7.71</v>
          </cell>
          <cell r="H5435">
            <v>45518</v>
          </cell>
          <cell r="I5435">
            <v>0.7977777777777777</v>
          </cell>
          <cell r="J5435">
            <v>24.997777777777781</v>
          </cell>
        </row>
        <row r="5436">
          <cell r="B5436">
            <v>36.15</v>
          </cell>
          <cell r="C5436">
            <v>91.13</v>
          </cell>
          <cell r="D5436">
            <v>18.02</v>
          </cell>
          <cell r="E5436">
            <v>7.46</v>
          </cell>
          <cell r="H5436">
            <v>45518</v>
          </cell>
          <cell r="I5436">
            <v>0.79888888888888898</v>
          </cell>
          <cell r="J5436">
            <v>25.052222222222223</v>
          </cell>
        </row>
        <row r="5437">
          <cell r="B5437">
            <v>30.63</v>
          </cell>
          <cell r="C5437">
            <v>82.26</v>
          </cell>
          <cell r="D5437">
            <v>18.39</v>
          </cell>
          <cell r="E5437">
            <v>7.8</v>
          </cell>
          <cell r="H5437">
            <v>45518</v>
          </cell>
          <cell r="I5437">
            <v>0.81444444444444442</v>
          </cell>
          <cell r="J5437">
            <v>25.663333333333338</v>
          </cell>
        </row>
        <row r="5438">
          <cell r="B5438">
            <v>29.11</v>
          </cell>
          <cell r="C5438">
            <v>78.03</v>
          </cell>
          <cell r="D5438">
            <v>18.39</v>
          </cell>
          <cell r="E5438">
            <v>8.66</v>
          </cell>
          <cell r="H5438">
            <v>45518</v>
          </cell>
          <cell r="I5438">
            <v>0.83</v>
          </cell>
          <cell r="J5438">
            <v>26.27</v>
          </cell>
        </row>
        <row r="5439">
          <cell r="B5439">
            <v>28.68</v>
          </cell>
          <cell r="C5439">
            <v>76.06</v>
          </cell>
          <cell r="D5439">
            <v>18.13</v>
          </cell>
          <cell r="E5439">
            <v>8.59</v>
          </cell>
          <cell r="H5439">
            <v>45518</v>
          </cell>
          <cell r="I5439">
            <v>0.84333333333333327</v>
          </cell>
          <cell r="J5439">
            <v>27.181111111111115</v>
          </cell>
        </row>
        <row r="5440">
          <cell r="B5440">
            <v>27.9</v>
          </cell>
          <cell r="C5440">
            <v>70.66</v>
          </cell>
          <cell r="D5440">
            <v>18.52</v>
          </cell>
          <cell r="E5440">
            <v>8.3800000000000008</v>
          </cell>
          <cell r="H5440">
            <v>45518</v>
          </cell>
          <cell r="I5440">
            <v>0.85111111111111104</v>
          </cell>
          <cell r="J5440">
            <v>27.828888888888891</v>
          </cell>
        </row>
        <row r="5441">
          <cell r="B5441">
            <v>27.24</v>
          </cell>
          <cell r="C5441">
            <v>66.34</v>
          </cell>
          <cell r="D5441">
            <v>18.920000000000002</v>
          </cell>
          <cell r="E5441">
            <v>9.26</v>
          </cell>
          <cell r="H5441">
            <v>45518</v>
          </cell>
          <cell r="I5441">
            <v>0.84444444444444444</v>
          </cell>
          <cell r="J5441">
            <v>28.510000000000005</v>
          </cell>
        </row>
        <row r="5442">
          <cell r="B5442">
            <v>30.74</v>
          </cell>
          <cell r="C5442">
            <v>72.14</v>
          </cell>
          <cell r="D5442">
            <v>18.86</v>
          </cell>
          <cell r="E5442">
            <v>9.1199999999999992</v>
          </cell>
          <cell r="H5442">
            <v>45518</v>
          </cell>
          <cell r="I5442">
            <v>0.86888888888888893</v>
          </cell>
          <cell r="J5442">
            <v>29.20888888888889</v>
          </cell>
        </row>
        <row r="5443">
          <cell r="B5443">
            <v>30.19</v>
          </cell>
          <cell r="C5443">
            <v>76.489999999999995</v>
          </cell>
          <cell r="D5443">
            <v>18.61</v>
          </cell>
          <cell r="E5443">
            <v>8.2100000000000009</v>
          </cell>
          <cell r="H5443">
            <v>45518</v>
          </cell>
          <cell r="I5443">
            <v>0.87333333333333329</v>
          </cell>
          <cell r="J5443">
            <v>29.741111111111113</v>
          </cell>
        </row>
        <row r="5444">
          <cell r="B5444">
            <v>29.23</v>
          </cell>
          <cell r="C5444">
            <v>70.59</v>
          </cell>
          <cell r="D5444">
            <v>18.5</v>
          </cell>
          <cell r="E5444">
            <v>7.7</v>
          </cell>
          <cell r="H5444">
            <v>45518</v>
          </cell>
          <cell r="I5444">
            <v>0.87777777777777777</v>
          </cell>
          <cell r="J5444">
            <v>29.971111111111114</v>
          </cell>
        </row>
        <row r="5445">
          <cell r="B5445">
            <v>31.46</v>
          </cell>
          <cell r="C5445">
            <v>73.64</v>
          </cell>
          <cell r="D5445">
            <v>19.309999999999999</v>
          </cell>
          <cell r="E5445">
            <v>7.35</v>
          </cell>
          <cell r="H5445">
            <v>45518</v>
          </cell>
          <cell r="I5445">
            <v>0.90888888888888908</v>
          </cell>
          <cell r="J5445">
            <v>29.792222222222222</v>
          </cell>
        </row>
        <row r="5446">
          <cell r="B5446">
            <v>36.9</v>
          </cell>
          <cell r="C5446">
            <v>81.900000000000006</v>
          </cell>
          <cell r="D5446">
            <v>19.62</v>
          </cell>
          <cell r="E5446">
            <v>7.59</v>
          </cell>
          <cell r="H5446">
            <v>45518</v>
          </cell>
          <cell r="I5446">
            <v>0.93333333333333335</v>
          </cell>
          <cell r="J5446">
            <v>28.938888888888886</v>
          </cell>
        </row>
        <row r="5447">
          <cell r="B5447">
            <v>40.479999999999997</v>
          </cell>
          <cell r="C5447">
            <v>83.28</v>
          </cell>
          <cell r="D5447">
            <v>18.68</v>
          </cell>
          <cell r="E5447">
            <v>7.47</v>
          </cell>
          <cell r="H5447">
            <v>45518</v>
          </cell>
          <cell r="I5447">
            <v>0.96000000000000008</v>
          </cell>
          <cell r="J5447">
            <v>27.96222222222222</v>
          </cell>
        </row>
        <row r="5448">
          <cell r="B5448">
            <v>40.28</v>
          </cell>
          <cell r="C5448">
            <v>80.819999999999993</v>
          </cell>
          <cell r="D5448">
            <v>18.2</v>
          </cell>
          <cell r="E5448">
            <v>7.44</v>
          </cell>
          <cell r="H5448">
            <v>45518</v>
          </cell>
          <cell r="I5448">
            <v>0.9622222222222222</v>
          </cell>
          <cell r="J5448">
            <v>26.77</v>
          </cell>
        </row>
        <row r="5449">
          <cell r="B5449">
            <v>36.06</v>
          </cell>
          <cell r="C5449">
            <v>70.150000000000006</v>
          </cell>
          <cell r="D5449">
            <v>17.87</v>
          </cell>
          <cell r="E5449">
            <v>7.69</v>
          </cell>
          <cell r="H5449">
            <v>45518</v>
          </cell>
          <cell r="I5449">
            <v>0.95222222222222208</v>
          </cell>
          <cell r="J5449">
            <v>25.842222222222219</v>
          </cell>
        </row>
        <row r="5450">
          <cell r="B5450">
            <v>33.14</v>
          </cell>
          <cell r="C5450">
            <v>63.54</v>
          </cell>
          <cell r="D5450">
            <v>17.02</v>
          </cell>
          <cell r="E5450">
            <v>7.38</v>
          </cell>
          <cell r="H5450">
            <v>45519</v>
          </cell>
          <cell r="I5450">
            <v>0.94444444444444442</v>
          </cell>
          <cell r="J5450">
            <v>24.976666666666667</v>
          </cell>
        </row>
        <row r="5451">
          <cell r="B5451">
            <v>32.479999999999997</v>
          </cell>
          <cell r="C5451">
            <v>60.68</v>
          </cell>
          <cell r="D5451">
            <v>16.37</v>
          </cell>
          <cell r="E5451">
            <v>7.66</v>
          </cell>
          <cell r="H5451">
            <v>45519</v>
          </cell>
          <cell r="I5451">
            <v>0.86</v>
          </cell>
          <cell r="J5451">
            <v>24.238888888888887</v>
          </cell>
        </row>
        <row r="5452">
          <cell r="B5452">
            <v>32.33</v>
          </cell>
          <cell r="C5452">
            <v>55.39</v>
          </cell>
          <cell r="D5452">
            <v>16.170000000000002</v>
          </cell>
          <cell r="E5452">
            <v>7.41</v>
          </cell>
          <cell r="H5452">
            <v>45519</v>
          </cell>
          <cell r="I5452">
            <v>0.81999999999999984</v>
          </cell>
          <cell r="J5452">
            <v>23.794444444444441</v>
          </cell>
        </row>
        <row r="5453">
          <cell r="B5453">
            <v>31.69</v>
          </cell>
          <cell r="C5453">
            <v>56.17</v>
          </cell>
          <cell r="D5453">
            <v>15.78</v>
          </cell>
          <cell r="E5453">
            <v>7.44</v>
          </cell>
          <cell r="H5453">
            <v>45519</v>
          </cell>
          <cell r="I5453">
            <v>0.77888888888888885</v>
          </cell>
          <cell r="J5453">
            <v>23.536666666666665</v>
          </cell>
        </row>
        <row r="5454">
          <cell r="B5454">
            <v>26.23</v>
          </cell>
          <cell r="C5454">
            <v>49.43</v>
          </cell>
          <cell r="D5454">
            <v>16.57</v>
          </cell>
          <cell r="E5454">
            <v>7.44</v>
          </cell>
          <cell r="H5454">
            <v>45519</v>
          </cell>
          <cell r="I5454">
            <v>0.73222222222222222</v>
          </cell>
          <cell r="J5454">
            <v>23.41</v>
          </cell>
        </row>
        <row r="5455">
          <cell r="B5455">
            <v>22.61</v>
          </cell>
          <cell r="C5455">
            <v>43.13</v>
          </cell>
          <cell r="D5455">
            <v>16.350000000000001</v>
          </cell>
          <cell r="E5455">
            <v>7.97</v>
          </cell>
          <cell r="H5455">
            <v>45519</v>
          </cell>
          <cell r="I5455">
            <v>0.69111111111111123</v>
          </cell>
          <cell r="J5455">
            <v>23.45</v>
          </cell>
        </row>
        <row r="5456">
          <cell r="B5456">
            <v>18.95</v>
          </cell>
          <cell r="C5456">
            <v>44.6</v>
          </cell>
          <cell r="D5456">
            <v>16.559999999999999</v>
          </cell>
          <cell r="E5456">
            <v>8.14</v>
          </cell>
          <cell r="H5456">
            <v>45519</v>
          </cell>
          <cell r="I5456">
            <v>0.6544444444444445</v>
          </cell>
          <cell r="J5456">
            <v>23.255555555555553</v>
          </cell>
        </row>
        <row r="5457">
          <cell r="B5457">
            <v>23.92</v>
          </cell>
          <cell r="C5457">
            <v>52.38</v>
          </cell>
          <cell r="D5457">
            <v>16.63</v>
          </cell>
          <cell r="E5457">
            <v>8.7200000000000006</v>
          </cell>
          <cell r="H5457">
            <v>45519</v>
          </cell>
          <cell r="I5457">
            <v>0.64888888888888896</v>
          </cell>
          <cell r="J5457">
            <v>23.128888888888884</v>
          </cell>
        </row>
        <row r="5458">
          <cell r="B5458">
            <v>24.5</v>
          </cell>
          <cell r="C5458">
            <v>55.63</v>
          </cell>
          <cell r="D5458">
            <v>16.38</v>
          </cell>
          <cell r="E5458">
            <v>8.7899999999999991</v>
          </cell>
          <cell r="H5458">
            <v>45519</v>
          </cell>
          <cell r="I5458">
            <v>0.64888888888888896</v>
          </cell>
          <cell r="J5458">
            <v>23.127777777777776</v>
          </cell>
        </row>
        <row r="5459">
          <cell r="B5459">
            <v>20.22</v>
          </cell>
          <cell r="C5459">
            <v>52.08</v>
          </cell>
          <cell r="D5459">
            <v>16.579999999999998</v>
          </cell>
          <cell r="E5459">
            <v>8.17</v>
          </cell>
          <cell r="H5459">
            <v>45519</v>
          </cell>
          <cell r="I5459">
            <v>0.65222222222222226</v>
          </cell>
          <cell r="J5459">
            <v>23.451111111111107</v>
          </cell>
        </row>
        <row r="5460">
          <cell r="B5460">
            <v>19.989999999999998</v>
          </cell>
          <cell r="C5460">
            <v>52.33</v>
          </cell>
          <cell r="D5460">
            <v>16.91</v>
          </cell>
          <cell r="E5460">
            <v>8.27</v>
          </cell>
          <cell r="H5460">
            <v>45519</v>
          </cell>
          <cell r="I5460">
            <v>0.66222222222222227</v>
          </cell>
          <cell r="J5460">
            <v>23.830000000000002</v>
          </cell>
        </row>
        <row r="5461">
          <cell r="B5461">
            <v>20.45</v>
          </cell>
          <cell r="C5461">
            <v>54.23</v>
          </cell>
          <cell r="D5461">
            <v>16.77</v>
          </cell>
          <cell r="E5461">
            <v>8.1199999999999992</v>
          </cell>
          <cell r="H5461">
            <v>45519</v>
          </cell>
          <cell r="I5461">
            <v>0.67333333333333334</v>
          </cell>
          <cell r="J5461">
            <v>24.702222222222225</v>
          </cell>
        </row>
        <row r="5462">
          <cell r="B5462">
            <v>20.56</v>
          </cell>
          <cell r="C5462">
            <v>51.52</v>
          </cell>
          <cell r="D5462">
            <v>16.5</v>
          </cell>
          <cell r="E5462">
            <v>8.32</v>
          </cell>
          <cell r="H5462">
            <v>45519</v>
          </cell>
          <cell r="I5462">
            <v>0.68222222222222229</v>
          </cell>
          <cell r="J5462">
            <v>25.616666666666664</v>
          </cell>
        </row>
        <row r="5463">
          <cell r="B5463">
            <v>23.04</v>
          </cell>
          <cell r="C5463">
            <v>52.37</v>
          </cell>
          <cell r="D5463">
            <v>17.03</v>
          </cell>
          <cell r="E5463">
            <v>8.33</v>
          </cell>
          <cell r="H5463">
            <v>45519</v>
          </cell>
          <cell r="I5463">
            <v>0.68333333333333335</v>
          </cell>
          <cell r="J5463">
            <v>27.19</v>
          </cell>
        </row>
        <row r="5464">
          <cell r="B5464">
            <v>22.49</v>
          </cell>
          <cell r="C5464">
            <v>51.91</v>
          </cell>
          <cell r="D5464">
            <v>17.260000000000002</v>
          </cell>
          <cell r="E5464">
            <v>8.23</v>
          </cell>
          <cell r="H5464">
            <v>45519</v>
          </cell>
          <cell r="I5464">
            <v>0.68444444444444441</v>
          </cell>
          <cell r="J5464">
            <v>28.736666666666665</v>
          </cell>
        </row>
        <row r="5465">
          <cell r="B5465">
            <v>23.24</v>
          </cell>
          <cell r="C5465">
            <v>54.88</v>
          </cell>
          <cell r="D5465">
            <v>17.62</v>
          </cell>
          <cell r="E5465">
            <v>8.41</v>
          </cell>
          <cell r="H5465">
            <v>45519</v>
          </cell>
          <cell r="I5465">
            <v>0.7022222222222223</v>
          </cell>
          <cell r="J5465">
            <v>29.806666666666665</v>
          </cell>
        </row>
        <row r="5466">
          <cell r="B5466">
            <v>23.89</v>
          </cell>
          <cell r="C5466">
            <v>61.73</v>
          </cell>
          <cell r="D5466">
            <v>17.7</v>
          </cell>
          <cell r="E5466">
            <v>8.67</v>
          </cell>
          <cell r="H5466">
            <v>45519</v>
          </cell>
          <cell r="I5466">
            <v>0.71222222222222231</v>
          </cell>
          <cell r="J5466">
            <v>30.694444444444443</v>
          </cell>
        </row>
        <row r="5467">
          <cell r="B5467">
            <v>26.78</v>
          </cell>
          <cell r="C5467">
            <v>65.02</v>
          </cell>
          <cell r="D5467">
            <v>17.920000000000002</v>
          </cell>
          <cell r="E5467">
            <v>8.16</v>
          </cell>
          <cell r="H5467">
            <v>45519</v>
          </cell>
          <cell r="I5467">
            <v>0.72222222222222221</v>
          </cell>
          <cell r="J5467">
            <v>31.116666666666667</v>
          </cell>
        </row>
        <row r="5468">
          <cell r="B5468">
            <v>27.12</v>
          </cell>
          <cell r="C5468">
            <v>64.510000000000005</v>
          </cell>
          <cell r="D5468">
            <v>17.88</v>
          </cell>
          <cell r="E5468">
            <v>8.91</v>
          </cell>
          <cell r="H5468">
            <v>45519</v>
          </cell>
          <cell r="I5468">
            <v>0.80222222222222217</v>
          </cell>
          <cell r="J5468">
            <v>31.10777777777778</v>
          </cell>
        </row>
        <row r="5469">
          <cell r="B5469">
            <v>31.33</v>
          </cell>
          <cell r="C5469">
            <v>72.3</v>
          </cell>
          <cell r="D5469">
            <v>19.920000000000002</v>
          </cell>
          <cell r="E5469">
            <v>9.24</v>
          </cell>
          <cell r="H5469">
            <v>45519</v>
          </cell>
          <cell r="I5469">
            <v>0.87888888888888894</v>
          </cell>
          <cell r="J5469">
            <v>30.680000000000007</v>
          </cell>
        </row>
        <row r="5470">
          <cell r="B5470">
            <v>37.799999999999997</v>
          </cell>
          <cell r="C5470">
            <v>81.13</v>
          </cell>
          <cell r="D5470">
            <v>20.82</v>
          </cell>
          <cell r="E5470">
            <v>9.3000000000000007</v>
          </cell>
          <cell r="H5470">
            <v>45519</v>
          </cell>
          <cell r="I5470">
            <v>0.97888888888888892</v>
          </cell>
          <cell r="J5470">
            <v>29.667777777777776</v>
          </cell>
        </row>
        <row r="5471">
          <cell r="B5471">
            <v>41.74</v>
          </cell>
          <cell r="C5471">
            <v>83.94</v>
          </cell>
          <cell r="D5471">
            <v>20.350000000000001</v>
          </cell>
          <cell r="E5471">
            <v>9.24</v>
          </cell>
          <cell r="H5471">
            <v>45519</v>
          </cell>
          <cell r="I5471">
            <v>1.0355555555555556</v>
          </cell>
          <cell r="J5471">
            <v>28.416666666666668</v>
          </cell>
        </row>
        <row r="5472">
          <cell r="B5472">
            <v>35.549999999999997</v>
          </cell>
          <cell r="C5472">
            <v>75.12</v>
          </cell>
          <cell r="D5472">
            <v>18.63</v>
          </cell>
          <cell r="E5472">
            <v>9.1199999999999992</v>
          </cell>
          <cell r="H5472">
            <v>45519</v>
          </cell>
          <cell r="I5472">
            <v>1.0522222222222222</v>
          </cell>
          <cell r="J5472">
            <v>26.806666666666665</v>
          </cell>
        </row>
        <row r="5473">
          <cell r="B5473">
            <v>27.18</v>
          </cell>
          <cell r="C5473">
            <v>59.85</v>
          </cell>
          <cell r="D5473">
            <v>17.53</v>
          </cell>
          <cell r="E5473">
            <v>8.67</v>
          </cell>
          <cell r="H5473">
            <v>45519</v>
          </cell>
          <cell r="I5473">
            <v>1.0911111111111111</v>
          </cell>
          <cell r="J5473">
            <v>25.272222222222226</v>
          </cell>
        </row>
        <row r="5474">
          <cell r="B5474">
            <v>26.72</v>
          </cell>
          <cell r="C5474">
            <v>54.97</v>
          </cell>
          <cell r="D5474">
            <v>17.14</v>
          </cell>
          <cell r="E5474">
            <v>7.69</v>
          </cell>
          <cell r="H5474">
            <v>45520</v>
          </cell>
          <cell r="I5474">
            <v>1.0833333333333333</v>
          </cell>
          <cell r="J5474">
            <v>24.37777777777778</v>
          </cell>
        </row>
        <row r="5475">
          <cell r="B5475">
            <v>28.42</v>
          </cell>
          <cell r="C5475">
            <v>57.91</v>
          </cell>
          <cell r="D5475">
            <v>16.78</v>
          </cell>
          <cell r="E5475">
            <v>7.65</v>
          </cell>
          <cell r="H5475">
            <v>45520</v>
          </cell>
          <cell r="I5475">
            <v>1.0733333333333333</v>
          </cell>
          <cell r="J5475">
            <v>23.594444444444445</v>
          </cell>
        </row>
        <row r="5476">
          <cell r="B5476">
            <v>37.97</v>
          </cell>
          <cell r="C5476">
            <v>63.63</v>
          </cell>
          <cell r="D5476">
            <v>16.47</v>
          </cell>
          <cell r="E5476">
            <v>7.61</v>
          </cell>
          <cell r="H5476">
            <v>45520</v>
          </cell>
          <cell r="I5476">
            <v>1.0722222222222222</v>
          </cell>
          <cell r="J5476">
            <v>23.135555555555555</v>
          </cell>
        </row>
        <row r="5477">
          <cell r="B5477">
            <v>76.45</v>
          </cell>
          <cell r="C5477">
            <v>95.64</v>
          </cell>
          <cell r="D5477">
            <v>16.329999999999998</v>
          </cell>
          <cell r="E5477">
            <v>7.89</v>
          </cell>
          <cell r="H5477">
            <v>45520</v>
          </cell>
          <cell r="I5477">
            <v>0.99777777777777787</v>
          </cell>
          <cell r="J5477">
            <v>22.92</v>
          </cell>
        </row>
        <row r="5478">
          <cell r="B5478">
            <v>43.87</v>
          </cell>
          <cell r="C5478">
            <v>72.59</v>
          </cell>
          <cell r="D5478">
            <v>16.54</v>
          </cell>
          <cell r="E5478">
            <v>8</v>
          </cell>
          <cell r="H5478">
            <v>45520</v>
          </cell>
          <cell r="I5478">
            <v>0.92111111111111121</v>
          </cell>
          <cell r="J5478">
            <v>23.053333333333335</v>
          </cell>
        </row>
        <row r="5479">
          <cell r="B5479">
            <v>27.42</v>
          </cell>
          <cell r="C5479">
            <v>61.34</v>
          </cell>
          <cell r="D5479">
            <v>16.73</v>
          </cell>
          <cell r="E5479">
            <v>8.2799999999999994</v>
          </cell>
          <cell r="H5479">
            <v>45520</v>
          </cell>
          <cell r="I5479">
            <v>0.82777777777777772</v>
          </cell>
          <cell r="J5479">
            <v>23.248888888888889</v>
          </cell>
        </row>
        <row r="5480">
          <cell r="B5480">
            <v>28.58</v>
          </cell>
          <cell r="C5480">
            <v>59.01</v>
          </cell>
          <cell r="D5480">
            <v>17.010000000000002</v>
          </cell>
          <cell r="E5480">
            <v>8.2899999999999991</v>
          </cell>
          <cell r="H5480">
            <v>45520</v>
          </cell>
          <cell r="I5480">
            <v>0.77555555555555555</v>
          </cell>
          <cell r="J5480">
            <v>23.475555555555555</v>
          </cell>
        </row>
        <row r="5481">
          <cell r="B5481">
            <v>25.46</v>
          </cell>
          <cell r="C5481">
            <v>55.28</v>
          </cell>
          <cell r="D5481">
            <v>16.78</v>
          </cell>
          <cell r="E5481">
            <v>7.99</v>
          </cell>
          <cell r="H5481">
            <v>45520</v>
          </cell>
          <cell r="I5481">
            <v>0.76444444444444448</v>
          </cell>
          <cell r="J5481">
            <v>23.536666666666669</v>
          </cell>
        </row>
        <row r="5482">
          <cell r="B5482">
            <v>23.89</v>
          </cell>
          <cell r="C5482">
            <v>52.64</v>
          </cell>
          <cell r="D5482">
            <v>17.09</v>
          </cell>
          <cell r="E5482">
            <v>7.93</v>
          </cell>
          <cell r="H5482">
            <v>45520</v>
          </cell>
          <cell r="I5482">
            <v>0.73555555555555563</v>
          </cell>
          <cell r="J5482">
            <v>23.621111111111109</v>
          </cell>
        </row>
        <row r="5483">
          <cell r="B5483">
            <v>23.97</v>
          </cell>
          <cell r="C5483">
            <v>53.77</v>
          </cell>
          <cell r="D5483">
            <v>17.670000000000002</v>
          </cell>
          <cell r="E5483">
            <v>7.87</v>
          </cell>
          <cell r="H5483">
            <v>45520</v>
          </cell>
          <cell r="I5483">
            <v>0.73222222222222222</v>
          </cell>
          <cell r="J5483">
            <v>23.812222222222221</v>
          </cell>
        </row>
        <row r="5484">
          <cell r="B5484">
            <v>27.85</v>
          </cell>
          <cell r="C5484">
            <v>59.53</v>
          </cell>
          <cell r="D5484">
            <v>17.510000000000002</v>
          </cell>
          <cell r="E5484">
            <v>8.39</v>
          </cell>
          <cell r="H5484">
            <v>45520</v>
          </cell>
          <cell r="I5484">
            <v>0.73111111111111116</v>
          </cell>
          <cell r="J5484">
            <v>24.403333333333332</v>
          </cell>
        </row>
        <row r="5485">
          <cell r="B5485">
            <v>27.45</v>
          </cell>
          <cell r="C5485">
            <v>58.97</v>
          </cell>
          <cell r="D5485">
            <v>17.88</v>
          </cell>
          <cell r="E5485">
            <v>8.82</v>
          </cell>
          <cell r="H5485">
            <v>45520</v>
          </cell>
          <cell r="I5485">
            <v>0.72111111111111115</v>
          </cell>
          <cell r="J5485">
            <v>25.262222222222221</v>
          </cell>
        </row>
        <row r="5486">
          <cell r="B5486">
            <v>26.97</v>
          </cell>
          <cell r="C5486">
            <v>60.44</v>
          </cell>
          <cell r="D5486">
            <v>19.12</v>
          </cell>
          <cell r="E5486">
            <v>10.09</v>
          </cell>
          <cell r="H5486">
            <v>45520</v>
          </cell>
          <cell r="I5486">
            <v>0.7188888888888888</v>
          </cell>
          <cell r="J5486">
            <v>26.425555555555558</v>
          </cell>
        </row>
        <row r="5487">
          <cell r="B5487">
            <v>25.48</v>
          </cell>
          <cell r="C5487">
            <v>61.52</v>
          </cell>
          <cell r="D5487">
            <v>18.68</v>
          </cell>
          <cell r="E5487">
            <v>9.32</v>
          </cell>
          <cell r="H5487">
            <v>45520</v>
          </cell>
          <cell r="I5487">
            <v>0.7188888888888888</v>
          </cell>
          <cell r="J5487">
            <v>28.971111111111114</v>
          </cell>
        </row>
        <row r="5488">
          <cell r="B5488">
            <v>23.79</v>
          </cell>
          <cell r="C5488">
            <v>57.56</v>
          </cell>
          <cell r="D5488">
            <v>18.12</v>
          </cell>
          <cell r="E5488">
            <v>9.15</v>
          </cell>
          <cell r="H5488">
            <v>45520</v>
          </cell>
          <cell r="I5488">
            <v>0.7155555555555555</v>
          </cell>
          <cell r="J5488">
            <v>30.981111111111108</v>
          </cell>
        </row>
        <row r="5489">
          <cell r="B5489">
            <v>27.32</v>
          </cell>
          <cell r="C5489">
            <v>61.5</v>
          </cell>
          <cell r="D5489">
            <v>19.350000000000001</v>
          </cell>
          <cell r="E5489">
            <v>9.25</v>
          </cell>
          <cell r="H5489">
            <v>45520</v>
          </cell>
          <cell r="I5489">
            <v>0.71777777777777763</v>
          </cell>
          <cell r="J5489">
            <v>33.411111111111119</v>
          </cell>
        </row>
        <row r="5490">
          <cell r="B5490">
            <v>30.58</v>
          </cell>
          <cell r="C5490">
            <v>68.72</v>
          </cell>
          <cell r="D5490">
            <v>19.149999999999999</v>
          </cell>
          <cell r="E5490">
            <v>9.1199999999999992</v>
          </cell>
          <cell r="H5490">
            <v>45520</v>
          </cell>
          <cell r="I5490">
            <v>0.71888888888888891</v>
          </cell>
          <cell r="J5490">
            <v>35.421111111111109</v>
          </cell>
        </row>
        <row r="5491">
          <cell r="B5491">
            <v>32.450000000000003</v>
          </cell>
          <cell r="C5491">
            <v>69.09</v>
          </cell>
          <cell r="D5491">
            <v>22.13</v>
          </cell>
          <cell r="E5491">
            <v>9.4499999999999993</v>
          </cell>
          <cell r="H5491">
            <v>45520</v>
          </cell>
          <cell r="I5491">
            <v>0.74888888888888894</v>
          </cell>
          <cell r="J5491">
            <v>36.27000000000001</v>
          </cell>
        </row>
        <row r="5492">
          <cell r="B5492">
            <v>38.51</v>
          </cell>
          <cell r="C5492">
            <v>81.86</v>
          </cell>
          <cell r="D5492">
            <v>20.89</v>
          </cell>
          <cell r="E5492">
            <v>9.06</v>
          </cell>
          <cell r="H5492">
            <v>45520</v>
          </cell>
          <cell r="I5492">
            <v>0.77444444444444449</v>
          </cell>
          <cell r="J5492">
            <v>36.812222222222225</v>
          </cell>
        </row>
        <row r="5493">
          <cell r="B5493">
            <v>34.229999999999997</v>
          </cell>
          <cell r="C5493">
            <v>60.41</v>
          </cell>
          <cell r="D5493">
            <v>22.76</v>
          </cell>
          <cell r="E5493">
            <v>9.31</v>
          </cell>
          <cell r="H5493">
            <v>45520</v>
          </cell>
          <cell r="I5493">
            <v>0.83888888888888902</v>
          </cell>
          <cell r="J5493">
            <v>36.707777777777778</v>
          </cell>
        </row>
        <row r="5494">
          <cell r="B5494">
            <v>41.08</v>
          </cell>
          <cell r="C5494">
            <v>68.17</v>
          </cell>
          <cell r="D5494">
            <v>22.69</v>
          </cell>
          <cell r="E5494">
            <v>9.4600000000000009</v>
          </cell>
          <cell r="H5494">
            <v>45520</v>
          </cell>
          <cell r="I5494">
            <v>0.89666666666666672</v>
          </cell>
          <cell r="J5494">
            <v>36.466666666666669</v>
          </cell>
        </row>
        <row r="5495">
          <cell r="B5495">
            <v>48.53</v>
          </cell>
          <cell r="C5495">
            <v>75.48</v>
          </cell>
          <cell r="D5495">
            <v>21.32</v>
          </cell>
          <cell r="E5495">
            <v>9.2799999999999994</v>
          </cell>
          <cell r="H5495">
            <v>45520</v>
          </cell>
          <cell r="I5495">
            <v>0.94111111111111123</v>
          </cell>
          <cell r="J5495">
            <v>35.775555555555556</v>
          </cell>
        </row>
        <row r="5496">
          <cell r="B5496">
            <v>47.07</v>
          </cell>
          <cell r="C5496">
            <v>74.61</v>
          </cell>
          <cell r="D5496">
            <v>20.77</v>
          </cell>
          <cell r="E5496">
            <v>9.34</v>
          </cell>
          <cell r="H5496">
            <v>45520</v>
          </cell>
          <cell r="I5496">
            <v>0.96333333333333337</v>
          </cell>
          <cell r="J5496">
            <v>33.596666666666671</v>
          </cell>
        </row>
        <row r="5497">
          <cell r="B5497">
            <v>36.78</v>
          </cell>
          <cell r="C5497">
            <v>66.569999999999993</v>
          </cell>
          <cell r="D5497">
            <v>18.97</v>
          </cell>
          <cell r="E5497">
            <v>9.2200000000000006</v>
          </cell>
          <cell r="H5497">
            <v>45520</v>
          </cell>
          <cell r="I5497">
            <v>0.97000000000000008</v>
          </cell>
          <cell r="J5497">
            <v>32.286666666666669</v>
          </cell>
        </row>
        <row r="5498">
          <cell r="B5498">
            <v>32.71</v>
          </cell>
          <cell r="C5498">
            <v>62.58</v>
          </cell>
          <cell r="D5498">
            <v>18.66</v>
          </cell>
          <cell r="E5498">
            <v>8.77</v>
          </cell>
          <cell r="H5498">
            <v>45521</v>
          </cell>
          <cell r="I5498">
            <v>0.9688888888888888</v>
          </cell>
          <cell r="J5498">
            <v>30.692222222222224</v>
          </cell>
        </row>
        <row r="5499">
          <cell r="B5499">
            <v>26.38</v>
          </cell>
          <cell r="C5499">
            <v>57.77</v>
          </cell>
          <cell r="D5499">
            <v>18.21</v>
          </cell>
          <cell r="E5499">
            <v>8.58</v>
          </cell>
          <cell r="H5499">
            <v>45521</v>
          </cell>
          <cell r="I5499">
            <v>0.9622222222222222</v>
          </cell>
          <cell r="J5499">
            <v>29.126666666666665</v>
          </cell>
        </row>
        <row r="5500">
          <cell r="B5500">
            <v>29.68</v>
          </cell>
          <cell r="C5500">
            <v>61.84</v>
          </cell>
          <cell r="D5500">
            <v>19.25</v>
          </cell>
          <cell r="E5500">
            <v>8.4700000000000006</v>
          </cell>
          <cell r="H5500">
            <v>45521</v>
          </cell>
          <cell r="I5500">
            <v>0.92555555555555558</v>
          </cell>
          <cell r="J5500">
            <v>28.684444444444441</v>
          </cell>
        </row>
        <row r="5501">
          <cell r="B5501">
            <v>36.46</v>
          </cell>
          <cell r="C5501">
            <v>66.069999999999993</v>
          </cell>
          <cell r="D5501">
            <v>18.37</v>
          </cell>
          <cell r="E5501">
            <v>8.3699999999999992</v>
          </cell>
          <cell r="H5501">
            <v>45521</v>
          </cell>
          <cell r="I5501">
            <v>0.88777777777777778</v>
          </cell>
          <cell r="J5501">
            <v>28.423333333333332</v>
          </cell>
        </row>
        <row r="5502">
          <cell r="B5502">
            <v>36.409999999999997</v>
          </cell>
          <cell r="C5502">
            <v>64.89</v>
          </cell>
          <cell r="D5502">
            <v>18.510000000000002</v>
          </cell>
          <cell r="E5502">
            <v>8.34</v>
          </cell>
          <cell r="H5502">
            <v>45521</v>
          </cell>
          <cell r="I5502">
            <v>0.81111111111111112</v>
          </cell>
          <cell r="J5502">
            <v>28.452222222222222</v>
          </cell>
        </row>
        <row r="5503">
          <cell r="B5503">
            <v>31.55</v>
          </cell>
          <cell r="C5503">
            <v>55.17</v>
          </cell>
          <cell r="D5503">
            <v>18.57</v>
          </cell>
          <cell r="E5503">
            <v>8.4499999999999993</v>
          </cell>
          <cell r="H5503">
            <v>45521</v>
          </cell>
          <cell r="I5503">
            <v>0.75888888888888895</v>
          </cell>
          <cell r="J5503">
            <v>28.155555555555555</v>
          </cell>
        </row>
        <row r="5504">
          <cell r="B5504">
            <v>47.05</v>
          </cell>
          <cell r="C5504">
            <v>51.17</v>
          </cell>
          <cell r="D5504">
            <v>18.45</v>
          </cell>
          <cell r="E5504">
            <v>8.6999999999999993</v>
          </cell>
          <cell r="H5504">
            <v>45521</v>
          </cell>
          <cell r="I5504">
            <v>0.72888888888888892</v>
          </cell>
          <cell r="J5504">
            <v>27.880000000000003</v>
          </cell>
        </row>
        <row r="5505">
          <cell r="B5505">
            <v>108.82</v>
          </cell>
          <cell r="C5505">
            <v>55.46</v>
          </cell>
          <cell r="D5505">
            <v>18.09</v>
          </cell>
          <cell r="E5505">
            <v>8.68</v>
          </cell>
          <cell r="H5505">
            <v>45521</v>
          </cell>
          <cell r="I5505">
            <v>0.72777777777777786</v>
          </cell>
          <cell r="J5505">
            <v>27.832222222222224</v>
          </cell>
        </row>
        <row r="5506">
          <cell r="B5506">
            <v>113.73</v>
          </cell>
          <cell r="C5506">
            <v>64.510000000000005</v>
          </cell>
          <cell r="D5506">
            <v>17.71</v>
          </cell>
          <cell r="E5506">
            <v>8.7100000000000009</v>
          </cell>
          <cell r="H5506">
            <v>45521</v>
          </cell>
          <cell r="I5506">
            <v>0.73888888888888893</v>
          </cell>
          <cell r="J5506">
            <v>27.614444444444445</v>
          </cell>
        </row>
        <row r="5507">
          <cell r="B5507">
            <v>106.3</v>
          </cell>
          <cell r="C5507">
            <v>55.88</v>
          </cell>
          <cell r="D5507">
            <v>18.04</v>
          </cell>
          <cell r="E5507">
            <v>8.66</v>
          </cell>
          <cell r="H5507">
            <v>45521</v>
          </cell>
          <cell r="I5507">
            <v>0.75</v>
          </cell>
          <cell r="J5507">
            <v>27.747777777777777</v>
          </cell>
        </row>
        <row r="5508">
          <cell r="B5508">
            <v>96.88</v>
          </cell>
          <cell r="C5508">
            <v>52.69</v>
          </cell>
          <cell r="D5508">
            <v>18.940000000000001</v>
          </cell>
          <cell r="E5508">
            <v>8.58</v>
          </cell>
          <cell r="H5508">
            <v>45521</v>
          </cell>
          <cell r="I5508">
            <v>0.75888888888888872</v>
          </cell>
          <cell r="J5508">
            <v>28.303333333333331</v>
          </cell>
        </row>
        <row r="5509">
          <cell r="B5509">
            <v>57.23</v>
          </cell>
          <cell r="C5509">
            <v>49.47</v>
          </cell>
          <cell r="D5509">
            <v>18.2</v>
          </cell>
          <cell r="E5509">
            <v>9.09</v>
          </cell>
          <cell r="H5509">
            <v>45521</v>
          </cell>
          <cell r="I5509">
            <v>0.75888888888888872</v>
          </cell>
          <cell r="J5509">
            <v>29.008888888888887</v>
          </cell>
        </row>
        <row r="5510">
          <cell r="B5510">
            <v>16.46</v>
          </cell>
          <cell r="C5510">
            <v>44.11</v>
          </cell>
          <cell r="D5510">
            <v>18.829999999999998</v>
          </cell>
          <cell r="E5510">
            <v>9.4499999999999993</v>
          </cell>
          <cell r="H5510">
            <v>45521</v>
          </cell>
          <cell r="I5510">
            <v>0.76111111111111107</v>
          </cell>
          <cell r="J5510">
            <v>29.685555555555553</v>
          </cell>
        </row>
        <row r="5511">
          <cell r="B5511">
            <v>17.440000000000001</v>
          </cell>
          <cell r="C5511">
            <v>45.42</v>
          </cell>
          <cell r="D5511">
            <v>17.260000000000002</v>
          </cell>
          <cell r="E5511">
            <v>9.89</v>
          </cell>
          <cell r="H5511">
            <v>45521</v>
          </cell>
          <cell r="I5511">
            <v>0.7599999999999999</v>
          </cell>
          <cell r="J5511">
            <v>30.512222222222217</v>
          </cell>
        </row>
        <row r="5512">
          <cell r="B5512">
            <v>15.67</v>
          </cell>
          <cell r="C5512">
            <v>43.19</v>
          </cell>
          <cell r="D5512">
            <v>17.690000000000001</v>
          </cell>
          <cell r="E5512">
            <v>9.91</v>
          </cell>
          <cell r="H5512">
            <v>45521</v>
          </cell>
          <cell r="I5512">
            <v>0.74555555555555564</v>
          </cell>
          <cell r="J5512">
            <v>31.540000000000003</v>
          </cell>
        </row>
        <row r="5513">
          <cell r="B5513">
            <v>15.95</v>
          </cell>
          <cell r="C5513">
            <v>42.5</v>
          </cell>
          <cell r="D5513">
            <v>17.850000000000001</v>
          </cell>
          <cell r="E5513">
            <v>10.17</v>
          </cell>
          <cell r="H5513">
            <v>45521</v>
          </cell>
          <cell r="I5513">
            <v>0.72666666666666679</v>
          </cell>
          <cell r="J5513">
            <v>32.471111111111114</v>
          </cell>
        </row>
        <row r="5514">
          <cell r="B5514">
            <v>18.55</v>
          </cell>
          <cell r="C5514">
            <v>45.37</v>
          </cell>
          <cell r="D5514">
            <v>18.100000000000001</v>
          </cell>
          <cell r="E5514">
            <v>10.039999999999999</v>
          </cell>
          <cell r="H5514">
            <v>45521</v>
          </cell>
          <cell r="I5514">
            <v>0.71000000000000008</v>
          </cell>
          <cell r="J5514">
            <v>33.25888888888889</v>
          </cell>
        </row>
        <row r="5515">
          <cell r="B5515">
            <v>18.59</v>
          </cell>
          <cell r="C5515">
            <v>48.97</v>
          </cell>
          <cell r="D5515">
            <v>16.97</v>
          </cell>
          <cell r="E5515">
            <v>8.9</v>
          </cell>
          <cell r="H5515">
            <v>45521</v>
          </cell>
          <cell r="I5515">
            <v>0.69888888888888889</v>
          </cell>
          <cell r="J5515">
            <v>33.205555555555556</v>
          </cell>
        </row>
        <row r="5516">
          <cell r="B5516">
            <v>22.52</v>
          </cell>
          <cell r="C5516">
            <v>56.36</v>
          </cell>
          <cell r="D5516">
            <v>17.5</v>
          </cell>
          <cell r="E5516">
            <v>8.81</v>
          </cell>
          <cell r="H5516">
            <v>45521</v>
          </cell>
          <cell r="I5516">
            <v>0.71222222222222209</v>
          </cell>
          <cell r="J5516">
            <v>32.480000000000004</v>
          </cell>
        </row>
        <row r="5517">
          <cell r="B5517">
            <v>28.94</v>
          </cell>
          <cell r="C5517">
            <v>62.51</v>
          </cell>
          <cell r="D5517">
            <v>18.72</v>
          </cell>
          <cell r="E5517">
            <v>9.2200000000000006</v>
          </cell>
          <cell r="H5517">
            <v>45521</v>
          </cell>
          <cell r="I5517">
            <v>0.74</v>
          </cell>
          <cell r="J5517">
            <v>31.712222222222231</v>
          </cell>
        </row>
        <row r="5518">
          <cell r="B5518">
            <v>35.19</v>
          </cell>
          <cell r="C5518">
            <v>70.3</v>
          </cell>
          <cell r="D5518">
            <v>17.57</v>
          </cell>
          <cell r="E5518">
            <v>9.5</v>
          </cell>
          <cell r="H5518">
            <v>45521</v>
          </cell>
          <cell r="I5518">
            <v>0.74777777777777765</v>
          </cell>
          <cell r="J5518">
            <v>30.826666666666668</v>
          </cell>
        </row>
        <row r="5519">
          <cell r="B5519">
            <v>28.39</v>
          </cell>
          <cell r="C5519">
            <v>61.28</v>
          </cell>
          <cell r="D5519">
            <v>17.420000000000002</v>
          </cell>
          <cell r="E5519">
            <v>9.5399999999999991</v>
          </cell>
          <cell r="H5519">
            <v>45521</v>
          </cell>
          <cell r="I5519">
            <v>0.75222222222222213</v>
          </cell>
          <cell r="J5519">
            <v>29.946666666666665</v>
          </cell>
        </row>
        <row r="5520">
          <cell r="B5520">
            <v>24.38</v>
          </cell>
          <cell r="C5520">
            <v>56.06</v>
          </cell>
          <cell r="D5520">
            <v>17.989999999999998</v>
          </cell>
          <cell r="E5520">
            <v>9.92</v>
          </cell>
          <cell r="H5520">
            <v>45521</v>
          </cell>
          <cell r="I5520">
            <v>0.76777777777777767</v>
          </cell>
          <cell r="J5520">
            <v>28.89222222222222</v>
          </cell>
        </row>
        <row r="5521">
          <cell r="B5521">
            <v>20.99</v>
          </cell>
          <cell r="C5521">
            <v>47.42</v>
          </cell>
          <cell r="D5521">
            <v>17.350000000000001</v>
          </cell>
          <cell r="E5521">
            <v>9.11</v>
          </cell>
          <cell r="H5521">
            <v>45521</v>
          </cell>
          <cell r="I5521">
            <v>0.76555555555555554</v>
          </cell>
          <cell r="J5521">
            <v>27.925555555555555</v>
          </cell>
        </row>
        <row r="5522">
          <cell r="B5522">
            <v>20.59</v>
          </cell>
          <cell r="C5522">
            <v>43.54</v>
          </cell>
          <cell r="D5522">
            <v>16.38</v>
          </cell>
          <cell r="E5522">
            <v>8.89</v>
          </cell>
          <cell r="H5522">
            <v>45522</v>
          </cell>
          <cell r="I5522">
            <v>0.76111111111111107</v>
          </cell>
          <cell r="J5522">
            <v>27.123333333333331</v>
          </cell>
        </row>
        <row r="5523">
          <cell r="B5523">
            <v>20.07</v>
          </cell>
          <cell r="C5523">
            <v>43.66</v>
          </cell>
          <cell r="D5523">
            <v>16.72</v>
          </cell>
          <cell r="E5523">
            <v>9.07</v>
          </cell>
          <cell r="H5523">
            <v>45522</v>
          </cell>
          <cell r="I5523">
            <v>0.74888888888888894</v>
          </cell>
          <cell r="J5523">
            <v>26.361111111111114</v>
          </cell>
        </row>
        <row r="5524">
          <cell r="B5524">
            <v>20.96</v>
          </cell>
          <cell r="C5524">
            <v>44.49</v>
          </cell>
          <cell r="D5524">
            <v>16.739999999999998</v>
          </cell>
          <cell r="E5524">
            <v>9.18</v>
          </cell>
          <cell r="H5524">
            <v>45522</v>
          </cell>
          <cell r="I5524">
            <v>0.73333333333333339</v>
          </cell>
          <cell r="J5524">
            <v>26.200000000000003</v>
          </cell>
        </row>
        <row r="5525">
          <cell r="B5525">
            <v>19.54</v>
          </cell>
          <cell r="C5525">
            <v>44.84</v>
          </cell>
          <cell r="D5525">
            <v>16.559999999999999</v>
          </cell>
          <cell r="E5525">
            <v>9.3000000000000007</v>
          </cell>
          <cell r="H5525">
            <v>45522</v>
          </cell>
          <cell r="I5525">
            <v>0.698888888888889</v>
          </cell>
          <cell r="J5525">
            <v>26.345555555555556</v>
          </cell>
        </row>
        <row r="5526">
          <cell r="B5526">
            <v>20.74</v>
          </cell>
          <cell r="C5526">
            <v>45.45</v>
          </cell>
          <cell r="D5526">
            <v>15.96</v>
          </cell>
          <cell r="E5526">
            <v>9.17</v>
          </cell>
          <cell r="H5526">
            <v>45522</v>
          </cell>
          <cell r="I5526">
            <v>0.6544444444444445</v>
          </cell>
          <cell r="J5526">
            <v>26.401111111111113</v>
          </cell>
        </row>
        <row r="5527">
          <cell r="B5527">
            <v>27.39</v>
          </cell>
          <cell r="C5527">
            <v>51.28</v>
          </cell>
          <cell r="D5527">
            <v>16</v>
          </cell>
          <cell r="E5527">
            <v>9.0299999999999994</v>
          </cell>
          <cell r="H5527">
            <v>45522</v>
          </cell>
          <cell r="I5527">
            <v>0.64111111111111108</v>
          </cell>
          <cell r="J5527">
            <v>26.411111111111111</v>
          </cell>
        </row>
        <row r="5528">
          <cell r="B5528">
            <v>22.43</v>
          </cell>
          <cell r="C5528">
            <v>49.49</v>
          </cell>
          <cell r="D5528">
            <v>16.07</v>
          </cell>
          <cell r="E5528">
            <v>9.1199999999999992</v>
          </cell>
          <cell r="H5528">
            <v>45522</v>
          </cell>
          <cell r="I5528">
            <v>0.64111111111111097</v>
          </cell>
          <cell r="J5528">
            <v>26.345555555555556</v>
          </cell>
        </row>
        <row r="5529">
          <cell r="B5529">
            <v>20.37</v>
          </cell>
          <cell r="C5529">
            <v>45.86</v>
          </cell>
          <cell r="D5529">
            <v>16.12</v>
          </cell>
          <cell r="E5529">
            <v>9.36</v>
          </cell>
          <cell r="H5529">
            <v>45522</v>
          </cell>
          <cell r="I5529">
            <v>0.6366666666666666</v>
          </cell>
          <cell r="J5529">
            <v>26.38666666666667</v>
          </cell>
        </row>
        <row r="5530">
          <cell r="B5530">
            <v>18.55</v>
          </cell>
          <cell r="C5530">
            <v>43.6</v>
          </cell>
          <cell r="D5530">
            <v>15.67</v>
          </cell>
          <cell r="E5530">
            <v>8.74</v>
          </cell>
          <cell r="H5530">
            <v>45522</v>
          </cell>
          <cell r="I5530">
            <v>0.6511111111111112</v>
          </cell>
          <cell r="J5530">
            <v>26.398888888888891</v>
          </cell>
        </row>
        <row r="5531">
          <cell r="B5531">
            <v>17.43</v>
          </cell>
          <cell r="C5531">
            <v>42.46</v>
          </cell>
          <cell r="D5531">
            <v>15.63</v>
          </cell>
          <cell r="E5531">
            <v>8.9499999999999993</v>
          </cell>
          <cell r="H5531">
            <v>45522</v>
          </cell>
          <cell r="I5531">
            <v>0.64999999999999991</v>
          </cell>
          <cell r="J5531">
            <v>26.619999999999997</v>
          </cell>
        </row>
        <row r="5532">
          <cell r="B5532">
            <v>16.11</v>
          </cell>
          <cell r="C5532">
            <v>39.17</v>
          </cell>
          <cell r="D5532">
            <v>15.89</v>
          </cell>
          <cell r="E5532">
            <v>9.2100000000000009</v>
          </cell>
          <cell r="H5532">
            <v>45522</v>
          </cell>
          <cell r="I5532">
            <v>0.64555555555555555</v>
          </cell>
          <cell r="J5532">
            <v>26.970000000000002</v>
          </cell>
        </row>
        <row r="5533">
          <cell r="B5533">
            <v>17.239999999999998</v>
          </cell>
          <cell r="C5533">
            <v>42.29</v>
          </cell>
          <cell r="D5533">
            <v>16.48</v>
          </cell>
          <cell r="E5533">
            <v>8.77</v>
          </cell>
          <cell r="H5533">
            <v>45522</v>
          </cell>
          <cell r="I5533">
            <v>0.64</v>
          </cell>
          <cell r="J5533">
            <v>27.423333333333336</v>
          </cell>
        </row>
        <row r="5534">
          <cell r="B5534">
            <v>16.71</v>
          </cell>
          <cell r="C5534">
            <v>41.96</v>
          </cell>
          <cell r="D5534">
            <v>16.05</v>
          </cell>
          <cell r="E5534">
            <v>8.85</v>
          </cell>
          <cell r="H5534">
            <v>45522</v>
          </cell>
          <cell r="I5534">
            <v>0.63555555555555565</v>
          </cell>
          <cell r="J5534">
            <v>28.295555555555559</v>
          </cell>
        </row>
        <row r="5535">
          <cell r="B5535">
            <v>18.190000000000001</v>
          </cell>
          <cell r="C5535">
            <v>44.82</v>
          </cell>
          <cell r="D5535">
            <v>16.23</v>
          </cell>
          <cell r="E5535">
            <v>8.9</v>
          </cell>
          <cell r="H5535">
            <v>45522</v>
          </cell>
          <cell r="I5535">
            <v>0.63</v>
          </cell>
          <cell r="J5535">
            <v>29.188888888888894</v>
          </cell>
        </row>
        <row r="5536">
          <cell r="B5536">
            <v>20.14</v>
          </cell>
          <cell r="C5536">
            <v>49.16</v>
          </cell>
          <cell r="D5536">
            <v>15.79</v>
          </cell>
          <cell r="E5536">
            <v>10.029999999999999</v>
          </cell>
          <cell r="H5536">
            <v>45522</v>
          </cell>
          <cell r="I5536">
            <v>0.62777777777777777</v>
          </cell>
          <cell r="J5536">
            <v>29.916666666666668</v>
          </cell>
        </row>
        <row r="5537">
          <cell r="B5537">
            <v>22.2</v>
          </cell>
          <cell r="C5537">
            <v>49.39</v>
          </cell>
          <cell r="D5537">
            <v>16.13</v>
          </cell>
          <cell r="E5537">
            <v>8.84</v>
          </cell>
          <cell r="H5537">
            <v>45522</v>
          </cell>
          <cell r="I5537">
            <v>0.62666666666666659</v>
          </cell>
          <cell r="J5537">
            <v>30.35777777777778</v>
          </cell>
        </row>
        <row r="5538">
          <cell r="B5538">
            <v>27.22</v>
          </cell>
          <cell r="C5538">
            <v>56.53</v>
          </cell>
          <cell r="D5538">
            <v>17.16</v>
          </cell>
          <cell r="E5538">
            <v>8.92</v>
          </cell>
          <cell r="H5538">
            <v>45522</v>
          </cell>
          <cell r="I5538">
            <v>0.6366666666666666</v>
          </cell>
          <cell r="J5538">
            <v>30.38333333333334</v>
          </cell>
        </row>
        <row r="5539">
          <cell r="B5539">
            <v>29.13</v>
          </cell>
          <cell r="C5539">
            <v>47.24</v>
          </cell>
          <cell r="D5539">
            <v>16.88</v>
          </cell>
          <cell r="E5539">
            <v>9.4700000000000006</v>
          </cell>
          <cell r="H5539">
            <v>45522</v>
          </cell>
          <cell r="I5539">
            <v>0.65666666666666673</v>
          </cell>
          <cell r="J5539">
            <v>30.172222222222224</v>
          </cell>
        </row>
        <row r="5540">
          <cell r="B5540">
            <v>24.56</v>
          </cell>
          <cell r="C5540">
            <v>39.33</v>
          </cell>
          <cell r="D5540">
            <v>17.96</v>
          </cell>
          <cell r="E5540">
            <v>9.39</v>
          </cell>
          <cell r="H5540">
            <v>45522</v>
          </cell>
          <cell r="I5540">
            <v>0.69555555555555559</v>
          </cell>
          <cell r="J5540">
            <v>29.75333333333333</v>
          </cell>
        </row>
        <row r="5541">
          <cell r="B5541">
            <v>27.57</v>
          </cell>
          <cell r="C5541">
            <v>48.89</v>
          </cell>
          <cell r="D5541">
            <v>18.47</v>
          </cell>
          <cell r="E5541">
            <v>9.99</v>
          </cell>
          <cell r="H5541">
            <v>45522</v>
          </cell>
          <cell r="I5541">
            <v>0.75777777777777777</v>
          </cell>
          <cell r="J5541">
            <v>28.994444444444444</v>
          </cell>
        </row>
        <row r="5542">
          <cell r="B5542">
            <v>32.39</v>
          </cell>
          <cell r="C5542">
            <v>61.36</v>
          </cell>
          <cell r="D5542">
            <v>19.91</v>
          </cell>
          <cell r="E5542">
            <v>10.54</v>
          </cell>
          <cell r="H5542">
            <v>45522</v>
          </cell>
          <cell r="I5542">
            <v>0.84000000000000008</v>
          </cell>
          <cell r="J5542">
            <v>28.083333333333329</v>
          </cell>
        </row>
        <row r="5543">
          <cell r="B5543">
            <v>36.29</v>
          </cell>
          <cell r="C5543">
            <v>70.75</v>
          </cell>
          <cell r="D5543">
            <v>20.65</v>
          </cell>
          <cell r="E5543">
            <v>10.8</v>
          </cell>
          <cell r="H5543">
            <v>45522</v>
          </cell>
          <cell r="I5543">
            <v>0.92555555555555558</v>
          </cell>
          <cell r="J5543">
            <v>26.764444444444443</v>
          </cell>
        </row>
        <row r="5544">
          <cell r="B5544">
            <v>39.020000000000003</v>
          </cell>
          <cell r="C5544">
            <v>72.37</v>
          </cell>
          <cell r="D5544">
            <v>20.41</v>
          </cell>
          <cell r="E5544">
            <v>10.92</v>
          </cell>
          <cell r="H5544">
            <v>45522</v>
          </cell>
          <cell r="I5544">
            <v>1.0111111111111111</v>
          </cell>
          <cell r="J5544">
            <v>25.453333333333333</v>
          </cell>
        </row>
        <row r="5545">
          <cell r="B5545">
            <v>38.28</v>
          </cell>
          <cell r="C5545">
            <v>72.209999999999994</v>
          </cell>
          <cell r="D5545">
            <v>19.43</v>
          </cell>
          <cell r="E5545">
            <v>10.4</v>
          </cell>
          <cell r="H5545">
            <v>45522</v>
          </cell>
          <cell r="I5545">
            <v>1.068888888888889</v>
          </cell>
          <cell r="J5545">
            <v>24.266666666666669</v>
          </cell>
        </row>
        <row r="5546">
          <cell r="B5546">
            <v>34.5</v>
          </cell>
          <cell r="C5546">
            <v>70.89</v>
          </cell>
          <cell r="D5546">
            <v>18.239999999999998</v>
          </cell>
          <cell r="E5546">
            <v>9.86</v>
          </cell>
          <cell r="H5546">
            <v>45523</v>
          </cell>
          <cell r="I5546">
            <v>1.068888888888889</v>
          </cell>
          <cell r="J5546">
            <v>23.537777777777777</v>
          </cell>
        </row>
        <row r="5547">
          <cell r="B5547">
            <v>29.06</v>
          </cell>
          <cell r="C5547">
            <v>59.73</v>
          </cell>
          <cell r="D5547">
            <v>17.18</v>
          </cell>
          <cell r="E5547">
            <v>9.19</v>
          </cell>
          <cell r="H5547">
            <v>45523</v>
          </cell>
          <cell r="I5547">
            <v>1.0477777777777777</v>
          </cell>
          <cell r="J5547">
            <v>23.17</v>
          </cell>
        </row>
        <row r="5548">
          <cell r="B5548">
            <v>25.31</v>
          </cell>
          <cell r="C5548">
            <v>50.5</v>
          </cell>
          <cell r="D5548">
            <v>16.53</v>
          </cell>
          <cell r="E5548">
            <v>8.5299999999999994</v>
          </cell>
          <cell r="H5548">
            <v>45523</v>
          </cell>
          <cell r="I5548">
            <v>1.0144444444444443</v>
          </cell>
          <cell r="J5548">
            <v>22.998888888888885</v>
          </cell>
        </row>
        <row r="5549">
          <cell r="B5549">
            <v>28.63</v>
          </cell>
          <cell r="C5549">
            <v>52.77</v>
          </cell>
          <cell r="D5549">
            <v>16.86</v>
          </cell>
          <cell r="E5549">
            <v>8.43</v>
          </cell>
          <cell r="H5549">
            <v>45523</v>
          </cell>
          <cell r="I5549">
            <v>0.97777777777777763</v>
          </cell>
          <cell r="J5549">
            <v>22.801111111111108</v>
          </cell>
        </row>
        <row r="5550">
          <cell r="B5550">
            <v>29.96</v>
          </cell>
          <cell r="C5550">
            <v>52.11</v>
          </cell>
          <cell r="D5550">
            <v>16.670000000000002</v>
          </cell>
          <cell r="E5550">
            <v>8.59</v>
          </cell>
          <cell r="H5550">
            <v>45523</v>
          </cell>
          <cell r="I5550">
            <v>0.92555555555555558</v>
          </cell>
          <cell r="J5550">
            <v>22.727777777777778</v>
          </cell>
        </row>
        <row r="5551">
          <cell r="B5551">
            <v>29.6</v>
          </cell>
          <cell r="C5551">
            <v>51.3</v>
          </cell>
          <cell r="D5551">
            <v>17.010000000000002</v>
          </cell>
          <cell r="E5551">
            <v>8.5</v>
          </cell>
          <cell r="H5551">
            <v>45523</v>
          </cell>
          <cell r="I5551">
            <v>0.85000000000000009</v>
          </cell>
          <cell r="J5551">
            <v>22.9</v>
          </cell>
        </row>
        <row r="5552">
          <cell r="B5552">
            <v>26.18</v>
          </cell>
          <cell r="C5552">
            <v>49.99</v>
          </cell>
          <cell r="D5552">
            <v>17.27</v>
          </cell>
          <cell r="E5552">
            <v>8.1300000000000008</v>
          </cell>
          <cell r="H5552">
            <v>45523</v>
          </cell>
          <cell r="I5552">
            <v>0.76666666666666661</v>
          </cell>
          <cell r="J5552">
            <v>23.048888888888889</v>
          </cell>
        </row>
        <row r="5553">
          <cell r="B5553">
            <v>31.24</v>
          </cell>
          <cell r="C5553">
            <v>48.63</v>
          </cell>
          <cell r="D5553">
            <v>16.62</v>
          </cell>
          <cell r="E5553">
            <v>8.09</v>
          </cell>
          <cell r="H5553">
            <v>45523</v>
          </cell>
          <cell r="I5553">
            <v>0.68666666666666665</v>
          </cell>
          <cell r="J5553">
            <v>23.237777777777779</v>
          </cell>
        </row>
        <row r="5554">
          <cell r="B5554">
            <v>31.77</v>
          </cell>
          <cell r="C5554">
            <v>55.91</v>
          </cell>
          <cell r="D5554">
            <v>16.559999999999999</v>
          </cell>
          <cell r="E5554">
            <v>8.57</v>
          </cell>
          <cell r="H5554">
            <v>45523</v>
          </cell>
          <cell r="I5554">
            <v>0.64444444444444438</v>
          </cell>
          <cell r="J5554">
            <v>23.58111111111111</v>
          </cell>
        </row>
        <row r="5555">
          <cell r="B5555">
            <v>49.35</v>
          </cell>
          <cell r="C5555">
            <v>53.89</v>
          </cell>
          <cell r="D5555">
            <v>16.899999999999999</v>
          </cell>
          <cell r="E5555">
            <v>8.4600000000000009</v>
          </cell>
          <cell r="H5555">
            <v>45523</v>
          </cell>
          <cell r="I5555">
            <v>0.65444444444444438</v>
          </cell>
          <cell r="J5555">
            <v>24.00888888888889</v>
          </cell>
        </row>
        <row r="5556">
          <cell r="B5556">
            <v>41.76</v>
          </cell>
          <cell r="C5556">
            <v>54.37</v>
          </cell>
          <cell r="D5556">
            <v>17.079999999999998</v>
          </cell>
          <cell r="E5556">
            <v>8.76</v>
          </cell>
          <cell r="H5556">
            <v>45523</v>
          </cell>
          <cell r="I5556">
            <v>0.6677777777777778</v>
          </cell>
          <cell r="J5556">
            <v>24.42</v>
          </cell>
        </row>
        <row r="5557">
          <cell r="B5557">
            <v>21.74</v>
          </cell>
          <cell r="C5557">
            <v>53.91</v>
          </cell>
          <cell r="D5557">
            <v>17.47</v>
          </cell>
          <cell r="E5557">
            <v>8.4499999999999993</v>
          </cell>
          <cell r="H5557">
            <v>45523</v>
          </cell>
          <cell r="I5557">
            <v>0.67666666666666664</v>
          </cell>
          <cell r="J5557">
            <v>25.072222222222223</v>
          </cell>
        </row>
        <row r="5558">
          <cell r="B5558">
            <v>19.27</v>
          </cell>
          <cell r="C5558">
            <v>54.04</v>
          </cell>
          <cell r="D5558">
            <v>18.239999999999998</v>
          </cell>
          <cell r="E5558">
            <v>8.44</v>
          </cell>
          <cell r="H5558">
            <v>45523</v>
          </cell>
          <cell r="I5558">
            <v>0.68333333333333313</v>
          </cell>
          <cell r="J5558">
            <v>26.086666666666666</v>
          </cell>
        </row>
        <row r="5559">
          <cell r="B5559">
            <v>19.239999999999998</v>
          </cell>
          <cell r="C5559">
            <v>54.09</v>
          </cell>
          <cell r="D5559">
            <v>17.420000000000002</v>
          </cell>
          <cell r="E5559">
            <v>8.39</v>
          </cell>
          <cell r="H5559">
            <v>45523</v>
          </cell>
          <cell r="I5559">
            <v>0.68555555555555536</v>
          </cell>
          <cell r="J5559">
            <v>27.741111111111113</v>
          </cell>
        </row>
        <row r="5560">
          <cell r="B5560">
            <v>18.170000000000002</v>
          </cell>
          <cell r="C5560">
            <v>50.58</v>
          </cell>
          <cell r="D5560">
            <v>17.38</v>
          </cell>
          <cell r="E5560">
            <v>8.61</v>
          </cell>
          <cell r="H5560">
            <v>45523</v>
          </cell>
          <cell r="I5560">
            <v>0.68777777777777771</v>
          </cell>
          <cell r="J5560">
            <v>28.776666666666667</v>
          </cell>
        </row>
        <row r="5561">
          <cell r="B5561">
            <v>18.86</v>
          </cell>
          <cell r="C5561">
            <v>56.78</v>
          </cell>
          <cell r="D5561">
            <v>18.38</v>
          </cell>
          <cell r="E5561">
            <v>8.2899999999999991</v>
          </cell>
          <cell r="H5561">
            <v>45523</v>
          </cell>
          <cell r="I5561">
            <v>0.70888888888888879</v>
          </cell>
          <cell r="J5561">
            <v>29.464444444444446</v>
          </cell>
        </row>
        <row r="5562">
          <cell r="B5562">
            <v>26.5</v>
          </cell>
          <cell r="C5562">
            <v>68.989999999999995</v>
          </cell>
          <cell r="D5562">
            <v>18.86</v>
          </cell>
          <cell r="E5562">
            <v>8.09</v>
          </cell>
          <cell r="H5562">
            <v>45523</v>
          </cell>
          <cell r="I5562">
            <v>0.73111111111111116</v>
          </cell>
          <cell r="J5562">
            <v>29.887777777777778</v>
          </cell>
        </row>
        <row r="5563">
          <cell r="B5563">
            <v>28.2</v>
          </cell>
          <cell r="C5563">
            <v>67.02</v>
          </cell>
          <cell r="D5563">
            <v>19.32</v>
          </cell>
          <cell r="E5563">
            <v>8.1999999999999993</v>
          </cell>
          <cell r="H5563">
            <v>45523</v>
          </cell>
          <cell r="I5563">
            <v>0.7366666666666668</v>
          </cell>
          <cell r="J5563">
            <v>30.05222222222222</v>
          </cell>
        </row>
        <row r="5564">
          <cell r="B5564">
            <v>28.12</v>
          </cell>
          <cell r="C5564">
            <v>65.42</v>
          </cell>
          <cell r="D5564">
            <v>20.12</v>
          </cell>
          <cell r="E5564">
            <v>8.69</v>
          </cell>
          <cell r="H5564">
            <v>45523</v>
          </cell>
          <cell r="I5564">
            <v>0.75111111111111128</v>
          </cell>
          <cell r="J5564">
            <v>29.856666666666669</v>
          </cell>
        </row>
        <row r="5565">
          <cell r="B5565">
            <v>33.49</v>
          </cell>
          <cell r="C5565">
            <v>67.739999999999995</v>
          </cell>
          <cell r="D5565">
            <v>18.89</v>
          </cell>
          <cell r="E5565">
            <v>7.82</v>
          </cell>
          <cell r="H5565">
            <v>45523</v>
          </cell>
          <cell r="I5565">
            <v>0.76111111111111107</v>
          </cell>
          <cell r="J5565">
            <v>29.702222222222229</v>
          </cell>
        </row>
        <row r="5566">
          <cell r="B5566">
            <v>27.74</v>
          </cell>
          <cell r="C5566">
            <v>55.41</v>
          </cell>
          <cell r="D5566">
            <v>18.18</v>
          </cell>
          <cell r="E5566">
            <v>7.91</v>
          </cell>
          <cell r="H5566">
            <v>45523</v>
          </cell>
          <cell r="I5566">
            <v>0.76444444444444448</v>
          </cell>
          <cell r="J5566">
            <v>29.304444444444446</v>
          </cell>
        </row>
        <row r="5567">
          <cell r="B5567">
            <v>21.32</v>
          </cell>
          <cell r="C5567">
            <v>50.08</v>
          </cell>
          <cell r="D5567">
            <v>17.79</v>
          </cell>
          <cell r="E5567">
            <v>7.63</v>
          </cell>
          <cell r="H5567">
            <v>45523</v>
          </cell>
          <cell r="I5567">
            <v>0.75888888888888895</v>
          </cell>
          <cell r="J5567">
            <v>28.471111111111107</v>
          </cell>
        </row>
        <row r="5568">
          <cell r="B5568">
            <v>20.7</v>
          </cell>
          <cell r="C5568">
            <v>46.01</v>
          </cell>
          <cell r="D5568">
            <v>16.97</v>
          </cell>
          <cell r="E5568">
            <v>7.82</v>
          </cell>
          <cell r="H5568">
            <v>45523</v>
          </cell>
          <cell r="I5568">
            <v>0.75555555555555565</v>
          </cell>
          <cell r="J5568">
            <v>27.259999999999998</v>
          </cell>
        </row>
        <row r="5569">
          <cell r="B5569">
            <v>20.39</v>
          </cell>
          <cell r="C5569">
            <v>43.03</v>
          </cell>
          <cell r="D5569">
            <v>16.52</v>
          </cell>
          <cell r="E5569">
            <v>7.43</v>
          </cell>
          <cell r="H5569">
            <v>45523</v>
          </cell>
          <cell r="I5569">
            <v>0.75444444444444447</v>
          </cell>
          <cell r="J5569">
            <v>26.453333333333333</v>
          </cell>
        </row>
        <row r="5570">
          <cell r="B5570">
            <v>19.3</v>
          </cell>
          <cell r="C5570">
            <v>41.36</v>
          </cell>
          <cell r="D5570">
            <v>16.309999999999999</v>
          </cell>
          <cell r="E5570">
            <v>7.96</v>
          </cell>
          <cell r="H5570">
            <v>45524</v>
          </cell>
          <cell r="I5570">
            <v>0.73333333333333328</v>
          </cell>
          <cell r="J5570">
            <v>25.995555555555558</v>
          </cell>
        </row>
        <row r="5571">
          <cell r="B5571">
            <v>17.100000000000001</v>
          </cell>
          <cell r="C5571">
            <v>35.409999999999997</v>
          </cell>
          <cell r="D5571">
            <v>16.21</v>
          </cell>
          <cell r="E5571">
            <v>8.16</v>
          </cell>
          <cell r="H5571">
            <v>45524</v>
          </cell>
          <cell r="I5571">
            <v>0.71333333333333326</v>
          </cell>
          <cell r="J5571">
            <v>25.728888888888893</v>
          </cell>
        </row>
        <row r="5572">
          <cell r="B5572">
            <v>18.649999999999999</v>
          </cell>
          <cell r="C5572">
            <v>39.46</v>
          </cell>
          <cell r="D5572">
            <v>15.86</v>
          </cell>
          <cell r="E5572">
            <v>8.0500000000000007</v>
          </cell>
          <cell r="H5572">
            <v>45524</v>
          </cell>
          <cell r="I5572">
            <v>0.69666666666666666</v>
          </cell>
          <cell r="J5572">
            <v>25.695555555555558</v>
          </cell>
        </row>
        <row r="5573">
          <cell r="B5573">
            <v>15.54</v>
          </cell>
          <cell r="C5573">
            <v>37.549999999999997</v>
          </cell>
          <cell r="D5573">
            <v>15.83</v>
          </cell>
          <cell r="E5573">
            <v>7.92</v>
          </cell>
          <cell r="H5573">
            <v>45524</v>
          </cell>
          <cell r="I5573">
            <v>0.66888888888888876</v>
          </cell>
          <cell r="J5573">
            <v>25.921111111111109</v>
          </cell>
        </row>
        <row r="5574">
          <cell r="B5574">
            <v>20.76</v>
          </cell>
          <cell r="C5574">
            <v>48.96</v>
          </cell>
          <cell r="D5574">
            <v>15.82</v>
          </cell>
          <cell r="E5574">
            <v>8.08</v>
          </cell>
          <cell r="H5574">
            <v>45524</v>
          </cell>
          <cell r="I5574">
            <v>0.64999999999999991</v>
          </cell>
          <cell r="J5574">
            <v>26.082222222222224</v>
          </cell>
        </row>
        <row r="5575">
          <cell r="B5575">
            <v>22.85</v>
          </cell>
          <cell r="C5575">
            <v>54.63</v>
          </cell>
          <cell r="D5575">
            <v>16.16</v>
          </cell>
          <cell r="E5575">
            <v>8.43</v>
          </cell>
          <cell r="H5575">
            <v>45524</v>
          </cell>
          <cell r="I5575">
            <v>0.64777777777777779</v>
          </cell>
          <cell r="J5575">
            <v>26.207777777777778</v>
          </cell>
        </row>
        <row r="5576">
          <cell r="B5576">
            <v>24.48</v>
          </cell>
          <cell r="C5576">
            <v>58.81</v>
          </cell>
          <cell r="D5576">
            <v>17.28</v>
          </cell>
          <cell r="E5576">
            <v>8.31</v>
          </cell>
          <cell r="H5576">
            <v>45524</v>
          </cell>
          <cell r="I5576">
            <v>0.65888888888888908</v>
          </cell>
          <cell r="J5576">
            <v>26.314444444444444</v>
          </cell>
        </row>
        <row r="5577">
          <cell r="B5577">
            <v>22.14</v>
          </cell>
          <cell r="C5577">
            <v>52.91</v>
          </cell>
          <cell r="D5577">
            <v>17.88</v>
          </cell>
          <cell r="E5577">
            <v>8.2100000000000009</v>
          </cell>
          <cell r="H5577">
            <v>45524</v>
          </cell>
          <cell r="I5577">
            <v>0.66777777777777791</v>
          </cell>
          <cell r="J5577">
            <v>26.188888888888886</v>
          </cell>
        </row>
        <row r="5578">
          <cell r="B5578">
            <v>20.38</v>
          </cell>
          <cell r="C5578">
            <v>51.63</v>
          </cell>
          <cell r="D5578">
            <v>17.34</v>
          </cell>
          <cell r="E5578">
            <v>8.14</v>
          </cell>
          <cell r="H5578">
            <v>45524</v>
          </cell>
          <cell r="I5578">
            <v>0.68222222222222229</v>
          </cell>
          <cell r="J5578">
            <v>26.28</v>
          </cell>
        </row>
        <row r="5579">
          <cell r="B5579">
            <v>19.04</v>
          </cell>
          <cell r="C5579">
            <v>49.83</v>
          </cell>
          <cell r="D5579">
            <v>16.829999999999998</v>
          </cell>
          <cell r="E5579">
            <v>8.33</v>
          </cell>
          <cell r="H5579">
            <v>45524</v>
          </cell>
          <cell r="I5579">
            <v>0.70111111111111102</v>
          </cell>
          <cell r="J5579">
            <v>26.540000000000003</v>
          </cell>
        </row>
        <row r="5580">
          <cell r="B5580">
            <v>17.38</v>
          </cell>
          <cell r="C5580">
            <v>49.81</v>
          </cell>
          <cell r="D5580">
            <v>17.170000000000002</v>
          </cell>
          <cell r="E5580">
            <v>8.1999999999999993</v>
          </cell>
          <cell r="H5580">
            <v>45524</v>
          </cell>
          <cell r="I5580">
            <v>0.7155555555555555</v>
          </cell>
          <cell r="J5580">
            <v>27.182222222222222</v>
          </cell>
        </row>
        <row r="5581">
          <cell r="B5581">
            <v>18.670000000000002</v>
          </cell>
          <cell r="C5581">
            <v>51.46</v>
          </cell>
          <cell r="D5581">
            <v>18.05</v>
          </cell>
          <cell r="E5581">
            <v>8.82</v>
          </cell>
          <cell r="H5581">
            <v>45524</v>
          </cell>
          <cell r="I5581">
            <v>0.72888888888888881</v>
          </cell>
          <cell r="J5581">
            <v>28.512222222222224</v>
          </cell>
        </row>
        <row r="5582">
          <cell r="B5582">
            <v>19.79</v>
          </cell>
          <cell r="C5582">
            <v>50.49</v>
          </cell>
          <cell r="D5582">
            <v>18.190000000000001</v>
          </cell>
          <cell r="E5582">
            <v>9.5299999999999994</v>
          </cell>
          <cell r="H5582">
            <v>45524</v>
          </cell>
          <cell r="I5582">
            <v>0.73666666666666669</v>
          </cell>
          <cell r="J5582">
            <v>30.305555555555557</v>
          </cell>
        </row>
        <row r="5583">
          <cell r="B5583">
            <v>22.32</v>
          </cell>
          <cell r="C5583">
            <v>54.39</v>
          </cell>
          <cell r="D5583">
            <v>17.68</v>
          </cell>
          <cell r="E5583">
            <v>9.43</v>
          </cell>
          <cell r="H5583">
            <v>45524</v>
          </cell>
          <cell r="I5583">
            <v>0.73888888888888893</v>
          </cell>
          <cell r="J5583">
            <v>32.916666666666664</v>
          </cell>
        </row>
        <row r="5584">
          <cell r="B5584">
            <v>23.74</v>
          </cell>
          <cell r="C5584">
            <v>53.83</v>
          </cell>
          <cell r="D5584">
            <v>16.86</v>
          </cell>
          <cell r="E5584">
            <v>8.83</v>
          </cell>
          <cell r="H5584">
            <v>45524</v>
          </cell>
          <cell r="I5584">
            <v>0.73444444444444446</v>
          </cell>
          <cell r="J5584">
            <v>34.762222222222221</v>
          </cell>
        </row>
        <row r="5585">
          <cell r="B5585">
            <v>22.36</v>
          </cell>
          <cell r="C5585">
            <v>51.84</v>
          </cell>
          <cell r="D5585">
            <v>16.07</v>
          </cell>
          <cell r="E5585">
            <v>8.26</v>
          </cell>
          <cell r="H5585">
            <v>45524</v>
          </cell>
          <cell r="I5585">
            <v>0.72444444444444445</v>
          </cell>
          <cell r="J5585">
            <v>35.603333333333332</v>
          </cell>
        </row>
        <row r="5586">
          <cell r="B5586">
            <v>21.83</v>
          </cell>
          <cell r="C5586">
            <v>47.91</v>
          </cell>
          <cell r="D5586">
            <v>16.489999999999998</v>
          </cell>
          <cell r="E5586">
            <v>8.57</v>
          </cell>
          <cell r="H5586">
            <v>45524</v>
          </cell>
          <cell r="I5586">
            <v>0.71888888888888891</v>
          </cell>
          <cell r="J5586">
            <v>35.853333333333332</v>
          </cell>
        </row>
        <row r="5587">
          <cell r="B5587">
            <v>24.09</v>
          </cell>
          <cell r="C5587">
            <v>51.62</v>
          </cell>
          <cell r="D5587">
            <v>16.920000000000002</v>
          </cell>
          <cell r="E5587">
            <v>8.42</v>
          </cell>
          <cell r="H5587">
            <v>45524</v>
          </cell>
          <cell r="I5587">
            <v>0.72555555555555562</v>
          </cell>
          <cell r="J5587">
            <v>35.908888888888896</v>
          </cell>
        </row>
        <row r="5588">
          <cell r="B5588">
            <v>23.5</v>
          </cell>
          <cell r="C5588">
            <v>52.02</v>
          </cell>
          <cell r="D5588">
            <v>18.97</v>
          </cell>
          <cell r="E5588">
            <v>8.51</v>
          </cell>
          <cell r="H5588">
            <v>45524</v>
          </cell>
          <cell r="I5588">
            <v>0.7533333333333333</v>
          </cell>
          <cell r="J5588">
            <v>35.391111111111115</v>
          </cell>
        </row>
        <row r="5589">
          <cell r="B5589">
            <v>23.49</v>
          </cell>
          <cell r="C5589">
            <v>50.13</v>
          </cell>
          <cell r="D5589">
            <v>19.850000000000001</v>
          </cell>
          <cell r="E5589">
            <v>8.48</v>
          </cell>
          <cell r="H5589">
            <v>45524</v>
          </cell>
          <cell r="I5589">
            <v>0.80555555555555558</v>
          </cell>
          <cell r="J5589">
            <v>34.522222222222226</v>
          </cell>
        </row>
        <row r="5590">
          <cell r="B5590">
            <v>22.81</v>
          </cell>
          <cell r="C5590">
            <v>51.38</v>
          </cell>
          <cell r="D5590">
            <v>19.03</v>
          </cell>
          <cell r="E5590">
            <v>8.7799999999999994</v>
          </cell>
          <cell r="H5590">
            <v>45524</v>
          </cell>
          <cell r="I5590">
            <v>0.8566666666666668</v>
          </cell>
          <cell r="J5590">
            <v>32.813333333333325</v>
          </cell>
        </row>
        <row r="5591">
          <cell r="B5591">
            <v>27.33</v>
          </cell>
          <cell r="C5591">
            <v>58.37</v>
          </cell>
          <cell r="D5591">
            <v>18.2</v>
          </cell>
          <cell r="E5591">
            <v>8.5299999999999994</v>
          </cell>
          <cell r="H5591">
            <v>45524</v>
          </cell>
          <cell r="I5591">
            <v>0.90666666666666673</v>
          </cell>
          <cell r="J5591">
            <v>30.403333333333332</v>
          </cell>
        </row>
        <row r="5592">
          <cell r="B5592">
            <v>30.63</v>
          </cell>
          <cell r="C5592">
            <v>60.4</v>
          </cell>
          <cell r="D5592">
            <v>16.39</v>
          </cell>
          <cell r="E5592">
            <v>8.06</v>
          </cell>
          <cell r="H5592">
            <v>45524</v>
          </cell>
          <cell r="I5592">
            <v>0.90999999999999992</v>
          </cell>
          <cell r="J5592">
            <v>27.61</v>
          </cell>
        </row>
        <row r="5593">
          <cell r="B5593">
            <v>27.13</v>
          </cell>
          <cell r="C5593">
            <v>48.36</v>
          </cell>
          <cell r="D5593">
            <v>15.63</v>
          </cell>
          <cell r="E5593">
            <v>7.36</v>
          </cell>
          <cell r="H5593">
            <v>45524</v>
          </cell>
          <cell r="I5593">
            <v>0.9044444444444445</v>
          </cell>
          <cell r="J5593">
            <v>25.582222222222224</v>
          </cell>
        </row>
        <row r="5594">
          <cell r="B5594">
            <v>24.74</v>
          </cell>
          <cell r="C5594">
            <v>48.89</v>
          </cell>
          <cell r="D5594">
            <v>14.95</v>
          </cell>
          <cell r="E5594">
            <v>7.6</v>
          </cell>
          <cell r="H5594">
            <v>45525</v>
          </cell>
          <cell r="I5594">
            <v>0.89111111111111108</v>
          </cell>
          <cell r="J5594">
            <v>24.607777777777773</v>
          </cell>
        </row>
        <row r="5595">
          <cell r="B5595">
            <v>19.420000000000002</v>
          </cell>
          <cell r="C5595">
            <v>38.53</v>
          </cell>
          <cell r="D5595">
            <v>14.91</v>
          </cell>
          <cell r="E5595">
            <v>7.34</v>
          </cell>
          <cell r="H5595">
            <v>45525</v>
          </cell>
          <cell r="I5595">
            <v>0.87111111111111106</v>
          </cell>
          <cell r="J5595">
            <v>24.203333333333333</v>
          </cell>
        </row>
        <row r="5596">
          <cell r="B5596">
            <v>17.920000000000002</v>
          </cell>
          <cell r="C5596">
            <v>32.97</v>
          </cell>
          <cell r="D5596">
            <v>14.4</v>
          </cell>
          <cell r="E5596">
            <v>7.16</v>
          </cell>
          <cell r="H5596">
            <v>45525</v>
          </cell>
          <cell r="I5596">
            <v>0.83666666666666656</v>
          </cell>
          <cell r="J5596">
            <v>23.833333333333329</v>
          </cell>
        </row>
        <row r="5597">
          <cell r="B5597">
            <v>17.75</v>
          </cell>
          <cell r="C5597">
            <v>29.25</v>
          </cell>
          <cell r="D5597">
            <v>14.6</v>
          </cell>
          <cell r="E5597">
            <v>7.52</v>
          </cell>
          <cell r="H5597">
            <v>45525</v>
          </cell>
          <cell r="I5597">
            <v>0.78222222222222226</v>
          </cell>
          <cell r="J5597">
            <v>23.976666666666663</v>
          </cell>
        </row>
        <row r="5598">
          <cell r="B5598">
            <v>16.649999999999999</v>
          </cell>
          <cell r="C5598">
            <v>28.48</v>
          </cell>
          <cell r="D5598">
            <v>14.91</v>
          </cell>
          <cell r="E5598">
            <v>7.66</v>
          </cell>
          <cell r="H5598">
            <v>45525</v>
          </cell>
          <cell r="I5598">
            <v>0.70555555555555549</v>
          </cell>
          <cell r="J5598">
            <v>24.141111111111108</v>
          </cell>
        </row>
        <row r="5599">
          <cell r="B5599">
            <v>14.59</v>
          </cell>
          <cell r="C5599">
            <v>27.5</v>
          </cell>
          <cell r="D5599">
            <v>15.38</v>
          </cell>
          <cell r="E5599">
            <v>7.45</v>
          </cell>
          <cell r="H5599">
            <v>45525</v>
          </cell>
          <cell r="I5599">
            <v>0.63222222222222224</v>
          </cell>
          <cell r="J5599">
            <v>24.276666666666667</v>
          </cell>
        </row>
        <row r="5600">
          <cell r="B5600">
            <v>16.170000000000002</v>
          </cell>
          <cell r="C5600">
            <v>30.49</v>
          </cell>
          <cell r="D5600">
            <v>15.13</v>
          </cell>
          <cell r="E5600">
            <v>7.61</v>
          </cell>
          <cell r="H5600">
            <v>45525</v>
          </cell>
          <cell r="I5600">
            <v>0.56666666666666676</v>
          </cell>
          <cell r="J5600">
            <v>24.526666666666667</v>
          </cell>
        </row>
        <row r="5601">
          <cell r="B5601">
            <v>16.53</v>
          </cell>
          <cell r="C5601">
            <v>33.090000000000003</v>
          </cell>
          <cell r="D5601">
            <v>15.18</v>
          </cell>
          <cell r="E5601">
            <v>7.58</v>
          </cell>
          <cell r="H5601">
            <v>45525</v>
          </cell>
          <cell r="I5601">
            <v>0.56222222222222229</v>
          </cell>
          <cell r="J5601">
            <v>24.351111111111113</v>
          </cell>
        </row>
        <row r="5602">
          <cell r="B5602">
            <v>18.21</v>
          </cell>
          <cell r="C5602">
            <v>40.14</v>
          </cell>
          <cell r="D5602">
            <v>16.510000000000002</v>
          </cell>
          <cell r="E5602">
            <v>8.24</v>
          </cell>
          <cell r="H5602">
            <v>45525</v>
          </cell>
          <cell r="I5602">
            <v>0.57333333333333336</v>
          </cell>
          <cell r="J5602">
            <v>24.403333333333336</v>
          </cell>
        </row>
        <row r="5603">
          <cell r="B5603">
            <v>19.309999999999999</v>
          </cell>
          <cell r="C5603">
            <v>41.45</v>
          </cell>
          <cell r="D5603">
            <v>16.5</v>
          </cell>
          <cell r="E5603">
            <v>8.2899999999999991</v>
          </cell>
          <cell r="H5603">
            <v>45525</v>
          </cell>
          <cell r="I5603">
            <v>0.59777777777777774</v>
          </cell>
          <cell r="J5603">
            <v>24.72111111111111</v>
          </cell>
        </row>
        <row r="5604">
          <cell r="B5604">
            <v>18.68</v>
          </cell>
          <cell r="C5604">
            <v>42.35</v>
          </cell>
          <cell r="D5604">
            <v>15.83</v>
          </cell>
          <cell r="E5604">
            <v>7.88</v>
          </cell>
          <cell r="H5604">
            <v>45525</v>
          </cell>
          <cell r="I5604">
            <v>0.61777777777777776</v>
          </cell>
          <cell r="J5604">
            <v>24.98</v>
          </cell>
        </row>
        <row r="5605">
          <cell r="B5605">
            <v>18.13</v>
          </cell>
          <cell r="C5605">
            <v>48.51</v>
          </cell>
          <cell r="D5605">
            <v>16.29</v>
          </cell>
          <cell r="E5605">
            <v>8.68</v>
          </cell>
          <cell r="H5605">
            <v>45525</v>
          </cell>
          <cell r="I5605">
            <v>0.63111111111111107</v>
          </cell>
          <cell r="J5605">
            <v>25.562222222222221</v>
          </cell>
        </row>
        <row r="5606">
          <cell r="B5606">
            <v>19.96</v>
          </cell>
          <cell r="C5606">
            <v>51.15</v>
          </cell>
          <cell r="D5606">
            <v>16.43</v>
          </cell>
          <cell r="E5606">
            <v>8.49</v>
          </cell>
          <cell r="H5606">
            <v>45525</v>
          </cell>
          <cell r="I5606">
            <v>0.64555555555555555</v>
          </cell>
          <cell r="J5606">
            <v>25.812222222222225</v>
          </cell>
        </row>
        <row r="5607">
          <cell r="B5607">
            <v>19.350000000000001</v>
          </cell>
          <cell r="C5607">
            <v>46.94</v>
          </cell>
          <cell r="D5607">
            <v>16.5</v>
          </cell>
          <cell r="E5607">
            <v>8.34</v>
          </cell>
          <cell r="H5607">
            <v>45525</v>
          </cell>
          <cell r="I5607">
            <v>0.66222222222222227</v>
          </cell>
          <cell r="J5607">
            <v>26.11</v>
          </cell>
        </row>
        <row r="5608">
          <cell r="B5608">
            <v>16.48</v>
          </cell>
          <cell r="C5608">
            <v>39.58</v>
          </cell>
          <cell r="D5608">
            <v>16.07</v>
          </cell>
          <cell r="E5608">
            <v>8.5399999999999991</v>
          </cell>
          <cell r="H5608">
            <v>45525</v>
          </cell>
          <cell r="I5608">
            <v>0.67555555555555569</v>
          </cell>
          <cell r="J5608">
            <v>26.538888888888888</v>
          </cell>
        </row>
        <row r="5609">
          <cell r="B5609">
            <v>14.78</v>
          </cell>
          <cell r="C5609">
            <v>41.02</v>
          </cell>
          <cell r="D5609">
            <v>16.63</v>
          </cell>
          <cell r="E5609">
            <v>8.4</v>
          </cell>
          <cell r="H5609">
            <v>45525</v>
          </cell>
          <cell r="I5609">
            <v>0.68555555555555558</v>
          </cell>
          <cell r="J5609">
            <v>27.1</v>
          </cell>
        </row>
        <row r="5610">
          <cell r="B5610">
            <v>14.88</v>
          </cell>
          <cell r="C5610">
            <v>40.64</v>
          </cell>
          <cell r="D5610">
            <v>16.899999999999999</v>
          </cell>
          <cell r="E5610">
            <v>8.7100000000000009</v>
          </cell>
          <cell r="H5610">
            <v>45525</v>
          </cell>
          <cell r="I5610">
            <v>0.69333333333333336</v>
          </cell>
          <cell r="J5610">
            <v>27.49444444444444</v>
          </cell>
        </row>
        <row r="5611">
          <cell r="B5611">
            <v>16.350000000000001</v>
          </cell>
          <cell r="C5611">
            <v>43.49</v>
          </cell>
          <cell r="D5611">
            <v>16.440000000000001</v>
          </cell>
          <cell r="E5611">
            <v>8.35</v>
          </cell>
          <cell r="H5611">
            <v>45525</v>
          </cell>
          <cell r="I5611">
            <v>0.69111111111111123</v>
          </cell>
          <cell r="J5611">
            <v>27.567777777777774</v>
          </cell>
        </row>
        <row r="5612">
          <cell r="B5612">
            <v>16.399999999999999</v>
          </cell>
          <cell r="C5612">
            <v>44.52</v>
          </cell>
          <cell r="D5612">
            <v>16.02</v>
          </cell>
          <cell r="E5612">
            <v>7.93</v>
          </cell>
          <cell r="H5612">
            <v>45525</v>
          </cell>
          <cell r="I5612">
            <v>0.68111111111111122</v>
          </cell>
          <cell r="J5612">
            <v>27.206666666666663</v>
          </cell>
        </row>
        <row r="5613">
          <cell r="B5613">
            <v>15.5</v>
          </cell>
          <cell r="C5613">
            <v>43.98</v>
          </cell>
          <cell r="D5613">
            <v>16.78</v>
          </cell>
          <cell r="E5613">
            <v>7.89</v>
          </cell>
          <cell r="H5613">
            <v>45525</v>
          </cell>
          <cell r="I5613">
            <v>0.68222222222222206</v>
          </cell>
          <cell r="J5613">
            <v>26.865555555555552</v>
          </cell>
        </row>
        <row r="5614">
          <cell r="B5614">
            <v>16.079999999999998</v>
          </cell>
          <cell r="C5614">
            <v>42.37</v>
          </cell>
          <cell r="D5614">
            <v>15.55</v>
          </cell>
          <cell r="E5614">
            <v>7.85</v>
          </cell>
          <cell r="H5614">
            <v>45525</v>
          </cell>
          <cell r="I5614">
            <v>0.68777777777777771</v>
          </cell>
          <cell r="J5614">
            <v>26.276666666666667</v>
          </cell>
        </row>
        <row r="5615">
          <cell r="B5615">
            <v>16.690000000000001</v>
          </cell>
          <cell r="C5615">
            <v>42.14</v>
          </cell>
          <cell r="D5615">
            <v>16.18</v>
          </cell>
          <cell r="E5615">
            <v>7.71</v>
          </cell>
          <cell r="H5615">
            <v>45525</v>
          </cell>
          <cell r="I5615">
            <v>0.69444444444444431</v>
          </cell>
          <cell r="J5615">
            <v>25.888888888888886</v>
          </cell>
        </row>
        <row r="5616">
          <cell r="B5616">
            <v>17.11</v>
          </cell>
          <cell r="C5616">
            <v>41.65</v>
          </cell>
          <cell r="D5616">
            <v>15.81</v>
          </cell>
          <cell r="E5616">
            <v>7.51</v>
          </cell>
          <cell r="H5616">
            <v>45525</v>
          </cell>
          <cell r="I5616">
            <v>0.68555555555555558</v>
          </cell>
          <cell r="J5616">
            <v>25.489999999999995</v>
          </cell>
        </row>
        <row r="5617">
          <cell r="B5617">
            <v>16.48</v>
          </cell>
          <cell r="C5617">
            <v>39.700000000000003</v>
          </cell>
          <cell r="D5617">
            <v>16.88</v>
          </cell>
          <cell r="E5617">
            <v>7.36</v>
          </cell>
          <cell r="H5617">
            <v>45525</v>
          </cell>
          <cell r="I5617">
            <v>0.68111111111111111</v>
          </cell>
          <cell r="J5617">
            <v>25.014444444444443</v>
          </cell>
        </row>
        <row r="5618">
          <cell r="B5618">
            <v>19.760000000000002</v>
          </cell>
          <cell r="C5618">
            <v>42.63</v>
          </cell>
          <cell r="D5618">
            <v>17.7</v>
          </cell>
          <cell r="E5618">
            <v>7.52</v>
          </cell>
          <cell r="H5618">
            <v>45526</v>
          </cell>
          <cell r="I5618">
            <v>0.68000000000000016</v>
          </cell>
          <cell r="J5618">
            <v>24.614444444444441</v>
          </cell>
        </row>
        <row r="5619">
          <cell r="B5619">
            <v>18.77</v>
          </cell>
          <cell r="C5619">
            <v>37.799999999999997</v>
          </cell>
          <cell r="D5619">
            <v>16.27</v>
          </cell>
          <cell r="E5619">
            <v>7.56</v>
          </cell>
          <cell r="H5619">
            <v>45526</v>
          </cell>
          <cell r="I5619">
            <v>0.67</v>
          </cell>
          <cell r="J5619">
            <v>24.33111111111111</v>
          </cell>
        </row>
        <row r="5620">
          <cell r="B5620">
            <v>14.13</v>
          </cell>
          <cell r="C5620">
            <v>32.81</v>
          </cell>
          <cell r="D5620">
            <v>14.63</v>
          </cell>
          <cell r="E5620">
            <v>7.71</v>
          </cell>
          <cell r="H5620">
            <v>45526</v>
          </cell>
          <cell r="I5620">
            <v>0.65777777777777791</v>
          </cell>
          <cell r="J5620">
            <v>24.23</v>
          </cell>
        </row>
        <row r="5621">
          <cell r="B5621">
            <v>12.58</v>
          </cell>
          <cell r="C5621">
            <v>32.11</v>
          </cell>
          <cell r="D5621">
            <v>13.85</v>
          </cell>
          <cell r="E5621">
            <v>7.78</v>
          </cell>
          <cell r="H5621">
            <v>45526</v>
          </cell>
          <cell r="I5621">
            <v>0.64888888888888896</v>
          </cell>
          <cell r="J5621">
            <v>24.343333333333334</v>
          </cell>
        </row>
        <row r="5622">
          <cell r="B5622">
            <v>12.57</v>
          </cell>
          <cell r="C5622">
            <v>33.43</v>
          </cell>
          <cell r="D5622">
            <v>14.16</v>
          </cell>
          <cell r="E5622">
            <v>7.73</v>
          </cell>
          <cell r="H5622">
            <v>45526</v>
          </cell>
          <cell r="I5622">
            <v>0.64555555555555566</v>
          </cell>
          <cell r="J5622">
            <v>24.474444444444444</v>
          </cell>
        </row>
        <row r="5623">
          <cell r="B5623">
            <v>14.33</v>
          </cell>
          <cell r="C5623">
            <v>36.340000000000003</v>
          </cell>
          <cell r="D5623">
            <v>14.38</v>
          </cell>
          <cell r="E5623">
            <v>7.8</v>
          </cell>
          <cell r="H5623">
            <v>45526</v>
          </cell>
          <cell r="I5623">
            <v>0.63555555555555554</v>
          </cell>
          <cell r="J5623">
            <v>24.513333333333335</v>
          </cell>
        </row>
        <row r="5624">
          <cell r="B5624">
            <v>13.89</v>
          </cell>
          <cell r="C5624">
            <v>36.75</v>
          </cell>
          <cell r="D5624">
            <v>17.57</v>
          </cell>
          <cell r="E5624">
            <v>7.99</v>
          </cell>
          <cell r="H5624">
            <v>45526</v>
          </cell>
          <cell r="I5624">
            <v>0.62666666666666648</v>
          </cell>
          <cell r="J5624">
            <v>24.822222222222223</v>
          </cell>
        </row>
        <row r="5625">
          <cell r="B5625">
            <v>15.48</v>
          </cell>
          <cell r="C5625">
            <v>38.32</v>
          </cell>
          <cell r="D5625">
            <v>15.87</v>
          </cell>
          <cell r="E5625">
            <v>7.31</v>
          </cell>
          <cell r="H5625">
            <v>45526</v>
          </cell>
          <cell r="I5625">
            <v>0.62</v>
          </cell>
          <cell r="J5625">
            <v>25.064444444444447</v>
          </cell>
        </row>
        <row r="5626">
          <cell r="B5626">
            <v>16.55</v>
          </cell>
          <cell r="C5626">
            <v>41.55</v>
          </cell>
          <cell r="D5626">
            <v>15.47</v>
          </cell>
          <cell r="E5626">
            <v>8.1</v>
          </cell>
          <cell r="H5626">
            <v>45526</v>
          </cell>
          <cell r="I5626">
            <v>0.62333333333333329</v>
          </cell>
          <cell r="J5626">
            <v>25.37222222222222</v>
          </cell>
        </row>
        <row r="5627">
          <cell r="B5627">
            <v>15.79</v>
          </cell>
          <cell r="C5627">
            <v>41.21</v>
          </cell>
          <cell r="D5627">
            <v>16.78</v>
          </cell>
          <cell r="E5627">
            <v>8.2799999999999994</v>
          </cell>
          <cell r="H5627">
            <v>45526</v>
          </cell>
          <cell r="I5627">
            <v>0.62111111111111106</v>
          </cell>
          <cell r="J5627">
            <v>25.611111111111111</v>
          </cell>
        </row>
        <row r="5628">
          <cell r="B5628">
            <v>16.47</v>
          </cell>
          <cell r="C5628">
            <v>41.08</v>
          </cell>
          <cell r="D5628">
            <v>18.02</v>
          </cell>
          <cell r="E5628">
            <v>8.84</v>
          </cell>
          <cell r="H5628">
            <v>45526</v>
          </cell>
          <cell r="I5628">
            <v>0.62444444444444436</v>
          </cell>
          <cell r="J5628">
            <v>25.947777777777777</v>
          </cell>
        </row>
        <row r="5629">
          <cell r="B5629">
            <v>16.77</v>
          </cell>
          <cell r="C5629">
            <v>45.96</v>
          </cell>
          <cell r="D5629">
            <v>18.63</v>
          </cell>
          <cell r="E5629">
            <v>9.2100000000000009</v>
          </cell>
          <cell r="H5629">
            <v>45526</v>
          </cell>
          <cell r="I5629">
            <v>0.6333333333333333</v>
          </cell>
          <cell r="J5629">
            <v>26.345555555555556</v>
          </cell>
        </row>
        <row r="5630">
          <cell r="B5630">
            <v>15.15</v>
          </cell>
          <cell r="C5630">
            <v>44.55</v>
          </cell>
          <cell r="D5630">
            <v>16.600000000000001</v>
          </cell>
          <cell r="E5630">
            <v>9.17</v>
          </cell>
          <cell r="H5630">
            <v>45526</v>
          </cell>
          <cell r="I5630">
            <v>0.64000000000000012</v>
          </cell>
          <cell r="J5630">
            <v>27.182222222222226</v>
          </cell>
        </row>
        <row r="5631">
          <cell r="B5631">
            <v>14.84</v>
          </cell>
          <cell r="C5631">
            <v>47.96</v>
          </cell>
          <cell r="D5631">
            <v>15.44</v>
          </cell>
          <cell r="E5631">
            <v>9.1199999999999992</v>
          </cell>
          <cell r="H5631">
            <v>45526</v>
          </cell>
          <cell r="I5631">
            <v>0.63</v>
          </cell>
          <cell r="J5631">
            <v>27.903333333333336</v>
          </cell>
        </row>
        <row r="5632">
          <cell r="B5632">
            <v>14.83</v>
          </cell>
          <cell r="C5632">
            <v>43.81</v>
          </cell>
          <cell r="D5632">
            <v>16.89</v>
          </cell>
          <cell r="E5632">
            <v>9.06</v>
          </cell>
          <cell r="H5632">
            <v>45526</v>
          </cell>
          <cell r="I5632">
            <v>0.63111111111111107</v>
          </cell>
          <cell r="J5632">
            <v>28.753333333333337</v>
          </cell>
        </row>
        <row r="5633">
          <cell r="B5633">
            <v>16.739999999999998</v>
          </cell>
          <cell r="C5633">
            <v>45.7</v>
          </cell>
          <cell r="D5633">
            <v>17.809999999999999</v>
          </cell>
          <cell r="E5633">
            <v>9.49</v>
          </cell>
          <cell r="H5633">
            <v>45526</v>
          </cell>
          <cell r="I5633">
            <v>0.62111111111111095</v>
          </cell>
          <cell r="J5633">
            <v>29.130000000000003</v>
          </cell>
        </row>
        <row r="5634">
          <cell r="B5634">
            <v>16.27</v>
          </cell>
          <cell r="C5634">
            <v>50</v>
          </cell>
          <cell r="D5634">
            <v>17.02</v>
          </cell>
          <cell r="E5634">
            <v>9.17</v>
          </cell>
          <cell r="H5634">
            <v>45526</v>
          </cell>
          <cell r="I5634">
            <v>0.61777777777777776</v>
          </cell>
          <cell r="J5634">
            <v>29.297777777777778</v>
          </cell>
        </row>
        <row r="5635">
          <cell r="B5635">
            <v>15.87</v>
          </cell>
          <cell r="C5635">
            <v>44.44</v>
          </cell>
          <cell r="D5635">
            <v>17.809999999999999</v>
          </cell>
          <cell r="E5635">
            <v>9.9700000000000006</v>
          </cell>
          <cell r="H5635">
            <v>45526</v>
          </cell>
          <cell r="I5635">
            <v>0.61555555555555552</v>
          </cell>
          <cell r="J5635">
            <v>29.418888888888887</v>
          </cell>
        </row>
        <row r="5636">
          <cell r="B5636">
            <v>16.29</v>
          </cell>
          <cell r="C5636">
            <v>46.75</v>
          </cell>
          <cell r="D5636">
            <v>17.559999999999999</v>
          </cell>
          <cell r="E5636">
            <v>9.4</v>
          </cell>
          <cell r="H5636">
            <v>45526</v>
          </cell>
          <cell r="I5636">
            <v>0.62666666666666671</v>
          </cell>
          <cell r="J5636">
            <v>29.301111111111116</v>
          </cell>
        </row>
        <row r="5637">
          <cell r="B5637">
            <v>19.5</v>
          </cell>
          <cell r="C5637">
            <v>56.48</v>
          </cell>
          <cell r="D5637">
            <v>17.88</v>
          </cell>
          <cell r="E5637">
            <v>9.3000000000000007</v>
          </cell>
          <cell r="H5637">
            <v>45526</v>
          </cell>
          <cell r="I5637">
            <v>0.64555555555555566</v>
          </cell>
          <cell r="J5637">
            <v>28.970000000000002</v>
          </cell>
        </row>
        <row r="5638">
          <cell r="B5638">
            <v>21.2</v>
          </cell>
          <cell r="C5638">
            <v>60.38</v>
          </cell>
          <cell r="D5638">
            <v>16.62</v>
          </cell>
          <cell r="E5638">
            <v>9.1</v>
          </cell>
          <cell r="H5638">
            <v>45526</v>
          </cell>
          <cell r="I5638">
            <v>0.65888888888888886</v>
          </cell>
          <cell r="J5638">
            <v>28.471111111111114</v>
          </cell>
        </row>
        <row r="5639">
          <cell r="B5639">
            <v>22.42</v>
          </cell>
          <cell r="C5639">
            <v>58.64</v>
          </cell>
          <cell r="D5639">
            <v>17.95</v>
          </cell>
          <cell r="E5639">
            <v>9.4499999999999993</v>
          </cell>
          <cell r="H5639">
            <v>45526</v>
          </cell>
          <cell r="I5639">
            <v>0.6677777777777778</v>
          </cell>
          <cell r="J5639">
            <v>27.641111111111112</v>
          </cell>
        </row>
        <row r="5640">
          <cell r="B5640">
            <v>21.62</v>
          </cell>
          <cell r="C5640">
            <v>57.4</v>
          </cell>
          <cell r="D5640">
            <v>16.940000000000001</v>
          </cell>
          <cell r="E5640">
            <v>9.27</v>
          </cell>
          <cell r="H5640">
            <v>45526</v>
          </cell>
          <cell r="I5640">
            <v>0.67777777777777781</v>
          </cell>
          <cell r="J5640">
            <v>27.002222222222223</v>
          </cell>
        </row>
        <row r="5641">
          <cell r="B5641">
            <v>19.25</v>
          </cell>
          <cell r="C5641">
            <v>52.6</v>
          </cell>
          <cell r="D5641">
            <v>16</v>
          </cell>
          <cell r="E5641">
            <v>9.25</v>
          </cell>
          <cell r="H5641">
            <v>45526</v>
          </cell>
          <cell r="I5641">
            <v>0.68222222222222217</v>
          </cell>
          <cell r="J5641">
            <v>26.322222222222226</v>
          </cell>
        </row>
        <row r="5642">
          <cell r="B5642">
            <v>24.96</v>
          </cell>
          <cell r="C5642">
            <v>63.07</v>
          </cell>
          <cell r="D5642">
            <v>15.54</v>
          </cell>
          <cell r="E5642">
            <v>8.68</v>
          </cell>
          <cell r="H5642">
            <v>45527</v>
          </cell>
          <cell r="I5642">
            <v>0.68555555555555558</v>
          </cell>
          <cell r="J5642">
            <v>25.910000000000007</v>
          </cell>
        </row>
        <row r="5643">
          <cell r="B5643">
            <v>21.6</v>
          </cell>
          <cell r="C5643">
            <v>54.47</v>
          </cell>
          <cell r="D5643">
            <v>15.41</v>
          </cell>
          <cell r="E5643">
            <v>8.83</v>
          </cell>
          <cell r="H5643">
            <v>45527</v>
          </cell>
          <cell r="I5643">
            <v>0.69</v>
          </cell>
          <cell r="J5643">
            <v>25.752222222222223</v>
          </cell>
        </row>
        <row r="5644">
          <cell r="B5644">
            <v>19.98</v>
          </cell>
          <cell r="C5644">
            <v>52.44</v>
          </cell>
          <cell r="D5644">
            <v>15.47</v>
          </cell>
          <cell r="E5644">
            <v>9.11</v>
          </cell>
          <cell r="H5644">
            <v>45527</v>
          </cell>
          <cell r="I5644">
            <v>0.67888888888888888</v>
          </cell>
          <cell r="J5644">
            <v>25.556666666666668</v>
          </cell>
        </row>
        <row r="5645">
          <cell r="B5645">
            <v>21.08</v>
          </cell>
          <cell r="C5645">
            <v>52.58</v>
          </cell>
          <cell r="D5645">
            <v>15.37</v>
          </cell>
          <cell r="E5645">
            <v>8.68</v>
          </cell>
          <cell r="H5645">
            <v>45527</v>
          </cell>
          <cell r="I5645">
            <v>0.66222222222222227</v>
          </cell>
          <cell r="J5645">
            <v>25.529999999999998</v>
          </cell>
        </row>
        <row r="5646">
          <cell r="B5646">
            <v>21.6</v>
          </cell>
          <cell r="C5646">
            <v>52.25</v>
          </cell>
          <cell r="D5646">
            <v>16.010000000000002</v>
          </cell>
          <cell r="E5646">
            <v>8.65</v>
          </cell>
          <cell r="H5646">
            <v>45527</v>
          </cell>
          <cell r="I5646">
            <v>0.63444444444444448</v>
          </cell>
          <cell r="J5646">
            <v>25.632222222222218</v>
          </cell>
        </row>
        <row r="5647">
          <cell r="B5647">
            <v>20.61</v>
          </cell>
          <cell r="C5647">
            <v>48.75</v>
          </cell>
          <cell r="D5647">
            <v>16.18</v>
          </cell>
          <cell r="E5647">
            <v>8.92</v>
          </cell>
          <cell r="H5647">
            <v>45527</v>
          </cell>
          <cell r="I5647">
            <v>0.6166666666666667</v>
          </cell>
          <cell r="J5647">
            <v>25.755555555555556</v>
          </cell>
        </row>
        <row r="5648">
          <cell r="B5648">
            <v>20.56</v>
          </cell>
          <cell r="C5648">
            <v>51.71</v>
          </cell>
          <cell r="D5648">
            <v>16.350000000000001</v>
          </cell>
          <cell r="E5648">
            <v>8.66</v>
          </cell>
          <cell r="H5648">
            <v>45527</v>
          </cell>
          <cell r="I5648">
            <v>0.60777777777777775</v>
          </cell>
          <cell r="J5648">
            <v>25.79111111111111</v>
          </cell>
        </row>
        <row r="5649">
          <cell r="B5649">
            <v>20.84</v>
          </cell>
          <cell r="C5649">
            <v>56.76</v>
          </cell>
          <cell r="D5649">
            <v>16.670000000000002</v>
          </cell>
          <cell r="E5649">
            <v>8.73</v>
          </cell>
          <cell r="H5649">
            <v>45527</v>
          </cell>
          <cell r="I5649">
            <v>0.60777777777777775</v>
          </cell>
          <cell r="J5649">
            <v>25.854444444444447</v>
          </cell>
        </row>
        <row r="5650">
          <cell r="B5650">
            <v>22.66</v>
          </cell>
          <cell r="C5650">
            <v>59.09</v>
          </cell>
          <cell r="D5650">
            <v>16.64</v>
          </cell>
          <cell r="E5650">
            <v>8.43</v>
          </cell>
          <cell r="H5650">
            <v>45527</v>
          </cell>
          <cell r="I5650">
            <v>0.61222222222222222</v>
          </cell>
          <cell r="J5650">
            <v>25.894444444444442</v>
          </cell>
        </row>
        <row r="5651">
          <cell r="B5651">
            <v>21.72</v>
          </cell>
          <cell r="C5651">
            <v>55.9</v>
          </cell>
          <cell r="D5651">
            <v>16.399999999999999</v>
          </cell>
          <cell r="E5651">
            <v>8.67</v>
          </cell>
          <cell r="H5651">
            <v>45527</v>
          </cell>
          <cell r="I5651">
            <v>0.61666666666666659</v>
          </cell>
          <cell r="J5651">
            <v>25.937777777777775</v>
          </cell>
        </row>
        <row r="5652">
          <cell r="B5652">
            <v>19.78</v>
          </cell>
          <cell r="C5652">
            <v>52.39</v>
          </cell>
          <cell r="D5652">
            <v>15.98</v>
          </cell>
          <cell r="E5652">
            <v>8.8699999999999992</v>
          </cell>
          <cell r="H5652">
            <v>45527</v>
          </cell>
          <cell r="I5652">
            <v>0.6166666666666667</v>
          </cell>
          <cell r="J5652">
            <v>26.117777777777778</v>
          </cell>
        </row>
        <row r="5653">
          <cell r="B5653">
            <v>17.46</v>
          </cell>
          <cell r="C5653">
            <v>50.78</v>
          </cell>
          <cell r="D5653">
            <v>16.34</v>
          </cell>
          <cell r="E5653">
            <v>9.4499999999999993</v>
          </cell>
          <cell r="H5653">
            <v>45527</v>
          </cell>
          <cell r="I5653">
            <v>0.61888888888888893</v>
          </cell>
          <cell r="J5653">
            <v>26.464444444444442</v>
          </cell>
        </row>
        <row r="5654">
          <cell r="B5654">
            <v>18.899999999999999</v>
          </cell>
          <cell r="C5654">
            <v>52.63</v>
          </cell>
          <cell r="D5654">
            <v>18.03</v>
          </cell>
          <cell r="E5654">
            <v>10.06</v>
          </cell>
          <cell r="H5654">
            <v>45527</v>
          </cell>
          <cell r="I5654">
            <v>0.61888888888888893</v>
          </cell>
          <cell r="J5654">
            <v>26.744444444444444</v>
          </cell>
        </row>
        <row r="5655">
          <cell r="B5655">
            <v>20.2</v>
          </cell>
          <cell r="C5655">
            <v>52.4</v>
          </cell>
          <cell r="D5655">
            <v>18.29</v>
          </cell>
          <cell r="E5655">
            <v>10.16</v>
          </cell>
          <cell r="H5655">
            <v>45527</v>
          </cell>
          <cell r="I5655">
            <v>0.63222222222222224</v>
          </cell>
          <cell r="J5655">
            <v>27.46</v>
          </cell>
        </row>
        <row r="5656">
          <cell r="B5656">
            <v>19.059999999999999</v>
          </cell>
          <cell r="C5656">
            <v>52.05</v>
          </cell>
          <cell r="D5656">
            <v>17.850000000000001</v>
          </cell>
          <cell r="E5656">
            <v>9.4499999999999993</v>
          </cell>
          <cell r="H5656">
            <v>45527</v>
          </cell>
          <cell r="I5656">
            <v>0.63888888888888884</v>
          </cell>
          <cell r="J5656">
            <v>28.346666666666668</v>
          </cell>
        </row>
        <row r="5657">
          <cell r="B5657">
            <v>17.66</v>
          </cell>
          <cell r="C5657">
            <v>54.58</v>
          </cell>
          <cell r="D5657">
            <v>17.079999999999998</v>
          </cell>
          <cell r="E5657">
            <v>9.51</v>
          </cell>
          <cell r="H5657">
            <v>45527</v>
          </cell>
          <cell r="I5657">
            <v>0.6433333333333332</v>
          </cell>
          <cell r="J5657">
            <v>29.242222222222225</v>
          </cell>
        </row>
        <row r="5658">
          <cell r="B5658">
            <v>17.11</v>
          </cell>
          <cell r="C5658">
            <v>58.46</v>
          </cell>
          <cell r="D5658">
            <v>17.41</v>
          </cell>
          <cell r="E5658">
            <v>10.18</v>
          </cell>
          <cell r="H5658">
            <v>45527</v>
          </cell>
          <cell r="I5658">
            <v>0.6333333333333333</v>
          </cell>
          <cell r="J5658">
            <v>29.904444444444444</v>
          </cell>
        </row>
        <row r="5659">
          <cell r="B5659">
            <v>18.489999999999998</v>
          </cell>
          <cell r="C5659">
            <v>53.84</v>
          </cell>
          <cell r="D5659">
            <v>17.59</v>
          </cell>
          <cell r="E5659">
            <v>10.27</v>
          </cell>
          <cell r="H5659">
            <v>45527</v>
          </cell>
          <cell r="I5659">
            <v>0.61444444444444446</v>
          </cell>
          <cell r="J5659">
            <v>30.210000000000004</v>
          </cell>
        </row>
        <row r="5660">
          <cell r="B5660">
            <v>20.9</v>
          </cell>
          <cell r="C5660">
            <v>56.78</v>
          </cell>
          <cell r="D5660">
            <v>17.91</v>
          </cell>
          <cell r="E5660">
            <v>10.34</v>
          </cell>
          <cell r="H5660">
            <v>45527</v>
          </cell>
          <cell r="I5660">
            <v>0.61222222222222211</v>
          </cell>
          <cell r="J5660">
            <v>30.330000000000002</v>
          </cell>
        </row>
        <row r="5661">
          <cell r="B5661">
            <v>24.36</v>
          </cell>
          <cell r="C5661">
            <v>63.15</v>
          </cell>
          <cell r="D5661">
            <v>18.63</v>
          </cell>
          <cell r="E5661">
            <v>10.43</v>
          </cell>
          <cell r="H5661">
            <v>45527</v>
          </cell>
          <cell r="I5661">
            <v>0.62777777777777777</v>
          </cell>
          <cell r="J5661">
            <v>30.134444444444448</v>
          </cell>
        </row>
        <row r="5662">
          <cell r="B5662">
            <v>26.21</v>
          </cell>
          <cell r="C5662">
            <v>66.83</v>
          </cell>
          <cell r="D5662">
            <v>18.309999999999999</v>
          </cell>
          <cell r="E5662">
            <v>10.46</v>
          </cell>
          <cell r="H5662">
            <v>45527</v>
          </cell>
          <cell r="I5662">
            <v>0.6366666666666666</v>
          </cell>
          <cell r="J5662">
            <v>29.707777777777778</v>
          </cell>
        </row>
        <row r="5663">
          <cell r="B5663">
            <v>24.88</v>
          </cell>
          <cell r="C5663">
            <v>61.95</v>
          </cell>
          <cell r="D5663">
            <v>17.940000000000001</v>
          </cell>
          <cell r="E5663">
            <v>10.3</v>
          </cell>
          <cell r="H5663">
            <v>45527</v>
          </cell>
          <cell r="I5663">
            <v>0.63777777777777767</v>
          </cell>
          <cell r="J5663">
            <v>29.40666666666667</v>
          </cell>
        </row>
        <row r="5664">
          <cell r="B5664">
            <v>25.3</v>
          </cell>
          <cell r="C5664">
            <v>60.73</v>
          </cell>
          <cell r="D5664">
            <v>17.47</v>
          </cell>
          <cell r="E5664">
            <v>9.81</v>
          </cell>
          <cell r="H5664">
            <v>45527</v>
          </cell>
          <cell r="I5664">
            <v>0.62444444444444447</v>
          </cell>
          <cell r="J5664">
            <v>28.716666666666665</v>
          </cell>
        </row>
        <row r="5665">
          <cell r="B5665">
            <v>23.48</v>
          </cell>
          <cell r="C5665">
            <v>57.13</v>
          </cell>
          <cell r="D5665">
            <v>16.760000000000002</v>
          </cell>
          <cell r="E5665">
            <v>9.8699999999999992</v>
          </cell>
          <cell r="H5665">
            <v>45527</v>
          </cell>
          <cell r="I5665">
            <v>0.60444444444444445</v>
          </cell>
          <cell r="J5665">
            <v>27.942222222222217</v>
          </cell>
        </row>
        <row r="5666">
          <cell r="B5666">
            <v>22.67</v>
          </cell>
          <cell r="C5666">
            <v>53.73</v>
          </cell>
          <cell r="D5666">
            <v>16.18</v>
          </cell>
          <cell r="E5666">
            <v>9.9</v>
          </cell>
          <cell r="H5666">
            <v>45528</v>
          </cell>
          <cell r="I5666">
            <v>0.58666666666666667</v>
          </cell>
          <cell r="J5666">
            <v>27.154444444444444</v>
          </cell>
        </row>
        <row r="5667">
          <cell r="B5667">
            <v>20.09</v>
          </cell>
          <cell r="C5667">
            <v>49.09</v>
          </cell>
          <cell r="D5667">
            <v>16.010000000000002</v>
          </cell>
          <cell r="E5667">
            <v>10.01</v>
          </cell>
          <cell r="H5667">
            <v>45528</v>
          </cell>
          <cell r="I5667">
            <v>0.5822222222222222</v>
          </cell>
          <cell r="J5667">
            <v>26.514444444444443</v>
          </cell>
        </row>
        <row r="5668">
          <cell r="B5668">
            <v>19.98</v>
          </cell>
          <cell r="C5668">
            <v>46.85</v>
          </cell>
          <cell r="D5668">
            <v>15.87</v>
          </cell>
          <cell r="E5668">
            <v>9.9600000000000009</v>
          </cell>
          <cell r="H5668">
            <v>45528</v>
          </cell>
          <cell r="I5668">
            <v>0.5822222222222222</v>
          </cell>
          <cell r="J5668">
            <v>26.19222222222222</v>
          </cell>
        </row>
        <row r="5669">
          <cell r="B5669">
            <v>18.37</v>
          </cell>
          <cell r="C5669">
            <v>46.91</v>
          </cell>
          <cell r="D5669">
            <v>16.28</v>
          </cell>
          <cell r="E5669">
            <v>10.02</v>
          </cell>
          <cell r="H5669">
            <v>45528</v>
          </cell>
          <cell r="I5669">
            <v>0.57333333333333336</v>
          </cell>
          <cell r="J5669">
            <v>26.012222222222224</v>
          </cell>
        </row>
        <row r="5670">
          <cell r="B5670">
            <v>17.239999999999998</v>
          </cell>
          <cell r="C5670">
            <v>46.14</v>
          </cell>
          <cell r="D5670">
            <v>16.03</v>
          </cell>
          <cell r="E5670">
            <v>9.73</v>
          </cell>
          <cell r="H5670">
            <v>45528</v>
          </cell>
          <cell r="I5670">
            <v>0.55222222222222206</v>
          </cell>
          <cell r="J5670">
            <v>25.966666666666665</v>
          </cell>
        </row>
        <row r="5671">
          <cell r="B5671">
            <v>17.71</v>
          </cell>
          <cell r="C5671">
            <v>46</v>
          </cell>
          <cell r="D5671">
            <v>16.39</v>
          </cell>
          <cell r="E5671">
            <v>9.7799999999999994</v>
          </cell>
          <cell r="H5671">
            <v>45528</v>
          </cell>
          <cell r="I5671">
            <v>0.53666666666666663</v>
          </cell>
          <cell r="J5671">
            <v>26.014444444444443</v>
          </cell>
        </row>
        <row r="5672">
          <cell r="B5672">
            <v>17.7</v>
          </cell>
          <cell r="C5672">
            <v>48.9</v>
          </cell>
          <cell r="D5672">
            <v>17.11</v>
          </cell>
          <cell r="E5672">
            <v>9.9700000000000006</v>
          </cell>
          <cell r="H5672">
            <v>45528</v>
          </cell>
          <cell r="I5672">
            <v>0.52777777777777779</v>
          </cell>
          <cell r="J5672">
            <v>25.973333333333333</v>
          </cell>
        </row>
        <row r="5673">
          <cell r="B5673">
            <v>17.579999999999998</v>
          </cell>
          <cell r="C5673">
            <v>53.54</v>
          </cell>
          <cell r="D5673">
            <v>16.77</v>
          </cell>
          <cell r="E5673">
            <v>9.8699999999999992</v>
          </cell>
          <cell r="H5673">
            <v>45528</v>
          </cell>
          <cell r="I5673">
            <v>0.52777777777777779</v>
          </cell>
          <cell r="J5673">
            <v>25.876666666666662</v>
          </cell>
        </row>
        <row r="5674">
          <cell r="B5674">
            <v>18.63</v>
          </cell>
          <cell r="C5674">
            <v>55.07</v>
          </cell>
          <cell r="D5674">
            <v>16.61</v>
          </cell>
          <cell r="E5674">
            <v>9.7799999999999994</v>
          </cell>
          <cell r="H5674">
            <v>45528</v>
          </cell>
          <cell r="I5674">
            <v>0.5411111111111111</v>
          </cell>
          <cell r="J5674">
            <v>25.744444444444447</v>
          </cell>
        </row>
        <row r="5675">
          <cell r="B5675">
            <v>19.27</v>
          </cell>
          <cell r="C5675">
            <v>55.51</v>
          </cell>
          <cell r="D5675">
            <v>17.73</v>
          </cell>
          <cell r="E5675">
            <v>9.93</v>
          </cell>
          <cell r="H5675">
            <v>45528</v>
          </cell>
          <cell r="I5675">
            <v>0.54666666666666663</v>
          </cell>
          <cell r="J5675">
            <v>25.675555555555555</v>
          </cell>
        </row>
        <row r="5676">
          <cell r="B5676">
            <v>20.85</v>
          </cell>
          <cell r="C5676">
            <v>61.39</v>
          </cell>
          <cell r="D5676">
            <v>17.72</v>
          </cell>
          <cell r="E5676">
            <v>9.85</v>
          </cell>
          <cell r="H5676">
            <v>45528</v>
          </cell>
          <cell r="I5676">
            <v>0.54666666666666663</v>
          </cell>
          <cell r="J5676">
            <v>25.847777777777779</v>
          </cell>
        </row>
        <row r="5677">
          <cell r="B5677">
            <v>20.05</v>
          </cell>
          <cell r="C5677">
            <v>63.21</v>
          </cell>
          <cell r="D5677">
            <v>17.170000000000002</v>
          </cell>
          <cell r="E5677">
            <v>10.01</v>
          </cell>
          <cell r="H5677">
            <v>45528</v>
          </cell>
          <cell r="I5677">
            <v>0.54888888888888898</v>
          </cell>
          <cell r="J5677">
            <v>26.326666666666668</v>
          </cell>
        </row>
        <row r="5678">
          <cell r="B5678">
            <v>20.420000000000002</v>
          </cell>
          <cell r="C5678">
            <v>63.08</v>
          </cell>
          <cell r="D5678">
            <v>17.829999999999998</v>
          </cell>
          <cell r="E5678">
            <v>10.24</v>
          </cell>
          <cell r="H5678">
            <v>45528</v>
          </cell>
          <cell r="I5678">
            <v>0.54666666666666663</v>
          </cell>
          <cell r="J5678">
            <v>26.565555555555555</v>
          </cell>
        </row>
        <row r="5679">
          <cell r="B5679">
            <v>19.43</v>
          </cell>
          <cell r="C5679">
            <v>60.45</v>
          </cell>
          <cell r="D5679">
            <v>17.010000000000002</v>
          </cell>
          <cell r="E5679">
            <v>10.19</v>
          </cell>
          <cell r="H5679">
            <v>45528</v>
          </cell>
          <cell r="I5679">
            <v>0.54444444444444451</v>
          </cell>
          <cell r="J5679">
            <v>26.856666666666669</v>
          </cell>
        </row>
        <row r="5680">
          <cell r="B5680">
            <v>18.57</v>
          </cell>
          <cell r="C5680">
            <v>58.22</v>
          </cell>
          <cell r="D5680">
            <v>17.239999999999998</v>
          </cell>
          <cell r="E5680">
            <v>10.039999999999999</v>
          </cell>
          <cell r="H5680">
            <v>45528</v>
          </cell>
          <cell r="I5680">
            <v>0.54222222222222216</v>
          </cell>
          <cell r="J5680">
            <v>27.011111111111113</v>
          </cell>
        </row>
        <row r="5681">
          <cell r="B5681">
            <v>21.38</v>
          </cell>
          <cell r="C5681">
            <v>64.3</v>
          </cell>
          <cell r="D5681">
            <v>18.39</v>
          </cell>
          <cell r="E5681">
            <v>10.220000000000001</v>
          </cell>
          <cell r="H5681">
            <v>45528</v>
          </cell>
          <cell r="I5681">
            <v>0.5411111111111111</v>
          </cell>
          <cell r="J5681">
            <v>27.176666666666662</v>
          </cell>
        </row>
        <row r="5682">
          <cell r="B5682">
            <v>22.31</v>
          </cell>
          <cell r="C5682">
            <v>67.47</v>
          </cell>
          <cell r="D5682">
            <v>17.25</v>
          </cell>
          <cell r="E5682">
            <v>10.17</v>
          </cell>
          <cell r="H5682">
            <v>45528</v>
          </cell>
          <cell r="I5682">
            <v>0.53111111111111109</v>
          </cell>
          <cell r="J5682">
            <v>27.385555555555559</v>
          </cell>
        </row>
        <row r="5683">
          <cell r="B5683">
            <v>20.7</v>
          </cell>
          <cell r="C5683">
            <v>62.8</v>
          </cell>
          <cell r="D5683">
            <v>17.59</v>
          </cell>
          <cell r="E5683">
            <v>10.38</v>
          </cell>
          <cell r="H5683">
            <v>45528</v>
          </cell>
          <cell r="I5683">
            <v>0.52444444444444438</v>
          </cell>
          <cell r="J5683">
            <v>27.561111111111114</v>
          </cell>
        </row>
        <row r="5684">
          <cell r="B5684">
            <v>23.22</v>
          </cell>
          <cell r="C5684">
            <v>63.26</v>
          </cell>
          <cell r="D5684">
            <v>18.079999999999998</v>
          </cell>
          <cell r="E5684">
            <v>10.199999999999999</v>
          </cell>
          <cell r="H5684">
            <v>45528</v>
          </cell>
          <cell r="I5684">
            <v>0.52666666666666673</v>
          </cell>
          <cell r="J5684">
            <v>27.58</v>
          </cell>
        </row>
        <row r="5685">
          <cell r="B5685">
            <v>20.48</v>
          </cell>
          <cell r="C5685">
            <v>58.35</v>
          </cell>
          <cell r="D5685">
            <v>18.68</v>
          </cell>
          <cell r="E5685">
            <v>10.53</v>
          </cell>
          <cell r="H5685">
            <v>45528</v>
          </cell>
          <cell r="I5685">
            <v>0.53444444444444439</v>
          </cell>
          <cell r="J5685">
            <v>27.374444444444446</v>
          </cell>
        </row>
        <row r="5686">
          <cell r="B5686">
            <v>20.66</v>
          </cell>
          <cell r="C5686">
            <v>56.63</v>
          </cell>
          <cell r="D5686">
            <v>16.920000000000002</v>
          </cell>
          <cell r="E5686">
            <v>10.43</v>
          </cell>
          <cell r="H5686">
            <v>45528</v>
          </cell>
          <cell r="I5686">
            <v>0.54333333333333333</v>
          </cell>
          <cell r="J5686">
            <v>26.841111111111111</v>
          </cell>
        </row>
        <row r="5687">
          <cell r="B5687">
            <v>20.149999999999999</v>
          </cell>
          <cell r="C5687">
            <v>52.56</v>
          </cell>
          <cell r="D5687">
            <v>17.96</v>
          </cell>
          <cell r="E5687">
            <v>10.38</v>
          </cell>
          <cell r="H5687">
            <v>45528</v>
          </cell>
          <cell r="I5687">
            <v>0.55222222222222217</v>
          </cell>
          <cell r="J5687">
            <v>26.562222222222221</v>
          </cell>
        </row>
        <row r="5688">
          <cell r="B5688">
            <v>20.53</v>
          </cell>
          <cell r="C5688">
            <v>51.46</v>
          </cell>
          <cell r="D5688">
            <v>17.96</v>
          </cell>
          <cell r="E5688">
            <v>9.86</v>
          </cell>
          <cell r="H5688">
            <v>45528</v>
          </cell>
          <cell r="I5688">
            <v>0.56000000000000005</v>
          </cell>
          <cell r="J5688">
            <v>26.23</v>
          </cell>
        </row>
        <row r="5689">
          <cell r="B5689">
            <v>20.9</v>
          </cell>
          <cell r="C5689">
            <v>47.16</v>
          </cell>
          <cell r="D5689">
            <v>16.420000000000002</v>
          </cell>
          <cell r="E5689">
            <v>9.7899999999999991</v>
          </cell>
          <cell r="H5689">
            <v>45528</v>
          </cell>
          <cell r="I5689">
            <v>0.56222222222222229</v>
          </cell>
          <cell r="J5689">
            <v>26.062222222222221</v>
          </cell>
        </row>
        <row r="5690">
          <cell r="B5690">
            <v>19.600000000000001</v>
          </cell>
          <cell r="C5690">
            <v>45.64</v>
          </cell>
          <cell r="D5690">
            <v>15.9</v>
          </cell>
          <cell r="E5690">
            <v>9.75</v>
          </cell>
          <cell r="H5690">
            <v>45529</v>
          </cell>
          <cell r="I5690">
            <v>0.56222222222222218</v>
          </cell>
          <cell r="J5690">
            <v>25.911111111111111</v>
          </cell>
        </row>
        <row r="5691">
          <cell r="B5691">
            <v>17.72</v>
          </cell>
          <cell r="C5691">
            <v>43.89</v>
          </cell>
          <cell r="D5691">
            <v>17.170000000000002</v>
          </cell>
          <cell r="E5691">
            <v>10.220000000000001</v>
          </cell>
          <cell r="H5691">
            <v>45529</v>
          </cell>
          <cell r="I5691">
            <v>0.56444444444444442</v>
          </cell>
          <cell r="J5691">
            <v>25.743333333333332</v>
          </cell>
        </row>
        <row r="5692">
          <cell r="B5692">
            <v>19.38</v>
          </cell>
          <cell r="C5692">
            <v>45.36</v>
          </cell>
          <cell r="D5692">
            <v>16.97</v>
          </cell>
          <cell r="E5692">
            <v>10.39</v>
          </cell>
          <cell r="H5692">
            <v>45529</v>
          </cell>
          <cell r="I5692">
            <v>0.55999999999999994</v>
          </cell>
          <cell r="J5692">
            <v>25.614444444444445</v>
          </cell>
        </row>
        <row r="5693">
          <cell r="B5693">
            <v>18.68</v>
          </cell>
          <cell r="C5693">
            <v>48.3</v>
          </cell>
          <cell r="D5693">
            <v>17.73</v>
          </cell>
          <cell r="E5693">
            <v>10.02</v>
          </cell>
          <cell r="H5693">
            <v>45529</v>
          </cell>
          <cell r="I5693">
            <v>0.55444444444444452</v>
          </cell>
          <cell r="J5693">
            <v>25.802222222222227</v>
          </cell>
        </row>
        <row r="5694">
          <cell r="B5694">
            <v>17.579999999999998</v>
          </cell>
          <cell r="C5694">
            <v>45.4</v>
          </cell>
          <cell r="D5694">
            <v>16.84</v>
          </cell>
          <cell r="E5694">
            <v>9.8699999999999992</v>
          </cell>
          <cell r="H5694">
            <v>45529</v>
          </cell>
          <cell r="I5694">
            <v>0.54444444444444451</v>
          </cell>
          <cell r="J5694">
            <v>26.006666666666671</v>
          </cell>
        </row>
        <row r="5695">
          <cell r="B5695">
            <v>17.559999999999999</v>
          </cell>
          <cell r="C5695">
            <v>47.63</v>
          </cell>
          <cell r="D5695">
            <v>17.190000000000001</v>
          </cell>
          <cell r="E5695">
            <v>9.86</v>
          </cell>
          <cell r="H5695">
            <v>45529</v>
          </cell>
          <cell r="I5695">
            <v>0.5344444444444445</v>
          </cell>
          <cell r="J5695">
            <v>26.257777777777779</v>
          </cell>
        </row>
        <row r="5696">
          <cell r="B5696">
            <v>18.61</v>
          </cell>
          <cell r="C5696">
            <v>51.15</v>
          </cell>
          <cell r="D5696">
            <v>17.52</v>
          </cell>
          <cell r="E5696">
            <v>9.8000000000000007</v>
          </cell>
          <cell r="H5696">
            <v>45529</v>
          </cell>
          <cell r="I5696">
            <v>0.52888888888888896</v>
          </cell>
          <cell r="J5696">
            <v>26.433333333333334</v>
          </cell>
        </row>
        <row r="5697">
          <cell r="B5697">
            <v>19.2</v>
          </cell>
          <cell r="C5697">
            <v>56.15</v>
          </cell>
          <cell r="D5697">
            <v>17.82</v>
          </cell>
          <cell r="E5697">
            <v>9.82</v>
          </cell>
          <cell r="H5697">
            <v>45529</v>
          </cell>
          <cell r="I5697">
            <v>0.52888888888888885</v>
          </cell>
          <cell r="J5697">
            <v>26.594444444444449</v>
          </cell>
        </row>
        <row r="5698">
          <cell r="B5698">
            <v>18.850000000000001</v>
          </cell>
          <cell r="C5698">
            <v>55.25</v>
          </cell>
          <cell r="D5698">
            <v>17.100000000000001</v>
          </cell>
          <cell r="E5698">
            <v>9.82</v>
          </cell>
          <cell r="H5698">
            <v>45529</v>
          </cell>
          <cell r="I5698">
            <v>0.53555555555555556</v>
          </cell>
          <cell r="J5698">
            <v>26.78222222222222</v>
          </cell>
        </row>
        <row r="5699">
          <cell r="B5699">
            <v>18.23</v>
          </cell>
          <cell r="C5699">
            <v>52.14</v>
          </cell>
          <cell r="D5699">
            <v>17.02</v>
          </cell>
          <cell r="E5699">
            <v>10.15</v>
          </cell>
          <cell r="H5699">
            <v>45529</v>
          </cell>
          <cell r="I5699">
            <v>0.53666666666666663</v>
          </cell>
          <cell r="J5699">
            <v>27.003333333333334</v>
          </cell>
        </row>
        <row r="5700">
          <cell r="B5700">
            <v>18.57</v>
          </cell>
          <cell r="C5700">
            <v>52.72</v>
          </cell>
          <cell r="D5700">
            <v>17.559999999999999</v>
          </cell>
          <cell r="E5700">
            <v>10.09</v>
          </cell>
          <cell r="H5700">
            <v>45529</v>
          </cell>
          <cell r="I5700">
            <v>0.54222222222222227</v>
          </cell>
          <cell r="J5700">
            <v>27.265555555555554</v>
          </cell>
        </row>
        <row r="5701">
          <cell r="B5701">
            <v>20.329999999999998</v>
          </cell>
          <cell r="C5701">
            <v>54.3</v>
          </cell>
          <cell r="D5701">
            <v>18.46</v>
          </cell>
          <cell r="E5701">
            <v>10.39</v>
          </cell>
          <cell r="H5701">
            <v>45529</v>
          </cell>
          <cell r="I5701">
            <v>0.55111111111111111</v>
          </cell>
          <cell r="J5701">
            <v>27.67</v>
          </cell>
        </row>
        <row r="5702">
          <cell r="B5702">
            <v>22.12</v>
          </cell>
          <cell r="C5702">
            <v>58.94</v>
          </cell>
          <cell r="D5702">
            <v>18.690000000000001</v>
          </cell>
          <cell r="E5702">
            <v>10.25</v>
          </cell>
          <cell r="H5702">
            <v>45529</v>
          </cell>
          <cell r="I5702">
            <v>0.55555555555555558</v>
          </cell>
          <cell r="J5702">
            <v>27.88666666666667</v>
          </cell>
        </row>
        <row r="5703">
          <cell r="B5703">
            <v>20.51</v>
          </cell>
          <cell r="C5703">
            <v>57.31</v>
          </cell>
          <cell r="D5703">
            <v>17.899999999999999</v>
          </cell>
          <cell r="E5703">
            <v>9.9</v>
          </cell>
          <cell r="H5703">
            <v>45529</v>
          </cell>
          <cell r="I5703">
            <v>0.56222222222222218</v>
          </cell>
          <cell r="J5703">
            <v>28.182222222222226</v>
          </cell>
        </row>
        <row r="5704">
          <cell r="B5704">
            <v>18.78</v>
          </cell>
          <cell r="C5704">
            <v>54.97</v>
          </cell>
          <cell r="D5704">
            <v>16.05</v>
          </cell>
          <cell r="E5704">
            <v>8.77</v>
          </cell>
          <cell r="H5704">
            <v>45529</v>
          </cell>
          <cell r="I5704">
            <v>0.56888888888888889</v>
          </cell>
          <cell r="J5704">
            <v>28.404444444444447</v>
          </cell>
        </row>
        <row r="5705">
          <cell r="B5705">
            <v>17.899999999999999</v>
          </cell>
          <cell r="C5705">
            <v>55.79</v>
          </cell>
          <cell r="D5705">
            <v>16.34</v>
          </cell>
          <cell r="E5705">
            <v>8.83</v>
          </cell>
          <cell r="H5705">
            <v>45529</v>
          </cell>
          <cell r="I5705">
            <v>0.57666666666666666</v>
          </cell>
          <cell r="J5705">
            <v>28.716666666666665</v>
          </cell>
        </row>
        <row r="5706">
          <cell r="B5706">
            <v>19.18</v>
          </cell>
          <cell r="C5706">
            <v>58.63</v>
          </cell>
          <cell r="D5706">
            <v>15.96</v>
          </cell>
          <cell r="E5706">
            <v>8.8800000000000008</v>
          </cell>
          <cell r="H5706">
            <v>45529</v>
          </cell>
          <cell r="I5706">
            <v>0.5888888888888888</v>
          </cell>
          <cell r="J5706">
            <v>29.062222222222221</v>
          </cell>
        </row>
        <row r="5707">
          <cell r="B5707">
            <v>17.87</v>
          </cell>
          <cell r="C5707">
            <v>56.88</v>
          </cell>
          <cell r="D5707">
            <v>17.3</v>
          </cell>
          <cell r="E5707">
            <v>10.039999999999999</v>
          </cell>
          <cell r="H5707">
            <v>45529</v>
          </cell>
          <cell r="I5707">
            <v>0.5888888888888888</v>
          </cell>
          <cell r="J5707">
            <v>29.292222222222222</v>
          </cell>
        </row>
        <row r="5708">
          <cell r="B5708">
            <v>17.68</v>
          </cell>
          <cell r="C5708">
            <v>61.58</v>
          </cell>
          <cell r="D5708">
            <v>17.760000000000002</v>
          </cell>
          <cell r="E5708">
            <v>10.09</v>
          </cell>
          <cell r="H5708">
            <v>45529</v>
          </cell>
          <cell r="I5708">
            <v>0.60000000000000009</v>
          </cell>
          <cell r="J5708">
            <v>29.427777777777781</v>
          </cell>
        </row>
        <row r="5709">
          <cell r="B5709">
            <v>16.87</v>
          </cell>
          <cell r="C5709">
            <v>58.55</v>
          </cell>
          <cell r="D5709">
            <v>18.190000000000001</v>
          </cell>
          <cell r="E5709">
            <v>10.199999999999999</v>
          </cell>
          <cell r="H5709">
            <v>45529</v>
          </cell>
          <cell r="I5709">
            <v>0.6100000000000001</v>
          </cell>
          <cell r="J5709">
            <v>29.509999999999998</v>
          </cell>
        </row>
        <row r="5710">
          <cell r="B5710">
            <v>16.399999999999999</v>
          </cell>
          <cell r="C5710">
            <v>52.41</v>
          </cell>
          <cell r="D5710">
            <v>18.239999999999998</v>
          </cell>
          <cell r="E5710">
            <v>10.09</v>
          </cell>
          <cell r="H5710">
            <v>45529</v>
          </cell>
          <cell r="I5710">
            <v>0.61777777777777787</v>
          </cell>
          <cell r="J5710">
            <v>29.45888888888889</v>
          </cell>
        </row>
        <row r="5711">
          <cell r="B5711">
            <v>19.170000000000002</v>
          </cell>
          <cell r="C5711">
            <v>52.83</v>
          </cell>
          <cell r="D5711">
            <v>18.149999999999999</v>
          </cell>
          <cell r="E5711">
            <v>9.9499999999999993</v>
          </cell>
          <cell r="H5711">
            <v>45529</v>
          </cell>
          <cell r="I5711">
            <v>0.61888888888888893</v>
          </cell>
          <cell r="J5711">
            <v>29.398888888888887</v>
          </cell>
        </row>
        <row r="5712">
          <cell r="B5712">
            <v>19.16</v>
          </cell>
          <cell r="C5712">
            <v>50.37</v>
          </cell>
          <cell r="D5712">
            <v>17.489999999999998</v>
          </cell>
          <cell r="E5712">
            <v>9.93</v>
          </cell>
          <cell r="H5712">
            <v>45529</v>
          </cell>
          <cell r="I5712">
            <v>0.6166666666666667</v>
          </cell>
          <cell r="J5712">
            <v>29.207777777777778</v>
          </cell>
        </row>
        <row r="5713">
          <cell r="B5713">
            <v>19</v>
          </cell>
          <cell r="C5713">
            <v>47.27</v>
          </cell>
          <cell r="D5713">
            <v>17.309999999999999</v>
          </cell>
          <cell r="E5713">
            <v>9.91</v>
          </cell>
          <cell r="H5713">
            <v>45529</v>
          </cell>
          <cell r="I5713">
            <v>0.61111111111111116</v>
          </cell>
          <cell r="J5713">
            <v>29.062222222222221</v>
          </cell>
        </row>
        <row r="5714">
          <cell r="B5714">
            <v>17.489999999999998</v>
          </cell>
          <cell r="C5714">
            <v>44.29</v>
          </cell>
          <cell r="D5714">
            <v>16.940000000000001</v>
          </cell>
          <cell r="E5714">
            <v>9.52</v>
          </cell>
          <cell r="H5714">
            <v>45530</v>
          </cell>
          <cell r="I5714">
            <v>0.59666666666666668</v>
          </cell>
          <cell r="J5714">
            <v>28.88333333333334</v>
          </cell>
        </row>
        <row r="5715">
          <cell r="B5715">
            <v>16.510000000000002</v>
          </cell>
          <cell r="C5715">
            <v>42.58</v>
          </cell>
          <cell r="D5715">
            <v>16.5</v>
          </cell>
          <cell r="E5715">
            <v>9.76</v>
          </cell>
          <cell r="H5715">
            <v>45530</v>
          </cell>
          <cell r="I5715">
            <v>0.58000000000000007</v>
          </cell>
          <cell r="J5715">
            <v>28.742222222222225</v>
          </cell>
        </row>
        <row r="5716">
          <cell r="B5716">
            <v>16.32</v>
          </cell>
          <cell r="C5716">
            <v>41.05</v>
          </cell>
          <cell r="D5716">
            <v>16.670000000000002</v>
          </cell>
          <cell r="E5716">
            <v>9.56</v>
          </cell>
          <cell r="H5716">
            <v>45530</v>
          </cell>
          <cell r="I5716">
            <v>0.57111111111111112</v>
          </cell>
          <cell r="J5716">
            <v>28.73</v>
          </cell>
        </row>
        <row r="5717">
          <cell r="B5717">
            <v>14.93</v>
          </cell>
          <cell r="C5717">
            <v>40.270000000000003</v>
          </cell>
          <cell r="D5717">
            <v>16.5</v>
          </cell>
          <cell r="E5717">
            <v>9.68</v>
          </cell>
          <cell r="H5717">
            <v>45530</v>
          </cell>
          <cell r="I5717">
            <v>0.55777777777777782</v>
          </cell>
          <cell r="J5717">
            <v>28.807777777777776</v>
          </cell>
        </row>
        <row r="5718">
          <cell r="B5718">
            <v>15.24</v>
          </cell>
          <cell r="C5718">
            <v>40.72</v>
          </cell>
          <cell r="D5718">
            <v>16.68</v>
          </cell>
          <cell r="E5718">
            <v>9.6300000000000008</v>
          </cell>
          <cell r="H5718">
            <v>45530</v>
          </cell>
          <cell r="I5718">
            <v>0.54555555555555557</v>
          </cell>
          <cell r="J5718">
            <v>28.878888888888884</v>
          </cell>
        </row>
        <row r="5719">
          <cell r="B5719">
            <v>15.46</v>
          </cell>
          <cell r="C5719">
            <v>43.39</v>
          </cell>
          <cell r="D5719">
            <v>16.760000000000002</v>
          </cell>
          <cell r="E5719">
            <v>9.3699999999999992</v>
          </cell>
          <cell r="H5719">
            <v>45530</v>
          </cell>
          <cell r="I5719">
            <v>0.52999999999999992</v>
          </cell>
          <cell r="J5719">
            <v>28.956666666666667</v>
          </cell>
        </row>
        <row r="5720">
          <cell r="B5720">
            <v>15.13</v>
          </cell>
          <cell r="C5720">
            <v>44.89</v>
          </cell>
          <cell r="D5720">
            <v>17.41</v>
          </cell>
          <cell r="E5720">
            <v>9.41</v>
          </cell>
          <cell r="H5720">
            <v>45530</v>
          </cell>
          <cell r="I5720">
            <v>0.52999999999999992</v>
          </cell>
          <cell r="J5720">
            <v>28.942222222222224</v>
          </cell>
        </row>
        <row r="5721">
          <cell r="B5721">
            <v>15.29</v>
          </cell>
          <cell r="C5721">
            <v>45.33</v>
          </cell>
          <cell r="D5721">
            <v>17.57</v>
          </cell>
          <cell r="E5721">
            <v>9.5</v>
          </cell>
          <cell r="H5721">
            <v>45530</v>
          </cell>
          <cell r="I5721">
            <v>0.53666666666666663</v>
          </cell>
          <cell r="J5721">
            <v>28.947777777777773</v>
          </cell>
        </row>
        <row r="5722">
          <cell r="B5722">
            <v>15.44</v>
          </cell>
          <cell r="C5722">
            <v>47.04</v>
          </cell>
          <cell r="D5722">
            <v>16.420000000000002</v>
          </cell>
          <cell r="E5722">
            <v>9.73</v>
          </cell>
          <cell r="H5722">
            <v>45530</v>
          </cell>
          <cell r="I5722">
            <v>0.54666666666666663</v>
          </cell>
          <cell r="J5722">
            <v>28.795555555555552</v>
          </cell>
        </row>
        <row r="5723">
          <cell r="B5723">
            <v>15.52</v>
          </cell>
          <cell r="C5723">
            <v>49.25</v>
          </cell>
          <cell r="D5723">
            <v>16.68</v>
          </cell>
          <cell r="E5723">
            <v>9.7100000000000009</v>
          </cell>
          <cell r="H5723">
            <v>45530</v>
          </cell>
          <cell r="I5723">
            <v>0.56444444444444442</v>
          </cell>
          <cell r="J5723">
            <v>28.648888888888887</v>
          </cell>
        </row>
        <row r="5724">
          <cell r="B5724">
            <v>13.96</v>
          </cell>
          <cell r="C5724">
            <v>49.43</v>
          </cell>
          <cell r="D5724">
            <v>16.86</v>
          </cell>
          <cell r="E5724">
            <v>9.8000000000000007</v>
          </cell>
          <cell r="H5724">
            <v>45530</v>
          </cell>
          <cell r="I5724">
            <v>0.57666666666666666</v>
          </cell>
          <cell r="J5724">
            <v>28.479999999999993</v>
          </cell>
        </row>
        <row r="5725">
          <cell r="B5725">
            <v>15.39</v>
          </cell>
          <cell r="C5725">
            <v>49.7</v>
          </cell>
          <cell r="D5725">
            <v>16.46</v>
          </cell>
          <cell r="E5725">
            <v>9.59</v>
          </cell>
          <cell r="H5725">
            <v>45530</v>
          </cell>
          <cell r="I5725">
            <v>0.59222222222222221</v>
          </cell>
          <cell r="J5725">
            <v>28.567777777777778</v>
          </cell>
        </row>
        <row r="5726">
          <cell r="B5726">
            <v>18.43</v>
          </cell>
          <cell r="C5726">
            <v>56.24</v>
          </cell>
          <cell r="D5726">
            <v>16.5</v>
          </cell>
          <cell r="E5726">
            <v>9.9700000000000006</v>
          </cell>
          <cell r="H5726">
            <v>45530</v>
          </cell>
          <cell r="I5726">
            <v>0.60111111111111115</v>
          </cell>
          <cell r="J5726">
            <v>28.376666666666665</v>
          </cell>
        </row>
        <row r="5727">
          <cell r="B5727">
            <v>17.37</v>
          </cell>
          <cell r="C5727">
            <v>56.93</v>
          </cell>
          <cell r="D5727">
            <v>16.73</v>
          </cell>
          <cell r="E5727">
            <v>9.82</v>
          </cell>
          <cell r="H5727">
            <v>45530</v>
          </cell>
          <cell r="I5727">
            <v>0.61</v>
          </cell>
          <cell r="J5727">
            <v>28.26</v>
          </cell>
        </row>
        <row r="5728">
          <cell r="B5728">
            <v>17.239999999999998</v>
          </cell>
          <cell r="C5728">
            <v>57.34</v>
          </cell>
          <cell r="D5728">
            <v>16.739999999999998</v>
          </cell>
          <cell r="E5728">
            <v>9.93</v>
          </cell>
          <cell r="H5728">
            <v>45530</v>
          </cell>
          <cell r="I5728">
            <v>0.62111111111111106</v>
          </cell>
          <cell r="J5728">
            <v>28.088888888888889</v>
          </cell>
        </row>
        <row r="5729">
          <cell r="B5729">
            <v>16.920000000000002</v>
          </cell>
          <cell r="C5729">
            <v>55.6</v>
          </cell>
          <cell r="D5729">
            <v>17.190000000000001</v>
          </cell>
          <cell r="E5729">
            <v>10.02</v>
          </cell>
          <cell r="H5729">
            <v>45530</v>
          </cell>
          <cell r="I5729">
            <v>0.62444444444444447</v>
          </cell>
          <cell r="J5729">
            <v>27.983333333333334</v>
          </cell>
        </row>
        <row r="5730">
          <cell r="B5730">
            <v>17.04</v>
          </cell>
          <cell r="C5730">
            <v>56.03</v>
          </cell>
          <cell r="D5730">
            <v>17.72</v>
          </cell>
          <cell r="E5730">
            <v>9.75</v>
          </cell>
          <cell r="H5730">
            <v>45530</v>
          </cell>
          <cell r="I5730">
            <v>0.62777777777777777</v>
          </cell>
          <cell r="J5730">
            <v>27.774444444444445</v>
          </cell>
        </row>
        <row r="5731">
          <cell r="B5731">
            <v>19.59</v>
          </cell>
          <cell r="C5731">
            <v>55.29</v>
          </cell>
          <cell r="D5731">
            <v>17.920000000000002</v>
          </cell>
          <cell r="E5731">
            <v>9.73</v>
          </cell>
          <cell r="H5731">
            <v>45530</v>
          </cell>
          <cell r="I5731">
            <v>0.63111111111111107</v>
          </cell>
          <cell r="J5731">
            <v>27.736666666666665</v>
          </cell>
        </row>
        <row r="5732">
          <cell r="B5732">
            <v>18.239999999999998</v>
          </cell>
          <cell r="C5732">
            <v>51.64</v>
          </cell>
          <cell r="D5732">
            <v>17.940000000000001</v>
          </cell>
          <cell r="E5732">
            <v>10.24</v>
          </cell>
          <cell r="H5732">
            <v>45530</v>
          </cell>
          <cell r="I5732">
            <v>0.6366666666666666</v>
          </cell>
          <cell r="J5732">
            <v>27.664444444444442</v>
          </cell>
        </row>
        <row r="5733">
          <cell r="B5733">
            <v>19.489999999999998</v>
          </cell>
          <cell r="C5733">
            <v>52.41</v>
          </cell>
          <cell r="D5733">
            <v>17.809999999999999</v>
          </cell>
          <cell r="E5733">
            <v>10.34</v>
          </cell>
          <cell r="H5733">
            <v>45530</v>
          </cell>
          <cell r="I5733">
            <v>0.64555555555555555</v>
          </cell>
          <cell r="J5733">
            <v>27.509999999999998</v>
          </cell>
        </row>
        <row r="5734">
          <cell r="B5734">
            <v>19.809999999999999</v>
          </cell>
          <cell r="C5734">
            <v>51.95</v>
          </cell>
          <cell r="D5734">
            <v>17.3</v>
          </cell>
          <cell r="E5734">
            <v>10.16</v>
          </cell>
          <cell r="H5734">
            <v>45530</v>
          </cell>
          <cell r="I5734">
            <v>0.64444444444444438</v>
          </cell>
          <cell r="J5734">
            <v>27.091111111111111</v>
          </cell>
        </row>
        <row r="5735">
          <cell r="B5735">
            <v>18.420000000000002</v>
          </cell>
          <cell r="C5735">
            <v>46.48</v>
          </cell>
          <cell r="D5735">
            <v>17.149999999999999</v>
          </cell>
          <cell r="E5735">
            <v>9.76</v>
          </cell>
          <cell r="H5735">
            <v>45530</v>
          </cell>
          <cell r="I5735">
            <v>0.64666666666666661</v>
          </cell>
          <cell r="J5735">
            <v>26.933333333333334</v>
          </cell>
        </row>
        <row r="5736">
          <cell r="B5736">
            <v>17.739999999999998</v>
          </cell>
          <cell r="C5736">
            <v>44.9</v>
          </cell>
          <cell r="D5736">
            <v>16.97</v>
          </cell>
          <cell r="E5736">
            <v>9.81</v>
          </cell>
          <cell r="H5736">
            <v>45530</v>
          </cell>
          <cell r="I5736">
            <v>0.64222222222222214</v>
          </cell>
          <cell r="J5736">
            <v>26.739999999999995</v>
          </cell>
        </row>
        <row r="5737">
          <cell r="B5737">
            <v>17.09</v>
          </cell>
          <cell r="C5737">
            <v>46</v>
          </cell>
          <cell r="D5737">
            <v>16.399999999999999</v>
          </cell>
          <cell r="E5737">
            <v>9.4700000000000006</v>
          </cell>
          <cell r="H5737">
            <v>45530</v>
          </cell>
          <cell r="I5737">
            <v>0.63888888888888884</v>
          </cell>
          <cell r="J5737">
            <v>26.613333333333337</v>
          </cell>
        </row>
        <row r="5738">
          <cell r="B5738">
            <v>19.95</v>
          </cell>
          <cell r="C5738">
            <v>52.26</v>
          </cell>
          <cell r="D5738">
            <v>15.96</v>
          </cell>
          <cell r="E5738">
            <v>9.82</v>
          </cell>
          <cell r="H5738">
            <v>45531</v>
          </cell>
          <cell r="I5738">
            <v>0.63333333333333341</v>
          </cell>
          <cell r="J5738">
            <v>26.49666666666667</v>
          </cell>
        </row>
        <row r="5739">
          <cell r="B5739">
            <v>18.59</v>
          </cell>
          <cell r="C5739">
            <v>45.68</v>
          </cell>
          <cell r="D5739">
            <v>15.92</v>
          </cell>
          <cell r="E5739">
            <v>9.6999999999999993</v>
          </cell>
          <cell r="H5739">
            <v>45531</v>
          </cell>
          <cell r="I5739">
            <v>0.62222222222222223</v>
          </cell>
          <cell r="J5739">
            <v>26.48555555555556</v>
          </cell>
        </row>
        <row r="5740">
          <cell r="B5740">
            <v>17.71</v>
          </cell>
          <cell r="C5740">
            <v>44.95</v>
          </cell>
          <cell r="D5740">
            <v>15.99</v>
          </cell>
          <cell r="E5740">
            <v>9.9</v>
          </cell>
          <cell r="H5740">
            <v>45531</v>
          </cell>
          <cell r="I5740">
            <v>0.60777777777777786</v>
          </cell>
          <cell r="J5740">
            <v>26.437777777777782</v>
          </cell>
        </row>
        <row r="5741">
          <cell r="B5741">
            <v>15.97</v>
          </cell>
          <cell r="C5741">
            <v>41.02</v>
          </cell>
          <cell r="D5741">
            <v>15.89</v>
          </cell>
          <cell r="E5741">
            <v>9.92</v>
          </cell>
          <cell r="H5741">
            <v>45531</v>
          </cell>
          <cell r="I5741">
            <v>0.59111111111111103</v>
          </cell>
          <cell r="J5741">
            <v>26.423333333333332</v>
          </cell>
        </row>
        <row r="5742">
          <cell r="B5742">
            <v>16.43</v>
          </cell>
          <cell r="C5742">
            <v>38.340000000000003</v>
          </cell>
          <cell r="D5742">
            <v>15.73</v>
          </cell>
          <cell r="E5742">
            <v>9.7200000000000006</v>
          </cell>
          <cell r="H5742">
            <v>45531</v>
          </cell>
          <cell r="I5742">
            <v>0.5722222222222223</v>
          </cell>
          <cell r="J5742">
            <v>26.482222222222227</v>
          </cell>
        </row>
        <row r="5743">
          <cell r="B5743">
            <v>15.99</v>
          </cell>
          <cell r="C5743">
            <v>36.78</v>
          </cell>
          <cell r="D5743">
            <v>16.100000000000001</v>
          </cell>
          <cell r="E5743">
            <v>9.52</v>
          </cell>
          <cell r="H5743">
            <v>45531</v>
          </cell>
          <cell r="I5743">
            <v>0.56111111111111112</v>
          </cell>
          <cell r="J5743">
            <v>26.473333333333336</v>
          </cell>
        </row>
        <row r="5744">
          <cell r="B5744">
            <v>16.12</v>
          </cell>
          <cell r="C5744">
            <v>38.82</v>
          </cell>
          <cell r="D5744">
            <v>16.59</v>
          </cell>
          <cell r="E5744">
            <v>9.61</v>
          </cell>
          <cell r="H5744">
            <v>45531</v>
          </cell>
          <cell r="I5744">
            <v>0.55222222222222217</v>
          </cell>
          <cell r="J5744">
            <v>26.426666666666666</v>
          </cell>
        </row>
        <row r="5745">
          <cell r="B5745">
            <v>15.25</v>
          </cell>
          <cell r="C5745">
            <v>42.72</v>
          </cell>
          <cell r="D5745">
            <v>17.12</v>
          </cell>
          <cell r="E5745">
            <v>9.73</v>
          </cell>
          <cell r="H5745">
            <v>45531</v>
          </cell>
          <cell r="I5745">
            <v>0.55000000000000004</v>
          </cell>
          <cell r="J5745">
            <v>26.353333333333332</v>
          </cell>
        </row>
        <row r="5746">
          <cell r="B5746">
            <v>15.49</v>
          </cell>
          <cell r="C5746">
            <v>44.58</v>
          </cell>
          <cell r="D5746">
            <v>16.920000000000002</v>
          </cell>
          <cell r="E5746">
            <v>10.06</v>
          </cell>
          <cell r="H5746">
            <v>45531</v>
          </cell>
          <cell r="I5746">
            <v>0.54777777777777781</v>
          </cell>
          <cell r="J5746">
            <v>26.236666666666665</v>
          </cell>
        </row>
        <row r="5747">
          <cell r="B5747">
            <v>13.85</v>
          </cell>
          <cell r="C5747">
            <v>45.79</v>
          </cell>
          <cell r="D5747">
            <v>16.75</v>
          </cell>
          <cell r="E5747">
            <v>10</v>
          </cell>
          <cell r="H5747">
            <v>45531</v>
          </cell>
          <cell r="I5747">
            <v>0.55000000000000004</v>
          </cell>
          <cell r="J5747">
            <v>26.185555555555556</v>
          </cell>
        </row>
        <row r="5748">
          <cell r="B5748">
            <v>13.02</v>
          </cell>
          <cell r="C5748">
            <v>44.46</v>
          </cell>
          <cell r="D5748">
            <v>16.8</v>
          </cell>
          <cell r="E5748">
            <v>10.28</v>
          </cell>
          <cell r="H5748">
            <v>45531</v>
          </cell>
          <cell r="I5748">
            <v>0.55111111111111111</v>
          </cell>
          <cell r="J5748">
            <v>26.134444444444441</v>
          </cell>
        </row>
        <row r="5749">
          <cell r="B5749">
            <v>14.23</v>
          </cell>
          <cell r="C5749">
            <v>43.78</v>
          </cell>
          <cell r="D5749">
            <v>16.96</v>
          </cell>
          <cell r="E5749">
            <v>9.61</v>
          </cell>
          <cell r="H5749">
            <v>45531</v>
          </cell>
          <cell r="I5749">
            <v>0.56111111111111112</v>
          </cell>
          <cell r="J5749">
            <v>26.062222222222221</v>
          </cell>
        </row>
        <row r="5750">
          <cell r="B5750">
            <v>15.32</v>
          </cell>
          <cell r="C5750">
            <v>48.51</v>
          </cell>
          <cell r="D5750">
            <v>16.88</v>
          </cell>
          <cell r="E5750">
            <v>9.09</v>
          </cell>
          <cell r="H5750">
            <v>45531</v>
          </cell>
          <cell r="I5750">
            <v>0.56777777777777783</v>
          </cell>
          <cell r="J5750">
            <v>26.174444444444443</v>
          </cell>
        </row>
        <row r="5751">
          <cell r="B5751">
            <v>16.23</v>
          </cell>
          <cell r="C5751">
            <v>48.29</v>
          </cell>
          <cell r="D5751">
            <v>16.940000000000001</v>
          </cell>
          <cell r="E5751">
            <v>9</v>
          </cell>
          <cell r="H5751">
            <v>45531</v>
          </cell>
          <cell r="I5751">
            <v>0.5755555555555556</v>
          </cell>
          <cell r="J5751">
            <v>26.143333333333331</v>
          </cell>
        </row>
        <row r="5752">
          <cell r="B5752">
            <v>18.079999999999998</v>
          </cell>
          <cell r="C5752">
            <v>44.12</v>
          </cell>
          <cell r="D5752">
            <v>17.399999999999999</v>
          </cell>
          <cell r="E5752">
            <v>9.09</v>
          </cell>
          <cell r="H5752">
            <v>45531</v>
          </cell>
          <cell r="I5752">
            <v>0.58333333333333348</v>
          </cell>
          <cell r="J5752">
            <v>26.261111111111109</v>
          </cell>
        </row>
        <row r="5753">
          <cell r="B5753">
            <v>18.100000000000001</v>
          </cell>
          <cell r="C5753">
            <v>46.67</v>
          </cell>
          <cell r="D5753">
            <v>16.82</v>
          </cell>
          <cell r="E5753">
            <v>9.77</v>
          </cell>
          <cell r="H5753">
            <v>45531</v>
          </cell>
          <cell r="I5753">
            <v>0.59</v>
          </cell>
          <cell r="J5753">
            <v>26.516666666666666</v>
          </cell>
        </row>
        <row r="5754">
          <cell r="B5754">
            <v>16.23</v>
          </cell>
          <cell r="C5754">
            <v>41.93</v>
          </cell>
          <cell r="D5754">
            <v>17.149999999999999</v>
          </cell>
          <cell r="E5754">
            <v>9.92</v>
          </cell>
          <cell r="H5754">
            <v>45531</v>
          </cell>
          <cell r="I5754">
            <v>0.59000000000000008</v>
          </cell>
          <cell r="J5754">
            <v>26.735555555555557</v>
          </cell>
        </row>
        <row r="5755">
          <cell r="B5755">
            <v>15.79</v>
          </cell>
          <cell r="C5755">
            <v>45.55</v>
          </cell>
          <cell r="D5755">
            <v>17.239999999999998</v>
          </cell>
          <cell r="E5755">
            <v>9.64</v>
          </cell>
          <cell r="H5755">
            <v>45531</v>
          </cell>
          <cell r="I5755">
            <v>0.59666666666666668</v>
          </cell>
          <cell r="J5755">
            <v>26.914444444444445</v>
          </cell>
        </row>
        <row r="5756">
          <cell r="B5756">
            <v>16.32</v>
          </cell>
          <cell r="C5756">
            <v>45.17</v>
          </cell>
          <cell r="D5756">
            <v>17.3</v>
          </cell>
          <cell r="E5756">
            <v>10.15</v>
          </cell>
          <cell r="H5756">
            <v>45531</v>
          </cell>
          <cell r="I5756">
            <v>0.61</v>
          </cell>
          <cell r="J5756">
            <v>26.941111111111113</v>
          </cell>
        </row>
        <row r="5757">
          <cell r="B5757">
            <v>18.07</v>
          </cell>
          <cell r="C5757">
            <v>55.27</v>
          </cell>
          <cell r="D5757">
            <v>18.38</v>
          </cell>
          <cell r="E5757">
            <v>9.73</v>
          </cell>
          <cell r="H5757">
            <v>45531</v>
          </cell>
          <cell r="I5757">
            <v>0.63444444444444437</v>
          </cell>
          <cell r="J5757">
            <v>26.736666666666672</v>
          </cell>
        </row>
        <row r="5758">
          <cell r="B5758">
            <v>19.12</v>
          </cell>
          <cell r="C5758">
            <v>43.53</v>
          </cell>
          <cell r="D5758">
            <v>17.98</v>
          </cell>
          <cell r="E5758">
            <v>9.58</v>
          </cell>
          <cell r="H5758">
            <v>45531</v>
          </cell>
          <cell r="I5758">
            <v>0.64666666666666661</v>
          </cell>
          <cell r="J5758">
            <v>26.660000000000004</v>
          </cell>
        </row>
        <row r="5759">
          <cell r="B5759">
            <v>19.77</v>
          </cell>
          <cell r="C5759">
            <v>42.55</v>
          </cell>
          <cell r="D5759">
            <v>17.850000000000001</v>
          </cell>
          <cell r="E5759">
            <v>9.26</v>
          </cell>
          <cell r="H5759">
            <v>45531</v>
          </cell>
          <cell r="I5759">
            <v>0.65444444444444438</v>
          </cell>
          <cell r="J5759">
            <v>26.387777777777778</v>
          </cell>
        </row>
        <row r="5760">
          <cell r="B5760">
            <v>19.13</v>
          </cell>
          <cell r="C5760">
            <v>41.65</v>
          </cell>
          <cell r="D5760">
            <v>17.14</v>
          </cell>
          <cell r="E5760">
            <v>9.4700000000000006</v>
          </cell>
          <cell r="H5760">
            <v>45531</v>
          </cell>
          <cell r="I5760">
            <v>0.66111111111111109</v>
          </cell>
          <cell r="J5760">
            <v>26.302222222222227</v>
          </cell>
        </row>
        <row r="5761">
          <cell r="B5761">
            <v>18.5</v>
          </cell>
          <cell r="C5761">
            <v>46.01</v>
          </cell>
          <cell r="D5761">
            <v>16.940000000000001</v>
          </cell>
          <cell r="E5761">
            <v>9.51</v>
          </cell>
          <cell r="H5761">
            <v>45531</v>
          </cell>
          <cell r="I5761">
            <v>0.66222222222222227</v>
          </cell>
          <cell r="J5761">
            <v>25.983333333333334</v>
          </cell>
        </row>
        <row r="5762">
          <cell r="B5762">
            <v>18.05</v>
          </cell>
          <cell r="C5762">
            <v>45.87</v>
          </cell>
          <cell r="D5762">
            <v>15.79</v>
          </cell>
          <cell r="E5762">
            <v>8.6300000000000008</v>
          </cell>
          <cell r="H5762">
            <v>45532</v>
          </cell>
          <cell r="I5762">
            <v>0.66333333333333333</v>
          </cell>
          <cell r="J5762">
            <v>25.494444444444447</v>
          </cell>
        </row>
        <row r="5763">
          <cell r="B5763">
            <v>17.170000000000002</v>
          </cell>
          <cell r="C5763">
            <v>43.78</v>
          </cell>
          <cell r="D5763">
            <v>15.64</v>
          </cell>
          <cell r="E5763">
            <v>8</v>
          </cell>
          <cell r="H5763">
            <v>45532</v>
          </cell>
          <cell r="I5763">
            <v>0.66333333333333344</v>
          </cell>
          <cell r="J5763">
            <v>25.001111111111111</v>
          </cell>
        </row>
        <row r="5764">
          <cell r="B5764">
            <v>17.55</v>
          </cell>
          <cell r="C5764">
            <v>42.61</v>
          </cell>
          <cell r="D5764">
            <v>15.31</v>
          </cell>
          <cell r="E5764">
            <v>8.1</v>
          </cell>
          <cell r="H5764">
            <v>45532</v>
          </cell>
          <cell r="I5764">
            <v>0.6544444444444445</v>
          </cell>
          <cell r="J5764">
            <v>24.573333333333334</v>
          </cell>
        </row>
        <row r="5765">
          <cell r="B5765">
            <v>19.29</v>
          </cell>
          <cell r="C5765">
            <v>40.51</v>
          </cell>
          <cell r="D5765">
            <v>16.04</v>
          </cell>
          <cell r="E5765">
            <v>8.0500000000000007</v>
          </cell>
          <cell r="H5765">
            <v>45532</v>
          </cell>
          <cell r="I5765">
            <v>0.64333333333333331</v>
          </cell>
          <cell r="J5765">
            <v>24.35</v>
          </cell>
        </row>
        <row r="5766">
          <cell r="B5766">
            <v>17.3</v>
          </cell>
          <cell r="C5766">
            <v>47.39</v>
          </cell>
          <cell r="D5766">
            <v>15.3</v>
          </cell>
          <cell r="E5766">
            <v>8.0500000000000007</v>
          </cell>
          <cell r="H5766">
            <v>45532</v>
          </cell>
          <cell r="I5766">
            <v>0.62111111111111106</v>
          </cell>
          <cell r="J5766">
            <v>24.225555555555555</v>
          </cell>
        </row>
        <row r="5767">
          <cell r="B5767">
            <v>16.27</v>
          </cell>
          <cell r="C5767">
            <v>43.01</v>
          </cell>
          <cell r="D5767">
            <v>15.78</v>
          </cell>
          <cell r="E5767">
            <v>8.0299999999999994</v>
          </cell>
          <cell r="H5767">
            <v>45532</v>
          </cell>
          <cell r="I5767">
            <v>0.60777777777777775</v>
          </cell>
          <cell r="J5767">
            <v>23.985555555555557</v>
          </cell>
        </row>
        <row r="5768">
          <cell r="B5768">
            <v>17.34</v>
          </cell>
          <cell r="C5768">
            <v>41.07</v>
          </cell>
          <cell r="D5768">
            <v>15.68</v>
          </cell>
          <cell r="E5768">
            <v>7.98</v>
          </cell>
          <cell r="H5768">
            <v>45532</v>
          </cell>
          <cell r="I5768">
            <v>0.60444444444444434</v>
          </cell>
          <cell r="J5768">
            <v>23.736666666666672</v>
          </cell>
        </row>
        <row r="5769">
          <cell r="B5769">
            <v>19.559999999999999</v>
          </cell>
          <cell r="C5769">
            <v>42.23</v>
          </cell>
          <cell r="D5769">
            <v>16.13</v>
          </cell>
          <cell r="E5769">
            <v>7.93</v>
          </cell>
          <cell r="H5769">
            <v>45532</v>
          </cell>
          <cell r="I5769">
            <v>0.60444444444444434</v>
          </cell>
          <cell r="J5769">
            <v>23.596666666666675</v>
          </cell>
        </row>
        <row r="5770">
          <cell r="B5770">
            <v>20.36</v>
          </cell>
          <cell r="C5770">
            <v>43.12</v>
          </cell>
          <cell r="D5770">
            <v>16.13</v>
          </cell>
          <cell r="E5770">
            <v>8.26</v>
          </cell>
          <cell r="H5770">
            <v>45532</v>
          </cell>
          <cell r="I5770">
            <v>0.60555555555555551</v>
          </cell>
          <cell r="J5770">
            <v>23.642222222222227</v>
          </cell>
        </row>
        <row r="5771">
          <cell r="B5771">
            <v>18.63</v>
          </cell>
          <cell r="C5771">
            <v>50.45</v>
          </cell>
          <cell r="D5771">
            <v>16.559999999999999</v>
          </cell>
          <cell r="E5771">
            <v>8.32</v>
          </cell>
          <cell r="H5771">
            <v>45532</v>
          </cell>
          <cell r="I5771">
            <v>0.61</v>
          </cell>
          <cell r="J5771">
            <v>23.675555555555555</v>
          </cell>
        </row>
        <row r="5772">
          <cell r="B5772">
            <v>17.16</v>
          </cell>
          <cell r="C5772">
            <v>50.46</v>
          </cell>
          <cell r="D5772">
            <v>16.04</v>
          </cell>
          <cell r="E5772">
            <v>8.83</v>
          </cell>
          <cell r="H5772">
            <v>45532</v>
          </cell>
          <cell r="I5772">
            <v>0.61777777777777776</v>
          </cell>
          <cell r="J5772">
            <v>23.797777777777771</v>
          </cell>
        </row>
        <row r="5773">
          <cell r="B5773">
            <v>17.03</v>
          </cell>
          <cell r="C5773">
            <v>50.06</v>
          </cell>
          <cell r="D5773">
            <v>16.059999999999999</v>
          </cell>
          <cell r="E5773">
            <v>8.74</v>
          </cell>
          <cell r="H5773">
            <v>45532</v>
          </cell>
          <cell r="I5773">
            <v>0.62333333333333329</v>
          </cell>
          <cell r="J5773">
            <v>23.980000000000004</v>
          </cell>
        </row>
        <row r="5774">
          <cell r="B5774">
            <v>16.690000000000001</v>
          </cell>
          <cell r="C5774">
            <v>50.05</v>
          </cell>
          <cell r="D5774">
            <v>16.22</v>
          </cell>
          <cell r="E5774">
            <v>8.76</v>
          </cell>
          <cell r="H5774">
            <v>45532</v>
          </cell>
          <cell r="I5774">
            <v>0.63</v>
          </cell>
          <cell r="J5774">
            <v>24.012222222222224</v>
          </cell>
        </row>
        <row r="5775">
          <cell r="B5775">
            <v>18.5</v>
          </cell>
          <cell r="C5775">
            <v>51.75</v>
          </cell>
          <cell r="D5775">
            <v>16.21</v>
          </cell>
          <cell r="E5775">
            <v>8.93</v>
          </cell>
          <cell r="H5775">
            <v>45532</v>
          </cell>
          <cell r="I5775">
            <v>0.63888888888888895</v>
          </cell>
          <cell r="J5775">
            <v>24.248888888888889</v>
          </cell>
        </row>
        <row r="5776">
          <cell r="B5776">
            <v>20.98</v>
          </cell>
          <cell r="C5776">
            <v>52.25</v>
          </cell>
          <cell r="D5776">
            <v>16.350000000000001</v>
          </cell>
          <cell r="E5776">
            <v>11.97</v>
          </cell>
          <cell r="H5776">
            <v>45532</v>
          </cell>
          <cell r="I5776">
            <v>0.64666666666666672</v>
          </cell>
          <cell r="J5776">
            <v>24.6</v>
          </cell>
        </row>
        <row r="5777">
          <cell r="B5777">
            <v>19.54</v>
          </cell>
          <cell r="C5777">
            <v>49.73</v>
          </cell>
          <cell r="D5777">
            <v>16.73</v>
          </cell>
          <cell r="E5777">
            <v>16.82</v>
          </cell>
          <cell r="H5777">
            <v>45532</v>
          </cell>
          <cell r="I5777">
            <v>0.65</v>
          </cell>
          <cell r="J5777">
            <v>25.031111111111112</v>
          </cell>
        </row>
        <row r="5778">
          <cell r="B5778">
            <v>18.05</v>
          </cell>
          <cell r="C5778">
            <v>50.56</v>
          </cell>
          <cell r="D5778">
            <v>16.62</v>
          </cell>
          <cell r="E5778">
            <v>17.29</v>
          </cell>
          <cell r="H5778">
            <v>45532</v>
          </cell>
          <cell r="I5778">
            <v>0.64666666666666683</v>
          </cell>
          <cell r="J5778">
            <v>25.320000000000004</v>
          </cell>
        </row>
        <row r="5779">
          <cell r="B5779">
            <v>18.52</v>
          </cell>
          <cell r="C5779">
            <v>50.2</v>
          </cell>
          <cell r="D5779">
            <v>16.27</v>
          </cell>
          <cell r="E5779">
            <v>16.88</v>
          </cell>
          <cell r="H5779">
            <v>45532</v>
          </cell>
          <cell r="I5779">
            <v>0.65555555555555556</v>
          </cell>
          <cell r="J5779">
            <v>25.455555555555559</v>
          </cell>
        </row>
        <row r="5780">
          <cell r="B5780">
            <v>20.079999999999998</v>
          </cell>
          <cell r="C5780">
            <v>52.91</v>
          </cell>
          <cell r="D5780">
            <v>17.100000000000001</v>
          </cell>
          <cell r="E5780">
            <v>15.99</v>
          </cell>
          <cell r="H5780">
            <v>45532</v>
          </cell>
          <cell r="I5780">
            <v>0.66666666666666663</v>
          </cell>
          <cell r="J5780">
            <v>25.625555555555557</v>
          </cell>
        </row>
        <row r="5781">
          <cell r="B5781">
            <v>20.72</v>
          </cell>
          <cell r="C5781">
            <v>53.38</v>
          </cell>
          <cell r="D5781">
            <v>17.489999999999998</v>
          </cell>
          <cell r="E5781">
            <v>15.43</v>
          </cell>
          <cell r="H5781">
            <v>45532</v>
          </cell>
          <cell r="I5781">
            <v>0.68888888888888877</v>
          </cell>
          <cell r="J5781">
            <v>25.764444444444443</v>
          </cell>
        </row>
        <row r="5782">
          <cell r="B5782">
            <v>20.09</v>
          </cell>
          <cell r="C5782">
            <v>53.66</v>
          </cell>
          <cell r="D5782">
            <v>17.329999999999998</v>
          </cell>
          <cell r="E5782">
            <v>15.08</v>
          </cell>
          <cell r="H5782">
            <v>45532</v>
          </cell>
          <cell r="I5782">
            <v>0.70666666666666655</v>
          </cell>
          <cell r="J5782">
            <v>25.80222222222222</v>
          </cell>
        </row>
        <row r="5783">
          <cell r="B5783">
            <v>19.18</v>
          </cell>
          <cell r="C5783">
            <v>51.91</v>
          </cell>
          <cell r="D5783">
            <v>16.39</v>
          </cell>
          <cell r="E5783">
            <v>14.59</v>
          </cell>
          <cell r="H5783">
            <v>45532</v>
          </cell>
          <cell r="I5783">
            <v>0.70999999999999985</v>
          </cell>
          <cell r="J5783">
            <v>25.884444444444444</v>
          </cell>
        </row>
        <row r="5784">
          <cell r="B5784">
            <v>18.04</v>
          </cell>
          <cell r="C5784">
            <v>48.96</v>
          </cell>
          <cell r="D5784">
            <v>15.87</v>
          </cell>
          <cell r="E5784">
            <v>14.06</v>
          </cell>
          <cell r="H5784">
            <v>45532</v>
          </cell>
          <cell r="I5784">
            <v>0.71111111111111114</v>
          </cell>
          <cell r="J5784">
            <v>25.92</v>
          </cell>
        </row>
        <row r="5785">
          <cell r="B5785">
            <v>16.89</v>
          </cell>
          <cell r="C5785">
            <v>44.34</v>
          </cell>
          <cell r="D5785">
            <v>16.170000000000002</v>
          </cell>
          <cell r="E5785">
            <v>13.58</v>
          </cell>
          <cell r="H5785">
            <v>45532</v>
          </cell>
          <cell r="I5785">
            <v>0.70777777777777784</v>
          </cell>
          <cell r="J5785">
            <v>25.806666666666668</v>
          </cell>
        </row>
        <row r="5786">
          <cell r="B5786">
            <v>17.38</v>
          </cell>
          <cell r="C5786">
            <v>43.56</v>
          </cell>
          <cell r="D5786">
            <v>15.34</v>
          </cell>
          <cell r="E5786">
            <v>9.86</v>
          </cell>
          <cell r="H5786">
            <v>45533</v>
          </cell>
          <cell r="I5786">
            <v>0.69666666666666666</v>
          </cell>
          <cell r="J5786">
            <v>25.644444444444442</v>
          </cell>
        </row>
        <row r="5787">
          <cell r="B5787">
            <v>17.739999999999998</v>
          </cell>
          <cell r="C5787">
            <v>42.92</v>
          </cell>
          <cell r="D5787">
            <v>14.98</v>
          </cell>
          <cell r="E5787">
            <v>10.61</v>
          </cell>
          <cell r="H5787">
            <v>45533</v>
          </cell>
          <cell r="I5787">
            <v>0.68555555555555547</v>
          </cell>
          <cell r="J5787">
            <v>25.435555555555556</v>
          </cell>
        </row>
        <row r="5788">
          <cell r="B5788">
            <v>17.149999999999999</v>
          </cell>
          <cell r="C5788">
            <v>39.75</v>
          </cell>
          <cell r="D5788">
            <v>15.15</v>
          </cell>
          <cell r="E5788">
            <v>10.37</v>
          </cell>
          <cell r="H5788">
            <v>45533</v>
          </cell>
          <cell r="I5788">
            <v>0.67333333333333334</v>
          </cell>
          <cell r="J5788">
            <v>25.298888888888889</v>
          </cell>
        </row>
        <row r="5789">
          <cell r="B5789">
            <v>17.98</v>
          </cell>
          <cell r="C5789">
            <v>40.71</v>
          </cell>
          <cell r="D5789">
            <v>15.61</v>
          </cell>
          <cell r="E5789">
            <v>9.81</v>
          </cell>
          <cell r="H5789">
            <v>45533</v>
          </cell>
          <cell r="I5789">
            <v>0.66111111111111109</v>
          </cell>
          <cell r="J5789">
            <v>25.327777777777776</v>
          </cell>
        </row>
        <row r="5790">
          <cell r="B5790">
            <v>19</v>
          </cell>
          <cell r="C5790">
            <v>38.340000000000003</v>
          </cell>
          <cell r="D5790">
            <v>15.73</v>
          </cell>
          <cell r="E5790">
            <v>9.48</v>
          </cell>
          <cell r="H5790">
            <v>45533</v>
          </cell>
          <cell r="I5790">
            <v>0.63777777777777778</v>
          </cell>
          <cell r="J5790">
            <v>25.322222222222223</v>
          </cell>
        </row>
        <row r="5791">
          <cell r="B5791">
            <v>19.2</v>
          </cell>
          <cell r="C5791">
            <v>36.85</v>
          </cell>
          <cell r="D5791">
            <v>16.21</v>
          </cell>
          <cell r="E5791">
            <v>9.09</v>
          </cell>
          <cell r="H5791">
            <v>45533</v>
          </cell>
          <cell r="I5791">
            <v>0.62111111111111117</v>
          </cell>
          <cell r="J5791">
            <v>25.323333333333334</v>
          </cell>
        </row>
        <row r="5792">
          <cell r="B5792">
            <v>19.25</v>
          </cell>
          <cell r="C5792">
            <v>36.82</v>
          </cell>
          <cell r="D5792">
            <v>16.260000000000002</v>
          </cell>
          <cell r="E5792">
            <v>9.64</v>
          </cell>
          <cell r="H5792">
            <v>45533</v>
          </cell>
          <cell r="I5792">
            <v>0.6166666666666667</v>
          </cell>
          <cell r="J5792">
            <v>25.290000000000003</v>
          </cell>
        </row>
        <row r="5793">
          <cell r="B5793">
            <v>17.68</v>
          </cell>
          <cell r="C5793">
            <v>44.77</v>
          </cell>
          <cell r="D5793">
            <v>16.14</v>
          </cell>
          <cell r="E5793">
            <v>9.31</v>
          </cell>
          <cell r="H5793">
            <v>45533</v>
          </cell>
          <cell r="I5793">
            <v>0.6166666666666667</v>
          </cell>
          <cell r="J5793">
            <v>25.087777777777781</v>
          </cell>
        </row>
        <row r="5794">
          <cell r="B5794">
            <v>18.91</v>
          </cell>
          <cell r="C5794">
            <v>50.11</v>
          </cell>
          <cell r="D5794">
            <v>16.239999999999998</v>
          </cell>
          <cell r="E5794">
            <v>8.99</v>
          </cell>
          <cell r="H5794">
            <v>45533</v>
          </cell>
          <cell r="I5794">
            <v>0.62333333333333341</v>
          </cell>
          <cell r="J5794">
            <v>24.995555555555558</v>
          </cell>
        </row>
        <row r="5795">
          <cell r="B5795">
            <v>18</v>
          </cell>
          <cell r="C5795">
            <v>47.39</v>
          </cell>
          <cell r="D5795">
            <v>16.37</v>
          </cell>
          <cell r="E5795">
            <v>9.3000000000000007</v>
          </cell>
          <cell r="H5795">
            <v>45533</v>
          </cell>
          <cell r="I5795">
            <v>0.64444444444444438</v>
          </cell>
          <cell r="J5795">
            <v>24.934444444444445</v>
          </cell>
        </row>
        <row r="5796">
          <cell r="B5796">
            <v>18.510000000000002</v>
          </cell>
          <cell r="C5796">
            <v>46.96</v>
          </cell>
          <cell r="D5796">
            <v>16.57</v>
          </cell>
          <cell r="E5796">
            <v>9.31</v>
          </cell>
          <cell r="H5796">
            <v>45533</v>
          </cell>
          <cell r="I5796">
            <v>0.66555555555555557</v>
          </cell>
          <cell r="J5796">
            <v>24.954444444444444</v>
          </cell>
        </row>
        <row r="5797">
          <cell r="B5797">
            <v>17.34</v>
          </cell>
          <cell r="C5797">
            <v>42.93</v>
          </cell>
          <cell r="D5797">
            <v>17.3</v>
          </cell>
          <cell r="E5797">
            <v>9.07</v>
          </cell>
          <cell r="H5797">
            <v>45533</v>
          </cell>
          <cell r="I5797">
            <v>0.68111111111111122</v>
          </cell>
          <cell r="J5797">
            <v>24.99</v>
          </cell>
        </row>
        <row r="5798">
          <cell r="B5798">
            <v>17.420000000000002</v>
          </cell>
          <cell r="C5798">
            <v>45.75</v>
          </cell>
          <cell r="D5798">
            <v>17.850000000000001</v>
          </cell>
          <cell r="E5798">
            <v>8.68</v>
          </cell>
          <cell r="H5798">
            <v>45533</v>
          </cell>
          <cell r="I5798">
            <v>0.69222222222222229</v>
          </cell>
          <cell r="J5798">
            <v>24.978888888888886</v>
          </cell>
        </row>
        <row r="5799">
          <cell r="B5799">
            <v>18.59</v>
          </cell>
          <cell r="C5799">
            <v>47.52</v>
          </cell>
          <cell r="D5799">
            <v>17.739999999999998</v>
          </cell>
          <cell r="E5799">
            <v>8.6999999999999993</v>
          </cell>
          <cell r="H5799">
            <v>45533</v>
          </cell>
          <cell r="I5799">
            <v>0.71111111111111114</v>
          </cell>
          <cell r="J5799">
            <v>25.072222222222219</v>
          </cell>
        </row>
        <row r="5800">
          <cell r="B5800">
            <v>19.32</v>
          </cell>
          <cell r="C5800">
            <v>44.94</v>
          </cell>
          <cell r="D5800">
            <v>18.02</v>
          </cell>
          <cell r="E5800">
            <v>8.76</v>
          </cell>
          <cell r="H5800">
            <v>45533</v>
          </cell>
          <cell r="I5800">
            <v>0.72555555555555562</v>
          </cell>
          <cell r="J5800">
            <v>25.220000000000002</v>
          </cell>
        </row>
        <row r="5801">
          <cell r="B5801">
            <v>19.53</v>
          </cell>
          <cell r="C5801">
            <v>45.04</v>
          </cell>
          <cell r="D5801">
            <v>18.36</v>
          </cell>
          <cell r="E5801">
            <v>8.85</v>
          </cell>
          <cell r="H5801">
            <v>45533</v>
          </cell>
          <cell r="I5801">
            <v>0.73555555555555552</v>
          </cell>
          <cell r="J5801">
            <v>25.186666666666667</v>
          </cell>
        </row>
        <row r="5802">
          <cell r="B5802">
            <v>17.690000000000001</v>
          </cell>
          <cell r="C5802">
            <v>39.03</v>
          </cell>
          <cell r="D5802">
            <v>17.43</v>
          </cell>
          <cell r="E5802">
            <v>8.69</v>
          </cell>
          <cell r="H5802">
            <v>45533</v>
          </cell>
          <cell r="I5802">
            <v>0.73777777777777775</v>
          </cell>
          <cell r="J5802">
            <v>25.290000000000003</v>
          </cell>
        </row>
        <row r="5803">
          <cell r="B5803">
            <v>20.79</v>
          </cell>
          <cell r="C5803">
            <v>41.67</v>
          </cell>
          <cell r="D5803">
            <v>17.03</v>
          </cell>
          <cell r="E5803">
            <v>8.4600000000000009</v>
          </cell>
          <cell r="H5803">
            <v>45533</v>
          </cell>
          <cell r="I5803">
            <v>0.73777777777777787</v>
          </cell>
          <cell r="J5803">
            <v>25.214444444444446</v>
          </cell>
        </row>
        <row r="5804">
          <cell r="B5804">
            <v>20.39</v>
          </cell>
          <cell r="C5804">
            <v>57.39</v>
          </cell>
          <cell r="D5804">
            <v>16.989999999999998</v>
          </cell>
          <cell r="E5804">
            <v>7.95</v>
          </cell>
          <cell r="H5804">
            <v>45533</v>
          </cell>
          <cell r="I5804">
            <v>0.74555555555555564</v>
          </cell>
          <cell r="J5804">
            <v>24.967777777777783</v>
          </cell>
        </row>
        <row r="5805">
          <cell r="B5805">
            <v>22.47</v>
          </cell>
          <cell r="C5805">
            <v>45.65</v>
          </cell>
          <cell r="D5805">
            <v>16.940000000000001</v>
          </cell>
          <cell r="E5805">
            <v>7.75</v>
          </cell>
          <cell r="H5805">
            <v>45533</v>
          </cell>
          <cell r="I5805">
            <v>0.75888888888888895</v>
          </cell>
          <cell r="J5805">
            <v>24.658888888888885</v>
          </cell>
        </row>
        <row r="5806">
          <cell r="B5806">
            <v>24.26</v>
          </cell>
          <cell r="C5806">
            <v>44.8</v>
          </cell>
          <cell r="D5806">
            <v>17.07</v>
          </cell>
          <cell r="E5806">
            <v>7.52</v>
          </cell>
          <cell r="H5806">
            <v>45533</v>
          </cell>
          <cell r="I5806">
            <v>0.76555555555555566</v>
          </cell>
          <cell r="J5806">
            <v>24.337777777777777</v>
          </cell>
        </row>
        <row r="5807">
          <cell r="B5807">
            <v>24.7</v>
          </cell>
          <cell r="C5807">
            <v>45.33</v>
          </cell>
          <cell r="D5807">
            <v>16.850000000000001</v>
          </cell>
          <cell r="E5807">
            <v>7.46</v>
          </cell>
          <cell r="H5807">
            <v>45533</v>
          </cell>
          <cell r="I5807">
            <v>0.77222222222222237</v>
          </cell>
          <cell r="J5807">
            <v>23.965555555555554</v>
          </cell>
        </row>
        <row r="5808">
          <cell r="B5808">
            <v>27.77</v>
          </cell>
          <cell r="C5808">
            <v>50.75</v>
          </cell>
          <cell r="D5808">
            <v>16.52</v>
          </cell>
          <cell r="E5808">
            <v>7.63</v>
          </cell>
          <cell r="H5808">
            <v>45533</v>
          </cell>
          <cell r="I5808">
            <v>0.76777777777777778</v>
          </cell>
          <cell r="J5808">
            <v>23.526666666666667</v>
          </cell>
        </row>
        <row r="5809">
          <cell r="B5809">
            <v>24.7</v>
          </cell>
          <cell r="C5809">
            <v>48.31</v>
          </cell>
          <cell r="D5809">
            <v>15.99</v>
          </cell>
          <cell r="E5809">
            <v>7.71</v>
          </cell>
          <cell r="H5809">
            <v>45533</v>
          </cell>
          <cell r="I5809">
            <v>0.76</v>
          </cell>
          <cell r="J5809">
            <v>23.056666666666661</v>
          </cell>
        </row>
        <row r="5810">
          <cell r="B5810">
            <v>20.07</v>
          </cell>
          <cell r="C5810">
            <v>40.619999999999997</v>
          </cell>
          <cell r="D5810">
            <v>15.91</v>
          </cell>
          <cell r="E5810">
            <v>8.83</v>
          </cell>
          <cell r="H5810">
            <v>45534</v>
          </cell>
          <cell r="I5810">
            <v>0.74555555555555553</v>
          </cell>
          <cell r="J5810">
            <v>22.832222222222224</v>
          </cell>
        </row>
        <row r="5811">
          <cell r="B5811">
            <v>20.010000000000002</v>
          </cell>
          <cell r="C5811">
            <v>43.67</v>
          </cell>
          <cell r="D5811">
            <v>15.96</v>
          </cell>
          <cell r="E5811">
            <v>8.7899999999999991</v>
          </cell>
          <cell r="H5811">
            <v>45534</v>
          </cell>
          <cell r="I5811">
            <v>0.74222222222222234</v>
          </cell>
          <cell r="J5811">
            <v>22.62777777777778</v>
          </cell>
        </row>
        <row r="5812">
          <cell r="B5812">
            <v>19.73</v>
          </cell>
          <cell r="C5812">
            <v>42.41</v>
          </cell>
          <cell r="D5812">
            <v>15.44</v>
          </cell>
          <cell r="E5812">
            <v>8.75</v>
          </cell>
          <cell r="H5812">
            <v>45534</v>
          </cell>
          <cell r="I5812">
            <v>0.73777777777777787</v>
          </cell>
          <cell r="J5812">
            <v>22.61</v>
          </cell>
        </row>
        <row r="5813">
          <cell r="B5813">
            <v>17.739999999999998</v>
          </cell>
          <cell r="C5813">
            <v>41.29</v>
          </cell>
          <cell r="D5813">
            <v>15.67</v>
          </cell>
          <cell r="E5813">
            <v>8.31</v>
          </cell>
          <cell r="H5813">
            <v>45534</v>
          </cell>
          <cell r="I5813">
            <v>0.71777777777777785</v>
          </cell>
          <cell r="J5813">
            <v>22.71777777777778</v>
          </cell>
        </row>
        <row r="5814">
          <cell r="B5814">
            <v>18.059999999999999</v>
          </cell>
          <cell r="C5814">
            <v>43.5</v>
          </cell>
          <cell r="D5814">
            <v>15.68</v>
          </cell>
          <cell r="E5814">
            <v>8.49</v>
          </cell>
          <cell r="H5814">
            <v>45534</v>
          </cell>
          <cell r="I5814">
            <v>0.69777777777777772</v>
          </cell>
          <cell r="J5814">
            <v>22.794444444444448</v>
          </cell>
        </row>
        <row r="5815">
          <cell r="B5815">
            <v>19.29</v>
          </cell>
          <cell r="C5815">
            <v>42.53</v>
          </cell>
          <cell r="D5815">
            <v>16.239999999999998</v>
          </cell>
          <cell r="E5815">
            <v>8.0500000000000007</v>
          </cell>
          <cell r="H5815">
            <v>45534</v>
          </cell>
          <cell r="I5815">
            <v>0.68222222222222217</v>
          </cell>
          <cell r="J5815">
            <v>22.86</v>
          </cell>
        </row>
        <row r="5816">
          <cell r="B5816">
            <v>18.84</v>
          </cell>
          <cell r="C5816">
            <v>42.28</v>
          </cell>
          <cell r="D5816">
            <v>16.13</v>
          </cell>
          <cell r="E5816">
            <v>7.93</v>
          </cell>
          <cell r="H5816">
            <v>45534</v>
          </cell>
          <cell r="I5816">
            <v>0.67</v>
          </cell>
          <cell r="J5816">
            <v>22.882222222222222</v>
          </cell>
        </row>
        <row r="5817">
          <cell r="B5817">
            <v>21.56</v>
          </cell>
          <cell r="C5817">
            <v>46.08</v>
          </cell>
          <cell r="D5817">
            <v>16.11</v>
          </cell>
          <cell r="E5817">
            <v>8.2200000000000006</v>
          </cell>
          <cell r="H5817">
            <v>45534</v>
          </cell>
          <cell r="I5817">
            <v>0.66555555555555557</v>
          </cell>
          <cell r="J5817">
            <v>22.923333333333332</v>
          </cell>
        </row>
        <row r="5818">
          <cell r="B5818">
            <v>20.92</v>
          </cell>
          <cell r="C5818">
            <v>55.23</v>
          </cell>
          <cell r="D5818">
            <v>15.89</v>
          </cell>
          <cell r="E5818">
            <v>8.48</v>
          </cell>
          <cell r="H5818">
            <v>45534</v>
          </cell>
          <cell r="I5818">
            <v>0.6677777777777778</v>
          </cell>
          <cell r="J5818">
            <v>22.982222222222223</v>
          </cell>
        </row>
        <row r="5819">
          <cell r="B5819">
            <v>20.39</v>
          </cell>
          <cell r="C5819">
            <v>54.48</v>
          </cell>
          <cell r="D5819">
            <v>16.52</v>
          </cell>
          <cell r="E5819">
            <v>8.57</v>
          </cell>
          <cell r="H5819">
            <v>45534</v>
          </cell>
          <cell r="I5819">
            <v>0.68</v>
          </cell>
          <cell r="J5819">
            <v>22.937777777777779</v>
          </cell>
        </row>
        <row r="5820">
          <cell r="B5820">
            <v>17.97</v>
          </cell>
          <cell r="C5820">
            <v>52.33</v>
          </cell>
          <cell r="D5820">
            <v>16.440000000000001</v>
          </cell>
          <cell r="E5820">
            <v>8.92</v>
          </cell>
          <cell r="H5820">
            <v>45534</v>
          </cell>
          <cell r="I5820">
            <v>0.68555555555555558</v>
          </cell>
          <cell r="J5820">
            <v>22.973333333333336</v>
          </cell>
        </row>
        <row r="5821">
          <cell r="B5821">
            <v>18.93</v>
          </cell>
          <cell r="C5821">
            <v>58.94</v>
          </cell>
          <cell r="D5821">
            <v>16.25</v>
          </cell>
          <cell r="E5821">
            <v>9.39</v>
          </cell>
          <cell r="H5821">
            <v>45534</v>
          </cell>
          <cell r="I5821">
            <v>0.69111111111111112</v>
          </cell>
          <cell r="J5821">
            <v>23.308888888888887</v>
          </cell>
        </row>
        <row r="5822">
          <cell r="B5822">
            <v>19.579999999999998</v>
          </cell>
          <cell r="C5822">
            <v>60.47</v>
          </cell>
          <cell r="D5822">
            <v>14.98</v>
          </cell>
          <cell r="E5822">
            <v>9.24</v>
          </cell>
          <cell r="H5822">
            <v>45534</v>
          </cell>
          <cell r="I5822">
            <v>0.69777777777777783</v>
          </cell>
          <cell r="J5822">
            <v>23.83</v>
          </cell>
        </row>
        <row r="5823">
          <cell r="B5823">
            <v>19.39</v>
          </cell>
          <cell r="C5823">
            <v>64.08</v>
          </cell>
          <cell r="D5823">
            <v>16.61</v>
          </cell>
          <cell r="E5823">
            <v>9.82</v>
          </cell>
          <cell r="H5823">
            <v>45534</v>
          </cell>
          <cell r="I5823">
            <v>0.7022222222222223</v>
          </cell>
          <cell r="J5823">
            <v>24.534444444444439</v>
          </cell>
        </row>
        <row r="5824">
          <cell r="B5824">
            <v>19.05</v>
          </cell>
          <cell r="C5824">
            <v>60.07</v>
          </cell>
          <cell r="D5824">
            <v>16.53</v>
          </cell>
          <cell r="E5824">
            <v>9.83</v>
          </cell>
          <cell r="H5824">
            <v>45534</v>
          </cell>
          <cell r="I5824">
            <v>0.71666666666666667</v>
          </cell>
          <cell r="J5824">
            <v>24.928888888888888</v>
          </cell>
        </row>
        <row r="5825">
          <cell r="B5825">
            <v>22.61</v>
          </cell>
          <cell r="C5825">
            <v>62.5</v>
          </cell>
          <cell r="D5825">
            <v>16.68</v>
          </cell>
          <cell r="E5825">
            <v>9.7799999999999994</v>
          </cell>
          <cell r="H5825">
            <v>45534</v>
          </cell>
          <cell r="I5825">
            <v>0.72444444444444445</v>
          </cell>
          <cell r="J5825">
            <v>25.331111111111106</v>
          </cell>
        </row>
        <row r="5826">
          <cell r="B5826">
            <v>24.89</v>
          </cell>
          <cell r="C5826">
            <v>57.08</v>
          </cell>
          <cell r="D5826">
            <v>16.77</v>
          </cell>
          <cell r="E5826">
            <v>9.8699999999999992</v>
          </cell>
          <cell r="H5826">
            <v>45534</v>
          </cell>
          <cell r="I5826">
            <v>0.72444444444444434</v>
          </cell>
          <cell r="J5826">
            <v>25.908888888888889</v>
          </cell>
        </row>
        <row r="5827">
          <cell r="B5827">
            <v>23.96</v>
          </cell>
          <cell r="C5827">
            <v>67.34</v>
          </cell>
          <cell r="D5827">
            <v>17.489999999999998</v>
          </cell>
          <cell r="E5827">
            <v>9.16</v>
          </cell>
          <cell r="H5827">
            <v>45534</v>
          </cell>
          <cell r="I5827">
            <v>0.72111111111111104</v>
          </cell>
          <cell r="J5827">
            <v>26.267777777777781</v>
          </cell>
        </row>
        <row r="5828">
          <cell r="B5828">
            <v>24.77</v>
          </cell>
          <cell r="C5828">
            <v>53.19</v>
          </cell>
          <cell r="D5828">
            <v>17.48</v>
          </cell>
          <cell r="E5828">
            <v>9.4</v>
          </cell>
          <cell r="H5828">
            <v>45534</v>
          </cell>
          <cell r="I5828">
            <v>0.72666666666666679</v>
          </cell>
          <cell r="J5828">
            <v>26.677777777777774</v>
          </cell>
        </row>
        <row r="5829">
          <cell r="B5829">
            <v>22.89</v>
          </cell>
          <cell r="C5829">
            <v>50.3</v>
          </cell>
          <cell r="D5829">
            <v>19.05</v>
          </cell>
          <cell r="E5829">
            <v>9.42</v>
          </cell>
          <cell r="H5829">
            <v>45534</v>
          </cell>
          <cell r="I5829">
            <v>0.75111111111111106</v>
          </cell>
          <cell r="J5829">
            <v>26.751111111111111</v>
          </cell>
        </row>
        <row r="5830">
          <cell r="B5830">
            <v>25.1</v>
          </cell>
          <cell r="C5830">
            <v>50.83</v>
          </cell>
          <cell r="D5830">
            <v>18.489999999999998</v>
          </cell>
          <cell r="E5830">
            <v>9.2899999999999991</v>
          </cell>
          <cell r="H5830">
            <v>45534</v>
          </cell>
          <cell r="I5830">
            <v>0.77222222222222237</v>
          </cell>
          <cell r="J5830">
            <v>26.453333333333333</v>
          </cell>
        </row>
        <row r="5831">
          <cell r="B5831">
            <v>27.6</v>
          </cell>
          <cell r="C5831">
            <v>55.83</v>
          </cell>
          <cell r="D5831">
            <v>18.53</v>
          </cell>
          <cell r="E5831">
            <v>9.0500000000000007</v>
          </cell>
          <cell r="H5831">
            <v>45534</v>
          </cell>
          <cell r="I5831">
            <v>0.78666666666666663</v>
          </cell>
          <cell r="J5831">
            <v>25.971111111111114</v>
          </cell>
        </row>
        <row r="5832">
          <cell r="B5832">
            <v>28.34</v>
          </cell>
          <cell r="C5832">
            <v>59.74</v>
          </cell>
          <cell r="D5832">
            <v>17.61</v>
          </cell>
          <cell r="E5832">
            <v>9.17</v>
          </cell>
          <cell r="H5832">
            <v>45534</v>
          </cell>
          <cell r="I5832">
            <v>0.78222222222222237</v>
          </cell>
          <cell r="J5832">
            <v>25.381111111111107</v>
          </cell>
        </row>
        <row r="5833">
          <cell r="B5833">
            <v>24.02</v>
          </cell>
          <cell r="C5833">
            <v>55.56</v>
          </cell>
          <cell r="D5833">
            <v>16.55</v>
          </cell>
          <cell r="E5833">
            <v>9.0299999999999994</v>
          </cell>
          <cell r="H5833">
            <v>45534</v>
          </cell>
          <cell r="I5833">
            <v>0.75888888888888895</v>
          </cell>
          <cell r="J5833">
            <v>25.135555555555552</v>
          </cell>
        </row>
        <row r="5834">
          <cell r="B5834">
            <v>22.6</v>
          </cell>
          <cell r="C5834">
            <v>53.43</v>
          </cell>
          <cell r="D5834">
            <v>16.07</v>
          </cell>
          <cell r="E5834">
            <v>9.24</v>
          </cell>
          <cell r="H5834">
            <v>45535</v>
          </cell>
          <cell r="I5834">
            <v>0.74222222222222223</v>
          </cell>
          <cell r="J5834">
            <v>24.934444444444448</v>
          </cell>
        </row>
        <row r="5835">
          <cell r="B5835">
            <v>20.94</v>
          </cell>
          <cell r="C5835">
            <v>52.04</v>
          </cell>
          <cell r="D5835">
            <v>15.95</v>
          </cell>
          <cell r="E5835">
            <v>9.18</v>
          </cell>
          <cell r="H5835">
            <v>45535</v>
          </cell>
          <cell r="I5835">
            <v>0.73666666666666669</v>
          </cell>
          <cell r="J5835">
            <v>24.551111111111112</v>
          </cell>
        </row>
        <row r="5836">
          <cell r="B5836">
            <v>20.94</v>
          </cell>
          <cell r="C5836">
            <v>50.18</v>
          </cell>
          <cell r="D5836">
            <v>15.51</v>
          </cell>
          <cell r="E5836">
            <v>9.08</v>
          </cell>
          <cell r="H5836">
            <v>45535</v>
          </cell>
          <cell r="I5836">
            <v>0.73555555555555552</v>
          </cell>
          <cell r="J5836">
            <v>24.385555555555555</v>
          </cell>
        </row>
        <row r="5837">
          <cell r="B5837">
            <v>19.34</v>
          </cell>
          <cell r="C5837">
            <v>46.61</v>
          </cell>
          <cell r="D5837">
            <v>15.8</v>
          </cell>
          <cell r="E5837">
            <v>9.1</v>
          </cell>
          <cell r="H5837">
            <v>45535</v>
          </cell>
          <cell r="I5837">
            <v>0.72666666666666679</v>
          </cell>
          <cell r="J5837">
            <v>24.211111111111112</v>
          </cell>
        </row>
        <row r="5838">
          <cell r="B5838">
            <v>20.32</v>
          </cell>
          <cell r="C5838">
            <v>46.19</v>
          </cell>
          <cell r="D5838">
            <v>15.78</v>
          </cell>
          <cell r="E5838">
            <v>9.1</v>
          </cell>
          <cell r="H5838">
            <v>45535</v>
          </cell>
          <cell r="I5838">
            <v>0.69777777777777794</v>
          </cell>
          <cell r="J5838">
            <v>24.277777777777779</v>
          </cell>
        </row>
        <row r="5839">
          <cell r="B5839">
            <v>17.96</v>
          </cell>
          <cell r="C5839">
            <v>46.24</v>
          </cell>
          <cell r="D5839">
            <v>16.170000000000002</v>
          </cell>
          <cell r="E5839">
            <v>9.1300000000000008</v>
          </cell>
          <cell r="H5839">
            <v>45535</v>
          </cell>
          <cell r="I5839">
            <v>0.68222222222222229</v>
          </cell>
          <cell r="J5839">
            <v>24.367777777777778</v>
          </cell>
        </row>
        <row r="5840">
          <cell r="B5840">
            <v>19.2</v>
          </cell>
          <cell r="C5840">
            <v>47.41</v>
          </cell>
          <cell r="D5840">
            <v>16.670000000000002</v>
          </cell>
          <cell r="E5840">
            <v>9.31</v>
          </cell>
          <cell r="H5840">
            <v>45535</v>
          </cell>
          <cell r="I5840">
            <v>0.67666666666666664</v>
          </cell>
          <cell r="J5840">
            <v>24.385555555555559</v>
          </cell>
        </row>
        <row r="5841">
          <cell r="B5841">
            <v>20.23</v>
          </cell>
          <cell r="C5841">
            <v>52.29</v>
          </cell>
          <cell r="D5841">
            <v>16.88</v>
          </cell>
          <cell r="E5841">
            <v>9.3699999999999992</v>
          </cell>
          <cell r="H5841">
            <v>45535</v>
          </cell>
          <cell r="I5841">
            <v>0.68777777777777782</v>
          </cell>
          <cell r="J5841">
            <v>24.370000000000005</v>
          </cell>
        </row>
        <row r="5842">
          <cell r="B5842">
            <v>19.98</v>
          </cell>
          <cell r="C5842">
            <v>49.9</v>
          </cell>
          <cell r="D5842">
            <v>16.829999999999998</v>
          </cell>
          <cell r="E5842">
            <v>9.39</v>
          </cell>
          <cell r="H5842">
            <v>45535</v>
          </cell>
          <cell r="I5842">
            <v>0.70777777777777784</v>
          </cell>
          <cell r="J5842">
            <v>24.391111111111115</v>
          </cell>
        </row>
        <row r="5843">
          <cell r="B5843">
            <v>18.75</v>
          </cell>
          <cell r="C5843">
            <v>49.69</v>
          </cell>
          <cell r="D5843">
            <v>16.61</v>
          </cell>
          <cell r="E5843">
            <v>9.33</v>
          </cell>
          <cell r="H5843">
            <v>45535</v>
          </cell>
          <cell r="I5843">
            <v>0.71888888888888891</v>
          </cell>
          <cell r="J5843">
            <v>24.391111111111115</v>
          </cell>
        </row>
        <row r="5844">
          <cell r="B5844">
            <v>17.79</v>
          </cell>
          <cell r="C5844">
            <v>52.05</v>
          </cell>
          <cell r="D5844">
            <v>16.79</v>
          </cell>
          <cell r="E5844">
            <v>9.1</v>
          </cell>
          <cell r="H5844">
            <v>45535</v>
          </cell>
          <cell r="I5844">
            <v>0.72666666666666668</v>
          </cell>
          <cell r="J5844">
            <v>24.410000000000004</v>
          </cell>
        </row>
        <row r="5845">
          <cell r="B5845">
            <v>16.309999999999999</v>
          </cell>
          <cell r="C5845">
            <v>51.68</v>
          </cell>
          <cell r="D5845">
            <v>15.61</v>
          </cell>
          <cell r="E5845">
            <v>8.4700000000000006</v>
          </cell>
          <cell r="H5845">
            <v>45535</v>
          </cell>
          <cell r="I5845">
            <v>0.74222222222222234</v>
          </cell>
          <cell r="J5845">
            <v>24.394444444444446</v>
          </cell>
        </row>
        <row r="5846">
          <cell r="B5846">
            <v>18.63</v>
          </cell>
          <cell r="C5846">
            <v>53.17</v>
          </cell>
          <cell r="D5846">
            <v>16.04</v>
          </cell>
          <cell r="E5846">
            <v>8.74</v>
          </cell>
          <cell r="H5846">
            <v>45535</v>
          </cell>
          <cell r="I5846">
            <v>0.75555555555555565</v>
          </cell>
          <cell r="J5846">
            <v>24.412222222222226</v>
          </cell>
        </row>
        <row r="5847">
          <cell r="B5847">
            <v>18.829999999999998</v>
          </cell>
          <cell r="C5847">
            <v>51.86</v>
          </cell>
          <cell r="D5847">
            <v>16.2</v>
          </cell>
          <cell r="E5847">
            <v>8.8800000000000008</v>
          </cell>
          <cell r="H5847">
            <v>45535</v>
          </cell>
          <cell r="I5847">
            <v>0.76888888888888896</v>
          </cell>
          <cell r="J5847">
            <v>24.458888888888893</v>
          </cell>
        </row>
        <row r="5848">
          <cell r="B5848">
            <v>19.48</v>
          </cell>
          <cell r="C5848">
            <v>53.13</v>
          </cell>
          <cell r="D5848">
            <v>16.46</v>
          </cell>
          <cell r="E5848">
            <v>8.59</v>
          </cell>
          <cell r="H5848">
            <v>45535</v>
          </cell>
          <cell r="I5848">
            <v>0.77222222222222237</v>
          </cell>
          <cell r="J5848">
            <v>24.51</v>
          </cell>
        </row>
        <row r="5849">
          <cell r="B5849">
            <v>19.649999999999999</v>
          </cell>
          <cell r="C5849">
            <v>54.13</v>
          </cell>
          <cell r="D5849">
            <v>17.309999999999999</v>
          </cell>
          <cell r="E5849">
            <v>8.64</v>
          </cell>
          <cell r="H5849">
            <v>45535</v>
          </cell>
          <cell r="I5849">
            <v>0.77333333333333332</v>
          </cell>
          <cell r="J5849">
            <v>24.750000000000004</v>
          </cell>
        </row>
        <row r="5850">
          <cell r="B5850">
            <v>18.41</v>
          </cell>
          <cell r="C5850">
            <v>53.46</v>
          </cell>
          <cell r="D5850">
            <v>17.55</v>
          </cell>
          <cell r="E5850">
            <v>8.94</v>
          </cell>
          <cell r="H5850">
            <v>45535</v>
          </cell>
          <cell r="I5850">
            <v>0.76555555555555554</v>
          </cell>
          <cell r="J5850">
            <v>24.87777777777778</v>
          </cell>
        </row>
        <row r="5851">
          <cell r="B5851">
            <v>18.309999999999999</v>
          </cell>
          <cell r="C5851">
            <v>53.52</v>
          </cell>
          <cell r="D5851">
            <v>16.399999999999999</v>
          </cell>
          <cell r="E5851">
            <v>7.96</v>
          </cell>
          <cell r="H5851">
            <v>45535</v>
          </cell>
          <cell r="I5851">
            <v>0.76222222222222213</v>
          </cell>
          <cell r="J5851">
            <v>24.754444444444445</v>
          </cell>
        </row>
        <row r="5852">
          <cell r="B5852">
            <v>18.850000000000001</v>
          </cell>
          <cell r="C5852">
            <v>52.5</v>
          </cell>
          <cell r="D5852">
            <v>16.22</v>
          </cell>
          <cell r="E5852">
            <v>8.66</v>
          </cell>
          <cell r="H5852">
            <v>45535</v>
          </cell>
          <cell r="I5852">
            <v>0.77444444444444449</v>
          </cell>
          <cell r="J5852">
            <v>24.586666666666666</v>
          </cell>
        </row>
        <row r="5853">
          <cell r="B5853">
            <v>18.600000000000001</v>
          </cell>
          <cell r="C5853">
            <v>51.52</v>
          </cell>
          <cell r="D5853">
            <v>16.34</v>
          </cell>
          <cell r="E5853">
            <v>8.33</v>
          </cell>
          <cell r="H5853">
            <v>45535</v>
          </cell>
          <cell r="I5853">
            <v>0.78888888888888897</v>
          </cell>
          <cell r="J5853">
            <v>24.384444444444441</v>
          </cell>
        </row>
        <row r="5854">
          <cell r="B5854">
            <v>19.829999999999998</v>
          </cell>
          <cell r="C5854">
            <v>51.27</v>
          </cell>
          <cell r="D5854">
            <v>16.260000000000002</v>
          </cell>
          <cell r="E5854">
            <v>8.1199999999999992</v>
          </cell>
          <cell r="H5854">
            <v>45535</v>
          </cell>
          <cell r="I5854">
            <v>0.79222222222222216</v>
          </cell>
          <cell r="J5854">
            <v>24.174444444444447</v>
          </cell>
        </row>
        <row r="5855">
          <cell r="B5855">
            <v>20.18</v>
          </cell>
          <cell r="C5855">
            <v>51.22</v>
          </cell>
          <cell r="D5855">
            <v>16.47</v>
          </cell>
          <cell r="E5855">
            <v>8.17</v>
          </cell>
          <cell r="H5855">
            <v>45535</v>
          </cell>
          <cell r="I5855">
            <v>0.78888888888888897</v>
          </cell>
          <cell r="J5855">
            <v>23.941111111111113</v>
          </cell>
        </row>
        <row r="5856">
          <cell r="B5856">
            <v>20.149999999999999</v>
          </cell>
          <cell r="C5856">
            <v>52.08</v>
          </cell>
          <cell r="D5856">
            <v>16.3</v>
          </cell>
          <cell r="E5856">
            <v>8.1999999999999993</v>
          </cell>
          <cell r="H5856">
            <v>45535</v>
          </cell>
          <cell r="I5856">
            <v>0.78</v>
          </cell>
          <cell r="J5856">
            <v>23.694444444444446</v>
          </cell>
        </row>
        <row r="5857">
          <cell r="B5857">
            <v>21.07</v>
          </cell>
          <cell r="C5857">
            <v>54.3</v>
          </cell>
          <cell r="D5857">
            <v>15.89</v>
          </cell>
          <cell r="E5857">
            <v>8.07</v>
          </cell>
          <cell r="H5857">
            <v>45535</v>
          </cell>
          <cell r="I5857">
            <v>0.77444444444444449</v>
          </cell>
          <cell r="J5857">
            <v>23.47666666666667</v>
          </cell>
        </row>
        <row r="5858">
          <cell r="B5858">
            <v>28.76</v>
          </cell>
          <cell r="C5858">
            <v>65.77</v>
          </cell>
          <cell r="D5858">
            <v>15.71</v>
          </cell>
          <cell r="E5858">
            <v>8.26</v>
          </cell>
          <cell r="H5858">
            <v>45536</v>
          </cell>
          <cell r="I5858">
            <v>0.75444444444444458</v>
          </cell>
          <cell r="J5858">
            <v>23.135555555555559</v>
          </cell>
        </row>
        <row r="5859">
          <cell r="B5859">
            <v>27.44</v>
          </cell>
          <cell r="C5859">
            <v>64.11</v>
          </cell>
          <cell r="D5859">
            <v>15.84</v>
          </cell>
          <cell r="E5859">
            <v>8.3699999999999992</v>
          </cell>
          <cell r="H5859">
            <v>45536</v>
          </cell>
          <cell r="I5859">
            <v>0.74333333333333351</v>
          </cell>
          <cell r="J5859">
            <v>22.902222222222221</v>
          </cell>
        </row>
        <row r="5860">
          <cell r="B5860">
            <v>24.73</v>
          </cell>
          <cell r="C5860">
            <v>57.26</v>
          </cell>
          <cell r="D5860">
            <v>15.7</v>
          </cell>
          <cell r="E5860">
            <v>8.2100000000000009</v>
          </cell>
          <cell r="H5860">
            <v>45536</v>
          </cell>
          <cell r="I5860">
            <v>0.72555555555555573</v>
          </cell>
          <cell r="J5860">
            <v>22.88666666666667</v>
          </cell>
        </row>
        <row r="5861">
          <cell r="B5861">
            <v>19.649999999999999</v>
          </cell>
          <cell r="C5861">
            <v>45.63</v>
          </cell>
          <cell r="D5861">
            <v>15.56</v>
          </cell>
          <cell r="E5861">
            <v>8.27</v>
          </cell>
          <cell r="H5861">
            <v>45536</v>
          </cell>
          <cell r="I5861">
            <v>0.698888888888889</v>
          </cell>
          <cell r="J5861">
            <v>22.882222222222229</v>
          </cell>
        </row>
        <row r="5862">
          <cell r="B5862">
            <v>18.16</v>
          </cell>
          <cell r="C5862">
            <v>44.26</v>
          </cell>
          <cell r="D5862">
            <v>15.49</v>
          </cell>
          <cell r="E5862">
            <v>8.23</v>
          </cell>
          <cell r="H5862">
            <v>45536</v>
          </cell>
          <cell r="I5862">
            <v>0.6711111111111111</v>
          </cell>
          <cell r="J5862">
            <v>22.883333333333336</v>
          </cell>
        </row>
        <row r="5863">
          <cell r="B5863">
            <v>16.88</v>
          </cell>
          <cell r="C5863">
            <v>41.65</v>
          </cell>
          <cell r="D5863">
            <v>14.87</v>
          </cell>
          <cell r="E5863">
            <v>8.25</v>
          </cell>
          <cell r="H5863">
            <v>45536</v>
          </cell>
          <cell r="I5863">
            <v>0.65444444444444438</v>
          </cell>
          <cell r="J5863">
            <v>22.854444444444443</v>
          </cell>
        </row>
        <row r="5864">
          <cell r="B5864">
            <v>16.72</v>
          </cell>
          <cell r="C5864">
            <v>42.39</v>
          </cell>
          <cell r="D5864">
            <v>15.51</v>
          </cell>
          <cell r="E5864">
            <v>8.51</v>
          </cell>
          <cell r="H5864">
            <v>45536</v>
          </cell>
          <cell r="I5864">
            <v>0.64555555555555555</v>
          </cell>
          <cell r="J5864">
            <v>22.821111111111112</v>
          </cell>
        </row>
        <row r="5865">
          <cell r="B5865">
            <v>16.43</v>
          </cell>
          <cell r="C5865">
            <v>43.99</v>
          </cell>
          <cell r="D5865">
            <v>15.68</v>
          </cell>
          <cell r="E5865">
            <v>8.27</v>
          </cell>
          <cell r="H5865">
            <v>45536</v>
          </cell>
          <cell r="I5865">
            <v>0.64666666666666672</v>
          </cell>
          <cell r="J5865">
            <v>22.795555555555556</v>
          </cell>
        </row>
        <row r="5866">
          <cell r="B5866">
            <v>16.579999999999998</v>
          </cell>
          <cell r="C5866">
            <v>36.9</v>
          </cell>
          <cell r="D5866">
            <v>15.66</v>
          </cell>
          <cell r="E5866">
            <v>8.34</v>
          </cell>
          <cell r="H5866">
            <v>45536</v>
          </cell>
          <cell r="I5866">
            <v>0.63888888888888884</v>
          </cell>
          <cell r="J5866">
            <v>22.907777777777778</v>
          </cell>
        </row>
        <row r="5867">
          <cell r="B5867">
            <v>14.94</v>
          </cell>
          <cell r="C5867">
            <v>41.8</v>
          </cell>
          <cell r="D5867">
            <v>15.69</v>
          </cell>
          <cell r="E5867">
            <v>8.44</v>
          </cell>
          <cell r="H5867">
            <v>45536</v>
          </cell>
          <cell r="I5867">
            <v>0.64444444444444438</v>
          </cell>
          <cell r="J5867">
            <v>23.096666666666668</v>
          </cell>
        </row>
        <row r="5868">
          <cell r="B5868">
            <v>15.17</v>
          </cell>
          <cell r="C5868">
            <v>35.57</v>
          </cell>
          <cell r="D5868">
            <v>15.85</v>
          </cell>
          <cell r="E5868">
            <v>8.4499999999999993</v>
          </cell>
          <cell r="H5868">
            <v>45536</v>
          </cell>
          <cell r="I5868">
            <v>0.65666666666666662</v>
          </cell>
          <cell r="J5868">
            <v>23.349999999999998</v>
          </cell>
        </row>
        <row r="5869">
          <cell r="B5869">
            <v>17.23</v>
          </cell>
          <cell r="C5869">
            <v>38.25</v>
          </cell>
          <cell r="D5869">
            <v>15.6</v>
          </cell>
          <cell r="E5869">
            <v>8.51</v>
          </cell>
          <cell r="H5869">
            <v>45536</v>
          </cell>
          <cell r="I5869">
            <v>0.66333333333333333</v>
          </cell>
          <cell r="J5869">
            <v>23.648888888888891</v>
          </cell>
        </row>
        <row r="5870">
          <cell r="B5870">
            <v>14.84</v>
          </cell>
          <cell r="C5870">
            <v>35.5</v>
          </cell>
          <cell r="D5870">
            <v>15.45</v>
          </cell>
          <cell r="E5870">
            <v>8.2899999999999991</v>
          </cell>
          <cell r="H5870">
            <v>45536</v>
          </cell>
          <cell r="I5870">
            <v>0.66888888888888887</v>
          </cell>
          <cell r="J5870">
            <v>24.036666666666672</v>
          </cell>
        </row>
        <row r="5871">
          <cell r="B5871">
            <v>17.010000000000002</v>
          </cell>
          <cell r="C5871">
            <v>38.64</v>
          </cell>
          <cell r="D5871">
            <v>15.67</v>
          </cell>
          <cell r="E5871">
            <v>8.42</v>
          </cell>
          <cell r="H5871">
            <v>45536</v>
          </cell>
          <cell r="I5871">
            <v>0.66888888888888887</v>
          </cell>
          <cell r="J5871">
            <v>24.425555555555558</v>
          </cell>
        </row>
        <row r="5872">
          <cell r="B5872">
            <v>16.45</v>
          </cell>
          <cell r="C5872">
            <v>47.72</v>
          </cell>
          <cell r="D5872">
            <v>16.559999999999999</v>
          </cell>
          <cell r="E5872">
            <v>8.43</v>
          </cell>
          <cell r="H5872">
            <v>45536</v>
          </cell>
          <cell r="I5872">
            <v>0.66666666666666663</v>
          </cell>
          <cell r="J5872">
            <v>24.67</v>
          </cell>
        </row>
        <row r="5873">
          <cell r="B5873">
            <v>15.49</v>
          </cell>
          <cell r="C5873">
            <v>48.11</v>
          </cell>
          <cell r="D5873">
            <v>15.86</v>
          </cell>
          <cell r="E5873">
            <v>8.34</v>
          </cell>
          <cell r="H5873">
            <v>45536</v>
          </cell>
          <cell r="I5873">
            <v>0.66111111111111109</v>
          </cell>
          <cell r="J5873">
            <v>24.951111111111111</v>
          </cell>
        </row>
        <row r="5874">
          <cell r="B5874">
            <v>15.58</v>
          </cell>
          <cell r="C5874">
            <v>47.16</v>
          </cell>
          <cell r="D5874">
            <v>15.37</v>
          </cell>
          <cell r="E5874">
            <v>8.5399999999999991</v>
          </cell>
          <cell r="H5874">
            <v>45536</v>
          </cell>
          <cell r="I5874">
            <v>0.65222222222222226</v>
          </cell>
          <cell r="J5874">
            <v>25.28</v>
          </cell>
        </row>
        <row r="5875">
          <cell r="B5875">
            <v>16.36</v>
          </cell>
          <cell r="C5875">
            <v>50.15</v>
          </cell>
          <cell r="D5875">
            <v>15.85</v>
          </cell>
          <cell r="E5875">
            <v>8.4499999999999993</v>
          </cell>
          <cell r="H5875">
            <v>45536</v>
          </cell>
          <cell r="I5875">
            <v>0.65222222222222226</v>
          </cell>
          <cell r="J5875">
            <v>25.395555555555557</v>
          </cell>
        </row>
        <row r="5876">
          <cell r="B5876">
            <v>18.739999999999998</v>
          </cell>
          <cell r="C5876">
            <v>51.63</v>
          </cell>
          <cell r="D5876">
            <v>15.84</v>
          </cell>
          <cell r="E5876">
            <v>8.64</v>
          </cell>
          <cell r="H5876">
            <v>45536</v>
          </cell>
          <cell r="I5876">
            <v>0.66111111111111109</v>
          </cell>
          <cell r="J5876">
            <v>25.334444444444443</v>
          </cell>
        </row>
        <row r="5877">
          <cell r="B5877">
            <v>21</v>
          </cell>
          <cell r="C5877">
            <v>51.92</v>
          </cell>
          <cell r="D5877">
            <v>15.93</v>
          </cell>
          <cell r="E5877">
            <v>8.3699999999999992</v>
          </cell>
          <cell r="H5877">
            <v>45536</v>
          </cell>
          <cell r="I5877">
            <v>0.67222222222222228</v>
          </cell>
          <cell r="J5877">
            <v>25.148888888888891</v>
          </cell>
        </row>
        <row r="5878">
          <cell r="B5878">
            <v>21.43</v>
          </cell>
          <cell r="C5878">
            <v>51.2</v>
          </cell>
          <cell r="D5878">
            <v>16.09</v>
          </cell>
          <cell r="E5878">
            <v>8.34</v>
          </cell>
          <cell r="H5878">
            <v>45536</v>
          </cell>
          <cell r="I5878">
            <v>0.68888888888888888</v>
          </cell>
          <cell r="J5878">
            <v>24.925555555555555</v>
          </cell>
        </row>
        <row r="5879">
          <cell r="B5879">
            <v>21.36</v>
          </cell>
          <cell r="C5879">
            <v>50.31</v>
          </cell>
          <cell r="D5879">
            <v>16.05</v>
          </cell>
          <cell r="E5879">
            <v>8.61</v>
          </cell>
          <cell r="H5879">
            <v>45536</v>
          </cell>
          <cell r="I5879">
            <v>0.698888888888889</v>
          </cell>
          <cell r="J5879">
            <v>24.617777777777778</v>
          </cell>
        </row>
        <row r="5880">
          <cell r="B5880">
            <v>19.98</v>
          </cell>
          <cell r="C5880">
            <v>49.63</v>
          </cell>
          <cell r="D5880">
            <v>15.51</v>
          </cell>
          <cell r="E5880">
            <v>8.5299999999999994</v>
          </cell>
          <cell r="H5880">
            <v>45536</v>
          </cell>
          <cell r="I5880">
            <v>0.70333333333333337</v>
          </cell>
          <cell r="J5880">
            <v>24.278888888888886</v>
          </cell>
        </row>
        <row r="5881">
          <cell r="B5881">
            <v>20.25</v>
          </cell>
          <cell r="C5881">
            <v>48.77</v>
          </cell>
          <cell r="D5881">
            <v>15.58</v>
          </cell>
          <cell r="E5881">
            <v>8.4600000000000009</v>
          </cell>
          <cell r="H5881">
            <v>45536</v>
          </cell>
          <cell r="I5881">
            <v>0.69888888888888889</v>
          </cell>
          <cell r="J5881">
            <v>24.124444444444446</v>
          </cell>
        </row>
        <row r="5882">
          <cell r="B5882">
            <v>20.149999999999999</v>
          </cell>
          <cell r="C5882">
            <v>45.4</v>
          </cell>
          <cell r="D5882">
            <v>15.59</v>
          </cell>
          <cell r="E5882">
            <v>7.88</v>
          </cell>
          <cell r="H5882">
            <v>45537</v>
          </cell>
          <cell r="I5882">
            <v>0.69</v>
          </cell>
          <cell r="J5882">
            <v>23.935555555555553</v>
          </cell>
        </row>
        <row r="5883">
          <cell r="B5883">
            <v>20.52</v>
          </cell>
          <cell r="C5883">
            <v>45.42</v>
          </cell>
          <cell r="D5883">
            <v>15.56</v>
          </cell>
          <cell r="E5883">
            <v>7.38</v>
          </cell>
          <cell r="H5883">
            <v>45537</v>
          </cell>
          <cell r="I5883">
            <v>0.68555555555555558</v>
          </cell>
          <cell r="J5883">
            <v>23.696666666666669</v>
          </cell>
        </row>
        <row r="5884">
          <cell r="B5884">
            <v>20.07</v>
          </cell>
          <cell r="C5884">
            <v>44.66</v>
          </cell>
          <cell r="D5884">
            <v>15.27</v>
          </cell>
          <cell r="E5884">
            <v>7.35</v>
          </cell>
          <cell r="H5884">
            <v>45537</v>
          </cell>
          <cell r="I5884">
            <v>0.67555555555555558</v>
          </cell>
          <cell r="J5884">
            <v>23.52333333333333</v>
          </cell>
        </row>
        <row r="5885">
          <cell r="B5885">
            <v>19.3</v>
          </cell>
          <cell r="C5885">
            <v>41.02</v>
          </cell>
          <cell r="D5885">
            <v>15.55</v>
          </cell>
          <cell r="E5885">
            <v>7.47</v>
          </cell>
          <cell r="H5885">
            <v>45537</v>
          </cell>
          <cell r="I5885">
            <v>0.65999999999999992</v>
          </cell>
          <cell r="J5885">
            <v>23.441111111111113</v>
          </cell>
        </row>
        <row r="5886">
          <cell r="B5886">
            <v>18.61</v>
          </cell>
          <cell r="C5886">
            <v>39.36</v>
          </cell>
          <cell r="D5886">
            <v>15.65</v>
          </cell>
          <cell r="E5886">
            <v>7.37</v>
          </cell>
          <cell r="H5886">
            <v>45537</v>
          </cell>
          <cell r="I5886">
            <v>0.63555555555555543</v>
          </cell>
          <cell r="J5886">
            <v>23.41888888888889</v>
          </cell>
        </row>
        <row r="5887">
          <cell r="B5887">
            <v>19.54</v>
          </cell>
          <cell r="C5887">
            <v>41.22</v>
          </cell>
          <cell r="D5887">
            <v>15.96</v>
          </cell>
          <cell r="E5887">
            <v>7.37</v>
          </cell>
          <cell r="H5887">
            <v>45537</v>
          </cell>
          <cell r="I5887">
            <v>0.61888888888888882</v>
          </cell>
          <cell r="J5887">
            <v>23.325555555555557</v>
          </cell>
        </row>
        <row r="5888">
          <cell r="B5888">
            <v>20.46</v>
          </cell>
          <cell r="C5888">
            <v>45.81</v>
          </cell>
          <cell r="D5888">
            <v>15.85</v>
          </cell>
          <cell r="E5888">
            <v>7.18</v>
          </cell>
          <cell r="H5888">
            <v>45537</v>
          </cell>
          <cell r="I5888">
            <v>0.61</v>
          </cell>
          <cell r="J5888">
            <v>23.19777777777778</v>
          </cell>
        </row>
        <row r="5889">
          <cell r="B5889">
            <v>20.329999999999998</v>
          </cell>
          <cell r="C5889">
            <v>47.88</v>
          </cell>
          <cell r="D5889">
            <v>15.88</v>
          </cell>
          <cell r="E5889">
            <v>7.59</v>
          </cell>
          <cell r="H5889">
            <v>45537</v>
          </cell>
          <cell r="I5889">
            <v>0.61333333333333351</v>
          </cell>
          <cell r="J5889">
            <v>23.083333333333332</v>
          </cell>
        </row>
        <row r="5890">
          <cell r="B5890">
            <v>21.36</v>
          </cell>
          <cell r="C5890">
            <v>52.07</v>
          </cell>
          <cell r="D5890">
            <v>15.7</v>
          </cell>
          <cell r="E5890">
            <v>7.44</v>
          </cell>
          <cell r="H5890">
            <v>45537</v>
          </cell>
          <cell r="I5890">
            <v>0.62666666666666671</v>
          </cell>
          <cell r="J5890">
            <v>22.966666666666665</v>
          </cell>
        </row>
        <row r="5891">
          <cell r="B5891">
            <v>19.18</v>
          </cell>
          <cell r="C5891">
            <v>51.69</v>
          </cell>
          <cell r="D5891">
            <v>15.63</v>
          </cell>
          <cell r="E5891">
            <v>7.49</v>
          </cell>
          <cell r="H5891">
            <v>45537</v>
          </cell>
          <cell r="I5891">
            <v>0.64222222222222225</v>
          </cell>
          <cell r="J5891">
            <v>22.954444444444444</v>
          </cell>
        </row>
        <row r="5892">
          <cell r="B5892">
            <v>19.239999999999998</v>
          </cell>
          <cell r="C5892">
            <v>53.11</v>
          </cell>
          <cell r="D5892">
            <v>15.7</v>
          </cell>
          <cell r="E5892">
            <v>7.53</v>
          </cell>
          <cell r="H5892">
            <v>45537</v>
          </cell>
          <cell r="I5892">
            <v>0.64777777777777767</v>
          </cell>
          <cell r="J5892">
            <v>23</v>
          </cell>
        </row>
        <row r="5893">
          <cell r="B5893">
            <v>19.02</v>
          </cell>
          <cell r="C5893">
            <v>53.53</v>
          </cell>
          <cell r="D5893">
            <v>16.82</v>
          </cell>
          <cell r="E5893">
            <v>8.61</v>
          </cell>
          <cell r="H5893">
            <v>45537</v>
          </cell>
          <cell r="I5893">
            <v>0.64888888888888874</v>
          </cell>
          <cell r="J5893">
            <v>23.213333333333335</v>
          </cell>
        </row>
        <row r="5894">
          <cell r="B5894">
            <v>19.29</v>
          </cell>
          <cell r="C5894">
            <v>50.53</v>
          </cell>
          <cell r="D5894">
            <v>17.239999999999998</v>
          </cell>
          <cell r="E5894">
            <v>8.27</v>
          </cell>
          <cell r="H5894">
            <v>45537</v>
          </cell>
          <cell r="I5894">
            <v>0.64666666666666661</v>
          </cell>
          <cell r="J5894">
            <v>23.536666666666669</v>
          </cell>
        </row>
        <row r="5895">
          <cell r="B5895">
            <v>18.25</v>
          </cell>
          <cell r="C5895">
            <v>48.14</v>
          </cell>
          <cell r="D5895">
            <v>17.38</v>
          </cell>
          <cell r="E5895">
            <v>8.1199999999999992</v>
          </cell>
          <cell r="H5895">
            <v>45537</v>
          </cell>
          <cell r="I5895">
            <v>0.64888888888888885</v>
          </cell>
          <cell r="J5895">
            <v>23.885555555555559</v>
          </cell>
        </row>
        <row r="5896">
          <cell r="B5896">
            <v>16.75</v>
          </cell>
          <cell r="C5896">
            <v>48.01</v>
          </cell>
          <cell r="D5896">
            <v>17.260000000000002</v>
          </cell>
          <cell r="E5896">
            <v>8.24</v>
          </cell>
          <cell r="H5896">
            <v>45537</v>
          </cell>
          <cell r="I5896">
            <v>0.65222222222222226</v>
          </cell>
          <cell r="J5896">
            <v>24.215555555555554</v>
          </cell>
        </row>
        <row r="5897">
          <cell r="B5897">
            <v>20.73</v>
          </cell>
          <cell r="C5897">
            <v>50.84</v>
          </cell>
          <cell r="D5897">
            <v>17.489999999999998</v>
          </cell>
          <cell r="E5897">
            <v>8.7899999999999991</v>
          </cell>
          <cell r="H5897">
            <v>45537</v>
          </cell>
          <cell r="I5897">
            <v>0.66888888888888887</v>
          </cell>
          <cell r="J5897">
            <v>24.481111111111108</v>
          </cell>
        </row>
        <row r="5898">
          <cell r="B5898">
            <v>23.92</v>
          </cell>
          <cell r="C5898">
            <v>47.13</v>
          </cell>
          <cell r="D5898">
            <v>17.66</v>
          </cell>
          <cell r="E5898">
            <v>9.1</v>
          </cell>
          <cell r="H5898">
            <v>45537</v>
          </cell>
          <cell r="I5898">
            <v>0.68333333333333335</v>
          </cell>
          <cell r="J5898">
            <v>24.689999999999998</v>
          </cell>
        </row>
        <row r="5899">
          <cell r="B5899">
            <v>22.92</v>
          </cell>
          <cell r="C5899">
            <v>49.98</v>
          </cell>
          <cell r="D5899">
            <v>17.62</v>
          </cell>
          <cell r="E5899">
            <v>9.09</v>
          </cell>
          <cell r="H5899">
            <v>45537</v>
          </cell>
          <cell r="I5899">
            <v>0.7022222222222223</v>
          </cell>
          <cell r="J5899">
            <v>24.831111111111106</v>
          </cell>
        </row>
        <row r="5900">
          <cell r="B5900">
            <v>26.18</v>
          </cell>
          <cell r="C5900">
            <v>58.56</v>
          </cell>
          <cell r="D5900">
            <v>17.86</v>
          </cell>
          <cell r="E5900">
            <v>8.1999999999999993</v>
          </cell>
          <cell r="H5900">
            <v>45537</v>
          </cell>
          <cell r="I5900">
            <v>0.73888888888888904</v>
          </cell>
          <cell r="J5900">
            <v>24.686666666666667</v>
          </cell>
        </row>
        <row r="5901">
          <cell r="B5901">
            <v>29.98</v>
          </cell>
          <cell r="C5901">
            <v>66.510000000000005</v>
          </cell>
          <cell r="D5901">
            <v>17.57</v>
          </cell>
          <cell r="E5901">
            <v>8.3000000000000007</v>
          </cell>
          <cell r="H5901">
            <v>45537</v>
          </cell>
          <cell r="I5901">
            <v>0.77888888888888896</v>
          </cell>
          <cell r="J5901">
            <v>24.44222222222222</v>
          </cell>
        </row>
        <row r="5902">
          <cell r="B5902">
            <v>28.63</v>
          </cell>
          <cell r="C5902">
            <v>59.49</v>
          </cell>
          <cell r="D5902">
            <v>17.93</v>
          </cell>
          <cell r="E5902">
            <v>8.06</v>
          </cell>
          <cell r="H5902">
            <v>45537</v>
          </cell>
          <cell r="I5902">
            <v>0.81888888888888889</v>
          </cell>
          <cell r="J5902">
            <v>24.005555555555556</v>
          </cell>
        </row>
        <row r="5903">
          <cell r="B5903">
            <v>29.38</v>
          </cell>
          <cell r="C5903">
            <v>60</v>
          </cell>
          <cell r="D5903">
            <v>17.170000000000002</v>
          </cell>
          <cell r="E5903">
            <v>7.68</v>
          </cell>
          <cell r="H5903">
            <v>45537</v>
          </cell>
          <cell r="I5903">
            <v>0.8355555555555555</v>
          </cell>
          <cell r="J5903">
            <v>23.486666666666665</v>
          </cell>
        </row>
        <row r="5904">
          <cell r="B5904">
            <v>26.45</v>
          </cell>
          <cell r="C5904">
            <v>53.81</v>
          </cell>
          <cell r="D5904">
            <v>17.03</v>
          </cell>
          <cell r="E5904">
            <v>7.53</v>
          </cell>
          <cell r="H5904">
            <v>45537</v>
          </cell>
          <cell r="I5904">
            <v>0.84666666666666668</v>
          </cell>
          <cell r="J5904">
            <v>22.996666666666666</v>
          </cell>
        </row>
        <row r="5905">
          <cell r="B5905">
            <v>26.4</v>
          </cell>
          <cell r="C5905">
            <v>54.9</v>
          </cell>
          <cell r="D5905">
            <v>16.670000000000002</v>
          </cell>
          <cell r="E5905">
            <v>7.6</v>
          </cell>
          <cell r="H5905">
            <v>45537</v>
          </cell>
          <cell r="I5905">
            <v>0.84555555555555562</v>
          </cell>
          <cell r="J5905">
            <v>22.594444444444445</v>
          </cell>
        </row>
        <row r="5906">
          <cell r="B5906">
            <v>26.54</v>
          </cell>
          <cell r="C5906">
            <v>55.56</v>
          </cell>
          <cell r="D5906">
            <v>16.28</v>
          </cell>
          <cell r="E5906">
            <v>7.74</v>
          </cell>
          <cell r="H5906">
            <v>45538</v>
          </cell>
          <cell r="I5906">
            <v>0.82666666666666666</v>
          </cell>
          <cell r="J5906">
            <v>22.344444444444449</v>
          </cell>
        </row>
        <row r="5907">
          <cell r="B5907">
            <v>24.66</v>
          </cell>
          <cell r="C5907">
            <v>55.42</v>
          </cell>
          <cell r="D5907">
            <v>16.12</v>
          </cell>
          <cell r="E5907">
            <v>8.2899999999999991</v>
          </cell>
          <cell r="H5907">
            <v>45538</v>
          </cell>
          <cell r="I5907">
            <v>0.80222222222222206</v>
          </cell>
          <cell r="J5907">
            <v>22.162222222222219</v>
          </cell>
        </row>
        <row r="5908">
          <cell r="B5908">
            <v>23.97</v>
          </cell>
          <cell r="C5908">
            <v>53.18</v>
          </cell>
          <cell r="D5908">
            <v>15.92</v>
          </cell>
          <cell r="E5908">
            <v>8.2200000000000006</v>
          </cell>
          <cell r="H5908">
            <v>45538</v>
          </cell>
          <cell r="I5908">
            <v>0.76666666666666672</v>
          </cell>
          <cell r="J5908">
            <v>22.092222222222222</v>
          </cell>
        </row>
        <row r="5909">
          <cell r="B5909">
            <v>21.96</v>
          </cell>
          <cell r="C5909">
            <v>50.56</v>
          </cell>
          <cell r="D5909">
            <v>14.81</v>
          </cell>
          <cell r="E5909">
            <v>8.01</v>
          </cell>
          <cell r="H5909">
            <v>45538</v>
          </cell>
          <cell r="I5909">
            <v>0.73111111111111104</v>
          </cell>
          <cell r="J5909">
            <v>22.207777777777775</v>
          </cell>
        </row>
        <row r="5910">
          <cell r="B5910">
            <v>20.329999999999998</v>
          </cell>
          <cell r="C5910">
            <v>49.91</v>
          </cell>
          <cell r="D5910">
            <v>15.02</v>
          </cell>
          <cell r="E5910">
            <v>7.83</v>
          </cell>
          <cell r="H5910">
            <v>45538</v>
          </cell>
          <cell r="I5910">
            <v>0.69666666666666666</v>
          </cell>
          <cell r="J5910">
            <v>22.304444444444442</v>
          </cell>
        </row>
        <row r="5911">
          <cell r="B5911">
            <v>19.87</v>
          </cell>
          <cell r="C5911">
            <v>46.83</v>
          </cell>
          <cell r="D5911">
            <v>15.59</v>
          </cell>
          <cell r="E5911">
            <v>7.82</v>
          </cell>
          <cell r="H5911">
            <v>45538</v>
          </cell>
          <cell r="I5911">
            <v>0.68111111111111122</v>
          </cell>
          <cell r="J5911">
            <v>22.404444444444447</v>
          </cell>
        </row>
        <row r="5912">
          <cell r="B5912">
            <v>19.190000000000001</v>
          </cell>
          <cell r="C5912">
            <v>46.34</v>
          </cell>
          <cell r="D5912">
            <v>15.56</v>
          </cell>
          <cell r="E5912">
            <v>7.9</v>
          </cell>
          <cell r="H5912">
            <v>45538</v>
          </cell>
          <cell r="I5912">
            <v>0.67444444444444451</v>
          </cell>
          <cell r="J5912">
            <v>22.486666666666668</v>
          </cell>
        </row>
        <row r="5913">
          <cell r="B5913">
            <v>20.399999999999999</v>
          </cell>
          <cell r="C5913">
            <v>50.85</v>
          </cell>
          <cell r="D5913">
            <v>16.09</v>
          </cell>
          <cell r="E5913">
            <v>8.01</v>
          </cell>
          <cell r="H5913">
            <v>45538</v>
          </cell>
          <cell r="I5913">
            <v>0.6744444444444444</v>
          </cell>
          <cell r="J5913">
            <v>22.50888888888889</v>
          </cell>
        </row>
        <row r="5914">
          <cell r="B5914">
            <v>22.45</v>
          </cell>
          <cell r="C5914">
            <v>54.96</v>
          </cell>
          <cell r="D5914">
            <v>16.22</v>
          </cell>
          <cell r="E5914">
            <v>8.1</v>
          </cell>
          <cell r="H5914">
            <v>45538</v>
          </cell>
          <cell r="I5914">
            <v>0.67888888888888888</v>
          </cell>
          <cell r="J5914">
            <v>22.497777777777781</v>
          </cell>
        </row>
        <row r="5915">
          <cell r="B5915">
            <v>21.94</v>
          </cell>
          <cell r="C5915">
            <v>55.36</v>
          </cell>
          <cell r="D5915">
            <v>16.53</v>
          </cell>
          <cell r="E5915">
            <v>8.4600000000000009</v>
          </cell>
          <cell r="H5915">
            <v>45538</v>
          </cell>
          <cell r="I5915">
            <v>0.68777777777777782</v>
          </cell>
          <cell r="J5915">
            <v>22.476666666666663</v>
          </cell>
        </row>
        <row r="5916">
          <cell r="B5916">
            <v>22.06</v>
          </cell>
          <cell r="C5916">
            <v>55.05</v>
          </cell>
          <cell r="D5916">
            <v>16.420000000000002</v>
          </cell>
          <cell r="E5916">
            <v>8.84</v>
          </cell>
          <cell r="H5916">
            <v>45538</v>
          </cell>
          <cell r="I5916">
            <v>0.71222222222222209</v>
          </cell>
          <cell r="J5916">
            <v>22.568888888888882</v>
          </cell>
        </row>
        <row r="5917">
          <cell r="B5917">
            <v>21.25</v>
          </cell>
          <cell r="C5917">
            <v>54.1</v>
          </cell>
          <cell r="D5917">
            <v>17.61</v>
          </cell>
          <cell r="E5917">
            <v>9.3699999999999992</v>
          </cell>
          <cell r="H5917">
            <v>45538</v>
          </cell>
          <cell r="I5917">
            <v>0.73333333333333328</v>
          </cell>
          <cell r="J5917">
            <v>22.748888888888885</v>
          </cell>
        </row>
        <row r="5918">
          <cell r="B5918">
            <v>23.14</v>
          </cell>
          <cell r="C5918">
            <v>60.43</v>
          </cell>
          <cell r="D5918">
            <v>16.940000000000001</v>
          </cell>
          <cell r="E5918">
            <v>9.1999999999999993</v>
          </cell>
          <cell r="H5918">
            <v>45538</v>
          </cell>
          <cell r="I5918">
            <v>0.7599999999999999</v>
          </cell>
          <cell r="J5918">
            <v>22.888888888888893</v>
          </cell>
        </row>
        <row r="5919">
          <cell r="B5919">
            <v>21.85</v>
          </cell>
          <cell r="C5919">
            <v>59.5</v>
          </cell>
          <cell r="D5919">
            <v>17.5</v>
          </cell>
          <cell r="E5919">
            <v>8.8000000000000007</v>
          </cell>
          <cell r="H5919">
            <v>45538</v>
          </cell>
          <cell r="I5919">
            <v>0.77</v>
          </cell>
          <cell r="J5919">
            <v>23.124444444444446</v>
          </cell>
        </row>
        <row r="5920">
          <cell r="B5920">
            <v>20.11</v>
          </cell>
          <cell r="C5920">
            <v>58.02</v>
          </cell>
          <cell r="D5920">
            <v>17.329999999999998</v>
          </cell>
          <cell r="E5920">
            <v>9.2200000000000006</v>
          </cell>
          <cell r="H5920">
            <v>45538</v>
          </cell>
          <cell r="I5920">
            <v>0.77333333333333332</v>
          </cell>
          <cell r="J5920">
            <v>23.361111111111111</v>
          </cell>
        </row>
        <row r="5921">
          <cell r="B5921">
            <v>21.58</v>
          </cell>
          <cell r="C5921">
            <v>58.27</v>
          </cell>
          <cell r="D5921">
            <v>17.54</v>
          </cell>
          <cell r="E5921">
            <v>9.25</v>
          </cell>
          <cell r="H5921">
            <v>45538</v>
          </cell>
          <cell r="I5921">
            <v>0.77111111111111119</v>
          </cell>
          <cell r="J5921">
            <v>23.677777777777781</v>
          </cell>
        </row>
        <row r="5922">
          <cell r="B5922">
            <v>21.65</v>
          </cell>
          <cell r="C5922">
            <v>62.6</v>
          </cell>
          <cell r="D5922">
            <v>17.16</v>
          </cell>
          <cell r="E5922">
            <v>8.5299999999999994</v>
          </cell>
          <cell r="H5922">
            <v>45538</v>
          </cell>
          <cell r="I5922">
            <v>0.79333333333333333</v>
          </cell>
          <cell r="J5922">
            <v>23.988888888888891</v>
          </cell>
        </row>
        <row r="5923">
          <cell r="B5923">
            <v>21.79</v>
          </cell>
          <cell r="C5923">
            <v>66.63</v>
          </cell>
          <cell r="D5923">
            <v>16.86</v>
          </cell>
          <cell r="E5923">
            <v>8.5299999999999994</v>
          </cell>
          <cell r="H5923">
            <v>45538</v>
          </cell>
          <cell r="I5923">
            <v>0.80333333333333334</v>
          </cell>
          <cell r="J5923">
            <v>24.152222222222221</v>
          </cell>
        </row>
        <row r="5924">
          <cell r="B5924">
            <v>23.9</v>
          </cell>
          <cell r="C5924">
            <v>54.66</v>
          </cell>
          <cell r="D5924">
            <v>17.239999999999998</v>
          </cell>
          <cell r="E5924">
            <v>9.08</v>
          </cell>
          <cell r="H5924">
            <v>45538</v>
          </cell>
          <cell r="I5924">
            <v>0.81444444444444442</v>
          </cell>
          <cell r="J5924">
            <v>24.356666666666669</v>
          </cell>
        </row>
        <row r="5925">
          <cell r="B5925">
            <v>25.89</v>
          </cell>
          <cell r="C5925">
            <v>55.29</v>
          </cell>
          <cell r="D5925">
            <v>17.52</v>
          </cell>
          <cell r="E5925">
            <v>8.85</v>
          </cell>
          <cell r="H5925">
            <v>45538</v>
          </cell>
          <cell r="I5925">
            <v>0.81333333333333335</v>
          </cell>
          <cell r="J5925">
            <v>24.346666666666664</v>
          </cell>
        </row>
        <row r="5926">
          <cell r="B5926">
            <v>27.64</v>
          </cell>
          <cell r="C5926">
            <v>56.57</v>
          </cell>
          <cell r="D5926">
            <v>16.98</v>
          </cell>
          <cell r="E5926">
            <v>8.5</v>
          </cell>
          <cell r="H5926">
            <v>45538</v>
          </cell>
          <cell r="I5926">
            <v>0.83111111111111113</v>
          </cell>
          <cell r="J5926">
            <v>24.146666666666668</v>
          </cell>
        </row>
        <row r="5927">
          <cell r="B5927">
            <v>29.14</v>
          </cell>
          <cell r="C5927">
            <v>74.66</v>
          </cell>
          <cell r="D5927">
            <v>16.53</v>
          </cell>
          <cell r="E5927">
            <v>8.76</v>
          </cell>
          <cell r="H5927">
            <v>45538</v>
          </cell>
          <cell r="I5927">
            <v>0.83111111111111102</v>
          </cell>
          <cell r="J5927">
            <v>23.835555555555558</v>
          </cell>
        </row>
        <row r="5928">
          <cell r="B5928">
            <v>29.97</v>
          </cell>
          <cell r="C5928">
            <v>73.790000000000006</v>
          </cell>
          <cell r="D5928">
            <v>16.059999999999999</v>
          </cell>
          <cell r="E5928">
            <v>8.94</v>
          </cell>
          <cell r="H5928">
            <v>45538</v>
          </cell>
          <cell r="I5928">
            <v>0.86111111111111116</v>
          </cell>
          <cell r="J5928">
            <v>23.503333333333337</v>
          </cell>
        </row>
        <row r="5929">
          <cell r="B5929">
            <v>28.91</v>
          </cell>
          <cell r="C5929">
            <v>69.959999999999994</v>
          </cell>
          <cell r="D5929">
            <v>15.88</v>
          </cell>
          <cell r="E5929">
            <v>8.39</v>
          </cell>
          <cell r="H5929">
            <v>45538</v>
          </cell>
          <cell r="I5929">
            <v>0.84555555555555562</v>
          </cell>
          <cell r="J5929">
            <v>23.22</v>
          </cell>
        </row>
        <row r="5930">
          <cell r="B5930">
            <v>28.37</v>
          </cell>
          <cell r="C5930">
            <v>66.81</v>
          </cell>
          <cell r="D5930">
            <v>15.38</v>
          </cell>
          <cell r="E5930">
            <v>8.07</v>
          </cell>
          <cell r="H5930">
            <v>45539</v>
          </cell>
          <cell r="I5930">
            <v>0.84444444444444444</v>
          </cell>
          <cell r="J5930">
            <v>22.86888888888889</v>
          </cell>
        </row>
        <row r="5931">
          <cell r="B5931">
            <v>25.69</v>
          </cell>
          <cell r="C5931">
            <v>62.15</v>
          </cell>
          <cell r="D5931">
            <v>15.38</v>
          </cell>
          <cell r="E5931">
            <v>8.2899999999999991</v>
          </cell>
          <cell r="H5931">
            <v>45539</v>
          </cell>
          <cell r="I5931">
            <v>0.81</v>
          </cell>
          <cell r="J5931">
            <v>22.543333333333333</v>
          </cell>
        </row>
        <row r="5932">
          <cell r="B5932">
            <v>25.16</v>
          </cell>
          <cell r="C5932">
            <v>59.4</v>
          </cell>
          <cell r="D5932">
            <v>14.91</v>
          </cell>
          <cell r="E5932">
            <v>8.1300000000000008</v>
          </cell>
          <cell r="H5932">
            <v>45539</v>
          </cell>
          <cell r="I5932">
            <v>0.79444444444444451</v>
          </cell>
          <cell r="J5932">
            <v>22.396666666666665</v>
          </cell>
        </row>
        <row r="5933">
          <cell r="B5933">
            <v>26.26</v>
          </cell>
          <cell r="C5933">
            <v>51.79</v>
          </cell>
          <cell r="D5933">
            <v>15.27</v>
          </cell>
          <cell r="E5933">
            <v>8.01</v>
          </cell>
          <cell r="H5933">
            <v>45539</v>
          </cell>
          <cell r="I5933">
            <v>0.81333333333333335</v>
          </cell>
          <cell r="J5933">
            <v>22.296666666666667</v>
          </cell>
        </row>
        <row r="5934">
          <cell r="B5934">
            <v>25.37</v>
          </cell>
          <cell r="C5934">
            <v>52.33</v>
          </cell>
          <cell r="D5934">
            <v>15.5</v>
          </cell>
          <cell r="E5934">
            <v>8.14</v>
          </cell>
          <cell r="H5934">
            <v>45539</v>
          </cell>
          <cell r="I5934">
            <v>0.79999999999999993</v>
          </cell>
          <cell r="J5934">
            <v>22.286666666666669</v>
          </cell>
        </row>
        <row r="5935">
          <cell r="B5935">
            <v>24.28</v>
          </cell>
          <cell r="C5935">
            <v>52.57</v>
          </cell>
          <cell r="D5935">
            <v>15.32</v>
          </cell>
          <cell r="E5935">
            <v>7.7</v>
          </cell>
          <cell r="H5935">
            <v>45539</v>
          </cell>
          <cell r="I5935">
            <v>0.77777777777777779</v>
          </cell>
          <cell r="J5935">
            <v>22.306666666666665</v>
          </cell>
        </row>
        <row r="5936">
          <cell r="B5936">
            <v>24.19</v>
          </cell>
          <cell r="C5936">
            <v>59.25</v>
          </cell>
          <cell r="D5936">
            <v>15.54</v>
          </cell>
          <cell r="E5936">
            <v>8.07</v>
          </cell>
          <cell r="H5936">
            <v>45539</v>
          </cell>
          <cell r="I5936">
            <v>0.76333333333333342</v>
          </cell>
          <cell r="J5936">
            <v>22.29</v>
          </cell>
        </row>
        <row r="5937">
          <cell r="B5937">
            <v>25.68</v>
          </cell>
          <cell r="C5937">
            <v>60.8</v>
          </cell>
          <cell r="D5937">
            <v>15.54</v>
          </cell>
          <cell r="E5937">
            <v>8.27</v>
          </cell>
          <cell r="H5937">
            <v>45539</v>
          </cell>
          <cell r="I5937">
            <v>0.72888888888888892</v>
          </cell>
          <cell r="J5937">
            <v>22.263333333333328</v>
          </cell>
        </row>
        <row r="5938">
          <cell r="B5938">
            <v>25.44</v>
          </cell>
          <cell r="C5938">
            <v>61.75</v>
          </cell>
          <cell r="D5938">
            <v>15.61</v>
          </cell>
          <cell r="E5938">
            <v>8.2100000000000009</v>
          </cell>
          <cell r="H5938">
            <v>45539</v>
          </cell>
          <cell r="I5938">
            <v>0.73444444444444446</v>
          </cell>
          <cell r="J5938">
            <v>22.252222222222219</v>
          </cell>
        </row>
        <row r="5939">
          <cell r="B5939">
            <v>24.21</v>
          </cell>
          <cell r="C5939">
            <v>63.5</v>
          </cell>
          <cell r="D5939">
            <v>15.99</v>
          </cell>
          <cell r="E5939">
            <v>8.57</v>
          </cell>
          <cell r="H5939">
            <v>45539</v>
          </cell>
          <cell r="I5939">
            <v>0.73888888888888882</v>
          </cell>
          <cell r="J5939">
            <v>22.287777777777777</v>
          </cell>
        </row>
        <row r="5940">
          <cell r="B5940">
            <v>21.87</v>
          </cell>
          <cell r="C5940">
            <v>62.82</v>
          </cell>
          <cell r="D5940">
            <v>15.67</v>
          </cell>
          <cell r="E5940">
            <v>8.4600000000000009</v>
          </cell>
          <cell r="H5940">
            <v>45539</v>
          </cell>
          <cell r="I5940">
            <v>0.74555555555555553</v>
          </cell>
          <cell r="J5940">
            <v>22.349999999999998</v>
          </cell>
        </row>
        <row r="5941">
          <cell r="B5941">
            <v>22.58</v>
          </cell>
          <cell r="C5941">
            <v>60.1</v>
          </cell>
          <cell r="D5941">
            <v>17.100000000000001</v>
          </cell>
          <cell r="E5941">
            <v>8.94</v>
          </cell>
          <cell r="H5941">
            <v>45539</v>
          </cell>
          <cell r="I5941">
            <v>0.74666666666666659</v>
          </cell>
          <cell r="J5941">
            <v>22.567777777777778</v>
          </cell>
        </row>
        <row r="5942">
          <cell r="B5942">
            <v>22.89</v>
          </cell>
          <cell r="C5942">
            <v>60.39</v>
          </cell>
          <cell r="D5942">
            <v>17.02</v>
          </cell>
          <cell r="E5942">
            <v>8.84</v>
          </cell>
          <cell r="H5942">
            <v>45539</v>
          </cell>
          <cell r="I5942">
            <v>0.70777777777777784</v>
          </cell>
          <cell r="J5942">
            <v>22.708888888888886</v>
          </cell>
        </row>
        <row r="5943">
          <cell r="B5943">
            <v>20.68</v>
          </cell>
          <cell r="C5943">
            <v>58.48</v>
          </cell>
          <cell r="D5943">
            <v>16.87</v>
          </cell>
          <cell r="E5943">
            <v>8.92</v>
          </cell>
          <cell r="H5943">
            <v>45539</v>
          </cell>
          <cell r="I5943">
            <v>0.70666666666666667</v>
          </cell>
          <cell r="J5943">
            <v>22.943333333333332</v>
          </cell>
        </row>
        <row r="5944">
          <cell r="B5944">
            <v>21.41</v>
          </cell>
          <cell r="C5944">
            <v>60.24</v>
          </cell>
          <cell r="D5944">
            <v>17.41</v>
          </cell>
          <cell r="E5944">
            <v>9.27</v>
          </cell>
          <cell r="H5944">
            <v>45539</v>
          </cell>
          <cell r="I5944">
            <v>0.70111111111111102</v>
          </cell>
          <cell r="J5944">
            <v>23.212222222222223</v>
          </cell>
        </row>
        <row r="5945">
          <cell r="B5945">
            <v>23.08</v>
          </cell>
          <cell r="C5945">
            <v>60.71</v>
          </cell>
          <cell r="D5945">
            <v>16.88</v>
          </cell>
          <cell r="E5945">
            <v>9.33</v>
          </cell>
          <cell r="H5945">
            <v>45539</v>
          </cell>
          <cell r="I5945">
            <v>0.68888888888888877</v>
          </cell>
          <cell r="J5945">
            <v>23.672222222222224</v>
          </cell>
        </row>
        <row r="5946">
          <cell r="B5946">
            <v>23.27</v>
          </cell>
          <cell r="C5946">
            <v>63.07</v>
          </cell>
          <cell r="D5946">
            <v>17.12</v>
          </cell>
          <cell r="E5946">
            <v>9.42</v>
          </cell>
          <cell r="H5946">
            <v>45539</v>
          </cell>
          <cell r="I5946">
            <v>0.69666666666666666</v>
          </cell>
          <cell r="J5946">
            <v>24.071111111111112</v>
          </cell>
        </row>
        <row r="5947">
          <cell r="B5947">
            <v>23.89</v>
          </cell>
          <cell r="C5947">
            <v>56.61</v>
          </cell>
          <cell r="D5947">
            <v>17.239999999999998</v>
          </cell>
          <cell r="E5947">
            <v>9.2799999999999994</v>
          </cell>
          <cell r="H5947">
            <v>45539</v>
          </cell>
          <cell r="I5947">
            <v>0.70333333333333337</v>
          </cell>
          <cell r="J5947">
            <v>24.152222222222221</v>
          </cell>
        </row>
        <row r="5948">
          <cell r="B5948">
            <v>25.98</v>
          </cell>
          <cell r="C5948">
            <v>55.8</v>
          </cell>
          <cell r="D5948">
            <v>16.91</v>
          </cell>
          <cell r="E5948">
            <v>9.02</v>
          </cell>
          <cell r="H5948">
            <v>45539</v>
          </cell>
          <cell r="I5948">
            <v>0.72000000000000008</v>
          </cell>
          <cell r="J5948">
            <v>24.155555555555551</v>
          </cell>
        </row>
        <row r="5949">
          <cell r="B5949">
            <v>30.6</v>
          </cell>
          <cell r="C5949">
            <v>63.72</v>
          </cell>
          <cell r="D5949">
            <v>18.079999999999998</v>
          </cell>
          <cell r="E5949">
            <v>8.66</v>
          </cell>
          <cell r="H5949">
            <v>45539</v>
          </cell>
          <cell r="I5949">
            <v>0.74555555555555564</v>
          </cell>
          <cell r="J5949">
            <v>24.021111111111111</v>
          </cell>
        </row>
        <row r="5950">
          <cell r="B5950">
            <v>32.08</v>
          </cell>
          <cell r="C5950">
            <v>66.39</v>
          </cell>
          <cell r="D5950">
            <v>17.71</v>
          </cell>
          <cell r="E5950">
            <v>8.8800000000000008</v>
          </cell>
          <cell r="H5950">
            <v>45539</v>
          </cell>
          <cell r="I5950">
            <v>0.76777777777777778</v>
          </cell>
          <cell r="J5950">
            <v>23.722222222222221</v>
          </cell>
        </row>
        <row r="5951">
          <cell r="B5951">
            <v>30.23</v>
          </cell>
          <cell r="C5951">
            <v>70.62</v>
          </cell>
          <cell r="D5951">
            <v>17.329999999999998</v>
          </cell>
          <cell r="E5951">
            <v>8.89</v>
          </cell>
          <cell r="H5951">
            <v>45539</v>
          </cell>
          <cell r="I5951">
            <v>0.78666666666666663</v>
          </cell>
          <cell r="J5951">
            <v>23.298888888888893</v>
          </cell>
        </row>
        <row r="5952">
          <cell r="B5952">
            <v>30.17</v>
          </cell>
          <cell r="C5952">
            <v>69</v>
          </cell>
          <cell r="D5952">
            <v>16.55</v>
          </cell>
          <cell r="E5952">
            <v>8.92</v>
          </cell>
          <cell r="H5952">
            <v>45539</v>
          </cell>
          <cell r="I5952">
            <v>0.79555555555555546</v>
          </cell>
          <cell r="J5952">
            <v>22.825555555555553</v>
          </cell>
        </row>
        <row r="5953">
          <cell r="B5953">
            <v>29.91</v>
          </cell>
          <cell r="C5953">
            <v>70.56</v>
          </cell>
          <cell r="D5953">
            <v>16.37</v>
          </cell>
          <cell r="E5953">
            <v>8.8699999999999992</v>
          </cell>
          <cell r="H5953">
            <v>45539</v>
          </cell>
          <cell r="I5953">
            <v>0.79666666666666663</v>
          </cell>
          <cell r="J5953">
            <v>22.354444444444443</v>
          </cell>
        </row>
        <row r="5954">
          <cell r="B5954">
            <v>27.12</v>
          </cell>
          <cell r="C5954">
            <v>55.27</v>
          </cell>
          <cell r="D5954">
            <v>16.43</v>
          </cell>
          <cell r="E5954">
            <v>8.48</v>
          </cell>
          <cell r="H5954">
            <v>45540</v>
          </cell>
          <cell r="I5954">
            <v>0.78666666666666663</v>
          </cell>
          <cell r="J5954">
            <v>22.023333333333333</v>
          </cell>
        </row>
        <row r="5955">
          <cell r="B5955">
            <v>27.11</v>
          </cell>
          <cell r="C5955">
            <v>54.86</v>
          </cell>
          <cell r="D5955">
            <v>16.27</v>
          </cell>
          <cell r="E5955">
            <v>8.1999999999999993</v>
          </cell>
          <cell r="H5955">
            <v>45540</v>
          </cell>
          <cell r="I5955">
            <v>0.77111111111111119</v>
          </cell>
          <cell r="J5955">
            <v>21.763333333333332</v>
          </cell>
        </row>
        <row r="5956">
          <cell r="B5956">
            <v>26.09</v>
          </cell>
          <cell r="C5956">
            <v>51.66</v>
          </cell>
          <cell r="D5956">
            <v>15.83</v>
          </cell>
          <cell r="E5956">
            <v>7.51</v>
          </cell>
          <cell r="H5956">
            <v>45540</v>
          </cell>
          <cell r="I5956">
            <v>0.75555555555555554</v>
          </cell>
          <cell r="J5956">
            <v>21.807777777777776</v>
          </cell>
        </row>
        <row r="5957">
          <cell r="B5957">
            <v>25.74</v>
          </cell>
          <cell r="C5957">
            <v>48.44</v>
          </cell>
          <cell r="D5957">
            <v>16.05</v>
          </cell>
          <cell r="E5957">
            <v>7.42</v>
          </cell>
          <cell r="H5957">
            <v>45540</v>
          </cell>
          <cell r="I5957">
            <v>0.73555555555555552</v>
          </cell>
          <cell r="J5957">
            <v>21.876666666666665</v>
          </cell>
        </row>
        <row r="5958">
          <cell r="B5958">
            <v>22.64</v>
          </cell>
          <cell r="C5958">
            <v>51.12</v>
          </cell>
          <cell r="D5958">
            <v>15.88</v>
          </cell>
          <cell r="E5958">
            <v>7.33</v>
          </cell>
          <cell r="H5958">
            <v>45540</v>
          </cell>
          <cell r="I5958">
            <v>0.71000000000000008</v>
          </cell>
          <cell r="J5958">
            <v>21.9</v>
          </cell>
        </row>
        <row r="5959">
          <cell r="B5959">
            <v>21.98</v>
          </cell>
          <cell r="C5959">
            <v>49.09</v>
          </cell>
          <cell r="D5959">
            <v>15.76</v>
          </cell>
          <cell r="E5959">
            <v>7.35</v>
          </cell>
          <cell r="H5959">
            <v>45540</v>
          </cell>
          <cell r="I5959">
            <v>0.68777777777777782</v>
          </cell>
          <cell r="J5959">
            <v>21.87222222222222</v>
          </cell>
        </row>
        <row r="5960">
          <cell r="B5960">
            <v>24.16</v>
          </cell>
          <cell r="C5960">
            <v>52.27</v>
          </cell>
          <cell r="D5960">
            <v>16.3</v>
          </cell>
          <cell r="E5960">
            <v>7.39</v>
          </cell>
          <cell r="H5960">
            <v>45540</v>
          </cell>
          <cell r="I5960">
            <v>0.67888888888888888</v>
          </cell>
          <cell r="J5960">
            <v>21.905555555555555</v>
          </cell>
        </row>
        <row r="5961">
          <cell r="B5961">
            <v>24.14</v>
          </cell>
          <cell r="C5961">
            <v>55.3</v>
          </cell>
          <cell r="D5961">
            <v>16.86</v>
          </cell>
          <cell r="E5961">
            <v>7.92</v>
          </cell>
          <cell r="H5961">
            <v>45540</v>
          </cell>
          <cell r="I5961">
            <v>0.67555555555555558</v>
          </cell>
          <cell r="J5961">
            <v>21.883333333333333</v>
          </cell>
        </row>
        <row r="5962">
          <cell r="B5962">
            <v>24.95</v>
          </cell>
          <cell r="C5962">
            <v>60.04</v>
          </cell>
          <cell r="D5962">
            <v>16.39</v>
          </cell>
          <cell r="E5962">
            <v>7.82</v>
          </cell>
          <cell r="H5962">
            <v>45540</v>
          </cell>
          <cell r="I5962">
            <v>0.68888888888888899</v>
          </cell>
          <cell r="J5962">
            <v>21.877777777777776</v>
          </cell>
        </row>
        <row r="5963">
          <cell r="B5963">
            <v>23.64</v>
          </cell>
          <cell r="C5963">
            <v>61.89</v>
          </cell>
          <cell r="D5963">
            <v>16.37</v>
          </cell>
          <cell r="E5963">
            <v>7.99</v>
          </cell>
          <cell r="H5963">
            <v>45540</v>
          </cell>
          <cell r="I5963">
            <v>0.69444444444444442</v>
          </cell>
          <cell r="J5963">
            <v>21.673333333333332</v>
          </cell>
        </row>
        <row r="5964">
          <cell r="B5964">
            <v>22.73</v>
          </cell>
          <cell r="C5964">
            <v>60.03</v>
          </cell>
          <cell r="D5964">
            <v>16.149999999999999</v>
          </cell>
          <cell r="E5964">
            <v>8.02</v>
          </cell>
          <cell r="H5964">
            <v>45540</v>
          </cell>
          <cell r="I5964">
            <v>0.69444444444444442</v>
          </cell>
          <cell r="J5964">
            <v>21.53777777777778</v>
          </cell>
        </row>
        <row r="5965">
          <cell r="B5965">
            <v>20.5</v>
          </cell>
          <cell r="C5965">
            <v>59.96</v>
          </cell>
          <cell r="D5965">
            <v>16.78</v>
          </cell>
          <cell r="E5965">
            <v>9.06</v>
          </cell>
          <cell r="H5965">
            <v>45540</v>
          </cell>
          <cell r="I5965">
            <v>0.68555555555555558</v>
          </cell>
          <cell r="J5965">
            <v>21.628888888888888</v>
          </cell>
        </row>
        <row r="5966">
          <cell r="B5966">
            <v>20.13</v>
          </cell>
          <cell r="C5966">
            <v>62.07</v>
          </cell>
          <cell r="D5966">
            <v>16.84</v>
          </cell>
          <cell r="E5966">
            <v>9.5</v>
          </cell>
          <cell r="H5966">
            <v>45540</v>
          </cell>
          <cell r="I5966">
            <v>0.67999999999999994</v>
          </cell>
          <cell r="J5966">
            <v>21.598888888888887</v>
          </cell>
        </row>
        <row r="5967">
          <cell r="B5967">
            <v>18.940000000000001</v>
          </cell>
          <cell r="C5967">
            <v>57.37</v>
          </cell>
          <cell r="D5967">
            <v>16.96</v>
          </cell>
          <cell r="E5967">
            <v>9.52</v>
          </cell>
          <cell r="H5967">
            <v>45540</v>
          </cell>
          <cell r="I5967">
            <v>0.67333333333333334</v>
          </cell>
          <cell r="J5967">
            <v>21.747777777777777</v>
          </cell>
        </row>
        <row r="5968">
          <cell r="B5968">
            <v>17.809999999999999</v>
          </cell>
          <cell r="C5968">
            <v>53.96</v>
          </cell>
          <cell r="D5968">
            <v>16.97</v>
          </cell>
          <cell r="E5968">
            <v>9.61</v>
          </cell>
          <cell r="H5968">
            <v>45540</v>
          </cell>
          <cell r="I5968">
            <v>0.66666666666666663</v>
          </cell>
          <cell r="J5968">
            <v>21.983333333333334</v>
          </cell>
        </row>
        <row r="5969">
          <cell r="B5969">
            <v>18.8</v>
          </cell>
          <cell r="C5969">
            <v>55.21</v>
          </cell>
          <cell r="D5969">
            <v>16.93</v>
          </cell>
          <cell r="E5969">
            <v>9.61</v>
          </cell>
          <cell r="H5969">
            <v>45540</v>
          </cell>
          <cell r="I5969">
            <v>0.65555555555555556</v>
          </cell>
          <cell r="J5969">
            <v>22.198888888888892</v>
          </cell>
        </row>
        <row r="5970">
          <cell r="B5970">
            <v>19.170000000000002</v>
          </cell>
          <cell r="C5970">
            <v>51.26</v>
          </cell>
          <cell r="D5970">
            <v>17.260000000000002</v>
          </cell>
          <cell r="E5970">
            <v>9.93</v>
          </cell>
          <cell r="H5970">
            <v>45540</v>
          </cell>
          <cell r="I5970">
            <v>0.64555555555555555</v>
          </cell>
          <cell r="J5970">
            <v>22.684444444444445</v>
          </cell>
        </row>
        <row r="5971">
          <cell r="B5971">
            <v>22.26</v>
          </cell>
          <cell r="C5971">
            <v>50.95</v>
          </cell>
          <cell r="D5971">
            <v>17.440000000000001</v>
          </cell>
          <cell r="E5971">
            <v>9.8800000000000008</v>
          </cell>
          <cell r="H5971">
            <v>45540</v>
          </cell>
          <cell r="I5971">
            <v>0.62888888888888883</v>
          </cell>
          <cell r="J5971">
            <v>23.10222222222222</v>
          </cell>
        </row>
        <row r="5972">
          <cell r="B5972">
            <v>25.93</v>
          </cell>
          <cell r="C5972">
            <v>69.86</v>
          </cell>
          <cell r="D5972">
            <v>18.420000000000002</v>
          </cell>
          <cell r="E5972">
            <v>9.83</v>
          </cell>
          <cell r="H5972">
            <v>45540</v>
          </cell>
          <cell r="I5972">
            <v>0.64888888888888885</v>
          </cell>
          <cell r="J5972">
            <v>23.246666666666666</v>
          </cell>
        </row>
        <row r="5973">
          <cell r="B5973">
            <v>25.83</v>
          </cell>
          <cell r="C5973">
            <v>75.709999999999994</v>
          </cell>
          <cell r="D5973">
            <v>18.05</v>
          </cell>
          <cell r="E5973">
            <v>9.5</v>
          </cell>
          <cell r="H5973">
            <v>45540</v>
          </cell>
          <cell r="I5973">
            <v>0.66333333333333333</v>
          </cell>
          <cell r="J5973">
            <v>23.286666666666669</v>
          </cell>
        </row>
        <row r="5974">
          <cell r="B5974">
            <v>23.45</v>
          </cell>
          <cell r="C5974">
            <v>56</v>
          </cell>
          <cell r="D5974">
            <v>18.190000000000001</v>
          </cell>
          <cell r="E5974">
            <v>9.68</v>
          </cell>
          <cell r="H5974">
            <v>45540</v>
          </cell>
          <cell r="I5974">
            <v>0.69555555555555548</v>
          </cell>
          <cell r="J5974">
            <v>22.927777777777777</v>
          </cell>
        </row>
        <row r="5975">
          <cell r="B5975">
            <v>25.12</v>
          </cell>
          <cell r="C5975">
            <v>61.04</v>
          </cell>
          <cell r="D5975">
            <v>18.05</v>
          </cell>
          <cell r="E5975">
            <v>9.49</v>
          </cell>
          <cell r="H5975">
            <v>45540</v>
          </cell>
          <cell r="I5975">
            <v>0.71111111111111114</v>
          </cell>
          <cell r="J5975">
            <v>22.625555555555557</v>
          </cell>
        </row>
        <row r="5976">
          <cell r="B5976">
            <v>25.39</v>
          </cell>
          <cell r="C5976">
            <v>57.64</v>
          </cell>
          <cell r="D5976">
            <v>16.73</v>
          </cell>
          <cell r="E5976">
            <v>8.7899999999999991</v>
          </cell>
          <cell r="H5976">
            <v>45540</v>
          </cell>
          <cell r="I5976">
            <v>0.71333333333333337</v>
          </cell>
          <cell r="J5976">
            <v>22.29111111111111</v>
          </cell>
        </row>
        <row r="5977">
          <cell r="B5977">
            <v>21.53</v>
          </cell>
          <cell r="C5977">
            <v>53.59</v>
          </cell>
          <cell r="D5977">
            <v>15.48</v>
          </cell>
          <cell r="E5977">
            <v>8.17</v>
          </cell>
          <cell r="H5977">
            <v>45540</v>
          </cell>
          <cell r="I5977">
            <v>0.70666666666666667</v>
          </cell>
          <cell r="J5977">
            <v>21.807777777777776</v>
          </cell>
        </row>
        <row r="5978">
          <cell r="B5978">
            <v>19.34</v>
          </cell>
          <cell r="C5978">
            <v>49.89</v>
          </cell>
          <cell r="D5978">
            <v>15</v>
          </cell>
          <cell r="E5978">
            <v>8.33</v>
          </cell>
          <cell r="H5978">
            <v>45541</v>
          </cell>
          <cell r="I5978">
            <v>0.69444444444444442</v>
          </cell>
          <cell r="J5978">
            <v>21.391111111111112</v>
          </cell>
        </row>
        <row r="5979">
          <cell r="B5979">
            <v>18.239999999999998</v>
          </cell>
          <cell r="C5979">
            <v>48.8</v>
          </cell>
          <cell r="D5979">
            <v>14.66</v>
          </cell>
          <cell r="E5979">
            <v>8.2899999999999991</v>
          </cell>
          <cell r="H5979">
            <v>45541</v>
          </cell>
          <cell r="I5979">
            <v>0.68888888888888888</v>
          </cell>
          <cell r="J5979">
            <v>20.77</v>
          </cell>
        </row>
        <row r="5980">
          <cell r="B5980">
            <v>20.350000000000001</v>
          </cell>
          <cell r="C5980">
            <v>53.72</v>
          </cell>
          <cell r="D5980">
            <v>14.73</v>
          </cell>
          <cell r="E5980">
            <v>8.2200000000000006</v>
          </cell>
          <cell r="H5980">
            <v>45541</v>
          </cell>
          <cell r="I5980">
            <v>0.68</v>
          </cell>
          <cell r="J5980">
            <v>20.194444444444443</v>
          </cell>
        </row>
        <row r="5981">
          <cell r="B5981">
            <v>20.77</v>
          </cell>
          <cell r="C5981">
            <v>53.43</v>
          </cell>
          <cell r="D5981">
            <v>14.77</v>
          </cell>
          <cell r="E5981">
            <v>8.1300000000000008</v>
          </cell>
          <cell r="H5981">
            <v>45541</v>
          </cell>
          <cell r="I5981">
            <v>0.64777777777777779</v>
          </cell>
          <cell r="J5981">
            <v>19.922222222222224</v>
          </cell>
        </row>
        <row r="5982">
          <cell r="B5982">
            <v>18.98</v>
          </cell>
          <cell r="C5982">
            <v>51.06</v>
          </cell>
          <cell r="D5982">
            <v>14.73</v>
          </cell>
          <cell r="E5982">
            <v>8.26</v>
          </cell>
          <cell r="H5982">
            <v>45541</v>
          </cell>
          <cell r="I5982">
            <v>0.62333333333333341</v>
          </cell>
          <cell r="J5982">
            <v>19.631111111111114</v>
          </cell>
        </row>
        <row r="5983">
          <cell r="B5983">
            <v>18.829999999999998</v>
          </cell>
          <cell r="C5983">
            <v>46.13</v>
          </cell>
          <cell r="D5983">
            <v>14.1</v>
          </cell>
          <cell r="E5983">
            <v>7.83</v>
          </cell>
          <cell r="H5983">
            <v>45541</v>
          </cell>
          <cell r="I5983">
            <v>0.57444444444444454</v>
          </cell>
          <cell r="J5983">
            <v>19.454444444444444</v>
          </cell>
        </row>
        <row r="5984">
          <cell r="B5984">
            <v>21.61</v>
          </cell>
          <cell r="C5984">
            <v>50.93</v>
          </cell>
          <cell r="D5984">
            <v>14.44</v>
          </cell>
          <cell r="E5984">
            <v>7.94</v>
          </cell>
          <cell r="H5984">
            <v>45541</v>
          </cell>
          <cell r="I5984">
            <v>0.55555555555555569</v>
          </cell>
          <cell r="J5984">
            <v>19.30777777777778</v>
          </cell>
        </row>
        <row r="5985">
          <cell r="B5985">
            <v>22.53</v>
          </cell>
          <cell r="C5985">
            <v>57.4</v>
          </cell>
          <cell r="D5985">
            <v>14.1</v>
          </cell>
          <cell r="E5985">
            <v>7.63</v>
          </cell>
          <cell r="H5985">
            <v>45541</v>
          </cell>
          <cell r="I5985">
            <v>0.55444444444444452</v>
          </cell>
          <cell r="J5985">
            <v>19.155555555555555</v>
          </cell>
        </row>
        <row r="5986">
          <cell r="B5986">
            <v>23.24</v>
          </cell>
          <cell r="C5986">
            <v>60.73</v>
          </cell>
          <cell r="D5986">
            <v>14.02</v>
          </cell>
          <cell r="E5986">
            <v>7.88</v>
          </cell>
          <cell r="H5986">
            <v>45541</v>
          </cell>
          <cell r="I5986">
            <v>0.56555555555555559</v>
          </cell>
          <cell r="J5986">
            <v>19.174444444444443</v>
          </cell>
        </row>
        <row r="5987">
          <cell r="B5987">
            <v>23.85</v>
          </cell>
          <cell r="C5987">
            <v>61.78</v>
          </cell>
          <cell r="D5987">
            <v>14.4</v>
          </cell>
          <cell r="E5987">
            <v>8.44</v>
          </cell>
          <cell r="H5987">
            <v>45541</v>
          </cell>
          <cell r="I5987">
            <v>0.57555555555555549</v>
          </cell>
          <cell r="J5987">
            <v>19.239999999999998</v>
          </cell>
        </row>
        <row r="5988">
          <cell r="B5988">
            <v>22.56</v>
          </cell>
          <cell r="C5988">
            <v>61.14</v>
          </cell>
          <cell r="D5988">
            <v>14.3</v>
          </cell>
          <cell r="E5988">
            <v>8.2799999999999994</v>
          </cell>
          <cell r="H5988">
            <v>45541</v>
          </cell>
          <cell r="I5988">
            <v>0.5722222222222223</v>
          </cell>
          <cell r="J5988">
            <v>19.396666666666668</v>
          </cell>
        </row>
        <row r="5989">
          <cell r="B5989">
            <v>22.78</v>
          </cell>
          <cell r="C5989">
            <v>59.7</v>
          </cell>
          <cell r="D5989">
            <v>15.07</v>
          </cell>
          <cell r="E5989">
            <v>8.3699999999999992</v>
          </cell>
          <cell r="H5989">
            <v>45541</v>
          </cell>
          <cell r="I5989">
            <v>0.58000000000000007</v>
          </cell>
          <cell r="J5989">
            <v>19.745555555555555</v>
          </cell>
        </row>
        <row r="5990">
          <cell r="B5990">
            <v>22.54</v>
          </cell>
          <cell r="C5990">
            <v>62.49</v>
          </cell>
          <cell r="D5990">
            <v>15.36</v>
          </cell>
          <cell r="E5990">
            <v>8.2899999999999991</v>
          </cell>
          <cell r="H5990">
            <v>45541</v>
          </cell>
          <cell r="I5990">
            <v>0.58333333333333337</v>
          </cell>
          <cell r="J5990">
            <v>20.11888888888889</v>
          </cell>
        </row>
        <row r="5991">
          <cell r="B5991">
            <v>23.72</v>
          </cell>
          <cell r="C5991">
            <v>64.13</v>
          </cell>
          <cell r="D5991">
            <v>14.91</v>
          </cell>
          <cell r="E5991">
            <v>7.96</v>
          </cell>
          <cell r="H5991">
            <v>45541</v>
          </cell>
          <cell r="I5991">
            <v>0.59333333333333327</v>
          </cell>
          <cell r="J5991">
            <v>20.528888888888886</v>
          </cell>
        </row>
        <row r="5992">
          <cell r="B5992">
            <v>23.38</v>
          </cell>
          <cell r="C5992">
            <v>58.44</v>
          </cell>
          <cell r="D5992">
            <v>16.239999999999998</v>
          </cell>
          <cell r="E5992">
            <v>8.2899999999999991</v>
          </cell>
          <cell r="H5992">
            <v>45541</v>
          </cell>
          <cell r="I5992">
            <v>0.61999999999999988</v>
          </cell>
          <cell r="J5992">
            <v>21.026666666666667</v>
          </cell>
        </row>
        <row r="5993">
          <cell r="B5993">
            <v>24.29</v>
          </cell>
          <cell r="C5993">
            <v>60.03</v>
          </cell>
          <cell r="D5993">
            <v>16.39</v>
          </cell>
          <cell r="E5993">
            <v>8.1300000000000008</v>
          </cell>
          <cell r="H5993">
            <v>45541</v>
          </cell>
          <cell r="I5993">
            <v>0.6366666666666666</v>
          </cell>
          <cell r="J5993">
            <v>21.542222222222225</v>
          </cell>
        </row>
        <row r="5994">
          <cell r="B5994">
            <v>24.33</v>
          </cell>
          <cell r="C5994">
            <v>61.57</v>
          </cell>
          <cell r="D5994">
            <v>14.6</v>
          </cell>
          <cell r="E5994">
            <v>7.97</v>
          </cell>
          <cell r="H5994">
            <v>45541</v>
          </cell>
          <cell r="I5994">
            <v>0.64666666666666661</v>
          </cell>
          <cell r="J5994">
            <v>21.764444444444443</v>
          </cell>
        </row>
        <row r="5995">
          <cell r="B5995">
            <v>24.19</v>
          </cell>
          <cell r="C5995">
            <v>62.71</v>
          </cell>
          <cell r="D5995">
            <v>15.5</v>
          </cell>
          <cell r="E5995">
            <v>7.93</v>
          </cell>
          <cell r="H5995">
            <v>45541</v>
          </cell>
          <cell r="I5995">
            <v>0.6544444444444445</v>
          </cell>
          <cell r="J5995">
            <v>21.858888888888888</v>
          </cell>
        </row>
        <row r="5996">
          <cell r="B5996">
            <v>25.73</v>
          </cell>
          <cell r="C5996">
            <v>66.89</v>
          </cell>
          <cell r="D5996">
            <v>17.64</v>
          </cell>
          <cell r="E5996">
            <v>8.56</v>
          </cell>
          <cell r="H5996">
            <v>45541</v>
          </cell>
          <cell r="I5996">
            <v>0.67888888888888888</v>
          </cell>
          <cell r="J5996">
            <v>21.873333333333331</v>
          </cell>
        </row>
        <row r="5997">
          <cell r="B5997">
            <v>28.52</v>
          </cell>
          <cell r="C5997">
            <v>77.02</v>
          </cell>
          <cell r="D5997">
            <v>17.79</v>
          </cell>
          <cell r="E5997">
            <v>8.8800000000000008</v>
          </cell>
          <cell r="H5997">
            <v>45541</v>
          </cell>
          <cell r="I5997">
            <v>0.71111111111111114</v>
          </cell>
          <cell r="J5997">
            <v>21.688888888888886</v>
          </cell>
        </row>
        <row r="5998">
          <cell r="B5998">
            <v>28.09</v>
          </cell>
          <cell r="C5998">
            <v>72.42</v>
          </cell>
          <cell r="D5998">
            <v>17.739999999999998</v>
          </cell>
          <cell r="E5998">
            <v>8.7899999999999991</v>
          </cell>
          <cell r="H5998">
            <v>45541</v>
          </cell>
          <cell r="I5998">
            <v>0.72333333333333327</v>
          </cell>
          <cell r="J5998">
            <v>21.276666666666667</v>
          </cell>
        </row>
        <row r="5999">
          <cell r="B5999">
            <v>27.08</v>
          </cell>
          <cell r="C5999">
            <v>66.959999999999994</v>
          </cell>
          <cell r="D5999">
            <v>17.38</v>
          </cell>
          <cell r="E5999">
            <v>8.44</v>
          </cell>
          <cell r="H5999">
            <v>45541</v>
          </cell>
          <cell r="I5999">
            <v>0.73222222222222222</v>
          </cell>
          <cell r="J5999">
            <v>20.85777777777778</v>
          </cell>
        </row>
        <row r="6000">
          <cell r="B6000">
            <v>27.38</v>
          </cell>
          <cell r="C6000">
            <v>62.92</v>
          </cell>
          <cell r="D6000">
            <v>16.989999999999998</v>
          </cell>
          <cell r="E6000">
            <v>8.56</v>
          </cell>
          <cell r="H6000">
            <v>45541</v>
          </cell>
          <cell r="I6000">
            <v>0.72666666666666657</v>
          </cell>
          <cell r="J6000">
            <v>20.448888888888888</v>
          </cell>
        </row>
        <row r="6001">
          <cell r="B6001">
            <v>25.68</v>
          </cell>
          <cell r="C6001">
            <v>58.58</v>
          </cell>
          <cell r="D6001">
            <v>16.36</v>
          </cell>
          <cell r="E6001">
            <v>8.35</v>
          </cell>
          <cell r="H6001">
            <v>45541</v>
          </cell>
          <cell r="I6001">
            <v>0.71333333333333337</v>
          </cell>
          <cell r="J6001">
            <v>20.03</v>
          </cell>
        </row>
        <row r="6002">
          <cell r="B6002">
            <v>21.6</v>
          </cell>
          <cell r="C6002">
            <v>50.37</v>
          </cell>
          <cell r="D6002">
            <v>15.79</v>
          </cell>
          <cell r="E6002">
            <v>8.3000000000000007</v>
          </cell>
          <cell r="H6002">
            <v>45542</v>
          </cell>
          <cell r="I6002">
            <v>0.68555555555555547</v>
          </cell>
          <cell r="J6002">
            <v>19.675555555555555</v>
          </cell>
        </row>
        <row r="6003">
          <cell r="B6003">
            <v>22.1</v>
          </cell>
          <cell r="C6003">
            <v>50.63</v>
          </cell>
          <cell r="D6003">
            <v>15.64</v>
          </cell>
          <cell r="E6003">
            <v>8.0299999999999994</v>
          </cell>
          <cell r="H6003">
            <v>45542</v>
          </cell>
          <cell r="I6003">
            <v>0.6644444444444445</v>
          </cell>
          <cell r="J6003">
            <v>19.625555555555554</v>
          </cell>
        </row>
        <row r="6004">
          <cell r="B6004">
            <v>21.73</v>
          </cell>
          <cell r="C6004">
            <v>53.22</v>
          </cell>
          <cell r="D6004">
            <v>15.48</v>
          </cell>
          <cell r="E6004">
            <v>7.9</v>
          </cell>
          <cell r="H6004">
            <v>45542</v>
          </cell>
          <cell r="I6004">
            <v>0.64222222222222214</v>
          </cell>
          <cell r="J6004">
            <v>19.63111111111111</v>
          </cell>
        </row>
        <row r="6005">
          <cell r="B6005">
            <v>22.13</v>
          </cell>
          <cell r="C6005">
            <v>48.41</v>
          </cell>
          <cell r="D6005">
            <v>15.96</v>
          </cell>
          <cell r="E6005">
            <v>8.0500000000000007</v>
          </cell>
          <cell r="H6005">
            <v>45542</v>
          </cell>
          <cell r="I6005">
            <v>0.60555555555555562</v>
          </cell>
          <cell r="J6005">
            <v>19.771111111111111</v>
          </cell>
        </row>
        <row r="6006">
          <cell r="B6006">
            <v>21.92</v>
          </cell>
          <cell r="C6006">
            <v>47.57</v>
          </cell>
          <cell r="D6006">
            <v>16.12</v>
          </cell>
          <cell r="E6006">
            <v>8.16</v>
          </cell>
          <cell r="H6006">
            <v>45542</v>
          </cell>
          <cell r="I6006">
            <v>0.56666666666666665</v>
          </cell>
          <cell r="J6006">
            <v>19.976666666666667</v>
          </cell>
        </row>
        <row r="6007">
          <cell r="B6007">
            <v>22.9</v>
          </cell>
          <cell r="C6007">
            <v>47.4</v>
          </cell>
          <cell r="D6007">
            <v>15.56</v>
          </cell>
          <cell r="E6007">
            <v>8.2100000000000009</v>
          </cell>
          <cell r="H6007">
            <v>45542</v>
          </cell>
          <cell r="I6007">
            <v>0.53999999999999992</v>
          </cell>
          <cell r="J6007">
            <v>20.2</v>
          </cell>
        </row>
        <row r="6008">
          <cell r="B6008">
            <v>22.71</v>
          </cell>
          <cell r="C6008">
            <v>48.65</v>
          </cell>
          <cell r="D6008">
            <v>15.98</v>
          </cell>
          <cell r="E6008">
            <v>9</v>
          </cell>
          <cell r="H6008">
            <v>45542</v>
          </cell>
          <cell r="I6008">
            <v>0.53666666666666663</v>
          </cell>
          <cell r="J6008">
            <v>20.385555555555555</v>
          </cell>
        </row>
        <row r="6009">
          <cell r="B6009">
            <v>21.64</v>
          </cell>
          <cell r="C6009">
            <v>53.43</v>
          </cell>
          <cell r="D6009">
            <v>15.73</v>
          </cell>
          <cell r="E6009">
            <v>8.3800000000000008</v>
          </cell>
          <cell r="H6009">
            <v>45542</v>
          </cell>
          <cell r="I6009">
            <v>0.53444444444444439</v>
          </cell>
          <cell r="J6009">
            <v>20.391111111111112</v>
          </cell>
        </row>
        <row r="6010">
          <cell r="B6010">
            <v>23.91</v>
          </cell>
          <cell r="C6010">
            <v>58.61</v>
          </cell>
          <cell r="D6010">
            <v>14.47</v>
          </cell>
          <cell r="E6010">
            <v>8.2100000000000009</v>
          </cell>
          <cell r="H6010">
            <v>45542</v>
          </cell>
          <cell r="I6010">
            <v>0.5377777777777778</v>
          </cell>
          <cell r="J6010">
            <v>20.283333333333331</v>
          </cell>
        </row>
        <row r="6011">
          <cell r="B6011">
            <v>25.91</v>
          </cell>
          <cell r="C6011">
            <v>60.14</v>
          </cell>
          <cell r="D6011">
            <v>14.93</v>
          </cell>
          <cell r="E6011">
            <v>8.0299999999999994</v>
          </cell>
          <cell r="H6011">
            <v>45542</v>
          </cell>
          <cell r="I6011">
            <v>0.55111111111111111</v>
          </cell>
          <cell r="J6011">
            <v>20.188888888888886</v>
          </cell>
        </row>
        <row r="6012">
          <cell r="B6012">
            <v>24.21</v>
          </cell>
          <cell r="C6012">
            <v>57.08</v>
          </cell>
          <cell r="D6012">
            <v>15.16</v>
          </cell>
          <cell r="E6012">
            <v>7.87</v>
          </cell>
          <cell r="H6012">
            <v>45542</v>
          </cell>
          <cell r="I6012">
            <v>0.55999999999999994</v>
          </cell>
          <cell r="J6012">
            <v>20.158888888888885</v>
          </cell>
        </row>
        <row r="6013">
          <cell r="B6013">
            <v>23.04</v>
          </cell>
          <cell r="C6013">
            <v>55.34</v>
          </cell>
          <cell r="D6013">
            <v>14.9</v>
          </cell>
          <cell r="E6013">
            <v>8.36</v>
          </cell>
          <cell r="H6013">
            <v>45542</v>
          </cell>
          <cell r="I6013">
            <v>0.56777777777777783</v>
          </cell>
          <cell r="J6013">
            <v>20.203333333333333</v>
          </cell>
        </row>
        <row r="6014">
          <cell r="B6014">
            <v>21.87</v>
          </cell>
          <cell r="C6014">
            <v>55.25</v>
          </cell>
          <cell r="D6014">
            <v>15.13</v>
          </cell>
          <cell r="E6014">
            <v>8.19</v>
          </cell>
          <cell r="H6014">
            <v>45542</v>
          </cell>
          <cell r="I6014">
            <v>0.5788888888888889</v>
          </cell>
          <cell r="J6014">
            <v>20.085555555555555</v>
          </cell>
        </row>
        <row r="6015">
          <cell r="B6015">
            <v>20.73</v>
          </cell>
          <cell r="C6015">
            <v>54.33</v>
          </cell>
          <cell r="D6015">
            <v>14.87</v>
          </cell>
          <cell r="E6015">
            <v>8.26</v>
          </cell>
          <cell r="H6015">
            <v>45542</v>
          </cell>
          <cell r="I6015">
            <v>0.58666666666666667</v>
          </cell>
          <cell r="J6015">
            <v>20.095555555555556</v>
          </cell>
        </row>
        <row r="6016">
          <cell r="B6016">
            <v>20.89</v>
          </cell>
          <cell r="C6016">
            <v>52.03</v>
          </cell>
          <cell r="D6016">
            <v>14.89</v>
          </cell>
          <cell r="E6016">
            <v>8.35</v>
          </cell>
          <cell r="H6016">
            <v>45542</v>
          </cell>
          <cell r="I6016">
            <v>0.59222222222222221</v>
          </cell>
          <cell r="J6016">
            <v>20.094444444444449</v>
          </cell>
        </row>
        <row r="6017">
          <cell r="B6017">
            <v>19.02</v>
          </cell>
          <cell r="C6017">
            <v>49.31</v>
          </cell>
          <cell r="D6017">
            <v>15.21</v>
          </cell>
          <cell r="E6017">
            <v>8.25</v>
          </cell>
          <cell r="H6017">
            <v>45542</v>
          </cell>
          <cell r="I6017">
            <v>0.58444444444444443</v>
          </cell>
          <cell r="J6017">
            <v>20.172222222222224</v>
          </cell>
        </row>
        <row r="6018">
          <cell r="B6018">
            <v>18.86</v>
          </cell>
          <cell r="C6018">
            <v>46.49</v>
          </cell>
          <cell r="D6018">
            <v>14.89</v>
          </cell>
          <cell r="E6018">
            <v>8.27</v>
          </cell>
          <cell r="H6018">
            <v>45542</v>
          </cell>
          <cell r="I6018">
            <v>0.58333333333333326</v>
          </cell>
          <cell r="J6018">
            <v>20.346666666666668</v>
          </cell>
        </row>
        <row r="6019">
          <cell r="B6019">
            <v>18.32</v>
          </cell>
          <cell r="C6019">
            <v>44.67</v>
          </cell>
          <cell r="D6019">
            <v>15.07</v>
          </cell>
          <cell r="E6019">
            <v>8.44</v>
          </cell>
          <cell r="H6019">
            <v>45542</v>
          </cell>
          <cell r="I6019">
            <v>0.58666666666666656</v>
          </cell>
          <cell r="J6019">
            <v>20.521111111111114</v>
          </cell>
        </row>
        <row r="6020">
          <cell r="B6020">
            <v>16.989999999999998</v>
          </cell>
          <cell r="C6020">
            <v>43.38</v>
          </cell>
          <cell r="D6020">
            <v>15.47</v>
          </cell>
          <cell r="E6020">
            <v>8.48</v>
          </cell>
          <cell r="H6020">
            <v>45542</v>
          </cell>
          <cell r="I6020">
            <v>0.5955555555555555</v>
          </cell>
          <cell r="J6020">
            <v>20.522222222222226</v>
          </cell>
        </row>
        <row r="6021">
          <cell r="B6021">
            <v>17.940000000000001</v>
          </cell>
          <cell r="C6021">
            <v>45.64</v>
          </cell>
          <cell r="D6021">
            <v>15.93</v>
          </cell>
          <cell r="E6021">
            <v>8.24</v>
          </cell>
          <cell r="H6021">
            <v>45542</v>
          </cell>
          <cell r="I6021">
            <v>0.60555555555555551</v>
          </cell>
          <cell r="J6021">
            <v>20.408888888888889</v>
          </cell>
        </row>
        <row r="6022">
          <cell r="B6022">
            <v>19.12</v>
          </cell>
          <cell r="C6022">
            <v>46.72</v>
          </cell>
          <cell r="D6022">
            <v>15.46</v>
          </cell>
          <cell r="E6022">
            <v>8.18</v>
          </cell>
          <cell r="H6022">
            <v>45542</v>
          </cell>
          <cell r="I6022">
            <v>0.61777777777777787</v>
          </cell>
          <cell r="J6022">
            <v>20.231111111111108</v>
          </cell>
        </row>
        <row r="6023">
          <cell r="B6023">
            <v>19.7</v>
          </cell>
          <cell r="C6023">
            <v>47.86</v>
          </cell>
          <cell r="D6023">
            <v>15.31</v>
          </cell>
          <cell r="E6023">
            <v>8.25</v>
          </cell>
          <cell r="H6023">
            <v>45542</v>
          </cell>
          <cell r="I6023">
            <v>0.62444444444444436</v>
          </cell>
          <cell r="J6023">
            <v>20.027777777777779</v>
          </cell>
        </row>
        <row r="6024">
          <cell r="B6024">
            <v>20.11</v>
          </cell>
          <cell r="C6024">
            <v>47.05</v>
          </cell>
          <cell r="D6024">
            <v>15.38</v>
          </cell>
          <cell r="E6024">
            <v>8.61</v>
          </cell>
          <cell r="H6024">
            <v>45542</v>
          </cell>
          <cell r="I6024">
            <v>0.62888888888888894</v>
          </cell>
          <cell r="J6024">
            <v>19.717777777777776</v>
          </cell>
        </row>
        <row r="6025">
          <cell r="B6025">
            <v>19.45</v>
          </cell>
          <cell r="C6025">
            <v>45.6</v>
          </cell>
          <cell r="D6025">
            <v>14.82</v>
          </cell>
          <cell r="E6025">
            <v>8.58</v>
          </cell>
          <cell r="H6025">
            <v>45542</v>
          </cell>
          <cell r="I6025">
            <v>0.62555555555555564</v>
          </cell>
          <cell r="J6025">
            <v>19.515555555555554</v>
          </cell>
        </row>
        <row r="6026">
          <cell r="B6026">
            <v>17.7</v>
          </cell>
          <cell r="C6026">
            <v>44.48</v>
          </cell>
          <cell r="D6026">
            <v>14.56</v>
          </cell>
          <cell r="E6026">
            <v>8.26</v>
          </cell>
          <cell r="H6026">
            <v>45543</v>
          </cell>
          <cell r="I6026">
            <v>0.61888888888888893</v>
          </cell>
          <cell r="J6026">
            <v>19.295555555555559</v>
          </cell>
        </row>
        <row r="6027">
          <cell r="B6027">
            <v>17.38</v>
          </cell>
          <cell r="C6027">
            <v>41.92</v>
          </cell>
          <cell r="D6027">
            <v>14.45</v>
          </cell>
          <cell r="E6027">
            <v>8.02</v>
          </cell>
          <cell r="H6027">
            <v>45543</v>
          </cell>
          <cell r="I6027">
            <v>0.61111111111111116</v>
          </cell>
          <cell r="J6027">
            <v>19.205555555555556</v>
          </cell>
        </row>
        <row r="6028">
          <cell r="B6028">
            <v>16.03</v>
          </cell>
          <cell r="C6028">
            <v>40.49</v>
          </cell>
          <cell r="D6028">
            <v>14.15</v>
          </cell>
          <cell r="E6028">
            <v>7.77</v>
          </cell>
          <cell r="H6028">
            <v>45543</v>
          </cell>
          <cell r="I6028">
            <v>0.59777777777777763</v>
          </cell>
          <cell r="J6028">
            <v>19.131111111111114</v>
          </cell>
        </row>
        <row r="6029">
          <cell r="B6029">
            <v>15.52</v>
          </cell>
          <cell r="C6029">
            <v>39.96</v>
          </cell>
          <cell r="D6029">
            <v>14.74</v>
          </cell>
          <cell r="E6029">
            <v>7.89</v>
          </cell>
          <cell r="H6029">
            <v>45543</v>
          </cell>
          <cell r="I6029">
            <v>0.5788888888888889</v>
          </cell>
          <cell r="J6029">
            <v>19.257777777777779</v>
          </cell>
        </row>
        <row r="6030">
          <cell r="B6030">
            <v>15.7</v>
          </cell>
          <cell r="C6030">
            <v>38.909999999999997</v>
          </cell>
          <cell r="D6030">
            <v>14.27</v>
          </cell>
          <cell r="E6030">
            <v>7.52</v>
          </cell>
          <cell r="H6030">
            <v>45543</v>
          </cell>
          <cell r="I6030">
            <v>0.55777777777777771</v>
          </cell>
          <cell r="J6030">
            <v>19.258888888888887</v>
          </cell>
        </row>
        <row r="6031">
          <cell r="B6031">
            <v>16.29</v>
          </cell>
          <cell r="C6031">
            <v>38.409999999999997</v>
          </cell>
          <cell r="D6031">
            <v>14.13</v>
          </cell>
          <cell r="E6031">
            <v>7.71</v>
          </cell>
          <cell r="H6031">
            <v>45543</v>
          </cell>
          <cell r="I6031">
            <v>0.53888888888888886</v>
          </cell>
          <cell r="J6031">
            <v>19.217777777777776</v>
          </cell>
        </row>
        <row r="6032">
          <cell r="B6032">
            <v>17.7</v>
          </cell>
          <cell r="C6032">
            <v>40.33</v>
          </cell>
          <cell r="D6032">
            <v>14.54</v>
          </cell>
          <cell r="E6032">
            <v>7.77</v>
          </cell>
          <cell r="H6032">
            <v>45543</v>
          </cell>
          <cell r="I6032">
            <v>0.52555555555555555</v>
          </cell>
          <cell r="J6032">
            <v>19.219999999999995</v>
          </cell>
        </row>
        <row r="6033">
          <cell r="B6033">
            <v>16.53</v>
          </cell>
          <cell r="C6033">
            <v>41.68</v>
          </cell>
          <cell r="D6033">
            <v>14.79</v>
          </cell>
          <cell r="E6033">
            <v>7.94</v>
          </cell>
          <cell r="H6033">
            <v>45543</v>
          </cell>
          <cell r="I6033">
            <v>0.51666666666666672</v>
          </cell>
          <cell r="J6033">
            <v>19.207777777777778</v>
          </cell>
        </row>
        <row r="6034">
          <cell r="B6034">
            <v>15.96</v>
          </cell>
          <cell r="C6034">
            <v>43.98</v>
          </cell>
          <cell r="D6034">
            <v>14.53</v>
          </cell>
          <cell r="E6034">
            <v>7.94</v>
          </cell>
          <cell r="H6034">
            <v>45543</v>
          </cell>
          <cell r="I6034">
            <v>0.51888888888888884</v>
          </cell>
          <cell r="J6034">
            <v>19.152222222222221</v>
          </cell>
        </row>
        <row r="6035">
          <cell r="B6035">
            <v>16.27</v>
          </cell>
          <cell r="C6035">
            <v>45.5</v>
          </cell>
          <cell r="D6035">
            <v>14.56</v>
          </cell>
          <cell r="E6035">
            <v>7.74</v>
          </cell>
          <cell r="H6035">
            <v>45543</v>
          </cell>
          <cell r="I6035">
            <v>0.52555555555555555</v>
          </cell>
          <cell r="J6035">
            <v>19.115555555555559</v>
          </cell>
        </row>
        <row r="6036">
          <cell r="B6036">
            <v>16.59</v>
          </cell>
          <cell r="C6036">
            <v>46.57</v>
          </cell>
          <cell r="D6036">
            <v>14.7</v>
          </cell>
          <cell r="E6036">
            <v>7.61</v>
          </cell>
          <cell r="H6036">
            <v>45543</v>
          </cell>
          <cell r="I6036">
            <v>0.53333333333333333</v>
          </cell>
          <cell r="J6036">
            <v>19.083333333333336</v>
          </cell>
        </row>
        <row r="6037">
          <cell r="B6037">
            <v>16.93</v>
          </cell>
          <cell r="C6037">
            <v>46.57</v>
          </cell>
          <cell r="D6037">
            <v>14.87</v>
          </cell>
          <cell r="E6037">
            <v>7.93</v>
          </cell>
          <cell r="H6037">
            <v>45543</v>
          </cell>
          <cell r="I6037">
            <v>0.54222222222222227</v>
          </cell>
          <cell r="J6037">
            <v>19.20888888888889</v>
          </cell>
        </row>
        <row r="6038">
          <cell r="B6038">
            <v>16.84</v>
          </cell>
          <cell r="C6038">
            <v>46.7</v>
          </cell>
          <cell r="D6038">
            <v>14.66</v>
          </cell>
          <cell r="E6038">
            <v>7.87</v>
          </cell>
          <cell r="H6038">
            <v>45543</v>
          </cell>
          <cell r="I6038">
            <v>0.55222222222222217</v>
          </cell>
          <cell r="J6038">
            <v>19.251111111111111</v>
          </cell>
        </row>
        <row r="6039">
          <cell r="B6039">
            <v>16.91</v>
          </cell>
          <cell r="C6039">
            <v>48.91</v>
          </cell>
          <cell r="D6039">
            <v>14.66</v>
          </cell>
          <cell r="E6039">
            <v>7.86</v>
          </cell>
          <cell r="H6039">
            <v>45543</v>
          </cell>
          <cell r="I6039">
            <v>0.55666666666666664</v>
          </cell>
          <cell r="J6039">
            <v>19.415555555555557</v>
          </cell>
        </row>
        <row r="6040">
          <cell r="B6040">
            <v>18.91</v>
          </cell>
          <cell r="C6040">
            <v>43.45</v>
          </cell>
          <cell r="D6040">
            <v>14.99</v>
          </cell>
          <cell r="E6040">
            <v>8.2200000000000006</v>
          </cell>
          <cell r="H6040">
            <v>45543</v>
          </cell>
          <cell r="I6040">
            <v>0.56333333333333335</v>
          </cell>
          <cell r="J6040">
            <v>19.817777777777778</v>
          </cell>
        </row>
        <row r="6041">
          <cell r="B6041">
            <v>18.27</v>
          </cell>
          <cell r="C6041">
            <v>44.22</v>
          </cell>
          <cell r="D6041">
            <v>14.84</v>
          </cell>
          <cell r="E6041">
            <v>8.5</v>
          </cell>
          <cell r="H6041">
            <v>45543</v>
          </cell>
          <cell r="I6041">
            <v>0.56222222222222229</v>
          </cell>
          <cell r="J6041">
            <v>20.197777777777777</v>
          </cell>
        </row>
        <row r="6042">
          <cell r="B6042">
            <v>18</v>
          </cell>
          <cell r="C6042">
            <v>42.82</v>
          </cell>
          <cell r="D6042">
            <v>14.86</v>
          </cell>
          <cell r="E6042">
            <v>8.3699999999999992</v>
          </cell>
          <cell r="H6042">
            <v>45543</v>
          </cell>
          <cell r="I6042">
            <v>0.56333333333333324</v>
          </cell>
          <cell r="J6042">
            <v>20.554444444444446</v>
          </cell>
        </row>
        <row r="6043">
          <cell r="B6043">
            <v>16.010000000000002</v>
          </cell>
          <cell r="C6043">
            <v>39.21</v>
          </cell>
          <cell r="D6043">
            <v>14.8</v>
          </cell>
          <cell r="E6043">
            <v>8.36</v>
          </cell>
          <cell r="H6043">
            <v>45543</v>
          </cell>
          <cell r="I6043">
            <v>0.56000000000000005</v>
          </cell>
          <cell r="J6043">
            <v>20.87777777777778</v>
          </cell>
        </row>
        <row r="6044">
          <cell r="B6044">
            <v>15.58</v>
          </cell>
          <cell r="C6044">
            <v>38.44</v>
          </cell>
          <cell r="D6044">
            <v>15.22</v>
          </cell>
          <cell r="E6044">
            <v>8.5500000000000007</v>
          </cell>
          <cell r="H6044">
            <v>45543</v>
          </cell>
          <cell r="I6044">
            <v>0.55666666666666664</v>
          </cell>
          <cell r="J6044">
            <v>21.067777777777778</v>
          </cell>
        </row>
        <row r="6045">
          <cell r="B6045">
            <v>16.04</v>
          </cell>
          <cell r="C6045">
            <v>38.49</v>
          </cell>
          <cell r="D6045">
            <v>15.55</v>
          </cell>
          <cell r="E6045">
            <v>8.2200000000000006</v>
          </cell>
          <cell r="H6045">
            <v>45543</v>
          </cell>
          <cell r="I6045">
            <v>0.55444444444444452</v>
          </cell>
          <cell r="J6045">
            <v>21.124444444444446</v>
          </cell>
        </row>
        <row r="6046">
          <cell r="B6046">
            <v>17.100000000000001</v>
          </cell>
          <cell r="C6046">
            <v>39.729999999999997</v>
          </cell>
          <cell r="D6046">
            <v>14.93</v>
          </cell>
          <cell r="E6046">
            <v>8.31</v>
          </cell>
          <cell r="H6046">
            <v>45543</v>
          </cell>
          <cell r="I6046">
            <v>0.55444444444444452</v>
          </cell>
          <cell r="J6046">
            <v>20.993333333333332</v>
          </cell>
        </row>
        <row r="6047">
          <cell r="B6047">
            <v>17.79</v>
          </cell>
          <cell r="C6047">
            <v>40.53</v>
          </cell>
          <cell r="D6047">
            <v>15.67</v>
          </cell>
          <cell r="E6047">
            <v>7.88</v>
          </cell>
          <cell r="H6047">
            <v>45543</v>
          </cell>
          <cell r="I6047">
            <v>0.55222222222222217</v>
          </cell>
          <cell r="J6047">
            <v>20.848888888888887</v>
          </cell>
        </row>
        <row r="6048">
          <cell r="B6048">
            <v>17.760000000000002</v>
          </cell>
          <cell r="C6048">
            <v>42.25</v>
          </cell>
          <cell r="D6048">
            <v>15.31</v>
          </cell>
          <cell r="E6048">
            <v>8.52</v>
          </cell>
          <cell r="H6048">
            <v>45543</v>
          </cell>
          <cell r="I6048">
            <v>0.55333333333333323</v>
          </cell>
          <cell r="J6048">
            <v>20.831111111111113</v>
          </cell>
        </row>
        <row r="6049">
          <cell r="B6049">
            <v>18.21</v>
          </cell>
          <cell r="C6049">
            <v>40.36</v>
          </cell>
          <cell r="D6049">
            <v>14.85</v>
          </cell>
          <cell r="E6049">
            <v>8.16</v>
          </cell>
          <cell r="H6049">
            <v>45543</v>
          </cell>
          <cell r="I6049">
            <v>0.5477777777777777</v>
          </cell>
          <cell r="J6049">
            <v>20.662222222222223</v>
          </cell>
        </row>
        <row r="6050">
          <cell r="B6050">
            <v>17.760000000000002</v>
          </cell>
          <cell r="C6050">
            <v>46.14</v>
          </cell>
          <cell r="D6050">
            <v>14.55</v>
          </cell>
          <cell r="E6050">
            <v>8.08</v>
          </cell>
          <cell r="H6050">
            <v>45544</v>
          </cell>
          <cell r="I6050">
            <v>0.54444444444444451</v>
          </cell>
          <cell r="J6050">
            <v>20.39777777777778</v>
          </cell>
        </row>
        <row r="6051">
          <cell r="B6051">
            <v>17.190000000000001</v>
          </cell>
          <cell r="C6051">
            <v>45.98</v>
          </cell>
          <cell r="D6051">
            <v>14.76</v>
          </cell>
          <cell r="E6051">
            <v>7.77</v>
          </cell>
          <cell r="H6051">
            <v>45544</v>
          </cell>
          <cell r="I6051">
            <v>0.5444444444444444</v>
          </cell>
          <cell r="J6051">
            <v>20.180000000000003</v>
          </cell>
        </row>
        <row r="6052">
          <cell r="B6052">
            <v>16.170000000000002</v>
          </cell>
          <cell r="C6052">
            <v>41.42</v>
          </cell>
          <cell r="D6052">
            <v>14.4</v>
          </cell>
          <cell r="E6052">
            <v>7.47</v>
          </cell>
          <cell r="H6052">
            <v>45544</v>
          </cell>
          <cell r="I6052">
            <v>0.5477777777777777</v>
          </cell>
          <cell r="J6052">
            <v>19.904444444444447</v>
          </cell>
        </row>
        <row r="6053">
          <cell r="B6053">
            <v>16.88</v>
          </cell>
          <cell r="C6053">
            <v>38.75</v>
          </cell>
          <cell r="D6053">
            <v>14.78</v>
          </cell>
          <cell r="E6053">
            <v>7.17</v>
          </cell>
          <cell r="H6053">
            <v>45544</v>
          </cell>
          <cell r="I6053">
            <v>0.54888888888888887</v>
          </cell>
          <cell r="J6053">
            <v>19.783333333333331</v>
          </cell>
        </row>
        <row r="6054">
          <cell r="B6054">
            <v>16.5</v>
          </cell>
          <cell r="C6054">
            <v>36.97</v>
          </cell>
          <cell r="D6054">
            <v>14.77</v>
          </cell>
          <cell r="E6054">
            <v>7.55</v>
          </cell>
          <cell r="H6054">
            <v>45544</v>
          </cell>
          <cell r="I6054">
            <v>0.5477777777777777</v>
          </cell>
          <cell r="J6054">
            <v>19.776666666666664</v>
          </cell>
        </row>
        <row r="6055">
          <cell r="B6055">
            <v>17.489999999999998</v>
          </cell>
          <cell r="C6055">
            <v>37.42</v>
          </cell>
          <cell r="D6055">
            <v>14.45</v>
          </cell>
          <cell r="E6055">
            <v>8.02</v>
          </cell>
          <cell r="H6055">
            <v>45544</v>
          </cell>
          <cell r="I6055">
            <v>0.5477777777777777</v>
          </cell>
          <cell r="J6055">
            <v>19.821111111111112</v>
          </cell>
        </row>
        <row r="6056">
          <cell r="B6056">
            <v>17.41</v>
          </cell>
          <cell r="C6056">
            <v>36.71</v>
          </cell>
          <cell r="D6056">
            <v>15.02</v>
          </cell>
          <cell r="E6056">
            <v>7.96</v>
          </cell>
          <cell r="H6056">
            <v>45544</v>
          </cell>
          <cell r="I6056">
            <v>0.55222222222222228</v>
          </cell>
          <cell r="J6056">
            <v>19.836666666666666</v>
          </cell>
        </row>
        <row r="6057">
          <cell r="B6057">
            <v>17.489999999999998</v>
          </cell>
          <cell r="C6057">
            <v>43.68</v>
          </cell>
          <cell r="D6057">
            <v>15.28</v>
          </cell>
          <cell r="E6057">
            <v>7.98</v>
          </cell>
          <cell r="H6057">
            <v>45544</v>
          </cell>
          <cell r="I6057">
            <v>0.56111111111111123</v>
          </cell>
          <cell r="J6057">
            <v>19.64</v>
          </cell>
        </row>
        <row r="6058">
          <cell r="B6058">
            <v>19.61</v>
          </cell>
          <cell r="C6058">
            <v>46.31</v>
          </cell>
          <cell r="D6058">
            <v>15.16</v>
          </cell>
          <cell r="E6058">
            <v>8.1300000000000008</v>
          </cell>
          <cell r="H6058">
            <v>45544</v>
          </cell>
          <cell r="I6058">
            <v>0.57333333333333336</v>
          </cell>
          <cell r="J6058">
            <v>19.498888888888889</v>
          </cell>
        </row>
        <row r="6059">
          <cell r="B6059">
            <v>19.649999999999999</v>
          </cell>
          <cell r="C6059">
            <v>53.19</v>
          </cell>
          <cell r="D6059">
            <v>14.94</v>
          </cell>
          <cell r="E6059">
            <v>8.0500000000000007</v>
          </cell>
          <cell r="H6059">
            <v>45544</v>
          </cell>
          <cell r="I6059">
            <v>0.59222222222222221</v>
          </cell>
          <cell r="J6059">
            <v>19.446666666666669</v>
          </cell>
        </row>
        <row r="6060">
          <cell r="B6060">
            <v>19.71</v>
          </cell>
          <cell r="C6060">
            <v>52.57</v>
          </cell>
          <cell r="D6060">
            <v>14.65</v>
          </cell>
          <cell r="E6060">
            <v>8.33</v>
          </cell>
          <cell r="H6060">
            <v>45544</v>
          </cell>
          <cell r="I6060">
            <v>0.60111111111111115</v>
          </cell>
          <cell r="J6060">
            <v>19.434444444444445</v>
          </cell>
        </row>
        <row r="6061">
          <cell r="B6061">
            <v>21.1</v>
          </cell>
          <cell r="C6061">
            <v>52.82</v>
          </cell>
          <cell r="D6061">
            <v>15.9</v>
          </cell>
          <cell r="E6061">
            <v>9.0399999999999991</v>
          </cell>
          <cell r="H6061">
            <v>45544</v>
          </cell>
          <cell r="I6061">
            <v>0.60555555555555551</v>
          </cell>
          <cell r="J6061">
            <v>19.637777777777774</v>
          </cell>
        </row>
        <row r="6062">
          <cell r="B6062">
            <v>20.67</v>
          </cell>
          <cell r="C6062">
            <v>56.33</v>
          </cell>
          <cell r="D6062">
            <v>16.28</v>
          </cell>
          <cell r="E6062">
            <v>9.1</v>
          </cell>
          <cell r="H6062">
            <v>45544</v>
          </cell>
          <cell r="I6062">
            <v>0.60777777777777775</v>
          </cell>
          <cell r="J6062">
            <v>19.912222222222219</v>
          </cell>
        </row>
        <row r="6063">
          <cell r="B6063">
            <v>22.42</v>
          </cell>
          <cell r="C6063">
            <v>59.88</v>
          </cell>
          <cell r="D6063">
            <v>16.149999999999999</v>
          </cell>
          <cell r="E6063">
            <v>9.1199999999999992</v>
          </cell>
          <cell r="H6063">
            <v>45544</v>
          </cell>
          <cell r="I6063">
            <v>0.60888888888888892</v>
          </cell>
          <cell r="J6063">
            <v>20.147777777777776</v>
          </cell>
        </row>
        <row r="6064">
          <cell r="B6064">
            <v>19.489999999999998</v>
          </cell>
          <cell r="C6064">
            <v>56.13</v>
          </cell>
          <cell r="D6064">
            <v>16.12</v>
          </cell>
          <cell r="E6064">
            <v>9.36</v>
          </cell>
          <cell r="H6064">
            <v>45544</v>
          </cell>
          <cell r="I6064">
            <v>0.61</v>
          </cell>
          <cell r="J6064">
            <v>20.411111111111111</v>
          </cell>
        </row>
        <row r="6065">
          <cell r="B6065">
            <v>19.079999999999998</v>
          </cell>
          <cell r="C6065">
            <v>65.099999999999994</v>
          </cell>
          <cell r="D6065">
            <v>15.86</v>
          </cell>
          <cell r="E6065">
            <v>9.1300000000000008</v>
          </cell>
          <cell r="H6065">
            <v>45544</v>
          </cell>
          <cell r="I6065">
            <v>0.61</v>
          </cell>
          <cell r="J6065">
            <v>20.742222222222225</v>
          </cell>
        </row>
        <row r="6066">
          <cell r="B6066">
            <v>21.21</v>
          </cell>
          <cell r="C6066">
            <v>70.48</v>
          </cell>
          <cell r="D6066">
            <v>15.93</v>
          </cell>
          <cell r="E6066">
            <v>9.3699999999999992</v>
          </cell>
          <cell r="H6066">
            <v>45544</v>
          </cell>
          <cell r="I6066">
            <v>0.60777777777777786</v>
          </cell>
          <cell r="J6066">
            <v>21.099999999999998</v>
          </cell>
        </row>
        <row r="6067">
          <cell r="B6067">
            <v>22.6</v>
          </cell>
          <cell r="C6067">
            <v>55.44</v>
          </cell>
          <cell r="D6067">
            <v>15.89</v>
          </cell>
          <cell r="E6067">
            <v>9.02</v>
          </cell>
          <cell r="H6067">
            <v>45544</v>
          </cell>
          <cell r="I6067">
            <v>0.61</v>
          </cell>
          <cell r="J6067">
            <v>21.335555555555558</v>
          </cell>
        </row>
        <row r="6068">
          <cell r="B6068">
            <v>20.6</v>
          </cell>
          <cell r="C6068">
            <v>55.72</v>
          </cell>
          <cell r="D6068">
            <v>15.92</v>
          </cell>
          <cell r="E6068">
            <v>8.65</v>
          </cell>
          <cell r="H6068">
            <v>45544</v>
          </cell>
          <cell r="I6068">
            <v>0.61555555555555552</v>
          </cell>
          <cell r="J6068">
            <v>21.33</v>
          </cell>
        </row>
        <row r="6069">
          <cell r="B6069">
            <v>21.79</v>
          </cell>
          <cell r="C6069">
            <v>55.35</v>
          </cell>
          <cell r="D6069">
            <v>16.010000000000002</v>
          </cell>
          <cell r="E6069">
            <v>8.36</v>
          </cell>
          <cell r="H6069">
            <v>45544</v>
          </cell>
          <cell r="I6069">
            <v>0.62666666666666659</v>
          </cell>
          <cell r="J6069">
            <v>21.182222222222222</v>
          </cell>
        </row>
        <row r="6070">
          <cell r="B6070">
            <v>22.14</v>
          </cell>
          <cell r="C6070">
            <v>52.62</v>
          </cell>
          <cell r="D6070">
            <v>15.83</v>
          </cell>
          <cell r="E6070">
            <v>8.5399999999999991</v>
          </cell>
          <cell r="H6070">
            <v>45544</v>
          </cell>
          <cell r="I6070">
            <v>0.63555555555555543</v>
          </cell>
          <cell r="J6070">
            <v>20.828888888888891</v>
          </cell>
        </row>
        <row r="6071">
          <cell r="B6071">
            <v>21.76</v>
          </cell>
          <cell r="C6071">
            <v>50.37</v>
          </cell>
          <cell r="D6071">
            <v>15.48</v>
          </cell>
          <cell r="E6071">
            <v>8.51</v>
          </cell>
          <cell r="H6071">
            <v>45544</v>
          </cell>
          <cell r="I6071">
            <v>0.64555555555555555</v>
          </cell>
          <cell r="J6071">
            <v>20.345555555555553</v>
          </cell>
        </row>
        <row r="6072">
          <cell r="B6072">
            <v>19.48</v>
          </cell>
          <cell r="C6072">
            <v>46.36</v>
          </cell>
          <cell r="D6072">
            <v>15.2</v>
          </cell>
          <cell r="E6072">
            <v>8.36</v>
          </cell>
          <cell r="H6072">
            <v>45544</v>
          </cell>
          <cell r="I6072">
            <v>0.65555555555555545</v>
          </cell>
          <cell r="J6072">
            <v>19.882222222222222</v>
          </cell>
        </row>
        <row r="6073">
          <cell r="B6073">
            <v>17.760000000000002</v>
          </cell>
          <cell r="C6073">
            <v>42.26</v>
          </cell>
          <cell r="D6073">
            <v>15.11</v>
          </cell>
          <cell r="E6073">
            <v>8.25</v>
          </cell>
          <cell r="H6073">
            <v>45544</v>
          </cell>
          <cell r="I6073">
            <v>0.6644444444444445</v>
          </cell>
          <cell r="J6073">
            <v>19.48</v>
          </cell>
        </row>
        <row r="6074">
          <cell r="B6074">
            <v>16.66</v>
          </cell>
          <cell r="C6074">
            <v>45.95</v>
          </cell>
          <cell r="D6074">
            <v>14.1</v>
          </cell>
          <cell r="E6074">
            <v>8.24</v>
          </cell>
          <cell r="H6074">
            <v>45545</v>
          </cell>
          <cell r="I6074">
            <v>0.66555555555555557</v>
          </cell>
          <cell r="J6074">
            <v>19.100000000000001</v>
          </cell>
        </row>
        <row r="6075">
          <cell r="B6075">
            <v>15.55</v>
          </cell>
          <cell r="C6075">
            <v>71.91</v>
          </cell>
          <cell r="D6075">
            <v>14.6</v>
          </cell>
          <cell r="E6075">
            <v>8.07</v>
          </cell>
          <cell r="H6075">
            <v>45545</v>
          </cell>
          <cell r="I6075">
            <v>0.66111111111111109</v>
          </cell>
          <cell r="J6075">
            <v>18.766666666666666</v>
          </cell>
        </row>
        <row r="6076">
          <cell r="B6076">
            <v>17.600000000000001</v>
          </cell>
          <cell r="C6076">
            <v>45.27</v>
          </cell>
          <cell r="D6076">
            <v>14.55</v>
          </cell>
          <cell r="E6076">
            <v>8.1</v>
          </cell>
          <cell r="H6076">
            <v>45545</v>
          </cell>
          <cell r="I6076">
            <v>0.6544444444444445</v>
          </cell>
          <cell r="J6076">
            <v>18.437777777777775</v>
          </cell>
        </row>
        <row r="6077">
          <cell r="B6077">
            <v>17.22</v>
          </cell>
          <cell r="C6077">
            <v>39.85</v>
          </cell>
          <cell r="D6077">
            <v>14.92</v>
          </cell>
          <cell r="E6077">
            <v>7.9</v>
          </cell>
          <cell r="H6077">
            <v>45545</v>
          </cell>
          <cell r="I6077">
            <v>0.63888888888888884</v>
          </cell>
          <cell r="J6077">
            <v>18.479999999999997</v>
          </cell>
        </row>
        <row r="6078">
          <cell r="B6078">
            <v>16.07</v>
          </cell>
          <cell r="C6078">
            <v>42.58</v>
          </cell>
          <cell r="D6078">
            <v>15.17</v>
          </cell>
          <cell r="E6078">
            <v>8.0299999999999994</v>
          </cell>
          <cell r="H6078">
            <v>45545</v>
          </cell>
          <cell r="I6078">
            <v>0.62555555555555553</v>
          </cell>
          <cell r="J6078">
            <v>18.536666666666665</v>
          </cell>
        </row>
        <row r="6079">
          <cell r="B6079">
            <v>14.85</v>
          </cell>
          <cell r="C6079">
            <v>43.67</v>
          </cell>
          <cell r="D6079">
            <v>15.47</v>
          </cell>
          <cell r="E6079">
            <v>7.84</v>
          </cell>
          <cell r="H6079">
            <v>45545</v>
          </cell>
          <cell r="I6079">
            <v>0.61999999999999988</v>
          </cell>
          <cell r="J6079">
            <v>18.611111111111111</v>
          </cell>
        </row>
        <row r="6080">
          <cell r="B6080">
            <v>17.46</v>
          </cell>
          <cell r="C6080">
            <v>44.31</v>
          </cell>
          <cell r="D6080">
            <v>14.84</v>
          </cell>
          <cell r="E6080">
            <v>8.14</v>
          </cell>
          <cell r="H6080">
            <v>45545</v>
          </cell>
          <cell r="I6080">
            <v>0.61222222222222211</v>
          </cell>
          <cell r="J6080">
            <v>18.565555555555555</v>
          </cell>
        </row>
        <row r="6081">
          <cell r="B6081">
            <v>17.53</v>
          </cell>
          <cell r="C6081">
            <v>47</v>
          </cell>
          <cell r="D6081">
            <v>15.41</v>
          </cell>
          <cell r="E6081">
            <v>8.14</v>
          </cell>
          <cell r="H6081">
            <v>45545</v>
          </cell>
          <cell r="I6081">
            <v>0.61111111111111116</v>
          </cell>
          <cell r="J6081">
            <v>18.495555555555555</v>
          </cell>
        </row>
        <row r="6082">
          <cell r="B6082">
            <v>17.09</v>
          </cell>
          <cell r="C6082">
            <v>49.48</v>
          </cell>
          <cell r="D6082">
            <v>15.05</v>
          </cell>
          <cell r="E6082">
            <v>8.17</v>
          </cell>
          <cell r="H6082">
            <v>45545</v>
          </cell>
          <cell r="I6082">
            <v>0.61444444444444446</v>
          </cell>
          <cell r="J6082">
            <v>18.346666666666668</v>
          </cell>
        </row>
        <row r="6083">
          <cell r="B6083">
            <v>17.239999999999998</v>
          </cell>
          <cell r="C6083">
            <v>51.74</v>
          </cell>
          <cell r="D6083">
            <v>15.18</v>
          </cell>
          <cell r="E6083">
            <v>8.0299999999999994</v>
          </cell>
          <cell r="H6083">
            <v>45545</v>
          </cell>
          <cell r="I6083">
            <v>0.61777777777777787</v>
          </cell>
          <cell r="J6083">
            <v>18.227777777777778</v>
          </cell>
        </row>
        <row r="6084">
          <cell r="B6084">
            <v>16.940000000000001</v>
          </cell>
          <cell r="C6084">
            <v>54.48</v>
          </cell>
          <cell r="D6084">
            <v>15.1</v>
          </cell>
          <cell r="E6084">
            <v>7.96</v>
          </cell>
          <cell r="H6084">
            <v>45545</v>
          </cell>
          <cell r="I6084">
            <v>0.62333333333333341</v>
          </cell>
          <cell r="J6084">
            <v>18.233333333333334</v>
          </cell>
        </row>
        <row r="6085">
          <cell r="B6085">
            <v>17.579999999999998</v>
          </cell>
          <cell r="C6085">
            <v>57.26</v>
          </cell>
          <cell r="D6085">
            <v>15.86</v>
          </cell>
          <cell r="E6085">
            <v>7.52</v>
          </cell>
          <cell r="H6085">
            <v>45545</v>
          </cell>
          <cell r="I6085">
            <v>0.62444444444444447</v>
          </cell>
          <cell r="J6085">
            <v>18.440000000000001</v>
          </cell>
        </row>
        <row r="6086">
          <cell r="B6086">
            <v>15.92</v>
          </cell>
          <cell r="C6086">
            <v>56.33</v>
          </cell>
          <cell r="D6086">
            <v>16.329999999999998</v>
          </cell>
          <cell r="E6086">
            <v>7.46</v>
          </cell>
          <cell r="H6086">
            <v>45545</v>
          </cell>
          <cell r="I6086">
            <v>0.62777777777777766</v>
          </cell>
          <cell r="J6086">
            <v>18.552222222222227</v>
          </cell>
        </row>
        <row r="6087">
          <cell r="B6087">
            <v>17.88</v>
          </cell>
          <cell r="C6087">
            <v>59.58</v>
          </cell>
          <cell r="D6087">
            <v>16.190000000000001</v>
          </cell>
          <cell r="E6087">
            <v>8.1300000000000008</v>
          </cell>
          <cell r="H6087">
            <v>45545</v>
          </cell>
          <cell r="I6087">
            <v>0.62666666666666659</v>
          </cell>
          <cell r="J6087">
            <v>18.987777777777783</v>
          </cell>
        </row>
        <row r="6088">
          <cell r="B6088">
            <v>20.420000000000002</v>
          </cell>
          <cell r="C6088">
            <v>64.86</v>
          </cell>
          <cell r="D6088">
            <v>14.87</v>
          </cell>
          <cell r="E6088">
            <v>8.64</v>
          </cell>
          <cell r="H6088">
            <v>45545</v>
          </cell>
          <cell r="I6088">
            <v>0.62666666666666659</v>
          </cell>
          <cell r="J6088">
            <v>19.550000000000004</v>
          </cell>
        </row>
        <row r="6089">
          <cell r="B6089">
            <v>22.23</v>
          </cell>
          <cell r="C6089">
            <v>62.7</v>
          </cell>
          <cell r="D6089">
            <v>14.98</v>
          </cell>
          <cell r="E6089">
            <v>8.26</v>
          </cell>
          <cell r="H6089">
            <v>45545</v>
          </cell>
          <cell r="I6089">
            <v>0.63555555555555554</v>
          </cell>
          <cell r="J6089">
            <v>20.143333333333331</v>
          </cell>
        </row>
        <row r="6090">
          <cell r="B6090">
            <v>21.15</v>
          </cell>
          <cell r="C6090">
            <v>59.37</v>
          </cell>
          <cell r="D6090">
            <v>14.54</v>
          </cell>
          <cell r="E6090">
            <v>8.18</v>
          </cell>
          <cell r="H6090">
            <v>45545</v>
          </cell>
          <cell r="I6090">
            <v>0.63777777777777778</v>
          </cell>
          <cell r="J6090">
            <v>20.919999999999998</v>
          </cell>
        </row>
        <row r="6091">
          <cell r="B6091">
            <v>19.350000000000001</v>
          </cell>
          <cell r="C6091">
            <v>53.12</v>
          </cell>
          <cell r="D6091">
            <v>14.62</v>
          </cell>
          <cell r="E6091">
            <v>7.64</v>
          </cell>
          <cell r="H6091">
            <v>45545</v>
          </cell>
          <cell r="I6091">
            <v>0.63777777777777778</v>
          </cell>
          <cell r="J6091">
            <v>21.594444444444445</v>
          </cell>
        </row>
        <row r="6092">
          <cell r="B6092">
            <v>20.67</v>
          </cell>
          <cell r="C6092">
            <v>54.1</v>
          </cell>
          <cell r="D6092">
            <v>14.93</v>
          </cell>
          <cell r="E6092">
            <v>7.89</v>
          </cell>
          <cell r="H6092">
            <v>45545</v>
          </cell>
          <cell r="I6092">
            <v>0.65333333333333332</v>
          </cell>
          <cell r="J6092">
            <v>21.982222222222219</v>
          </cell>
        </row>
        <row r="6093">
          <cell r="B6093">
            <v>22.81</v>
          </cell>
          <cell r="C6093">
            <v>49.62</v>
          </cell>
          <cell r="D6093">
            <v>14.84</v>
          </cell>
          <cell r="E6093">
            <v>7.91</v>
          </cell>
          <cell r="H6093">
            <v>45545</v>
          </cell>
          <cell r="I6093">
            <v>0.6711111111111111</v>
          </cell>
          <cell r="J6093">
            <v>21.931111111111115</v>
          </cell>
        </row>
        <row r="6094">
          <cell r="B6094">
            <v>20.04</v>
          </cell>
          <cell r="C6094">
            <v>38.33</v>
          </cell>
          <cell r="D6094">
            <v>15.17</v>
          </cell>
          <cell r="E6094">
            <v>8.0299999999999994</v>
          </cell>
          <cell r="H6094">
            <v>45545</v>
          </cell>
          <cell r="I6094">
            <v>0.68666666666666676</v>
          </cell>
          <cell r="J6094">
            <v>21.614444444444448</v>
          </cell>
        </row>
        <row r="6095">
          <cell r="B6095">
            <v>22.05</v>
          </cell>
          <cell r="C6095">
            <v>41.38</v>
          </cell>
          <cell r="D6095">
            <v>14.52</v>
          </cell>
          <cell r="E6095">
            <v>8.07</v>
          </cell>
          <cell r="H6095">
            <v>45545</v>
          </cell>
          <cell r="I6095">
            <v>0.69666666666666666</v>
          </cell>
          <cell r="J6095">
            <v>21.321111111111112</v>
          </cell>
        </row>
        <row r="6096">
          <cell r="B6096">
            <v>19.809999999999999</v>
          </cell>
          <cell r="C6096">
            <v>45.14</v>
          </cell>
          <cell r="D6096">
            <v>14.41</v>
          </cell>
          <cell r="E6096">
            <v>8.07</v>
          </cell>
          <cell r="H6096">
            <v>45545</v>
          </cell>
          <cell r="I6096">
            <v>0.70222222222222219</v>
          </cell>
          <cell r="J6096">
            <v>20.742222222222225</v>
          </cell>
        </row>
        <row r="6097">
          <cell r="B6097">
            <v>18.920000000000002</v>
          </cell>
          <cell r="C6097">
            <v>44.32</v>
          </cell>
          <cell r="D6097">
            <v>14.28</v>
          </cell>
          <cell r="E6097">
            <v>7.69</v>
          </cell>
          <cell r="H6097">
            <v>45545</v>
          </cell>
          <cell r="I6097">
            <v>0.69777777777777783</v>
          </cell>
          <cell r="J6097">
            <v>20.124444444444446</v>
          </cell>
        </row>
        <row r="6098">
          <cell r="B6098">
            <v>18.16</v>
          </cell>
          <cell r="C6098">
            <v>42.84</v>
          </cell>
          <cell r="D6098">
            <v>13.94</v>
          </cell>
          <cell r="E6098">
            <v>7.71</v>
          </cell>
          <cell r="H6098">
            <v>45546</v>
          </cell>
          <cell r="I6098">
            <v>0.68777777777777782</v>
          </cell>
          <cell r="J6098">
            <v>19.625555555555554</v>
          </cell>
        </row>
        <row r="6099">
          <cell r="B6099">
            <v>18.57</v>
          </cell>
          <cell r="C6099">
            <v>45.14</v>
          </cell>
          <cell r="D6099">
            <v>13.86</v>
          </cell>
          <cell r="E6099">
            <v>7.77</v>
          </cell>
          <cell r="H6099">
            <v>45546</v>
          </cell>
          <cell r="I6099">
            <v>0.68222222222222217</v>
          </cell>
          <cell r="J6099">
            <v>18.899999999999999</v>
          </cell>
        </row>
        <row r="6100">
          <cell r="B6100">
            <v>21.23</v>
          </cell>
          <cell r="C6100">
            <v>45.19</v>
          </cell>
          <cell r="D6100">
            <v>14.06</v>
          </cell>
          <cell r="E6100">
            <v>8.02</v>
          </cell>
          <cell r="H6100">
            <v>45546</v>
          </cell>
          <cell r="I6100">
            <v>0.67444444444444451</v>
          </cell>
          <cell r="J6100">
            <v>18.28</v>
          </cell>
        </row>
        <row r="6101">
          <cell r="B6101">
            <v>21.4</v>
          </cell>
          <cell r="C6101">
            <v>43.57</v>
          </cell>
          <cell r="D6101">
            <v>14.4</v>
          </cell>
          <cell r="E6101">
            <v>8.24</v>
          </cell>
          <cell r="H6101">
            <v>45546</v>
          </cell>
          <cell r="I6101">
            <v>0.65888888888888897</v>
          </cell>
          <cell r="J6101">
            <v>18.012222222222224</v>
          </cell>
        </row>
        <row r="6102">
          <cell r="B6102">
            <v>20.92</v>
          </cell>
          <cell r="C6102">
            <v>43.35</v>
          </cell>
          <cell r="D6102">
            <v>14.21</v>
          </cell>
          <cell r="E6102">
            <v>8.34</v>
          </cell>
          <cell r="H6102">
            <v>45546</v>
          </cell>
          <cell r="I6102">
            <v>0.64555555555555566</v>
          </cell>
          <cell r="J6102">
            <v>18.101111111111109</v>
          </cell>
        </row>
        <row r="6103">
          <cell r="B6103">
            <v>21.52</v>
          </cell>
          <cell r="C6103">
            <v>44.39</v>
          </cell>
          <cell r="D6103">
            <v>14.13</v>
          </cell>
          <cell r="E6103">
            <v>8.11</v>
          </cell>
          <cell r="H6103">
            <v>45546</v>
          </cell>
          <cell r="I6103">
            <v>0.64222222222222225</v>
          </cell>
          <cell r="J6103">
            <v>18.261111111111113</v>
          </cell>
        </row>
        <row r="6104">
          <cell r="B6104">
            <v>21.02</v>
          </cell>
          <cell r="C6104">
            <v>43.06</v>
          </cell>
          <cell r="D6104">
            <v>13.9</v>
          </cell>
          <cell r="E6104">
            <v>8.14</v>
          </cell>
          <cell r="H6104">
            <v>45546</v>
          </cell>
          <cell r="I6104">
            <v>0.64333333333333331</v>
          </cell>
          <cell r="J6104">
            <v>18.408888888888889</v>
          </cell>
        </row>
        <row r="6105">
          <cell r="B6105">
            <v>22.1</v>
          </cell>
          <cell r="C6105">
            <v>49.35</v>
          </cell>
          <cell r="D6105">
            <v>14.15</v>
          </cell>
          <cell r="E6105">
            <v>8.0399999999999991</v>
          </cell>
          <cell r="H6105">
            <v>45546</v>
          </cell>
          <cell r="I6105">
            <v>0.65111111111111108</v>
          </cell>
          <cell r="J6105">
            <v>18.585555555555558</v>
          </cell>
        </row>
        <row r="6106">
          <cell r="B6106">
            <v>22.2</v>
          </cell>
          <cell r="C6106">
            <v>51.05</v>
          </cell>
          <cell r="D6106">
            <v>14.11</v>
          </cell>
          <cell r="E6106">
            <v>8.08</v>
          </cell>
          <cell r="H6106">
            <v>45546</v>
          </cell>
          <cell r="I6106">
            <v>0.66555555555555546</v>
          </cell>
          <cell r="J6106">
            <v>18.616666666666667</v>
          </cell>
        </row>
        <row r="6107">
          <cell r="B6107">
            <v>21.22</v>
          </cell>
          <cell r="C6107">
            <v>51.36</v>
          </cell>
          <cell r="D6107">
            <v>14.15</v>
          </cell>
          <cell r="E6107">
            <v>7.48</v>
          </cell>
          <cell r="H6107">
            <v>45546</v>
          </cell>
          <cell r="I6107">
            <v>0.67999999999999994</v>
          </cell>
          <cell r="J6107">
            <v>18.665555555555553</v>
          </cell>
        </row>
        <row r="6108">
          <cell r="B6108">
            <v>20.239999999999998</v>
          </cell>
          <cell r="C6108">
            <v>51.68</v>
          </cell>
          <cell r="D6108">
            <v>14.73</v>
          </cell>
          <cell r="E6108">
            <v>7.66</v>
          </cell>
          <cell r="H6108">
            <v>45546</v>
          </cell>
          <cell r="I6108">
            <v>0.68555555555555547</v>
          </cell>
          <cell r="J6108">
            <v>18.878888888888888</v>
          </cell>
        </row>
        <row r="6109">
          <cell r="B6109">
            <v>19.62</v>
          </cell>
          <cell r="C6109">
            <v>53.37</v>
          </cell>
          <cell r="D6109">
            <v>15.43</v>
          </cell>
          <cell r="E6109">
            <v>7.81</v>
          </cell>
          <cell r="H6109">
            <v>45546</v>
          </cell>
          <cell r="I6109">
            <v>0.68666666666666654</v>
          </cell>
          <cell r="J6109">
            <v>19.201111111111107</v>
          </cell>
        </row>
        <row r="6110">
          <cell r="B6110">
            <v>21.14</v>
          </cell>
          <cell r="C6110">
            <v>53.78</v>
          </cell>
          <cell r="D6110">
            <v>14.84</v>
          </cell>
          <cell r="E6110">
            <v>7.04</v>
          </cell>
          <cell r="H6110">
            <v>45546</v>
          </cell>
          <cell r="I6110">
            <v>0.68666666666666665</v>
          </cell>
          <cell r="J6110">
            <v>19.412222222222219</v>
          </cell>
        </row>
        <row r="6111">
          <cell r="B6111">
            <v>19.920000000000002</v>
          </cell>
          <cell r="C6111">
            <v>50.45</v>
          </cell>
          <cell r="D6111">
            <v>14.29</v>
          </cell>
          <cell r="E6111">
            <v>7.5</v>
          </cell>
          <cell r="H6111">
            <v>45546</v>
          </cell>
          <cell r="I6111">
            <v>0.69111111111111112</v>
          </cell>
          <cell r="J6111">
            <v>19.617777777777778</v>
          </cell>
        </row>
        <row r="6112">
          <cell r="B6112">
            <v>18.72</v>
          </cell>
          <cell r="C6112">
            <v>51.21</v>
          </cell>
          <cell r="D6112">
            <v>15.55</v>
          </cell>
          <cell r="E6112">
            <v>7.85</v>
          </cell>
          <cell r="H6112">
            <v>45546</v>
          </cell>
          <cell r="I6112">
            <v>0.69333333333333336</v>
          </cell>
          <cell r="J6112">
            <v>19.85222222222222</v>
          </cell>
        </row>
        <row r="6113">
          <cell r="B6113">
            <v>18.59</v>
          </cell>
          <cell r="C6113">
            <v>51.12</v>
          </cell>
          <cell r="D6113">
            <v>15.29</v>
          </cell>
          <cell r="E6113">
            <v>8.23</v>
          </cell>
          <cell r="H6113">
            <v>45546</v>
          </cell>
          <cell r="I6113">
            <v>0.7022222222222223</v>
          </cell>
          <cell r="J6113">
            <v>20.181111111111111</v>
          </cell>
        </row>
        <row r="6114">
          <cell r="B6114">
            <v>20.29</v>
          </cell>
          <cell r="C6114">
            <v>55.74</v>
          </cell>
          <cell r="D6114">
            <v>15.44</v>
          </cell>
          <cell r="E6114">
            <v>7.91</v>
          </cell>
          <cell r="H6114">
            <v>45546</v>
          </cell>
          <cell r="I6114">
            <v>0.7122222222222222</v>
          </cell>
          <cell r="J6114">
            <v>20.45888888888889</v>
          </cell>
        </row>
        <row r="6115">
          <cell r="B6115">
            <v>23.4</v>
          </cell>
          <cell r="C6115">
            <v>66.25</v>
          </cell>
          <cell r="D6115">
            <v>15.69</v>
          </cell>
          <cell r="E6115">
            <v>8.16</v>
          </cell>
          <cell r="H6115">
            <v>45546</v>
          </cell>
          <cell r="I6115">
            <v>0.72111111111111104</v>
          </cell>
          <cell r="J6115">
            <v>20.734444444444446</v>
          </cell>
        </row>
        <row r="6116">
          <cell r="B6116">
            <v>25.7</v>
          </cell>
          <cell r="C6116">
            <v>67.78</v>
          </cell>
          <cell r="D6116">
            <v>16.11</v>
          </cell>
          <cell r="E6116">
            <v>8.32</v>
          </cell>
          <cell r="H6116">
            <v>45546</v>
          </cell>
          <cell r="I6116">
            <v>0.73555555555555552</v>
          </cell>
          <cell r="J6116">
            <v>20.965555555555554</v>
          </cell>
        </row>
        <row r="6117">
          <cell r="B6117">
            <v>23.84</v>
          </cell>
          <cell r="C6117">
            <v>61.11</v>
          </cell>
          <cell r="D6117">
            <v>16.329999999999998</v>
          </cell>
          <cell r="E6117">
            <v>8.17</v>
          </cell>
          <cell r="H6117">
            <v>45546</v>
          </cell>
          <cell r="I6117">
            <v>0.76222222222222213</v>
          </cell>
          <cell r="J6117">
            <v>20.955555555555556</v>
          </cell>
        </row>
        <row r="6118">
          <cell r="B6118">
            <v>26.08</v>
          </cell>
          <cell r="C6118">
            <v>62.57</v>
          </cell>
          <cell r="D6118">
            <v>16.47</v>
          </cell>
          <cell r="E6118">
            <v>8.09</v>
          </cell>
          <cell r="H6118">
            <v>45546</v>
          </cell>
          <cell r="I6118">
            <v>0.7911111111111111</v>
          </cell>
          <cell r="J6118">
            <v>20.783333333333335</v>
          </cell>
        </row>
        <row r="6119">
          <cell r="B6119">
            <v>26.63</v>
          </cell>
          <cell r="C6119">
            <v>62.95</v>
          </cell>
          <cell r="D6119">
            <v>16.45</v>
          </cell>
          <cell r="E6119">
            <v>7.84</v>
          </cell>
          <cell r="H6119">
            <v>45546</v>
          </cell>
          <cell r="I6119">
            <v>0.80777777777777771</v>
          </cell>
          <cell r="J6119">
            <v>20.564444444444447</v>
          </cell>
        </row>
        <row r="6120">
          <cell r="B6120">
            <v>25.6</v>
          </cell>
          <cell r="C6120">
            <v>58.7</v>
          </cell>
          <cell r="D6120">
            <v>15.53</v>
          </cell>
          <cell r="E6120">
            <v>8.16</v>
          </cell>
          <cell r="H6120">
            <v>45546</v>
          </cell>
          <cell r="I6120">
            <v>0.81</v>
          </cell>
          <cell r="J6120">
            <v>20.403333333333332</v>
          </cell>
        </row>
        <row r="6121">
          <cell r="B6121">
            <v>25.72</v>
          </cell>
          <cell r="C6121">
            <v>55.52</v>
          </cell>
          <cell r="D6121">
            <v>15.3</v>
          </cell>
          <cell r="E6121">
            <v>8.11</v>
          </cell>
          <cell r="H6121">
            <v>45546</v>
          </cell>
          <cell r="I6121">
            <v>0.80555555555555558</v>
          </cell>
          <cell r="J6121">
            <v>20.258888888888887</v>
          </cell>
        </row>
        <row r="6122">
          <cell r="B6122">
            <v>26.09</v>
          </cell>
          <cell r="C6122">
            <v>55.42</v>
          </cell>
          <cell r="D6122">
            <v>14.86</v>
          </cell>
          <cell r="E6122">
            <v>8.15</v>
          </cell>
          <cell r="H6122">
            <v>45547</v>
          </cell>
          <cell r="I6122">
            <v>0.79111111111111121</v>
          </cell>
          <cell r="J6122">
            <v>20.012222222222221</v>
          </cell>
        </row>
        <row r="6123">
          <cell r="B6123">
            <v>25.02</v>
          </cell>
          <cell r="C6123">
            <v>54.18</v>
          </cell>
          <cell r="D6123">
            <v>14.58</v>
          </cell>
          <cell r="E6123">
            <v>8.4700000000000006</v>
          </cell>
          <cell r="H6123">
            <v>45547</v>
          </cell>
          <cell r="I6123">
            <v>0.77666666666666673</v>
          </cell>
          <cell r="J6123">
            <v>19.826666666666664</v>
          </cell>
        </row>
        <row r="6124">
          <cell r="B6124">
            <v>24.7</v>
          </cell>
          <cell r="C6124">
            <v>50.4</v>
          </cell>
          <cell r="D6124">
            <v>14.41</v>
          </cell>
          <cell r="E6124">
            <v>8.57</v>
          </cell>
          <cell r="H6124">
            <v>45547</v>
          </cell>
          <cell r="I6124">
            <v>0.76777777777777767</v>
          </cell>
          <cell r="J6124">
            <v>19.714444444444446</v>
          </cell>
        </row>
        <row r="6125">
          <cell r="B6125">
            <v>24.55</v>
          </cell>
          <cell r="C6125">
            <v>48.51</v>
          </cell>
          <cell r="D6125">
            <v>15.4</v>
          </cell>
          <cell r="E6125">
            <v>8.1999999999999993</v>
          </cell>
          <cell r="H6125">
            <v>45547</v>
          </cell>
          <cell r="I6125">
            <v>0.75111111111111106</v>
          </cell>
          <cell r="J6125">
            <v>19.667777777777776</v>
          </cell>
        </row>
        <row r="6126">
          <cell r="B6126">
            <v>24.52</v>
          </cell>
          <cell r="C6126">
            <v>50.14</v>
          </cell>
          <cell r="D6126">
            <v>14.65</v>
          </cell>
          <cell r="E6126">
            <v>8.61</v>
          </cell>
          <cell r="H6126">
            <v>45547</v>
          </cell>
          <cell r="I6126">
            <v>0.72444444444444445</v>
          </cell>
          <cell r="J6126">
            <v>19.787777777777777</v>
          </cell>
        </row>
        <row r="6127">
          <cell r="B6127">
            <v>22.51</v>
          </cell>
          <cell r="C6127">
            <v>49.79</v>
          </cell>
          <cell r="D6127">
            <v>14.58</v>
          </cell>
          <cell r="E6127">
            <v>8.16</v>
          </cell>
          <cell r="H6127">
            <v>45547</v>
          </cell>
          <cell r="I6127">
            <v>0.7</v>
          </cell>
          <cell r="J6127">
            <v>19.96222222222222</v>
          </cell>
        </row>
        <row r="6128">
          <cell r="B6128">
            <v>21.38</v>
          </cell>
          <cell r="C6128">
            <v>47.1</v>
          </cell>
          <cell r="D6128">
            <v>14.71</v>
          </cell>
          <cell r="E6128">
            <v>8.19</v>
          </cell>
          <cell r="H6128">
            <v>45547</v>
          </cell>
          <cell r="I6128">
            <v>0.68444444444444441</v>
          </cell>
          <cell r="J6128">
            <v>19.972222222222221</v>
          </cell>
        </row>
        <row r="6129">
          <cell r="B6129">
            <v>22.53</v>
          </cell>
          <cell r="C6129">
            <v>48.96</v>
          </cell>
          <cell r="D6129">
            <v>15.07</v>
          </cell>
          <cell r="E6129">
            <v>7.96</v>
          </cell>
          <cell r="H6129">
            <v>45547</v>
          </cell>
          <cell r="I6129">
            <v>0.6777777777777777</v>
          </cell>
          <cell r="J6129">
            <v>20.11</v>
          </cell>
        </row>
        <row r="6130">
          <cell r="B6130">
            <v>21.79</v>
          </cell>
          <cell r="C6130">
            <v>49.44</v>
          </cell>
          <cell r="D6130">
            <v>15.19</v>
          </cell>
          <cell r="E6130">
            <v>7.57</v>
          </cell>
          <cell r="H6130">
            <v>45547</v>
          </cell>
          <cell r="I6130">
            <v>0.68444444444444441</v>
          </cell>
          <cell r="J6130">
            <v>20.243333333333332</v>
          </cell>
        </row>
        <row r="6131">
          <cell r="B6131">
            <v>21.12</v>
          </cell>
          <cell r="C6131">
            <v>49.84</v>
          </cell>
          <cell r="D6131">
            <v>15.09</v>
          </cell>
          <cell r="E6131">
            <v>8.1999999999999993</v>
          </cell>
          <cell r="H6131">
            <v>45547</v>
          </cell>
          <cell r="I6131">
            <v>0.69444444444444442</v>
          </cell>
          <cell r="J6131">
            <v>20.46</v>
          </cell>
        </row>
        <row r="6132">
          <cell r="B6132">
            <v>21.62</v>
          </cell>
          <cell r="C6132">
            <v>51.02</v>
          </cell>
          <cell r="D6132">
            <v>14.81</v>
          </cell>
          <cell r="E6132">
            <v>9.19</v>
          </cell>
          <cell r="H6132">
            <v>45547</v>
          </cell>
          <cell r="I6132">
            <v>0.70333333333333337</v>
          </cell>
          <cell r="J6132">
            <v>20.754444444444445</v>
          </cell>
        </row>
        <row r="6133">
          <cell r="B6133">
            <v>21.98</v>
          </cell>
          <cell r="C6133">
            <v>53.43</v>
          </cell>
          <cell r="D6133">
            <v>16.41</v>
          </cell>
          <cell r="E6133">
            <v>9.02</v>
          </cell>
          <cell r="H6133">
            <v>45547</v>
          </cell>
          <cell r="I6133">
            <v>0.70000000000000007</v>
          </cell>
          <cell r="J6133">
            <v>21.141111111111112</v>
          </cell>
        </row>
        <row r="6134">
          <cell r="B6134">
            <v>17.63</v>
          </cell>
          <cell r="C6134">
            <v>52.37</v>
          </cell>
          <cell r="D6134">
            <v>16.03</v>
          </cell>
          <cell r="E6134">
            <v>9.16</v>
          </cell>
          <cell r="H6134">
            <v>45547</v>
          </cell>
          <cell r="I6134">
            <v>0.69777777777777772</v>
          </cell>
          <cell r="J6134">
            <v>21.428888888888888</v>
          </cell>
        </row>
        <row r="6135">
          <cell r="B6135">
            <v>17.28</v>
          </cell>
          <cell r="C6135">
            <v>55.19</v>
          </cell>
          <cell r="D6135">
            <v>16.11</v>
          </cell>
          <cell r="E6135">
            <v>9.07</v>
          </cell>
          <cell r="H6135">
            <v>45547</v>
          </cell>
          <cell r="I6135">
            <v>0.69888888888888878</v>
          </cell>
          <cell r="J6135">
            <v>21.694444444444443</v>
          </cell>
        </row>
        <row r="6136">
          <cell r="B6136">
            <v>19.22</v>
          </cell>
          <cell r="C6136">
            <v>56.42</v>
          </cell>
          <cell r="D6136">
            <v>16.309999999999999</v>
          </cell>
          <cell r="E6136">
            <v>9.08</v>
          </cell>
          <cell r="H6136">
            <v>45547</v>
          </cell>
          <cell r="I6136">
            <v>0.70333333333333325</v>
          </cell>
          <cell r="J6136">
            <v>21.988888888888891</v>
          </cell>
        </row>
        <row r="6137">
          <cell r="B6137">
            <v>20.82</v>
          </cell>
          <cell r="C6137">
            <v>57.27</v>
          </cell>
          <cell r="D6137">
            <v>16.48</v>
          </cell>
          <cell r="E6137">
            <v>9.14</v>
          </cell>
          <cell r="H6137">
            <v>45547</v>
          </cell>
          <cell r="I6137">
            <v>0.7088888888888889</v>
          </cell>
          <cell r="J6137">
            <v>22.542222222222222</v>
          </cell>
        </row>
        <row r="6138">
          <cell r="B6138">
            <v>22.16</v>
          </cell>
          <cell r="C6138">
            <v>55.25</v>
          </cell>
          <cell r="D6138">
            <v>15.83</v>
          </cell>
          <cell r="E6138">
            <v>8.8699999999999992</v>
          </cell>
          <cell r="H6138">
            <v>45547</v>
          </cell>
          <cell r="I6138">
            <v>0.7122222222222222</v>
          </cell>
          <cell r="J6138">
            <v>22.702222222222225</v>
          </cell>
        </row>
        <row r="6139">
          <cell r="B6139">
            <v>22.45</v>
          </cell>
          <cell r="C6139">
            <v>57.8</v>
          </cell>
          <cell r="D6139">
            <v>15.88</v>
          </cell>
          <cell r="E6139">
            <v>8.61</v>
          </cell>
          <cell r="H6139">
            <v>45547</v>
          </cell>
          <cell r="I6139">
            <v>0.71000000000000008</v>
          </cell>
          <cell r="J6139">
            <v>22.764444444444443</v>
          </cell>
        </row>
        <row r="6140">
          <cell r="B6140">
            <v>24.77</v>
          </cell>
          <cell r="C6140">
            <v>61.38</v>
          </cell>
          <cell r="D6140">
            <v>16.440000000000001</v>
          </cell>
          <cell r="E6140">
            <v>8.4700000000000006</v>
          </cell>
          <cell r="H6140">
            <v>45547</v>
          </cell>
          <cell r="I6140">
            <v>0.71333333333333337</v>
          </cell>
          <cell r="J6140">
            <v>22.628888888888888</v>
          </cell>
        </row>
        <row r="6141">
          <cell r="B6141">
            <v>28.47</v>
          </cell>
          <cell r="C6141">
            <v>75.02</v>
          </cell>
          <cell r="D6141">
            <v>16.760000000000002</v>
          </cell>
          <cell r="E6141">
            <v>8.5500000000000007</v>
          </cell>
          <cell r="H6141">
            <v>45547</v>
          </cell>
          <cell r="I6141">
            <v>0.72888888888888881</v>
          </cell>
          <cell r="J6141">
            <v>22.291111111111114</v>
          </cell>
        </row>
        <row r="6142">
          <cell r="B6142">
            <v>30.99</v>
          </cell>
          <cell r="C6142">
            <v>84.05</v>
          </cell>
          <cell r="D6142">
            <v>16.27</v>
          </cell>
          <cell r="E6142">
            <v>8.3000000000000007</v>
          </cell>
          <cell r="H6142">
            <v>45547</v>
          </cell>
          <cell r="I6142">
            <v>0.74222222222222223</v>
          </cell>
          <cell r="J6142">
            <v>21.944444444444446</v>
          </cell>
        </row>
        <row r="6143">
          <cell r="B6143">
            <v>28.15</v>
          </cell>
          <cell r="C6143">
            <v>61</v>
          </cell>
          <cell r="D6143">
            <v>16.600000000000001</v>
          </cell>
          <cell r="E6143">
            <v>8.3000000000000007</v>
          </cell>
          <cell r="H6143">
            <v>45547</v>
          </cell>
          <cell r="I6143">
            <v>0.75222222222222213</v>
          </cell>
          <cell r="J6143">
            <v>21.632222222222222</v>
          </cell>
        </row>
        <row r="6144">
          <cell r="B6144">
            <v>24.77</v>
          </cell>
          <cell r="C6144">
            <v>56.4</v>
          </cell>
          <cell r="D6144">
            <v>15.9</v>
          </cell>
          <cell r="E6144">
            <v>8.07</v>
          </cell>
          <cell r="H6144">
            <v>45547</v>
          </cell>
          <cell r="I6144">
            <v>0.7566666666666666</v>
          </cell>
          <cell r="J6144">
            <v>21.291111111111118</v>
          </cell>
        </row>
        <row r="6145">
          <cell r="B6145">
            <v>23.98</v>
          </cell>
          <cell r="C6145">
            <v>51.15</v>
          </cell>
          <cell r="D6145">
            <v>15.39</v>
          </cell>
          <cell r="E6145">
            <v>8.0399999999999991</v>
          </cell>
          <cell r="H6145">
            <v>45547</v>
          </cell>
          <cell r="I6145">
            <v>0.74777777777777765</v>
          </cell>
          <cell r="J6145">
            <v>20.983333333333334</v>
          </cell>
        </row>
        <row r="6146">
          <cell r="B6146">
            <v>20.86</v>
          </cell>
          <cell r="C6146">
            <v>46.3</v>
          </cell>
          <cell r="D6146">
            <v>14.9</v>
          </cell>
          <cell r="E6146">
            <v>7.76</v>
          </cell>
          <cell r="H6146">
            <v>45548</v>
          </cell>
          <cell r="I6146">
            <v>0.73666666666666669</v>
          </cell>
          <cell r="J6146">
            <v>20.60222222222222</v>
          </cell>
        </row>
        <row r="6147">
          <cell r="B6147">
            <v>20.170000000000002</v>
          </cell>
          <cell r="C6147">
            <v>44.17</v>
          </cell>
          <cell r="D6147">
            <v>14.74</v>
          </cell>
          <cell r="E6147">
            <v>7.51</v>
          </cell>
          <cell r="H6147">
            <v>45548</v>
          </cell>
          <cell r="I6147">
            <v>0.73222222222222233</v>
          </cell>
          <cell r="J6147">
            <v>20.447777777777777</v>
          </cell>
        </row>
        <row r="6148">
          <cell r="B6148">
            <v>20.84</v>
          </cell>
          <cell r="C6148">
            <v>45.61</v>
          </cell>
          <cell r="D6148">
            <v>14.54</v>
          </cell>
          <cell r="E6148">
            <v>7.6</v>
          </cell>
          <cell r="H6148">
            <v>45548</v>
          </cell>
          <cell r="I6148">
            <v>0.72333333333333338</v>
          </cell>
          <cell r="J6148">
            <v>20.382222222222225</v>
          </cell>
        </row>
        <row r="6149">
          <cell r="B6149">
            <v>21.7</v>
          </cell>
          <cell r="C6149">
            <v>47.19</v>
          </cell>
          <cell r="D6149">
            <v>15.12</v>
          </cell>
          <cell r="E6149">
            <v>7.25</v>
          </cell>
          <cell r="H6149">
            <v>45548</v>
          </cell>
          <cell r="I6149">
            <v>0.71222222222222231</v>
          </cell>
          <cell r="J6149">
            <v>20.413333333333334</v>
          </cell>
        </row>
        <row r="6150">
          <cell r="B6150">
            <v>21.93</v>
          </cell>
          <cell r="C6150">
            <v>48.46</v>
          </cell>
          <cell r="D6150">
            <v>14.76</v>
          </cell>
          <cell r="E6150">
            <v>7.29</v>
          </cell>
          <cell r="H6150">
            <v>45548</v>
          </cell>
          <cell r="I6150">
            <v>0.68666666666666676</v>
          </cell>
          <cell r="J6150">
            <v>20.558888888888887</v>
          </cell>
        </row>
        <row r="6151">
          <cell r="B6151">
            <v>21.17</v>
          </cell>
          <cell r="C6151">
            <v>46.51</v>
          </cell>
          <cell r="D6151">
            <v>15.22</v>
          </cell>
          <cell r="E6151">
            <v>7.1</v>
          </cell>
          <cell r="H6151">
            <v>45548</v>
          </cell>
          <cell r="I6151">
            <v>0.6711111111111111</v>
          </cell>
          <cell r="J6151">
            <v>20.587777777777781</v>
          </cell>
        </row>
        <row r="6152">
          <cell r="B6152">
            <v>23.07</v>
          </cell>
          <cell r="C6152">
            <v>48.51</v>
          </cell>
          <cell r="D6152">
            <v>15.92</v>
          </cell>
          <cell r="E6152">
            <v>7.08</v>
          </cell>
          <cell r="H6152">
            <v>45548</v>
          </cell>
          <cell r="I6152">
            <v>0.66666666666666663</v>
          </cell>
          <cell r="J6152">
            <v>20.617777777777778</v>
          </cell>
        </row>
        <row r="6153">
          <cell r="B6153">
            <v>23.65</v>
          </cell>
          <cell r="C6153">
            <v>50.49</v>
          </cell>
          <cell r="D6153">
            <v>15.85</v>
          </cell>
          <cell r="E6153">
            <v>7.22</v>
          </cell>
          <cell r="H6153">
            <v>45548</v>
          </cell>
          <cell r="I6153">
            <v>0.6677777777777778</v>
          </cell>
          <cell r="J6153">
            <v>20.691111111111113</v>
          </cell>
        </row>
        <row r="6154">
          <cell r="B6154">
            <v>23.52</v>
          </cell>
          <cell r="C6154">
            <v>50.69</v>
          </cell>
          <cell r="D6154">
            <v>15.76</v>
          </cell>
          <cell r="E6154">
            <v>7.56</v>
          </cell>
          <cell r="H6154">
            <v>45548</v>
          </cell>
          <cell r="I6154">
            <v>0.67888888888888899</v>
          </cell>
          <cell r="J6154">
            <v>20.723333333333333</v>
          </cell>
        </row>
        <row r="6155">
          <cell r="B6155">
            <v>23.24</v>
          </cell>
          <cell r="C6155">
            <v>54.14</v>
          </cell>
          <cell r="D6155">
            <v>15.89</v>
          </cell>
          <cell r="E6155">
            <v>8.15</v>
          </cell>
          <cell r="H6155">
            <v>45548</v>
          </cell>
          <cell r="I6155">
            <v>0.69333333333333336</v>
          </cell>
          <cell r="J6155">
            <v>20.803333333333331</v>
          </cell>
        </row>
        <row r="6156">
          <cell r="B6156">
            <v>21.83</v>
          </cell>
          <cell r="C6156">
            <v>53.65</v>
          </cell>
          <cell r="D6156">
            <v>16.16</v>
          </cell>
          <cell r="E6156">
            <v>7.55</v>
          </cell>
          <cell r="H6156">
            <v>45548</v>
          </cell>
          <cell r="I6156">
            <v>0.69888888888888889</v>
          </cell>
          <cell r="J6156">
            <v>20.898888888888891</v>
          </cell>
        </row>
        <row r="6157">
          <cell r="B6157">
            <v>22.37</v>
          </cell>
          <cell r="C6157">
            <v>58.09</v>
          </cell>
          <cell r="D6157">
            <v>16.57</v>
          </cell>
          <cell r="E6157">
            <v>8.56</v>
          </cell>
          <cell r="H6157">
            <v>45548</v>
          </cell>
          <cell r="I6157">
            <v>0.69666666666666677</v>
          </cell>
          <cell r="J6157">
            <v>21.124444444444446</v>
          </cell>
        </row>
        <row r="6158">
          <cell r="B6158">
            <v>22.76</v>
          </cell>
          <cell r="C6158">
            <v>60.28</v>
          </cell>
          <cell r="D6158">
            <v>17.18</v>
          </cell>
          <cell r="E6158">
            <v>8.5</v>
          </cell>
          <cell r="H6158">
            <v>45548</v>
          </cell>
          <cell r="I6158">
            <v>0.69333333333333336</v>
          </cell>
          <cell r="J6158">
            <v>21.413333333333334</v>
          </cell>
        </row>
        <row r="6159">
          <cell r="B6159">
            <v>23.49</v>
          </cell>
          <cell r="C6159">
            <v>61.43</v>
          </cell>
          <cell r="D6159">
            <v>16.760000000000002</v>
          </cell>
          <cell r="E6159">
            <v>8.74</v>
          </cell>
          <cell r="H6159">
            <v>45548</v>
          </cell>
          <cell r="I6159">
            <v>0.69222222222222229</v>
          </cell>
          <cell r="J6159">
            <v>21.72111111111111</v>
          </cell>
        </row>
        <row r="6160">
          <cell r="B6160">
            <v>23.65</v>
          </cell>
          <cell r="C6160">
            <v>60.44</v>
          </cell>
          <cell r="D6160">
            <v>17.059999999999999</v>
          </cell>
          <cell r="E6160">
            <v>9.08</v>
          </cell>
          <cell r="H6160">
            <v>45548</v>
          </cell>
          <cell r="I6160">
            <v>0.69444444444444442</v>
          </cell>
          <cell r="J6160">
            <v>22.119999999999997</v>
          </cell>
        </row>
        <row r="6161">
          <cell r="B6161">
            <v>24.02</v>
          </cell>
          <cell r="C6161">
            <v>61.32</v>
          </cell>
          <cell r="D6161">
            <v>16.98</v>
          </cell>
          <cell r="E6161">
            <v>8.98</v>
          </cell>
          <cell r="H6161">
            <v>45548</v>
          </cell>
          <cell r="I6161">
            <v>0.69111111111111112</v>
          </cell>
          <cell r="J6161">
            <v>22.517777777777777</v>
          </cell>
        </row>
        <row r="6162">
          <cell r="B6162">
            <v>23.97</v>
          </cell>
          <cell r="C6162">
            <v>63.18</v>
          </cell>
          <cell r="D6162">
            <v>17.170000000000002</v>
          </cell>
          <cell r="E6162">
            <v>9.09</v>
          </cell>
          <cell r="H6162">
            <v>45548</v>
          </cell>
          <cell r="I6162">
            <v>0.69222222222222218</v>
          </cell>
          <cell r="J6162">
            <v>22.900000000000002</v>
          </cell>
        </row>
        <row r="6163">
          <cell r="B6163">
            <v>24.99</v>
          </cell>
          <cell r="C6163">
            <v>68.23</v>
          </cell>
          <cell r="D6163">
            <v>17.190000000000001</v>
          </cell>
          <cell r="E6163">
            <v>9.27</v>
          </cell>
          <cell r="H6163">
            <v>45548</v>
          </cell>
          <cell r="I6163">
            <v>0.69555555555555548</v>
          </cell>
          <cell r="J6163">
            <v>23.261111111111113</v>
          </cell>
        </row>
        <row r="6164">
          <cell r="B6164">
            <v>28.01</v>
          </cell>
          <cell r="C6164">
            <v>71.38</v>
          </cell>
          <cell r="D6164">
            <v>16.88</v>
          </cell>
          <cell r="E6164">
            <v>8.39</v>
          </cell>
          <cell r="H6164">
            <v>45548</v>
          </cell>
          <cell r="I6164">
            <v>0.71666666666666656</v>
          </cell>
          <cell r="J6164">
            <v>23.237777777777776</v>
          </cell>
        </row>
        <row r="6165">
          <cell r="B6165">
            <v>33.31</v>
          </cell>
          <cell r="C6165">
            <v>87.25</v>
          </cell>
          <cell r="D6165">
            <v>17.350000000000001</v>
          </cell>
          <cell r="E6165">
            <v>8.23</v>
          </cell>
          <cell r="H6165">
            <v>45548</v>
          </cell>
          <cell r="I6165">
            <v>0.74222222222222223</v>
          </cell>
          <cell r="J6165">
            <v>23.028888888888886</v>
          </cell>
        </row>
        <row r="6166">
          <cell r="B6166">
            <v>36.299999999999997</v>
          </cell>
          <cell r="C6166">
            <v>90.38</v>
          </cell>
          <cell r="D6166">
            <v>16.899999999999999</v>
          </cell>
          <cell r="E6166">
            <v>8</v>
          </cell>
          <cell r="H6166">
            <v>45548</v>
          </cell>
          <cell r="I6166">
            <v>0.76777777777777767</v>
          </cell>
          <cell r="J6166">
            <v>22.708888888888893</v>
          </cell>
        </row>
        <row r="6167">
          <cell r="B6167">
            <v>32.33</v>
          </cell>
          <cell r="C6167">
            <v>71.650000000000006</v>
          </cell>
          <cell r="D6167">
            <v>16.55</v>
          </cell>
          <cell r="E6167">
            <v>8.07</v>
          </cell>
          <cell r="H6167">
            <v>45548</v>
          </cell>
          <cell r="I6167">
            <v>0.78333333333333344</v>
          </cell>
          <cell r="J6167">
            <v>22.358888888888888</v>
          </cell>
        </row>
        <row r="6168">
          <cell r="B6168">
            <v>30.63</v>
          </cell>
          <cell r="C6168">
            <v>62.64</v>
          </cell>
          <cell r="D6168">
            <v>16.52</v>
          </cell>
          <cell r="E6168">
            <v>7.89</v>
          </cell>
          <cell r="H6168">
            <v>45548</v>
          </cell>
          <cell r="I6168">
            <v>0.79333333333333345</v>
          </cell>
          <cell r="J6168">
            <v>22.002222222222226</v>
          </cell>
        </row>
        <row r="6169">
          <cell r="B6169">
            <v>29.48</v>
          </cell>
          <cell r="C6169">
            <v>57.82</v>
          </cell>
          <cell r="D6169">
            <v>15.87</v>
          </cell>
          <cell r="E6169">
            <v>8.25</v>
          </cell>
          <cell r="H6169">
            <v>45548</v>
          </cell>
          <cell r="I6169">
            <v>0.78888888888888908</v>
          </cell>
          <cell r="J6169">
            <v>21.614444444444445</v>
          </cell>
        </row>
        <row r="6170">
          <cell r="B6170">
            <v>29.12</v>
          </cell>
          <cell r="C6170">
            <v>58.07</v>
          </cell>
          <cell r="D6170">
            <v>15.56</v>
          </cell>
          <cell r="E6170">
            <v>8.02</v>
          </cell>
          <cell r="H6170">
            <v>45549</v>
          </cell>
          <cell r="I6170">
            <v>0.77555555555555566</v>
          </cell>
          <cell r="J6170">
            <v>21.292222222222225</v>
          </cell>
        </row>
        <row r="6171">
          <cell r="B6171">
            <v>25.8</v>
          </cell>
          <cell r="C6171">
            <v>54.38</v>
          </cell>
          <cell r="D6171">
            <v>15.08</v>
          </cell>
          <cell r="E6171">
            <v>7.47</v>
          </cell>
          <cell r="H6171">
            <v>45549</v>
          </cell>
          <cell r="I6171">
            <v>0.76000000000000012</v>
          </cell>
          <cell r="J6171">
            <v>20.955555555555556</v>
          </cell>
        </row>
        <row r="6172">
          <cell r="B6172">
            <v>23.7</v>
          </cell>
          <cell r="C6172">
            <v>49.22</v>
          </cell>
          <cell r="D6172">
            <v>14.92</v>
          </cell>
          <cell r="E6172">
            <v>7.22</v>
          </cell>
          <cell r="H6172">
            <v>45549</v>
          </cell>
          <cell r="I6172">
            <v>0.73777777777777787</v>
          </cell>
          <cell r="J6172">
            <v>20.671111111111113</v>
          </cell>
        </row>
        <row r="6173">
          <cell r="B6173">
            <v>23.47</v>
          </cell>
          <cell r="C6173">
            <v>45.3</v>
          </cell>
          <cell r="D6173">
            <v>14.82</v>
          </cell>
          <cell r="E6173">
            <v>7.16</v>
          </cell>
          <cell r="H6173">
            <v>45549</v>
          </cell>
          <cell r="I6173">
            <v>0.70444444444444443</v>
          </cell>
          <cell r="J6173">
            <v>20.736666666666668</v>
          </cell>
        </row>
        <row r="6174">
          <cell r="B6174">
            <v>21.7</v>
          </cell>
          <cell r="C6174">
            <v>41.56</v>
          </cell>
          <cell r="D6174">
            <v>15.27</v>
          </cell>
          <cell r="E6174">
            <v>6.93</v>
          </cell>
          <cell r="H6174">
            <v>45549</v>
          </cell>
          <cell r="I6174">
            <v>0.6711111111111111</v>
          </cell>
          <cell r="J6174">
            <v>20.955555555555559</v>
          </cell>
        </row>
        <row r="6175">
          <cell r="B6175">
            <v>21.28</v>
          </cell>
          <cell r="C6175">
            <v>41.24</v>
          </cell>
          <cell r="D6175">
            <v>15.41</v>
          </cell>
          <cell r="E6175">
            <v>6.69</v>
          </cell>
          <cell r="H6175">
            <v>45549</v>
          </cell>
          <cell r="I6175">
            <v>0.64555555555555555</v>
          </cell>
          <cell r="J6175">
            <v>21.043333333333333</v>
          </cell>
        </row>
        <row r="6176">
          <cell r="B6176">
            <v>20.350000000000001</v>
          </cell>
          <cell r="C6176">
            <v>37.4</v>
          </cell>
          <cell r="D6176">
            <v>14.94</v>
          </cell>
          <cell r="E6176">
            <v>6.8</v>
          </cell>
          <cell r="H6176">
            <v>45549</v>
          </cell>
          <cell r="I6176">
            <v>0.63222222222222224</v>
          </cell>
          <cell r="J6176">
            <v>21.1</v>
          </cell>
        </row>
        <row r="6177">
          <cell r="B6177">
            <v>22.15</v>
          </cell>
          <cell r="C6177">
            <v>41.68</v>
          </cell>
          <cell r="D6177">
            <v>15.48</v>
          </cell>
          <cell r="E6177">
            <v>6.95</v>
          </cell>
          <cell r="H6177">
            <v>45549</v>
          </cell>
          <cell r="I6177">
            <v>0.62555555555555553</v>
          </cell>
          <cell r="J6177">
            <v>21.126666666666665</v>
          </cell>
        </row>
        <row r="6178">
          <cell r="B6178">
            <v>22.88</v>
          </cell>
          <cell r="C6178">
            <v>44.55</v>
          </cell>
          <cell r="D6178">
            <v>15.1</v>
          </cell>
          <cell r="E6178">
            <v>7.15</v>
          </cell>
          <cell r="H6178">
            <v>45549</v>
          </cell>
          <cell r="I6178">
            <v>0.63111111111111107</v>
          </cell>
          <cell r="J6178">
            <v>21.209999999999997</v>
          </cell>
        </row>
        <row r="6179">
          <cell r="B6179">
            <v>22.89</v>
          </cell>
          <cell r="C6179">
            <v>45.98</v>
          </cell>
          <cell r="D6179">
            <v>15.33</v>
          </cell>
          <cell r="E6179">
            <v>7.46</v>
          </cell>
          <cell r="H6179">
            <v>45549</v>
          </cell>
          <cell r="I6179">
            <v>0.6433333333333332</v>
          </cell>
          <cell r="J6179">
            <v>21.287777777777777</v>
          </cell>
        </row>
        <row r="6180">
          <cell r="B6180">
            <v>24.92</v>
          </cell>
          <cell r="C6180">
            <v>51.36</v>
          </cell>
          <cell r="D6180">
            <v>15.17</v>
          </cell>
          <cell r="E6180">
            <v>7.51</v>
          </cell>
          <cell r="H6180">
            <v>45549</v>
          </cell>
          <cell r="I6180">
            <v>0.64888888888888885</v>
          </cell>
          <cell r="J6180">
            <v>21.407777777777778</v>
          </cell>
        </row>
        <row r="6181">
          <cell r="B6181">
            <v>25.52</v>
          </cell>
          <cell r="C6181">
            <v>49.31</v>
          </cell>
          <cell r="D6181">
            <v>15.81</v>
          </cell>
          <cell r="E6181">
            <v>7.42</v>
          </cell>
          <cell r="H6181">
            <v>45549</v>
          </cell>
          <cell r="I6181">
            <v>0.65555555555555567</v>
          </cell>
          <cell r="J6181">
            <v>21.470000000000002</v>
          </cell>
        </row>
        <row r="6182">
          <cell r="B6182">
            <v>25.07</v>
          </cell>
          <cell r="C6182">
            <v>54.47</v>
          </cell>
          <cell r="D6182">
            <v>16.3</v>
          </cell>
          <cell r="E6182">
            <v>7.36</v>
          </cell>
          <cell r="H6182">
            <v>45549</v>
          </cell>
          <cell r="I6182">
            <v>0.65555555555555545</v>
          </cell>
          <cell r="J6182">
            <v>21.543333333333333</v>
          </cell>
        </row>
        <row r="6183">
          <cell r="B6183">
            <v>23.18</v>
          </cell>
          <cell r="C6183">
            <v>54.95</v>
          </cell>
          <cell r="D6183">
            <v>16.670000000000002</v>
          </cell>
          <cell r="E6183">
            <v>7.64</v>
          </cell>
          <cell r="H6183">
            <v>45549</v>
          </cell>
          <cell r="I6183">
            <v>0.65555555555555545</v>
          </cell>
          <cell r="J6183">
            <v>21.61</v>
          </cell>
        </row>
        <row r="6184">
          <cell r="B6184">
            <v>24.84</v>
          </cell>
          <cell r="C6184">
            <v>62.14</v>
          </cell>
          <cell r="D6184">
            <v>16.77</v>
          </cell>
          <cell r="E6184">
            <v>7.94</v>
          </cell>
          <cell r="H6184">
            <v>45549</v>
          </cell>
          <cell r="I6184">
            <v>0.65666666666666662</v>
          </cell>
          <cell r="J6184">
            <v>21.723333333333333</v>
          </cell>
        </row>
        <row r="6185">
          <cell r="B6185">
            <v>25.84</v>
          </cell>
          <cell r="C6185">
            <v>64.55</v>
          </cell>
          <cell r="D6185">
            <v>16.16</v>
          </cell>
          <cell r="E6185">
            <v>9.14</v>
          </cell>
          <cell r="H6185">
            <v>45549</v>
          </cell>
          <cell r="I6185">
            <v>0.66777777777777769</v>
          </cell>
          <cell r="J6185">
            <v>21.962222222222223</v>
          </cell>
        </row>
        <row r="6186">
          <cell r="B6186">
            <v>26.75</v>
          </cell>
          <cell r="C6186">
            <v>66.510000000000005</v>
          </cell>
          <cell r="D6186">
            <v>14.66</v>
          </cell>
          <cell r="E6186">
            <v>9.25</v>
          </cell>
          <cell r="H6186">
            <v>45549</v>
          </cell>
          <cell r="I6186">
            <v>0.68222222222222206</v>
          </cell>
          <cell r="J6186">
            <v>22.257777777777775</v>
          </cell>
        </row>
        <row r="6187">
          <cell r="B6187">
            <v>27.59</v>
          </cell>
          <cell r="C6187">
            <v>69.81</v>
          </cell>
          <cell r="D6187">
            <v>15.24</v>
          </cell>
          <cell r="E6187">
            <v>9.23</v>
          </cell>
          <cell r="H6187">
            <v>45549</v>
          </cell>
          <cell r="I6187">
            <v>0.68777777777777771</v>
          </cell>
          <cell r="J6187">
            <v>22.358888888888888</v>
          </cell>
        </row>
        <row r="6188">
          <cell r="B6188">
            <v>28.61</v>
          </cell>
          <cell r="C6188">
            <v>68.510000000000005</v>
          </cell>
          <cell r="D6188">
            <v>15.29</v>
          </cell>
          <cell r="E6188">
            <v>9.06</v>
          </cell>
          <cell r="H6188">
            <v>45549</v>
          </cell>
          <cell r="I6188">
            <v>0.69444444444444442</v>
          </cell>
          <cell r="J6188">
            <v>22.318888888888889</v>
          </cell>
        </row>
        <row r="6189">
          <cell r="B6189">
            <v>31.04</v>
          </cell>
          <cell r="C6189">
            <v>72.02</v>
          </cell>
          <cell r="D6189">
            <v>15.86</v>
          </cell>
          <cell r="E6189">
            <v>9</v>
          </cell>
          <cell r="H6189">
            <v>45549</v>
          </cell>
          <cell r="I6189">
            <v>0.70777777777777773</v>
          </cell>
          <cell r="J6189">
            <v>22.125555555555557</v>
          </cell>
        </row>
        <row r="6190">
          <cell r="B6190">
            <v>32.81</v>
          </cell>
          <cell r="C6190">
            <v>72.61</v>
          </cell>
          <cell r="D6190">
            <v>15.7</v>
          </cell>
          <cell r="E6190">
            <v>8.93</v>
          </cell>
          <cell r="H6190">
            <v>45549</v>
          </cell>
          <cell r="I6190">
            <v>0.71888888888888891</v>
          </cell>
          <cell r="J6190">
            <v>21.93</v>
          </cell>
        </row>
        <row r="6191">
          <cell r="B6191">
            <v>35.39</v>
          </cell>
          <cell r="C6191">
            <v>71.36</v>
          </cell>
          <cell r="D6191">
            <v>15.23</v>
          </cell>
          <cell r="E6191">
            <v>8.6300000000000008</v>
          </cell>
          <cell r="H6191">
            <v>45549</v>
          </cell>
          <cell r="I6191">
            <v>0.72333333333333327</v>
          </cell>
          <cell r="J6191">
            <v>21.671111111111113</v>
          </cell>
        </row>
        <row r="6192">
          <cell r="B6192">
            <v>32.549999999999997</v>
          </cell>
          <cell r="C6192">
            <v>64.010000000000005</v>
          </cell>
          <cell r="D6192">
            <v>15.45</v>
          </cell>
          <cell r="E6192">
            <v>8.6199999999999992</v>
          </cell>
          <cell r="H6192">
            <v>45549</v>
          </cell>
          <cell r="I6192">
            <v>0.72444444444444445</v>
          </cell>
          <cell r="J6192">
            <v>21.463333333333335</v>
          </cell>
        </row>
        <row r="6193">
          <cell r="B6193">
            <v>28</v>
          </cell>
          <cell r="C6193">
            <v>74.11</v>
          </cell>
          <cell r="D6193">
            <v>14.91</v>
          </cell>
          <cell r="E6193">
            <v>8.83</v>
          </cell>
          <cell r="H6193">
            <v>45549</v>
          </cell>
          <cell r="I6193">
            <v>0.72222222222222221</v>
          </cell>
          <cell r="J6193">
            <v>21.248888888888885</v>
          </cell>
        </row>
        <row r="6194">
          <cell r="B6194">
            <v>25.26</v>
          </cell>
          <cell r="C6194">
            <v>89.55</v>
          </cell>
          <cell r="D6194">
            <v>14.85</v>
          </cell>
          <cell r="E6194">
            <v>8.32</v>
          </cell>
          <cell r="H6194">
            <v>45550</v>
          </cell>
          <cell r="I6194">
            <v>0.7055555555555556</v>
          </cell>
          <cell r="J6194">
            <v>20.988888888888891</v>
          </cell>
        </row>
        <row r="6195">
          <cell r="B6195">
            <v>22.76</v>
          </cell>
          <cell r="C6195">
            <v>49.58</v>
          </cell>
          <cell r="D6195">
            <v>14.31</v>
          </cell>
          <cell r="E6195">
            <v>7.95</v>
          </cell>
          <cell r="H6195">
            <v>45550</v>
          </cell>
          <cell r="I6195">
            <v>0.68444444444444441</v>
          </cell>
          <cell r="J6195">
            <v>20.697777777777773</v>
          </cell>
        </row>
        <row r="6196">
          <cell r="B6196">
            <v>22.44</v>
          </cell>
          <cell r="C6196">
            <v>45.57</v>
          </cell>
          <cell r="D6196">
            <v>14.5</v>
          </cell>
          <cell r="E6196">
            <v>7.97</v>
          </cell>
          <cell r="H6196">
            <v>45550</v>
          </cell>
          <cell r="I6196">
            <v>0.6677777777777778</v>
          </cell>
          <cell r="J6196">
            <v>20.614444444444448</v>
          </cell>
        </row>
        <row r="6197">
          <cell r="B6197">
            <v>21.91</v>
          </cell>
          <cell r="C6197">
            <v>46.63</v>
          </cell>
          <cell r="D6197">
            <v>14.08</v>
          </cell>
          <cell r="E6197">
            <v>7.74</v>
          </cell>
          <cell r="H6197">
            <v>45550</v>
          </cell>
          <cell r="I6197">
            <v>0.65888888888888886</v>
          </cell>
          <cell r="J6197">
            <v>20.596666666666671</v>
          </cell>
        </row>
        <row r="6198">
          <cell r="B6198">
            <v>23.83</v>
          </cell>
          <cell r="C6198">
            <v>49.73</v>
          </cell>
          <cell r="D6198">
            <v>14.58</v>
          </cell>
          <cell r="E6198">
            <v>7.97</v>
          </cell>
          <cell r="H6198">
            <v>45550</v>
          </cell>
          <cell r="I6198">
            <v>0.64777777777777779</v>
          </cell>
          <cell r="J6198">
            <v>20.683333333333337</v>
          </cell>
        </row>
        <row r="6199">
          <cell r="B6199">
            <v>25.95</v>
          </cell>
          <cell r="C6199">
            <v>46.82</v>
          </cell>
          <cell r="D6199">
            <v>14.62</v>
          </cell>
          <cell r="E6199">
            <v>7.9</v>
          </cell>
          <cell r="H6199">
            <v>45550</v>
          </cell>
          <cell r="I6199">
            <v>0.64222222222222225</v>
          </cell>
          <cell r="J6199">
            <v>20.753333333333337</v>
          </cell>
        </row>
        <row r="6200">
          <cell r="B6200">
            <v>26.17</v>
          </cell>
          <cell r="C6200">
            <v>50.12</v>
          </cell>
          <cell r="D6200">
            <v>15.19</v>
          </cell>
          <cell r="E6200">
            <v>7.96</v>
          </cell>
          <cell r="H6200">
            <v>45550</v>
          </cell>
          <cell r="I6200">
            <v>0.64777777777777779</v>
          </cell>
          <cell r="J6200">
            <v>20.79</v>
          </cell>
        </row>
        <row r="6201">
          <cell r="B6201">
            <v>25.58</v>
          </cell>
          <cell r="C6201">
            <v>52.61</v>
          </cell>
          <cell r="D6201">
            <v>14.95</v>
          </cell>
          <cell r="E6201">
            <v>7.83</v>
          </cell>
          <cell r="H6201">
            <v>45550</v>
          </cell>
          <cell r="I6201">
            <v>0.65333333333333321</v>
          </cell>
          <cell r="J6201">
            <v>20.772222222222222</v>
          </cell>
        </row>
        <row r="6202">
          <cell r="B6202">
            <v>24.38</v>
          </cell>
          <cell r="C6202">
            <v>51.17</v>
          </cell>
          <cell r="D6202">
            <v>14.21</v>
          </cell>
          <cell r="E6202">
            <v>7.6</v>
          </cell>
          <cell r="H6202">
            <v>45550</v>
          </cell>
          <cell r="I6202">
            <v>0.66222222222222227</v>
          </cell>
          <cell r="J6202">
            <v>20.873333333333331</v>
          </cell>
        </row>
        <row r="6203">
          <cell r="B6203">
            <v>24.04</v>
          </cell>
          <cell r="C6203">
            <v>50.58</v>
          </cell>
          <cell r="D6203">
            <v>14.43</v>
          </cell>
          <cell r="E6203">
            <v>7.98</v>
          </cell>
          <cell r="H6203">
            <v>45550</v>
          </cell>
          <cell r="I6203">
            <v>0.6677777777777778</v>
          </cell>
          <cell r="J6203">
            <v>20.974444444444444</v>
          </cell>
        </row>
        <row r="6204">
          <cell r="B6204">
            <v>21.74</v>
          </cell>
          <cell r="C6204">
            <v>46.58</v>
          </cell>
          <cell r="D6204">
            <v>14.81</v>
          </cell>
          <cell r="E6204">
            <v>8.02</v>
          </cell>
          <cell r="H6204">
            <v>45550</v>
          </cell>
          <cell r="I6204">
            <v>0.67333333333333334</v>
          </cell>
          <cell r="J6204">
            <v>21.084444444444443</v>
          </cell>
        </row>
        <row r="6205">
          <cell r="B6205">
            <v>21.1</v>
          </cell>
          <cell r="C6205">
            <v>43.16</v>
          </cell>
          <cell r="D6205">
            <v>13.94</v>
          </cell>
          <cell r="E6205">
            <v>7.95</v>
          </cell>
          <cell r="H6205">
            <v>45550</v>
          </cell>
          <cell r="I6205">
            <v>0.68111111111111111</v>
          </cell>
          <cell r="J6205">
            <v>21.238888888888887</v>
          </cell>
        </row>
        <row r="6206">
          <cell r="B6206">
            <v>20.420000000000002</v>
          </cell>
          <cell r="C6206">
            <v>46.48</v>
          </cell>
          <cell r="D6206">
            <v>14.41</v>
          </cell>
          <cell r="E6206">
            <v>7.98</v>
          </cell>
          <cell r="H6206">
            <v>45550</v>
          </cell>
          <cell r="I6206">
            <v>0.68</v>
          </cell>
          <cell r="J6206">
            <v>21.471111111111114</v>
          </cell>
        </row>
        <row r="6207">
          <cell r="B6207">
            <v>20.63</v>
          </cell>
          <cell r="C6207">
            <v>47.59</v>
          </cell>
          <cell r="D6207">
            <v>14.02</v>
          </cell>
          <cell r="E6207">
            <v>7.96</v>
          </cell>
          <cell r="H6207">
            <v>45550</v>
          </cell>
          <cell r="I6207">
            <v>0.68111111111111111</v>
          </cell>
          <cell r="J6207">
            <v>21.714444444444446</v>
          </cell>
        </row>
        <row r="6208">
          <cell r="B6208">
            <v>21.04</v>
          </cell>
          <cell r="C6208">
            <v>46.6</v>
          </cell>
          <cell r="D6208">
            <v>14.71</v>
          </cell>
          <cell r="E6208">
            <v>7.94</v>
          </cell>
          <cell r="H6208">
            <v>45550</v>
          </cell>
          <cell r="I6208">
            <v>0.68111111111111111</v>
          </cell>
          <cell r="J6208">
            <v>21.997777777777781</v>
          </cell>
        </row>
        <row r="6209">
          <cell r="B6209">
            <v>21.68</v>
          </cell>
          <cell r="C6209">
            <v>47.38</v>
          </cell>
          <cell r="D6209">
            <v>14.1</v>
          </cell>
          <cell r="E6209">
            <v>8.24</v>
          </cell>
          <cell r="H6209">
            <v>45550</v>
          </cell>
          <cell r="I6209">
            <v>0.67888888888888888</v>
          </cell>
          <cell r="J6209">
            <v>22.383333333333336</v>
          </cell>
        </row>
        <row r="6210">
          <cell r="B6210">
            <v>23.69</v>
          </cell>
          <cell r="C6210">
            <v>50.54</v>
          </cell>
          <cell r="D6210">
            <v>14.57</v>
          </cell>
          <cell r="E6210">
            <v>7.97</v>
          </cell>
          <cell r="H6210">
            <v>45550</v>
          </cell>
          <cell r="I6210">
            <v>0.6777777777777777</v>
          </cell>
          <cell r="J6210">
            <v>22.787777777777777</v>
          </cell>
        </row>
        <row r="6211">
          <cell r="B6211">
            <v>26.01</v>
          </cell>
          <cell r="C6211">
            <v>51.2</v>
          </cell>
          <cell r="D6211">
            <v>14.89</v>
          </cell>
          <cell r="E6211">
            <v>8.01</v>
          </cell>
          <cell r="H6211">
            <v>45550</v>
          </cell>
          <cell r="I6211">
            <v>0.68222222222222229</v>
          </cell>
          <cell r="J6211">
            <v>22.962222222222223</v>
          </cell>
        </row>
        <row r="6212">
          <cell r="B6212">
            <v>29.51</v>
          </cell>
          <cell r="C6212">
            <v>55.57</v>
          </cell>
          <cell r="D6212">
            <v>15.15</v>
          </cell>
          <cell r="E6212">
            <v>7.65</v>
          </cell>
          <cell r="H6212">
            <v>45550</v>
          </cell>
          <cell r="I6212">
            <v>0.68888888888888888</v>
          </cell>
          <cell r="J6212">
            <v>22.983333333333334</v>
          </cell>
        </row>
        <row r="6213">
          <cell r="B6213">
            <v>28.05</v>
          </cell>
          <cell r="C6213">
            <v>49</v>
          </cell>
          <cell r="D6213">
            <v>15.33</v>
          </cell>
          <cell r="E6213">
            <v>8.1199999999999992</v>
          </cell>
          <cell r="H6213">
            <v>45550</v>
          </cell>
          <cell r="I6213">
            <v>0.69333333333333336</v>
          </cell>
          <cell r="J6213">
            <v>22.953333333333333</v>
          </cell>
        </row>
        <row r="6214">
          <cell r="B6214">
            <v>25.76</v>
          </cell>
          <cell r="C6214">
            <v>45.22</v>
          </cell>
          <cell r="D6214">
            <v>15.6</v>
          </cell>
          <cell r="E6214">
            <v>8.26</v>
          </cell>
          <cell r="H6214">
            <v>45550</v>
          </cell>
          <cell r="I6214">
            <v>0.69999999999999984</v>
          </cell>
          <cell r="J6214">
            <v>22.748888888888885</v>
          </cell>
        </row>
        <row r="6215">
          <cell r="B6215">
            <v>24.98</v>
          </cell>
          <cell r="C6215">
            <v>48.34</v>
          </cell>
          <cell r="D6215">
            <v>15.22</v>
          </cell>
          <cell r="E6215">
            <v>8.16</v>
          </cell>
          <cell r="H6215">
            <v>45550</v>
          </cell>
          <cell r="I6215">
            <v>0.70666666666666667</v>
          </cell>
          <cell r="J6215">
            <v>22.448888888888888</v>
          </cell>
        </row>
        <row r="6216">
          <cell r="B6216">
            <v>24.25</v>
          </cell>
          <cell r="C6216">
            <v>47.59</v>
          </cell>
          <cell r="D6216">
            <v>15.5</v>
          </cell>
          <cell r="E6216">
            <v>8.01</v>
          </cell>
          <cell r="H6216">
            <v>45550</v>
          </cell>
          <cell r="I6216">
            <v>0.70777777777777773</v>
          </cell>
          <cell r="J6216">
            <v>22.11</v>
          </cell>
        </row>
        <row r="6217">
          <cell r="B6217">
            <v>22.62</v>
          </cell>
          <cell r="C6217">
            <v>45.21</v>
          </cell>
          <cell r="D6217">
            <v>14.57</v>
          </cell>
          <cell r="E6217">
            <v>8.41</v>
          </cell>
          <cell r="H6217">
            <v>45550</v>
          </cell>
          <cell r="I6217">
            <v>0.70444444444444443</v>
          </cell>
          <cell r="J6217">
            <v>21.803333333333335</v>
          </cell>
        </row>
        <row r="6218">
          <cell r="B6218">
            <v>22.64</v>
          </cell>
          <cell r="C6218">
            <v>42.79</v>
          </cell>
          <cell r="D6218">
            <v>14.39</v>
          </cell>
          <cell r="E6218">
            <v>8.44</v>
          </cell>
          <cell r="H6218">
            <v>45551</v>
          </cell>
          <cell r="I6218">
            <v>0.69666666666666677</v>
          </cell>
          <cell r="J6218">
            <v>21.453333333333333</v>
          </cell>
        </row>
        <row r="6219">
          <cell r="B6219">
            <v>22.26</v>
          </cell>
          <cell r="C6219">
            <v>40.74</v>
          </cell>
          <cell r="D6219">
            <v>14.67</v>
          </cell>
          <cell r="E6219">
            <v>8.2100000000000009</v>
          </cell>
          <cell r="H6219">
            <v>45551</v>
          </cell>
          <cell r="I6219">
            <v>0.69333333333333347</v>
          </cell>
          <cell r="J6219">
            <v>21.09</v>
          </cell>
        </row>
        <row r="6220">
          <cell r="B6220">
            <v>20.68</v>
          </cell>
          <cell r="C6220">
            <v>42.49</v>
          </cell>
          <cell r="D6220">
            <v>14.08</v>
          </cell>
          <cell r="E6220">
            <v>7.83</v>
          </cell>
          <cell r="H6220">
            <v>45551</v>
          </cell>
          <cell r="I6220">
            <v>0.68222222222222217</v>
          </cell>
          <cell r="J6220">
            <v>20.835555555555555</v>
          </cell>
        </row>
        <row r="6221">
          <cell r="B6221">
            <v>21.84</v>
          </cell>
          <cell r="C6221">
            <v>41.09</v>
          </cell>
          <cell r="D6221">
            <v>14.75</v>
          </cell>
          <cell r="E6221">
            <v>7.48</v>
          </cell>
          <cell r="H6221">
            <v>45551</v>
          </cell>
          <cell r="I6221">
            <v>0.67222222222222217</v>
          </cell>
          <cell r="J6221">
            <v>20.69</v>
          </cell>
        </row>
        <row r="6222">
          <cell r="B6222">
            <v>21.1</v>
          </cell>
          <cell r="C6222">
            <v>46.65</v>
          </cell>
          <cell r="D6222">
            <v>14.34</v>
          </cell>
          <cell r="E6222">
            <v>7.83</v>
          </cell>
          <cell r="H6222">
            <v>45551</v>
          </cell>
          <cell r="I6222">
            <v>0.66666666666666652</v>
          </cell>
          <cell r="J6222">
            <v>20.59</v>
          </cell>
        </row>
        <row r="6223">
          <cell r="B6223">
            <v>21.01</v>
          </cell>
          <cell r="C6223">
            <v>44.25</v>
          </cell>
          <cell r="D6223">
            <v>14.36</v>
          </cell>
          <cell r="E6223">
            <v>8.1300000000000008</v>
          </cell>
          <cell r="H6223">
            <v>45551</v>
          </cell>
          <cell r="I6223">
            <v>0.65666666666666673</v>
          </cell>
          <cell r="J6223">
            <v>20.298888888888889</v>
          </cell>
        </row>
        <row r="6224">
          <cell r="B6224">
            <v>21.2</v>
          </cell>
          <cell r="C6224">
            <v>44.02</v>
          </cell>
          <cell r="D6224">
            <v>14.87</v>
          </cell>
          <cell r="E6224">
            <v>8.14</v>
          </cell>
          <cell r="H6224">
            <v>45551</v>
          </cell>
          <cell r="I6224">
            <v>0.65222222222222215</v>
          </cell>
          <cell r="J6224">
            <v>19.966666666666665</v>
          </cell>
        </row>
        <row r="6225">
          <cell r="B6225">
            <v>23.37</v>
          </cell>
          <cell r="C6225">
            <v>49.39</v>
          </cell>
          <cell r="D6225">
            <v>15.1</v>
          </cell>
          <cell r="E6225">
            <v>7.97</v>
          </cell>
          <cell r="H6225">
            <v>45551</v>
          </cell>
          <cell r="I6225">
            <v>0.65333333333333332</v>
          </cell>
          <cell r="J6225">
            <v>19.698888888888888</v>
          </cell>
        </row>
        <row r="6226">
          <cell r="B6226">
            <v>23.28</v>
          </cell>
          <cell r="C6226">
            <v>52.14</v>
          </cell>
          <cell r="D6226">
            <v>14.86</v>
          </cell>
          <cell r="E6226">
            <v>8.16</v>
          </cell>
          <cell r="H6226">
            <v>45551</v>
          </cell>
          <cell r="I6226">
            <v>0.65888888888888897</v>
          </cell>
          <cell r="J6226">
            <v>19.456666666666667</v>
          </cell>
        </row>
        <row r="6227">
          <cell r="B6227">
            <v>22.65</v>
          </cell>
          <cell r="C6227">
            <v>51.44</v>
          </cell>
          <cell r="D6227">
            <v>14.56</v>
          </cell>
          <cell r="E6227">
            <v>8.1999999999999993</v>
          </cell>
          <cell r="H6227">
            <v>45551</v>
          </cell>
          <cell r="I6227">
            <v>0.66333333333333344</v>
          </cell>
          <cell r="J6227">
            <v>19.333333333333336</v>
          </cell>
        </row>
        <row r="6228">
          <cell r="B6228">
            <v>21.66</v>
          </cell>
          <cell r="C6228">
            <v>49.67</v>
          </cell>
          <cell r="D6228">
            <v>15.05</v>
          </cell>
          <cell r="E6228">
            <v>8.36</v>
          </cell>
          <cell r="H6228">
            <v>45551</v>
          </cell>
          <cell r="I6228">
            <v>0.6677777777777778</v>
          </cell>
          <cell r="J6228">
            <v>19.36</v>
          </cell>
        </row>
        <row r="6229">
          <cell r="B6229">
            <v>20.5</v>
          </cell>
          <cell r="C6229">
            <v>46.72</v>
          </cell>
          <cell r="D6229">
            <v>15.35</v>
          </cell>
          <cell r="E6229">
            <v>8.74</v>
          </cell>
          <cell r="H6229">
            <v>45551</v>
          </cell>
          <cell r="I6229">
            <v>0.6677777777777778</v>
          </cell>
          <cell r="J6229">
            <v>19.845555555555556</v>
          </cell>
        </row>
        <row r="6230">
          <cell r="B6230">
            <v>19.95</v>
          </cell>
          <cell r="C6230">
            <v>46.95</v>
          </cell>
          <cell r="D6230">
            <v>15.65</v>
          </cell>
          <cell r="E6230">
            <v>8.65</v>
          </cell>
          <cell r="H6230">
            <v>45551</v>
          </cell>
          <cell r="I6230">
            <v>0.66666666666666663</v>
          </cell>
          <cell r="J6230">
            <v>20.088888888888889</v>
          </cell>
        </row>
        <row r="6231">
          <cell r="B6231">
            <v>19.82</v>
          </cell>
          <cell r="C6231">
            <v>47.7</v>
          </cell>
          <cell r="D6231">
            <v>15.72</v>
          </cell>
          <cell r="E6231">
            <v>9.09</v>
          </cell>
          <cell r="H6231">
            <v>45551</v>
          </cell>
          <cell r="I6231">
            <v>0.66555555555555557</v>
          </cell>
          <cell r="J6231">
            <v>20.310000000000002</v>
          </cell>
        </row>
        <row r="6232">
          <cell r="B6232">
            <v>19.68</v>
          </cell>
          <cell r="C6232">
            <v>47.15</v>
          </cell>
          <cell r="D6232">
            <v>15.84</v>
          </cell>
          <cell r="E6232">
            <v>8.9499999999999993</v>
          </cell>
          <cell r="H6232">
            <v>45551</v>
          </cell>
          <cell r="I6232">
            <v>0.6677777777777778</v>
          </cell>
          <cell r="J6232">
            <v>20.926666666666666</v>
          </cell>
        </row>
        <row r="6233">
          <cell r="B6233">
            <v>21.17</v>
          </cell>
          <cell r="C6233">
            <v>48.26</v>
          </cell>
          <cell r="D6233">
            <v>15.53</v>
          </cell>
          <cell r="E6233">
            <v>9.19</v>
          </cell>
          <cell r="H6233">
            <v>45551</v>
          </cell>
          <cell r="I6233">
            <v>0.66555555555555557</v>
          </cell>
          <cell r="J6233">
            <v>21.554444444444442</v>
          </cell>
        </row>
        <row r="6234">
          <cell r="B6234">
            <v>21.73</v>
          </cell>
          <cell r="C6234">
            <v>51.22</v>
          </cell>
          <cell r="D6234">
            <v>15.44</v>
          </cell>
          <cell r="E6234">
            <v>8.9</v>
          </cell>
          <cell r="H6234">
            <v>45551</v>
          </cell>
          <cell r="I6234">
            <v>0.66555555555555557</v>
          </cell>
          <cell r="J6234">
            <v>22.001111111111111</v>
          </cell>
        </row>
        <row r="6235">
          <cell r="B6235">
            <v>22.78</v>
          </cell>
          <cell r="C6235">
            <v>52.94</v>
          </cell>
          <cell r="D6235">
            <v>15.27</v>
          </cell>
          <cell r="E6235">
            <v>8.7200000000000006</v>
          </cell>
          <cell r="H6235">
            <v>45551</v>
          </cell>
          <cell r="I6235">
            <v>0.6644444444444445</v>
          </cell>
          <cell r="J6235">
            <v>22.323333333333338</v>
          </cell>
        </row>
        <row r="6236">
          <cell r="B6236">
            <v>24.05</v>
          </cell>
          <cell r="C6236">
            <v>56.68</v>
          </cell>
          <cell r="D6236">
            <v>15.93</v>
          </cell>
          <cell r="E6236">
            <v>8.24</v>
          </cell>
          <cell r="H6236">
            <v>45551</v>
          </cell>
          <cell r="I6236">
            <v>0.68000000000000016</v>
          </cell>
          <cell r="J6236">
            <v>22.366666666666667</v>
          </cell>
        </row>
        <row r="6237">
          <cell r="B6237">
            <v>25.61</v>
          </cell>
          <cell r="C6237">
            <v>60.03</v>
          </cell>
          <cell r="D6237">
            <v>16.440000000000001</v>
          </cell>
          <cell r="E6237">
            <v>8.58</v>
          </cell>
          <cell r="H6237">
            <v>45551</v>
          </cell>
          <cell r="I6237">
            <v>0.70111111111111124</v>
          </cell>
          <cell r="J6237">
            <v>22.167777777777779</v>
          </cell>
        </row>
        <row r="6238">
          <cell r="B6238">
            <v>28.69</v>
          </cell>
          <cell r="C6238">
            <v>61.02</v>
          </cell>
          <cell r="D6238">
            <v>16.52</v>
          </cell>
          <cell r="E6238">
            <v>8.2200000000000006</v>
          </cell>
          <cell r="H6238">
            <v>45551</v>
          </cell>
          <cell r="I6238">
            <v>0.71777777777777774</v>
          </cell>
          <cell r="J6238">
            <v>21.572222222222219</v>
          </cell>
        </row>
        <row r="6239">
          <cell r="B6239">
            <v>28.44</v>
          </cell>
          <cell r="C6239">
            <v>57.12</v>
          </cell>
          <cell r="D6239">
            <v>15.63</v>
          </cell>
          <cell r="E6239">
            <v>8.5</v>
          </cell>
          <cell r="H6239">
            <v>45551</v>
          </cell>
          <cell r="I6239">
            <v>0.72444444444444445</v>
          </cell>
          <cell r="J6239">
            <v>21.248888888888889</v>
          </cell>
        </row>
        <row r="6240">
          <cell r="B6240">
            <v>26.42</v>
          </cell>
          <cell r="C6240">
            <v>52.1</v>
          </cell>
          <cell r="D6240">
            <v>15.63</v>
          </cell>
          <cell r="E6240">
            <v>8.5299999999999994</v>
          </cell>
          <cell r="H6240">
            <v>45551</v>
          </cell>
          <cell r="I6240">
            <v>0.72444444444444445</v>
          </cell>
          <cell r="J6240">
            <v>20.916666666666671</v>
          </cell>
        </row>
        <row r="6241">
          <cell r="B6241">
            <v>26.9</v>
          </cell>
          <cell r="C6241">
            <v>49.86</v>
          </cell>
          <cell r="D6241">
            <v>15</v>
          </cell>
          <cell r="E6241">
            <v>8.43</v>
          </cell>
          <cell r="H6241">
            <v>45551</v>
          </cell>
          <cell r="I6241">
            <v>0.72111111111111104</v>
          </cell>
          <cell r="J6241">
            <v>20.414444444444445</v>
          </cell>
        </row>
        <row r="6242">
          <cell r="B6242">
            <v>25.13</v>
          </cell>
          <cell r="C6242">
            <v>46.14</v>
          </cell>
          <cell r="D6242">
            <v>15.04</v>
          </cell>
          <cell r="E6242">
            <v>8.33</v>
          </cell>
          <cell r="H6242">
            <v>45552</v>
          </cell>
          <cell r="I6242">
            <v>0.71666666666666667</v>
          </cell>
          <cell r="J6242">
            <v>20.015555555555554</v>
          </cell>
        </row>
        <row r="6243">
          <cell r="B6243">
            <v>23.75</v>
          </cell>
          <cell r="C6243">
            <v>43.23</v>
          </cell>
          <cell r="D6243">
            <v>14.61</v>
          </cell>
          <cell r="E6243">
            <v>8.27</v>
          </cell>
          <cell r="H6243">
            <v>45552</v>
          </cell>
          <cell r="I6243">
            <v>0.7088888888888889</v>
          </cell>
          <cell r="J6243">
            <v>19.741111111111106</v>
          </cell>
        </row>
        <row r="6244">
          <cell r="B6244">
            <v>22.5</v>
          </cell>
          <cell r="C6244">
            <v>40.51</v>
          </cell>
          <cell r="D6244">
            <v>14.51</v>
          </cell>
          <cell r="E6244">
            <v>8.11</v>
          </cell>
          <cell r="H6244">
            <v>45552</v>
          </cell>
          <cell r="I6244">
            <v>0.70000000000000007</v>
          </cell>
          <cell r="J6244">
            <v>19.533333333333339</v>
          </cell>
        </row>
        <row r="6245">
          <cell r="B6245">
            <v>20.92</v>
          </cell>
          <cell r="C6245">
            <v>39.29</v>
          </cell>
          <cell r="D6245">
            <v>14.35</v>
          </cell>
          <cell r="E6245">
            <v>8.27</v>
          </cell>
          <cell r="H6245">
            <v>45552</v>
          </cell>
          <cell r="I6245">
            <v>0.67888888888888888</v>
          </cell>
          <cell r="J6245">
            <v>19.465555555555557</v>
          </cell>
        </row>
        <row r="6246">
          <cell r="B6246">
            <v>20.59</v>
          </cell>
          <cell r="C6246">
            <v>40.19</v>
          </cell>
          <cell r="D6246">
            <v>14.46</v>
          </cell>
          <cell r="E6246">
            <v>8.08</v>
          </cell>
          <cell r="H6246">
            <v>45552</v>
          </cell>
          <cell r="I6246">
            <v>0.64777777777777779</v>
          </cell>
          <cell r="J6246">
            <v>19.490000000000002</v>
          </cell>
        </row>
        <row r="6247">
          <cell r="B6247">
            <v>21.62</v>
          </cell>
          <cell r="C6247">
            <v>41.94</v>
          </cell>
          <cell r="D6247">
            <v>14.6</v>
          </cell>
          <cell r="E6247">
            <v>8.34</v>
          </cell>
          <cell r="H6247">
            <v>45552</v>
          </cell>
          <cell r="I6247">
            <v>0.63111111111111096</v>
          </cell>
          <cell r="J6247">
            <v>19.516666666666666</v>
          </cell>
        </row>
        <row r="6248">
          <cell r="B6248">
            <v>23.54</v>
          </cell>
          <cell r="C6248">
            <v>42.16</v>
          </cell>
          <cell r="D6248">
            <v>14.71</v>
          </cell>
          <cell r="E6248">
            <v>8.4600000000000009</v>
          </cell>
          <cell r="H6248">
            <v>45552</v>
          </cell>
          <cell r="I6248">
            <v>0.62888888888888883</v>
          </cell>
          <cell r="J6248">
            <v>19.483333333333334</v>
          </cell>
        </row>
        <row r="6249">
          <cell r="B6249">
            <v>24.15</v>
          </cell>
          <cell r="C6249">
            <v>43.74</v>
          </cell>
          <cell r="D6249">
            <v>14.98</v>
          </cell>
          <cell r="E6249">
            <v>8.49</v>
          </cell>
          <cell r="H6249">
            <v>45552</v>
          </cell>
          <cell r="I6249">
            <v>0.6333333333333333</v>
          </cell>
          <cell r="J6249">
            <v>19.496666666666663</v>
          </cell>
        </row>
        <row r="6250">
          <cell r="B6250">
            <v>23.52</v>
          </cell>
          <cell r="C6250">
            <v>46.77</v>
          </cell>
          <cell r="D6250">
            <v>15.31</v>
          </cell>
          <cell r="E6250">
            <v>8.5399999999999991</v>
          </cell>
          <cell r="H6250">
            <v>45552</v>
          </cell>
          <cell r="I6250">
            <v>0.63555555555555565</v>
          </cell>
          <cell r="J6250">
            <v>19.429999999999996</v>
          </cell>
        </row>
        <row r="6251">
          <cell r="B6251">
            <v>21.86</v>
          </cell>
          <cell r="C6251">
            <v>43.13</v>
          </cell>
          <cell r="D6251">
            <v>15.19</v>
          </cell>
          <cell r="E6251">
            <v>8.3800000000000008</v>
          </cell>
          <cell r="H6251">
            <v>45552</v>
          </cell>
          <cell r="I6251">
            <v>0.64222222222222225</v>
          </cell>
          <cell r="J6251">
            <v>19.521111111111111</v>
          </cell>
        </row>
        <row r="6252">
          <cell r="B6252">
            <v>19.32</v>
          </cell>
          <cell r="C6252">
            <v>47.85</v>
          </cell>
          <cell r="D6252">
            <v>15.46</v>
          </cell>
          <cell r="E6252">
            <v>8.23</v>
          </cell>
          <cell r="H6252">
            <v>45552</v>
          </cell>
          <cell r="I6252">
            <v>0.65</v>
          </cell>
          <cell r="J6252">
            <v>19.587777777777781</v>
          </cell>
        </row>
        <row r="6253">
          <cell r="B6253">
            <v>19.12</v>
          </cell>
          <cell r="C6253">
            <v>48.32</v>
          </cell>
          <cell r="D6253">
            <v>16.16</v>
          </cell>
          <cell r="E6253">
            <v>9.0299999999999994</v>
          </cell>
          <cell r="H6253">
            <v>45552</v>
          </cell>
          <cell r="I6253">
            <v>0.65666666666666673</v>
          </cell>
          <cell r="J6253">
            <v>19.965555555555554</v>
          </cell>
        </row>
        <row r="6254">
          <cell r="B6254">
            <v>20.18</v>
          </cell>
          <cell r="C6254">
            <v>43.31</v>
          </cell>
          <cell r="D6254">
            <v>17.04</v>
          </cell>
          <cell r="E6254">
            <v>9.1199999999999992</v>
          </cell>
          <cell r="H6254">
            <v>45552</v>
          </cell>
          <cell r="I6254">
            <v>0.66222222222222227</v>
          </cell>
          <cell r="J6254">
            <v>20.476666666666667</v>
          </cell>
        </row>
        <row r="6255">
          <cell r="B6255">
            <v>20.07</v>
          </cell>
          <cell r="C6255">
            <v>42.95</v>
          </cell>
          <cell r="D6255">
            <v>16.88</v>
          </cell>
          <cell r="E6255">
            <v>8.6999999999999993</v>
          </cell>
          <cell r="H6255">
            <v>45552</v>
          </cell>
          <cell r="I6255">
            <v>0.67</v>
          </cell>
          <cell r="J6255">
            <v>21.058888888888887</v>
          </cell>
        </row>
        <row r="6256">
          <cell r="B6256">
            <v>19.75</v>
          </cell>
          <cell r="C6256">
            <v>46.17</v>
          </cell>
          <cell r="D6256">
            <v>16.43</v>
          </cell>
          <cell r="E6256">
            <v>8.58</v>
          </cell>
          <cell r="H6256">
            <v>45552</v>
          </cell>
          <cell r="I6256">
            <v>0.67222222222222217</v>
          </cell>
          <cell r="J6256">
            <v>21.581111111111106</v>
          </cell>
        </row>
        <row r="6257">
          <cell r="B6257">
            <v>21.14</v>
          </cell>
          <cell r="C6257">
            <v>49.44</v>
          </cell>
          <cell r="D6257">
            <v>16.170000000000002</v>
          </cell>
          <cell r="E6257">
            <v>9.61</v>
          </cell>
          <cell r="H6257">
            <v>45552</v>
          </cell>
          <cell r="I6257">
            <v>0.6744444444444444</v>
          </cell>
          <cell r="J6257">
            <v>22.06</v>
          </cell>
        </row>
        <row r="6258">
          <cell r="B6258">
            <v>21.27</v>
          </cell>
          <cell r="C6258">
            <v>50.82</v>
          </cell>
          <cell r="D6258">
            <v>16.079999999999998</v>
          </cell>
          <cell r="E6258">
            <v>9.75</v>
          </cell>
          <cell r="H6258">
            <v>45552</v>
          </cell>
          <cell r="I6258">
            <v>0.67555555555555558</v>
          </cell>
          <cell r="J6258">
            <v>22.56666666666667</v>
          </cell>
        </row>
        <row r="6259">
          <cell r="B6259">
            <v>21.07</v>
          </cell>
          <cell r="C6259">
            <v>49.91</v>
          </cell>
          <cell r="D6259">
            <v>15.67</v>
          </cell>
          <cell r="E6259">
            <v>8.6199999999999992</v>
          </cell>
          <cell r="H6259">
            <v>45552</v>
          </cell>
          <cell r="I6259">
            <v>0.69</v>
          </cell>
          <cell r="J6259">
            <v>22.971111111111114</v>
          </cell>
        </row>
        <row r="6260">
          <cell r="B6260">
            <v>21.47</v>
          </cell>
          <cell r="C6260">
            <v>46.76</v>
          </cell>
          <cell r="D6260">
            <v>15.66</v>
          </cell>
          <cell r="E6260">
            <v>8.32</v>
          </cell>
          <cell r="H6260">
            <v>45552</v>
          </cell>
          <cell r="I6260">
            <v>0.69555555555555548</v>
          </cell>
          <cell r="J6260">
            <v>23.165555555555557</v>
          </cell>
        </row>
        <row r="6261">
          <cell r="B6261">
            <v>23.65</v>
          </cell>
          <cell r="C6261">
            <v>46.35</v>
          </cell>
          <cell r="D6261">
            <v>16.010000000000002</v>
          </cell>
          <cell r="E6261">
            <v>8.25</v>
          </cell>
          <cell r="H6261">
            <v>45552</v>
          </cell>
          <cell r="I6261">
            <v>0.70000000000000007</v>
          </cell>
          <cell r="J6261">
            <v>23.355555555555554</v>
          </cell>
        </row>
        <row r="6262">
          <cell r="B6262">
            <v>22.04</v>
          </cell>
          <cell r="C6262">
            <v>50.17</v>
          </cell>
          <cell r="D6262">
            <v>15.92</v>
          </cell>
          <cell r="E6262">
            <v>8.32</v>
          </cell>
          <cell r="H6262">
            <v>45552</v>
          </cell>
          <cell r="I6262">
            <v>0.72000000000000008</v>
          </cell>
          <cell r="J6262">
            <v>23.226666666666663</v>
          </cell>
        </row>
        <row r="6263">
          <cell r="B6263">
            <v>22.05</v>
          </cell>
          <cell r="C6263">
            <v>51.98</v>
          </cell>
          <cell r="D6263">
            <v>15.99</v>
          </cell>
          <cell r="E6263">
            <v>8.52</v>
          </cell>
          <cell r="H6263">
            <v>45552</v>
          </cell>
          <cell r="I6263">
            <v>0.72555555555555562</v>
          </cell>
          <cell r="J6263">
            <v>22.966666666666665</v>
          </cell>
        </row>
        <row r="6264">
          <cell r="B6264">
            <v>21.77</v>
          </cell>
          <cell r="C6264">
            <v>49.99</v>
          </cell>
          <cell r="D6264">
            <v>15.78</v>
          </cell>
          <cell r="E6264">
            <v>8.3800000000000008</v>
          </cell>
          <cell r="H6264">
            <v>45552</v>
          </cell>
          <cell r="I6264">
            <v>0.72555555555555551</v>
          </cell>
          <cell r="J6264">
            <v>22.648888888888891</v>
          </cell>
        </row>
        <row r="6265">
          <cell r="B6265">
            <v>23.75</v>
          </cell>
          <cell r="C6265">
            <v>51.75</v>
          </cell>
          <cell r="D6265">
            <v>15.11</v>
          </cell>
          <cell r="E6265">
            <v>8.3699999999999992</v>
          </cell>
          <cell r="H6265">
            <v>45552</v>
          </cell>
          <cell r="I6265">
            <v>0.72666666666666657</v>
          </cell>
          <cell r="J6265">
            <v>22.39</v>
          </cell>
        </row>
        <row r="6266">
          <cell r="B6266">
            <v>25.67</v>
          </cell>
          <cell r="C6266">
            <v>53.78</v>
          </cell>
          <cell r="D6266">
            <v>14.98</v>
          </cell>
          <cell r="E6266">
            <v>8.75</v>
          </cell>
          <cell r="H6266">
            <v>45553</v>
          </cell>
          <cell r="I6266">
            <v>0.71777777777777774</v>
          </cell>
          <cell r="J6266">
            <v>22.173333333333332</v>
          </cell>
        </row>
        <row r="6267">
          <cell r="B6267">
            <v>25.98</v>
          </cell>
          <cell r="C6267">
            <v>49.58</v>
          </cell>
          <cell r="D6267">
            <v>15.11</v>
          </cell>
          <cell r="E6267">
            <v>9.06</v>
          </cell>
          <cell r="H6267">
            <v>45553</v>
          </cell>
          <cell r="I6267">
            <v>0.7122222222222222</v>
          </cell>
          <cell r="J6267">
            <v>21.90666666666667</v>
          </cell>
        </row>
        <row r="6268">
          <cell r="B6268">
            <v>24.13</v>
          </cell>
          <cell r="C6268">
            <v>46.71</v>
          </cell>
          <cell r="D6268">
            <v>14.99</v>
          </cell>
          <cell r="E6268">
            <v>9.01</v>
          </cell>
          <cell r="H6268">
            <v>45553</v>
          </cell>
          <cell r="I6268">
            <v>0.69333333333333336</v>
          </cell>
          <cell r="J6268">
            <v>21.865555555555559</v>
          </cell>
        </row>
        <row r="6269">
          <cell r="B6269">
            <v>21.99</v>
          </cell>
          <cell r="C6269">
            <v>41.88</v>
          </cell>
          <cell r="D6269">
            <v>15.32</v>
          </cell>
          <cell r="E6269">
            <v>8.65</v>
          </cell>
          <cell r="H6269">
            <v>45553</v>
          </cell>
          <cell r="I6269">
            <v>0.68</v>
          </cell>
          <cell r="J6269">
            <v>21.940000000000005</v>
          </cell>
        </row>
        <row r="6270">
          <cell r="B6270">
            <v>21.88</v>
          </cell>
          <cell r="C6270">
            <v>41.08</v>
          </cell>
          <cell r="D6270">
            <v>15.12</v>
          </cell>
          <cell r="E6270">
            <v>8.48</v>
          </cell>
          <cell r="H6270">
            <v>45553</v>
          </cell>
          <cell r="I6270">
            <v>0.66666666666666674</v>
          </cell>
          <cell r="J6270">
            <v>22.067777777777778</v>
          </cell>
        </row>
        <row r="6271">
          <cell r="B6271">
            <v>21.2</v>
          </cell>
          <cell r="C6271">
            <v>41.16</v>
          </cell>
          <cell r="D6271">
            <v>15.79</v>
          </cell>
          <cell r="E6271">
            <v>8.48</v>
          </cell>
          <cell r="H6271">
            <v>45553</v>
          </cell>
          <cell r="I6271">
            <v>0.64000000000000012</v>
          </cell>
          <cell r="J6271">
            <v>22.145555555555553</v>
          </cell>
        </row>
        <row r="6272">
          <cell r="B6272">
            <v>21.25</v>
          </cell>
          <cell r="C6272">
            <v>45.74</v>
          </cell>
          <cell r="D6272">
            <v>15.7</v>
          </cell>
          <cell r="E6272">
            <v>8.4499999999999993</v>
          </cell>
          <cell r="H6272">
            <v>45553</v>
          </cell>
          <cell r="I6272">
            <v>0.63</v>
          </cell>
          <cell r="J6272">
            <v>22.165555555555557</v>
          </cell>
        </row>
        <row r="6273">
          <cell r="B6273">
            <v>22.08</v>
          </cell>
          <cell r="C6273">
            <v>49.08</v>
          </cell>
          <cell r="D6273">
            <v>15.57</v>
          </cell>
          <cell r="E6273">
            <v>8.9700000000000006</v>
          </cell>
          <cell r="H6273">
            <v>45553</v>
          </cell>
          <cell r="I6273">
            <v>0.63</v>
          </cell>
          <cell r="J6273">
            <v>22.14</v>
          </cell>
        </row>
        <row r="6274">
          <cell r="B6274">
            <v>23.24</v>
          </cell>
          <cell r="C6274">
            <v>52.88</v>
          </cell>
          <cell r="D6274">
            <v>15.63</v>
          </cell>
          <cell r="E6274">
            <v>8.8800000000000008</v>
          </cell>
          <cell r="H6274">
            <v>45553</v>
          </cell>
          <cell r="I6274">
            <v>0.63222222222222213</v>
          </cell>
          <cell r="J6274">
            <v>22.176666666666669</v>
          </cell>
        </row>
        <row r="6275">
          <cell r="B6275">
            <v>23.09</v>
          </cell>
          <cell r="C6275">
            <v>55.45</v>
          </cell>
          <cell r="D6275">
            <v>15.72</v>
          </cell>
          <cell r="E6275">
            <v>8.9700000000000006</v>
          </cell>
          <cell r="H6275">
            <v>45553</v>
          </cell>
          <cell r="I6275">
            <v>0.64444444444444438</v>
          </cell>
          <cell r="J6275">
            <v>22.28444444444445</v>
          </cell>
        </row>
        <row r="6276">
          <cell r="B6276">
            <v>24.15</v>
          </cell>
          <cell r="C6276">
            <v>59.95</v>
          </cell>
          <cell r="D6276">
            <v>15.7</v>
          </cell>
          <cell r="E6276">
            <v>8.93</v>
          </cell>
          <cell r="H6276">
            <v>45553</v>
          </cell>
          <cell r="I6276">
            <v>0.64777777777777767</v>
          </cell>
          <cell r="J6276">
            <v>22.468888888888895</v>
          </cell>
        </row>
        <row r="6277">
          <cell r="B6277">
            <v>24.36</v>
          </cell>
          <cell r="C6277">
            <v>60.3</v>
          </cell>
          <cell r="D6277">
            <v>16.04</v>
          </cell>
          <cell r="E6277">
            <v>9.23</v>
          </cell>
          <cell r="H6277">
            <v>45553</v>
          </cell>
          <cell r="I6277">
            <v>0.65444444444444427</v>
          </cell>
          <cell r="J6277">
            <v>22.775555555555556</v>
          </cell>
        </row>
        <row r="6278">
          <cell r="B6278">
            <v>25.06</v>
          </cell>
          <cell r="C6278">
            <v>63.09</v>
          </cell>
          <cell r="D6278">
            <v>15.55</v>
          </cell>
          <cell r="E6278">
            <v>9.32</v>
          </cell>
          <cell r="H6278">
            <v>45553</v>
          </cell>
          <cell r="I6278">
            <v>0.65999999999999992</v>
          </cell>
          <cell r="J6278">
            <v>22.962222222222223</v>
          </cell>
        </row>
        <row r="6279">
          <cell r="B6279">
            <v>24.66</v>
          </cell>
          <cell r="C6279">
            <v>66.040000000000006</v>
          </cell>
          <cell r="D6279">
            <v>15.4</v>
          </cell>
          <cell r="E6279">
            <v>8.65</v>
          </cell>
          <cell r="H6279">
            <v>45553</v>
          </cell>
          <cell r="I6279">
            <v>0.66555555555555557</v>
          </cell>
          <cell r="J6279">
            <v>23.804444444444446</v>
          </cell>
        </row>
        <row r="6280">
          <cell r="B6280">
            <v>25.96</v>
          </cell>
          <cell r="C6280">
            <v>70.27</v>
          </cell>
          <cell r="D6280">
            <v>15.54</v>
          </cell>
          <cell r="E6280">
            <v>9.3000000000000007</v>
          </cell>
          <cell r="H6280">
            <v>45553</v>
          </cell>
          <cell r="I6280">
            <v>0.67000000000000015</v>
          </cell>
          <cell r="J6280">
            <v>24.561111111111114</v>
          </cell>
        </row>
        <row r="6281">
          <cell r="B6281">
            <v>26.52</v>
          </cell>
          <cell r="C6281">
            <v>69.040000000000006</v>
          </cell>
          <cell r="D6281">
            <v>16.350000000000001</v>
          </cell>
          <cell r="E6281">
            <v>9.2799999999999994</v>
          </cell>
          <cell r="H6281">
            <v>45553</v>
          </cell>
          <cell r="I6281">
            <v>0.6711111111111111</v>
          </cell>
          <cell r="J6281">
            <v>25.081111111111113</v>
          </cell>
        </row>
        <row r="6282">
          <cell r="B6282">
            <v>26.7</v>
          </cell>
          <cell r="C6282">
            <v>68.459999999999994</v>
          </cell>
          <cell r="D6282">
            <v>16.46</v>
          </cell>
          <cell r="E6282">
            <v>9.2200000000000006</v>
          </cell>
          <cell r="H6282">
            <v>45553</v>
          </cell>
          <cell r="I6282">
            <v>0.6711111111111111</v>
          </cell>
          <cell r="J6282">
            <v>25.58</v>
          </cell>
        </row>
        <row r="6283">
          <cell r="B6283">
            <v>28.19</v>
          </cell>
          <cell r="C6283">
            <v>68.89</v>
          </cell>
          <cell r="D6283">
            <v>15.61</v>
          </cell>
          <cell r="E6283">
            <v>8.6199999999999992</v>
          </cell>
          <cell r="H6283">
            <v>45553</v>
          </cell>
          <cell r="I6283">
            <v>0.67333333333333334</v>
          </cell>
          <cell r="J6283">
            <v>25.853333333333332</v>
          </cell>
        </row>
        <row r="6284">
          <cell r="B6284">
            <v>28.37</v>
          </cell>
          <cell r="C6284">
            <v>77.180000000000007</v>
          </cell>
          <cell r="D6284">
            <v>16.190000000000001</v>
          </cell>
          <cell r="E6284">
            <v>8.59</v>
          </cell>
          <cell r="H6284">
            <v>45553</v>
          </cell>
          <cell r="I6284">
            <v>0.69333333333333336</v>
          </cell>
          <cell r="J6284">
            <v>25.86</v>
          </cell>
        </row>
        <row r="6285">
          <cell r="B6285">
            <v>33.33</v>
          </cell>
          <cell r="C6285">
            <v>94.24</v>
          </cell>
          <cell r="D6285">
            <v>17.760000000000002</v>
          </cell>
          <cell r="E6285">
            <v>8.57</v>
          </cell>
          <cell r="H6285">
            <v>45553</v>
          </cell>
          <cell r="I6285">
            <v>0.73444444444444434</v>
          </cell>
          <cell r="J6285">
            <v>25.524444444444441</v>
          </cell>
        </row>
        <row r="6286">
          <cell r="B6286">
            <v>37.15</v>
          </cell>
          <cell r="C6286">
            <v>98.98</v>
          </cell>
          <cell r="D6286">
            <v>18.13</v>
          </cell>
          <cell r="E6286">
            <v>8.74</v>
          </cell>
          <cell r="H6286">
            <v>45553</v>
          </cell>
          <cell r="I6286">
            <v>0.77888888888888885</v>
          </cell>
          <cell r="J6286">
            <v>24.966666666666665</v>
          </cell>
        </row>
        <row r="6287">
          <cell r="B6287">
            <v>39.65</v>
          </cell>
          <cell r="C6287">
            <v>102.11</v>
          </cell>
          <cell r="D6287">
            <v>18.36</v>
          </cell>
          <cell r="E6287">
            <v>8.85</v>
          </cell>
          <cell r="H6287">
            <v>45553</v>
          </cell>
          <cell r="I6287">
            <v>0.82</v>
          </cell>
          <cell r="J6287">
            <v>24.318888888888885</v>
          </cell>
        </row>
        <row r="6288">
          <cell r="B6288">
            <v>42.28</v>
          </cell>
          <cell r="C6288">
            <v>105.33</v>
          </cell>
          <cell r="D6288">
            <v>18.600000000000001</v>
          </cell>
          <cell r="E6288">
            <v>9.15</v>
          </cell>
          <cell r="H6288">
            <v>45553</v>
          </cell>
          <cell r="I6288">
            <v>0.86111111111111116</v>
          </cell>
          <cell r="J6288">
            <v>23.026666666666667</v>
          </cell>
        </row>
        <row r="6289">
          <cell r="B6289">
            <v>41.93</v>
          </cell>
          <cell r="C6289">
            <v>99.54</v>
          </cell>
          <cell r="D6289">
            <v>15.91</v>
          </cell>
          <cell r="E6289">
            <v>9.02</v>
          </cell>
          <cell r="H6289">
            <v>45553</v>
          </cell>
          <cell r="I6289">
            <v>0.87</v>
          </cell>
          <cell r="J6289">
            <v>22.045555555555556</v>
          </cell>
        </row>
        <row r="6290">
          <cell r="B6290">
            <v>39.21</v>
          </cell>
          <cell r="C6290">
            <v>86.59</v>
          </cell>
          <cell r="D6290">
            <v>15</v>
          </cell>
          <cell r="E6290">
            <v>7.85</v>
          </cell>
          <cell r="H6290">
            <v>45554</v>
          </cell>
          <cell r="I6290">
            <v>0.87111111111111128</v>
          </cell>
          <cell r="J6290">
            <v>21.464444444444446</v>
          </cell>
        </row>
        <row r="6291">
          <cell r="B6291">
            <v>35.409999999999997</v>
          </cell>
          <cell r="C6291">
            <v>74.19</v>
          </cell>
          <cell r="D6291">
            <v>14.52</v>
          </cell>
          <cell r="E6291">
            <v>6.86</v>
          </cell>
          <cell r="H6291">
            <v>45554</v>
          </cell>
          <cell r="I6291">
            <v>0.86666666666666681</v>
          </cell>
          <cell r="J6291">
            <v>20.987777777777776</v>
          </cell>
        </row>
        <row r="6292">
          <cell r="B6292">
            <v>34.28</v>
          </cell>
          <cell r="C6292">
            <v>67.08</v>
          </cell>
          <cell r="D6292">
            <v>14.49</v>
          </cell>
          <cell r="E6292">
            <v>6.76</v>
          </cell>
          <cell r="H6292">
            <v>45554</v>
          </cell>
          <cell r="I6292">
            <v>0.85555555555555562</v>
          </cell>
          <cell r="J6292">
            <v>20.69222222222222</v>
          </cell>
        </row>
        <row r="6293">
          <cell r="B6293">
            <v>32.5</v>
          </cell>
          <cell r="C6293">
            <v>63.32</v>
          </cell>
          <cell r="D6293">
            <v>14.44</v>
          </cell>
          <cell r="E6293">
            <v>6.97</v>
          </cell>
          <cell r="H6293">
            <v>45554</v>
          </cell>
          <cell r="I6293">
            <v>0.83000000000000007</v>
          </cell>
          <cell r="J6293">
            <v>20.686666666666667</v>
          </cell>
        </row>
        <row r="6294">
          <cell r="B6294">
            <v>29.94</v>
          </cell>
          <cell r="C6294">
            <v>59.04</v>
          </cell>
          <cell r="D6294">
            <v>14.42</v>
          </cell>
          <cell r="E6294">
            <v>6.76</v>
          </cell>
          <cell r="H6294">
            <v>45554</v>
          </cell>
          <cell r="I6294">
            <v>0.78666666666666674</v>
          </cell>
          <cell r="J6294">
            <v>20.900000000000002</v>
          </cell>
        </row>
        <row r="6295">
          <cell r="B6295">
            <v>30.08</v>
          </cell>
          <cell r="C6295">
            <v>56.86</v>
          </cell>
          <cell r="D6295">
            <v>14.24</v>
          </cell>
          <cell r="E6295">
            <v>6.95</v>
          </cell>
          <cell r="H6295">
            <v>45554</v>
          </cell>
          <cell r="I6295">
            <v>0.74222222222222234</v>
          </cell>
          <cell r="J6295">
            <v>21.091111111111115</v>
          </cell>
        </row>
        <row r="6296">
          <cell r="B6296">
            <v>27.86</v>
          </cell>
          <cell r="C6296">
            <v>56.4</v>
          </cell>
          <cell r="D6296">
            <v>14.99</v>
          </cell>
          <cell r="E6296">
            <v>7.28</v>
          </cell>
          <cell r="H6296">
            <v>45554</v>
          </cell>
          <cell r="I6296">
            <v>0.70777777777777773</v>
          </cell>
          <cell r="J6296">
            <v>21.345555555555556</v>
          </cell>
        </row>
        <row r="6297">
          <cell r="B6297">
            <v>28.22</v>
          </cell>
          <cell r="C6297">
            <v>126.48</v>
          </cell>
          <cell r="D6297">
            <v>14.77</v>
          </cell>
          <cell r="E6297">
            <v>6.93</v>
          </cell>
          <cell r="H6297">
            <v>45554</v>
          </cell>
          <cell r="I6297">
            <v>0.67</v>
          </cell>
          <cell r="J6297">
            <v>21.617777777777778</v>
          </cell>
        </row>
        <row r="6298">
          <cell r="B6298">
            <v>27.05</v>
          </cell>
          <cell r="C6298">
            <v>113.19</v>
          </cell>
          <cell r="D6298">
            <v>15.08</v>
          </cell>
          <cell r="E6298">
            <v>6.87</v>
          </cell>
          <cell r="H6298">
            <v>45554</v>
          </cell>
          <cell r="I6298">
            <v>0.67333333333333334</v>
          </cell>
          <cell r="J6298">
            <v>21.712222222222223</v>
          </cell>
        </row>
        <row r="6299">
          <cell r="B6299">
            <v>25.98</v>
          </cell>
          <cell r="C6299">
            <v>84.41</v>
          </cell>
          <cell r="D6299">
            <v>15.15</v>
          </cell>
          <cell r="E6299">
            <v>6.93</v>
          </cell>
          <cell r="H6299">
            <v>45554</v>
          </cell>
          <cell r="I6299">
            <v>0.68333333333333335</v>
          </cell>
          <cell r="J6299">
            <v>21.817777777777778</v>
          </cell>
        </row>
        <row r="6300">
          <cell r="B6300">
            <v>25.93</v>
          </cell>
          <cell r="C6300">
            <v>64.3</v>
          </cell>
          <cell r="D6300">
            <v>15.24</v>
          </cell>
          <cell r="E6300">
            <v>6.75</v>
          </cell>
          <cell r="H6300">
            <v>45554</v>
          </cell>
          <cell r="I6300">
            <v>0.69222222222222229</v>
          </cell>
          <cell r="J6300">
            <v>21.982222222222223</v>
          </cell>
        </row>
        <row r="6301">
          <cell r="B6301">
            <v>23.76</v>
          </cell>
          <cell r="C6301">
            <v>56.23</v>
          </cell>
          <cell r="D6301">
            <v>16.059999999999999</v>
          </cell>
          <cell r="E6301">
            <v>7.81</v>
          </cell>
          <cell r="H6301">
            <v>45554</v>
          </cell>
          <cell r="I6301">
            <v>0.70111111111111113</v>
          </cell>
          <cell r="J6301">
            <v>22.175555555555555</v>
          </cell>
        </row>
        <row r="6302">
          <cell r="B6302">
            <v>23.44</v>
          </cell>
          <cell r="C6302">
            <v>53.1</v>
          </cell>
          <cell r="D6302">
            <v>17.89</v>
          </cell>
          <cell r="E6302">
            <v>7.81</v>
          </cell>
          <cell r="H6302">
            <v>45554</v>
          </cell>
          <cell r="I6302">
            <v>0.7022222222222223</v>
          </cell>
          <cell r="J6302">
            <v>22.6</v>
          </cell>
        </row>
        <row r="6303">
          <cell r="B6303">
            <v>24.97</v>
          </cell>
          <cell r="C6303">
            <v>50.61</v>
          </cell>
          <cell r="D6303">
            <v>17.850000000000001</v>
          </cell>
          <cell r="E6303">
            <v>8.24</v>
          </cell>
          <cell r="H6303">
            <v>45554</v>
          </cell>
          <cell r="I6303">
            <v>0.70666666666666667</v>
          </cell>
          <cell r="J6303">
            <v>22.963333333333331</v>
          </cell>
        </row>
        <row r="6304">
          <cell r="B6304">
            <v>22.77</v>
          </cell>
          <cell r="C6304">
            <v>50.79</v>
          </cell>
          <cell r="D6304">
            <v>17.73</v>
          </cell>
          <cell r="E6304">
            <v>8.48</v>
          </cell>
          <cell r="H6304">
            <v>45554</v>
          </cell>
          <cell r="I6304">
            <v>0.71111111111111114</v>
          </cell>
          <cell r="J6304">
            <v>23.507777777777775</v>
          </cell>
        </row>
        <row r="6305">
          <cell r="B6305">
            <v>22.87</v>
          </cell>
          <cell r="C6305">
            <v>52.99</v>
          </cell>
          <cell r="D6305">
            <v>18.39</v>
          </cell>
          <cell r="E6305">
            <v>9.0500000000000007</v>
          </cell>
          <cell r="H6305">
            <v>45554</v>
          </cell>
          <cell r="I6305">
            <v>0.70777777777777784</v>
          </cell>
          <cell r="J6305">
            <v>24.103333333333335</v>
          </cell>
        </row>
        <row r="6306">
          <cell r="B6306">
            <v>23.46</v>
          </cell>
          <cell r="C6306">
            <v>53.14</v>
          </cell>
          <cell r="D6306">
            <v>17.72</v>
          </cell>
          <cell r="E6306">
            <v>8.59</v>
          </cell>
          <cell r="H6306">
            <v>45554</v>
          </cell>
          <cell r="I6306">
            <v>0.70666666666666655</v>
          </cell>
          <cell r="J6306">
            <v>24.801111111111112</v>
          </cell>
        </row>
        <row r="6307">
          <cell r="B6307">
            <v>23.27</v>
          </cell>
          <cell r="C6307">
            <v>64.150000000000006</v>
          </cell>
          <cell r="D6307">
            <v>15.86</v>
          </cell>
          <cell r="E6307">
            <v>7.67</v>
          </cell>
          <cell r="H6307">
            <v>45554</v>
          </cell>
          <cell r="I6307">
            <v>0.70444444444444443</v>
          </cell>
          <cell r="J6307">
            <v>25.213333333333331</v>
          </cell>
        </row>
        <row r="6308">
          <cell r="B6308">
            <v>28.27</v>
          </cell>
          <cell r="C6308">
            <v>65.28</v>
          </cell>
          <cell r="D6308">
            <v>15.75</v>
          </cell>
          <cell r="E6308">
            <v>7.43</v>
          </cell>
          <cell r="H6308">
            <v>45554</v>
          </cell>
          <cell r="I6308">
            <v>0.7155555555555555</v>
          </cell>
          <cell r="J6308">
            <v>25.337777777777777</v>
          </cell>
        </row>
        <row r="6309">
          <cell r="B6309">
            <v>34.83</v>
          </cell>
          <cell r="C6309">
            <v>80.69</v>
          </cell>
          <cell r="D6309">
            <v>16.809999999999999</v>
          </cell>
          <cell r="E6309">
            <v>7.65</v>
          </cell>
          <cell r="H6309">
            <v>45554</v>
          </cell>
          <cell r="I6309">
            <v>0.74333333333333329</v>
          </cell>
          <cell r="J6309">
            <v>25.215555555555554</v>
          </cell>
        </row>
        <row r="6310">
          <cell r="B6310">
            <v>38.39</v>
          </cell>
          <cell r="C6310">
            <v>81.66</v>
          </cell>
          <cell r="D6310">
            <v>16.18</v>
          </cell>
          <cell r="E6310">
            <v>7.6</v>
          </cell>
          <cell r="H6310">
            <v>45554</v>
          </cell>
          <cell r="I6310">
            <v>0.75555555555555554</v>
          </cell>
          <cell r="J6310">
            <v>25.071111111111108</v>
          </cell>
        </row>
        <row r="6311">
          <cell r="B6311">
            <v>31.69</v>
          </cell>
          <cell r="C6311">
            <v>67.150000000000006</v>
          </cell>
          <cell r="D6311">
            <v>15.61</v>
          </cell>
          <cell r="E6311">
            <v>7.21</v>
          </cell>
          <cell r="H6311">
            <v>45554</v>
          </cell>
          <cell r="I6311">
            <v>0.75555555555555542</v>
          </cell>
          <cell r="J6311">
            <v>24.637777777777774</v>
          </cell>
        </row>
        <row r="6312">
          <cell r="B6312">
            <v>31.96</v>
          </cell>
          <cell r="C6312">
            <v>60.83</v>
          </cell>
          <cell r="D6312">
            <v>15.44</v>
          </cell>
          <cell r="E6312">
            <v>7.42</v>
          </cell>
          <cell r="H6312">
            <v>45554</v>
          </cell>
          <cell r="I6312">
            <v>0.75222222222222213</v>
          </cell>
          <cell r="J6312">
            <v>24.285555555555554</v>
          </cell>
        </row>
        <row r="6313">
          <cell r="B6313">
            <v>40.28</v>
          </cell>
          <cell r="C6313">
            <v>68.430000000000007</v>
          </cell>
          <cell r="D6313">
            <v>15.37</v>
          </cell>
          <cell r="E6313">
            <v>7.32</v>
          </cell>
          <cell r="H6313">
            <v>45554</v>
          </cell>
          <cell r="I6313">
            <v>0.74333333333333329</v>
          </cell>
          <cell r="J6313">
            <v>23.803333333333335</v>
          </cell>
        </row>
        <row r="6314">
          <cell r="B6314">
            <v>27.16</v>
          </cell>
          <cell r="C6314">
            <v>49.5</v>
          </cell>
          <cell r="D6314">
            <v>15.04</v>
          </cell>
          <cell r="E6314">
            <v>7.77</v>
          </cell>
          <cell r="H6314">
            <v>45555</v>
          </cell>
          <cell r="I6314">
            <v>0.73</v>
          </cell>
          <cell r="J6314">
            <v>23.365555555555559</v>
          </cell>
        </row>
        <row r="6315">
          <cell r="B6315">
            <v>23.55</v>
          </cell>
          <cell r="C6315">
            <v>48.3</v>
          </cell>
          <cell r="D6315">
            <v>14.89</v>
          </cell>
          <cell r="E6315">
            <v>8.2799999999999994</v>
          </cell>
          <cell r="H6315">
            <v>45555</v>
          </cell>
          <cell r="I6315">
            <v>0.72</v>
          </cell>
          <cell r="J6315">
            <v>22.815555555555555</v>
          </cell>
        </row>
        <row r="6316">
          <cell r="B6316">
            <v>22.23</v>
          </cell>
          <cell r="C6316">
            <v>44.51</v>
          </cell>
          <cell r="D6316">
            <v>14.71</v>
          </cell>
          <cell r="E6316">
            <v>8.5</v>
          </cell>
          <cell r="H6316">
            <v>45555</v>
          </cell>
          <cell r="I6316">
            <v>0.70666666666666655</v>
          </cell>
          <cell r="J6316">
            <v>22.583333333333332</v>
          </cell>
        </row>
        <row r="6317">
          <cell r="B6317">
            <v>24.32</v>
          </cell>
          <cell r="C6317">
            <v>41.05</v>
          </cell>
          <cell r="D6317">
            <v>14.41</v>
          </cell>
          <cell r="E6317">
            <v>8.7200000000000006</v>
          </cell>
          <cell r="H6317">
            <v>45555</v>
          </cell>
          <cell r="I6317">
            <v>0.68111111111111111</v>
          </cell>
          <cell r="J6317">
            <v>22.513333333333332</v>
          </cell>
        </row>
        <row r="6318">
          <cell r="B6318">
            <v>25.22</v>
          </cell>
          <cell r="C6318">
            <v>46.42</v>
          </cell>
          <cell r="D6318">
            <v>14.55</v>
          </cell>
          <cell r="E6318">
            <v>8.5500000000000007</v>
          </cell>
          <cell r="H6318">
            <v>45555</v>
          </cell>
          <cell r="I6318">
            <v>0.64333333333333331</v>
          </cell>
          <cell r="J6318">
            <v>22.59333333333333</v>
          </cell>
        </row>
        <row r="6319">
          <cell r="B6319">
            <v>30.49</v>
          </cell>
          <cell r="C6319">
            <v>53.96</v>
          </cell>
          <cell r="D6319">
            <v>14.92</v>
          </cell>
          <cell r="E6319">
            <v>8.5299999999999994</v>
          </cell>
          <cell r="H6319">
            <v>45555</v>
          </cell>
          <cell r="I6319">
            <v>0.62333333333333341</v>
          </cell>
          <cell r="J6319">
            <v>22.535555555555554</v>
          </cell>
        </row>
        <row r="6320">
          <cell r="B6320">
            <v>31.54</v>
          </cell>
          <cell r="C6320">
            <v>56.91</v>
          </cell>
          <cell r="D6320">
            <v>15.24</v>
          </cell>
          <cell r="E6320">
            <v>8.61</v>
          </cell>
          <cell r="H6320">
            <v>45555</v>
          </cell>
          <cell r="I6320">
            <v>0.62111111111111117</v>
          </cell>
          <cell r="J6320">
            <v>22.396666666666661</v>
          </cell>
        </row>
        <row r="6321">
          <cell r="B6321">
            <v>29.38</v>
          </cell>
          <cell r="C6321">
            <v>55.87</v>
          </cell>
          <cell r="D6321">
            <v>14.92</v>
          </cell>
          <cell r="E6321">
            <v>8.56</v>
          </cell>
          <cell r="H6321">
            <v>45555</v>
          </cell>
          <cell r="I6321">
            <v>0.62111111111111106</v>
          </cell>
          <cell r="J6321">
            <v>22.276666666666664</v>
          </cell>
        </row>
        <row r="6322">
          <cell r="B6322">
            <v>27.18</v>
          </cell>
          <cell r="C6322">
            <v>56.04</v>
          </cell>
          <cell r="D6322">
            <v>15.57</v>
          </cell>
          <cell r="E6322">
            <v>8.2799999999999994</v>
          </cell>
          <cell r="H6322">
            <v>45555</v>
          </cell>
          <cell r="I6322">
            <v>0.63</v>
          </cell>
          <cell r="J6322">
            <v>22.225555555555555</v>
          </cell>
        </row>
        <row r="6323">
          <cell r="B6323">
            <v>25.74</v>
          </cell>
          <cell r="C6323">
            <v>59.21</v>
          </cell>
          <cell r="D6323">
            <v>15.26</v>
          </cell>
          <cell r="E6323">
            <v>8.7200000000000006</v>
          </cell>
          <cell r="H6323">
            <v>45555</v>
          </cell>
          <cell r="I6323">
            <v>0.64666666666666672</v>
          </cell>
          <cell r="J6323">
            <v>22.218888888888888</v>
          </cell>
        </row>
        <row r="6324">
          <cell r="B6324">
            <v>24.72</v>
          </cell>
          <cell r="C6324">
            <v>58.56</v>
          </cell>
          <cell r="D6324">
            <v>15.3</v>
          </cell>
          <cell r="E6324">
            <v>8.82</v>
          </cell>
          <cell r="H6324">
            <v>45555</v>
          </cell>
          <cell r="I6324">
            <v>0.65777777777777779</v>
          </cell>
          <cell r="J6324">
            <v>22.255555555555553</v>
          </cell>
        </row>
        <row r="6325">
          <cell r="B6325">
            <v>24.73</v>
          </cell>
          <cell r="C6325">
            <v>56.44</v>
          </cell>
          <cell r="D6325">
            <v>15.57</v>
          </cell>
          <cell r="E6325">
            <v>9.07</v>
          </cell>
          <cell r="H6325">
            <v>45555</v>
          </cell>
          <cell r="I6325">
            <v>0.65999999999999992</v>
          </cell>
          <cell r="J6325">
            <v>22.268888888888888</v>
          </cell>
        </row>
        <row r="6326">
          <cell r="B6326">
            <v>23.32</v>
          </cell>
          <cell r="C6326">
            <v>56.79</v>
          </cell>
          <cell r="D6326">
            <v>15.72</v>
          </cell>
          <cell r="E6326">
            <v>8.85</v>
          </cell>
          <cell r="H6326">
            <v>45555</v>
          </cell>
          <cell r="I6326">
            <v>0.66</v>
          </cell>
          <cell r="J6326">
            <v>22.36888888888889</v>
          </cell>
        </row>
        <row r="6327">
          <cell r="B6327">
            <v>22.78</v>
          </cell>
          <cell r="C6327">
            <v>54.05</v>
          </cell>
          <cell r="D6327">
            <v>26.28</v>
          </cell>
          <cell r="E6327">
            <v>8.91</v>
          </cell>
          <cell r="H6327">
            <v>45555</v>
          </cell>
          <cell r="I6327">
            <v>0.67333333333333334</v>
          </cell>
          <cell r="J6327">
            <v>22.736666666666665</v>
          </cell>
        </row>
        <row r="6328">
          <cell r="B6328">
            <v>20.93</v>
          </cell>
          <cell r="C6328">
            <v>53.65</v>
          </cell>
          <cell r="D6328">
            <v>19.97</v>
          </cell>
          <cell r="E6328">
            <v>8.93</v>
          </cell>
          <cell r="H6328">
            <v>45555</v>
          </cell>
          <cell r="I6328">
            <v>0.68444444444444441</v>
          </cell>
          <cell r="J6328">
            <v>23.165555555555557</v>
          </cell>
        </row>
        <row r="6329">
          <cell r="B6329">
            <v>23.73</v>
          </cell>
          <cell r="C6329">
            <v>53.35</v>
          </cell>
          <cell r="D6329">
            <v>18.09</v>
          </cell>
          <cell r="E6329">
            <v>8.83</v>
          </cell>
          <cell r="H6329">
            <v>45555</v>
          </cell>
          <cell r="I6329">
            <v>0.69444444444444442</v>
          </cell>
          <cell r="J6329">
            <v>23.731111111111108</v>
          </cell>
        </row>
        <row r="6330">
          <cell r="B6330">
            <v>24.48</v>
          </cell>
          <cell r="C6330">
            <v>57.79</v>
          </cell>
          <cell r="D6330">
            <v>17.52</v>
          </cell>
          <cell r="E6330">
            <v>8.9</v>
          </cell>
          <cell r="H6330">
            <v>45555</v>
          </cell>
          <cell r="I6330">
            <v>0.69777777777777783</v>
          </cell>
          <cell r="J6330">
            <v>24.245555555555555</v>
          </cell>
        </row>
        <row r="6331">
          <cell r="B6331">
            <v>28.57</v>
          </cell>
          <cell r="C6331">
            <v>64.400000000000006</v>
          </cell>
          <cell r="D6331">
            <v>17.649999999999999</v>
          </cell>
          <cell r="E6331">
            <v>8.83</v>
          </cell>
          <cell r="H6331">
            <v>45555</v>
          </cell>
          <cell r="I6331">
            <v>0.7022222222222223</v>
          </cell>
          <cell r="J6331">
            <v>24.682222222222222</v>
          </cell>
        </row>
        <row r="6332">
          <cell r="B6332">
            <v>31.66</v>
          </cell>
          <cell r="C6332">
            <v>76.09</v>
          </cell>
          <cell r="D6332">
            <v>18.28</v>
          </cell>
          <cell r="E6332">
            <v>8.57</v>
          </cell>
          <cell r="H6332">
            <v>45555</v>
          </cell>
          <cell r="I6332">
            <v>0.7155555555555555</v>
          </cell>
          <cell r="J6332">
            <v>24.851111111111113</v>
          </cell>
        </row>
        <row r="6333">
          <cell r="B6333">
            <v>38.78</v>
          </cell>
          <cell r="C6333">
            <v>88.05</v>
          </cell>
          <cell r="D6333">
            <v>19.399999999999999</v>
          </cell>
          <cell r="E6333">
            <v>8.85</v>
          </cell>
          <cell r="H6333">
            <v>45555</v>
          </cell>
          <cell r="I6333">
            <v>0.7466666666666667</v>
          </cell>
          <cell r="J6333">
            <v>24.741111111111113</v>
          </cell>
        </row>
        <row r="6334">
          <cell r="B6334">
            <v>46.87</v>
          </cell>
          <cell r="C6334">
            <v>97.9</v>
          </cell>
          <cell r="D6334">
            <v>18.91</v>
          </cell>
          <cell r="E6334">
            <v>8.81</v>
          </cell>
          <cell r="H6334">
            <v>45555</v>
          </cell>
          <cell r="I6334">
            <v>0.77666666666666673</v>
          </cell>
          <cell r="J6334">
            <v>24.654444444444444</v>
          </cell>
        </row>
        <row r="6335">
          <cell r="B6335">
            <v>44.84</v>
          </cell>
          <cell r="C6335">
            <v>91.53</v>
          </cell>
          <cell r="D6335">
            <v>17.89</v>
          </cell>
          <cell r="E6335">
            <v>8.51</v>
          </cell>
          <cell r="H6335">
            <v>45555</v>
          </cell>
          <cell r="I6335">
            <v>0.79000000000000015</v>
          </cell>
          <cell r="J6335">
            <v>24.553333333333335</v>
          </cell>
        </row>
        <row r="6336">
          <cell r="B6336">
            <v>39.19</v>
          </cell>
          <cell r="C6336">
            <v>78.180000000000007</v>
          </cell>
          <cell r="D6336">
            <v>17.64</v>
          </cell>
          <cell r="E6336">
            <v>8.3000000000000007</v>
          </cell>
          <cell r="H6336">
            <v>45555</v>
          </cell>
          <cell r="I6336">
            <v>0.77888888888888896</v>
          </cell>
          <cell r="J6336">
            <v>24.233333333333334</v>
          </cell>
        </row>
        <row r="6337">
          <cell r="B6337">
            <v>34.159999999999997</v>
          </cell>
          <cell r="C6337">
            <v>68.97</v>
          </cell>
          <cell r="D6337">
            <v>17.22</v>
          </cell>
          <cell r="E6337">
            <v>8.32</v>
          </cell>
          <cell r="H6337">
            <v>45555</v>
          </cell>
          <cell r="I6337">
            <v>0.76888888888888884</v>
          </cell>
          <cell r="J6337">
            <v>23.892222222222223</v>
          </cell>
        </row>
        <row r="6338">
          <cell r="B6338">
            <v>37.590000000000003</v>
          </cell>
          <cell r="C6338">
            <v>70.88</v>
          </cell>
          <cell r="D6338">
            <v>16.73</v>
          </cell>
          <cell r="E6338">
            <v>7.81</v>
          </cell>
          <cell r="H6338">
            <v>45556</v>
          </cell>
          <cell r="I6338">
            <v>0.76666666666666661</v>
          </cell>
          <cell r="J6338">
            <v>23.414444444444445</v>
          </cell>
        </row>
        <row r="6339">
          <cell r="B6339">
            <v>36.909999999999997</v>
          </cell>
          <cell r="C6339">
            <v>67.900000000000006</v>
          </cell>
          <cell r="D6339">
            <v>16.809999999999999</v>
          </cell>
          <cell r="E6339">
            <v>7.92</v>
          </cell>
          <cell r="H6339">
            <v>45556</v>
          </cell>
          <cell r="I6339">
            <v>0.76222222222222213</v>
          </cell>
          <cell r="J6339">
            <v>23.002222222222226</v>
          </cell>
        </row>
        <row r="6340">
          <cell r="B6340">
            <v>34.18</v>
          </cell>
          <cell r="C6340">
            <v>63.3</v>
          </cell>
          <cell r="D6340">
            <v>16.739999999999998</v>
          </cell>
          <cell r="E6340">
            <v>8.18</v>
          </cell>
          <cell r="H6340">
            <v>45556</v>
          </cell>
          <cell r="I6340">
            <v>0.74777777777777776</v>
          </cell>
          <cell r="J6340">
            <v>22.671111111111113</v>
          </cell>
        </row>
        <row r="6341">
          <cell r="B6341">
            <v>30.72</v>
          </cell>
          <cell r="C6341">
            <v>57.28</v>
          </cell>
          <cell r="D6341">
            <v>16.71</v>
          </cell>
          <cell r="E6341">
            <v>7.9</v>
          </cell>
          <cell r="H6341">
            <v>45556</v>
          </cell>
          <cell r="I6341">
            <v>0.72666666666666679</v>
          </cell>
          <cell r="J6341">
            <v>22.511111111111106</v>
          </cell>
        </row>
        <row r="6342">
          <cell r="B6342">
            <v>29.49</v>
          </cell>
          <cell r="C6342">
            <v>52.08</v>
          </cell>
          <cell r="D6342">
            <v>16.170000000000002</v>
          </cell>
          <cell r="E6342">
            <v>7.72</v>
          </cell>
          <cell r="H6342">
            <v>45556</v>
          </cell>
          <cell r="I6342">
            <v>0.68666666666666676</v>
          </cell>
          <cell r="J6342">
            <v>22.507777777777775</v>
          </cell>
        </row>
        <row r="6343">
          <cell r="B6343">
            <v>28.42</v>
          </cell>
          <cell r="C6343">
            <v>51.53</v>
          </cell>
          <cell r="D6343">
            <v>16.100000000000001</v>
          </cell>
          <cell r="E6343">
            <v>7.75</v>
          </cell>
          <cell r="H6343">
            <v>45556</v>
          </cell>
          <cell r="I6343">
            <v>0.65666666666666673</v>
          </cell>
          <cell r="J6343">
            <v>22.456666666666663</v>
          </cell>
        </row>
        <row r="6344">
          <cell r="B6344">
            <v>25.86</v>
          </cell>
          <cell r="C6344">
            <v>47.08</v>
          </cell>
          <cell r="D6344">
            <v>16.14</v>
          </cell>
          <cell r="E6344">
            <v>7.94</v>
          </cell>
          <cell r="H6344">
            <v>45556</v>
          </cell>
          <cell r="I6344">
            <v>0.64888888888888885</v>
          </cell>
          <cell r="J6344">
            <v>22.288888888888891</v>
          </cell>
        </row>
        <row r="6345">
          <cell r="B6345">
            <v>25.8</v>
          </cell>
          <cell r="C6345">
            <v>48.89</v>
          </cell>
          <cell r="D6345">
            <v>16.02</v>
          </cell>
          <cell r="E6345">
            <v>7.93</v>
          </cell>
          <cell r="H6345">
            <v>45556</v>
          </cell>
          <cell r="I6345">
            <v>0.65333333333333332</v>
          </cell>
          <cell r="J6345">
            <v>22.098888888888887</v>
          </cell>
        </row>
        <row r="6346">
          <cell r="B6346">
            <v>24.7</v>
          </cell>
          <cell r="C6346">
            <v>50.21</v>
          </cell>
          <cell r="D6346">
            <v>16.04</v>
          </cell>
          <cell r="E6346">
            <v>8.08</v>
          </cell>
          <cell r="H6346">
            <v>45556</v>
          </cell>
          <cell r="I6346">
            <v>0.65999999999999992</v>
          </cell>
          <cell r="J6346">
            <v>22.009999999999998</v>
          </cell>
        </row>
        <row r="6347">
          <cell r="B6347">
            <v>23.73</v>
          </cell>
          <cell r="C6347">
            <v>50.82</v>
          </cell>
          <cell r="D6347">
            <v>16.45</v>
          </cell>
          <cell r="E6347">
            <v>8.43</v>
          </cell>
          <cell r="H6347">
            <v>45556</v>
          </cell>
          <cell r="I6347">
            <v>0.65555555555555556</v>
          </cell>
          <cell r="J6347">
            <v>22.053333333333331</v>
          </cell>
        </row>
        <row r="6348">
          <cell r="B6348">
            <v>24.14</v>
          </cell>
          <cell r="C6348">
            <v>51.5</v>
          </cell>
          <cell r="D6348">
            <v>15.02</v>
          </cell>
          <cell r="E6348">
            <v>7.67</v>
          </cell>
          <cell r="H6348">
            <v>45556</v>
          </cell>
          <cell r="I6348">
            <v>0.6511111111111112</v>
          </cell>
          <cell r="J6348">
            <v>22.179999999999996</v>
          </cell>
        </row>
        <row r="6349">
          <cell r="B6349">
            <v>24.19</v>
          </cell>
          <cell r="C6349">
            <v>49.82</v>
          </cell>
          <cell r="D6349">
            <v>15.07</v>
          </cell>
          <cell r="E6349">
            <v>7.85</v>
          </cell>
          <cell r="H6349">
            <v>45556</v>
          </cell>
          <cell r="I6349">
            <v>0.65333333333333332</v>
          </cell>
          <cell r="J6349">
            <v>22.261111111111109</v>
          </cell>
        </row>
        <row r="6350">
          <cell r="B6350">
            <v>24.03</v>
          </cell>
          <cell r="C6350">
            <v>48.49</v>
          </cell>
          <cell r="D6350">
            <v>16.170000000000002</v>
          </cell>
          <cell r="E6350">
            <v>8.82</v>
          </cell>
          <cell r="H6350">
            <v>45556</v>
          </cell>
          <cell r="I6350">
            <v>0.64777777777777767</v>
          </cell>
          <cell r="J6350">
            <v>22.447777777777773</v>
          </cell>
        </row>
        <row r="6351">
          <cell r="B6351">
            <v>23.26</v>
          </cell>
          <cell r="C6351">
            <v>48.56</v>
          </cell>
          <cell r="D6351">
            <v>16.78</v>
          </cell>
          <cell r="E6351">
            <v>8.91</v>
          </cell>
          <cell r="H6351">
            <v>45556</v>
          </cell>
          <cell r="I6351">
            <v>0.64555555555555555</v>
          </cell>
          <cell r="J6351">
            <v>22.794444444444441</v>
          </cell>
        </row>
        <row r="6352">
          <cell r="B6352">
            <v>23.07</v>
          </cell>
          <cell r="C6352">
            <v>52.58</v>
          </cell>
          <cell r="D6352">
            <v>15.92</v>
          </cell>
          <cell r="E6352">
            <v>8.31</v>
          </cell>
          <cell r="H6352">
            <v>45556</v>
          </cell>
          <cell r="I6352">
            <v>0.64666666666666672</v>
          </cell>
          <cell r="J6352">
            <v>23.189999999999998</v>
          </cell>
        </row>
        <row r="6353">
          <cell r="B6353">
            <v>22.64</v>
          </cell>
          <cell r="C6353">
            <v>51.1</v>
          </cell>
          <cell r="D6353">
            <v>17.23</v>
          </cell>
          <cell r="E6353">
            <v>8.44</v>
          </cell>
          <cell r="H6353">
            <v>45556</v>
          </cell>
          <cell r="I6353">
            <v>0.64555555555555566</v>
          </cell>
          <cell r="J6353">
            <v>23.737777777777772</v>
          </cell>
        </row>
        <row r="6354">
          <cell r="B6354">
            <v>24.17</v>
          </cell>
          <cell r="C6354">
            <v>56.69</v>
          </cell>
          <cell r="D6354">
            <v>16.510000000000002</v>
          </cell>
          <cell r="E6354">
            <v>7.66</v>
          </cell>
          <cell r="H6354">
            <v>45556</v>
          </cell>
          <cell r="I6354">
            <v>0.64888888888888896</v>
          </cell>
          <cell r="J6354">
            <v>24.058888888888887</v>
          </cell>
        </row>
        <row r="6355">
          <cell r="B6355">
            <v>27.5</v>
          </cell>
          <cell r="C6355">
            <v>56.45</v>
          </cell>
          <cell r="D6355">
            <v>16.670000000000002</v>
          </cell>
          <cell r="E6355">
            <v>7.67</v>
          </cell>
          <cell r="H6355">
            <v>45556</v>
          </cell>
          <cell r="I6355">
            <v>0.67222222222222228</v>
          </cell>
          <cell r="J6355">
            <v>23.989999999999995</v>
          </cell>
        </row>
        <row r="6356">
          <cell r="B6356">
            <v>31.98</v>
          </cell>
          <cell r="C6356">
            <v>62.97</v>
          </cell>
          <cell r="D6356">
            <v>17.07</v>
          </cell>
          <cell r="E6356">
            <v>8.2899999999999991</v>
          </cell>
          <cell r="H6356">
            <v>45556</v>
          </cell>
          <cell r="I6356">
            <v>0.71333333333333337</v>
          </cell>
          <cell r="J6356">
            <v>23.751111111111111</v>
          </cell>
        </row>
        <row r="6357">
          <cell r="B6357">
            <v>39.01</v>
          </cell>
          <cell r="C6357">
            <v>80.819999999999993</v>
          </cell>
          <cell r="D6357">
            <v>17.55</v>
          </cell>
          <cell r="E6357">
            <v>8.67</v>
          </cell>
          <cell r="H6357">
            <v>45556</v>
          </cell>
          <cell r="I6357">
            <v>0.77222222222222214</v>
          </cell>
          <cell r="J6357">
            <v>23.384444444444441</v>
          </cell>
        </row>
        <row r="6358">
          <cell r="B6358">
            <v>38.049999999999997</v>
          </cell>
          <cell r="C6358">
            <v>78.7</v>
          </cell>
          <cell r="D6358">
            <v>17.170000000000002</v>
          </cell>
          <cell r="E6358">
            <v>8.58</v>
          </cell>
          <cell r="H6358">
            <v>45556</v>
          </cell>
          <cell r="I6358">
            <v>0.80444444444444452</v>
          </cell>
          <cell r="J6358">
            <v>23.072222222222219</v>
          </cell>
        </row>
        <row r="6359">
          <cell r="B6359">
            <v>35.33</v>
          </cell>
          <cell r="C6359">
            <v>68.430000000000007</v>
          </cell>
          <cell r="D6359">
            <v>16.32</v>
          </cell>
          <cell r="E6359">
            <v>8.25</v>
          </cell>
          <cell r="H6359">
            <v>45556</v>
          </cell>
          <cell r="I6359">
            <v>0.81999999999999984</v>
          </cell>
          <cell r="J6359">
            <v>22.695555555555554</v>
          </cell>
        </row>
        <row r="6360">
          <cell r="B6360">
            <v>31</v>
          </cell>
          <cell r="C6360">
            <v>60.59</v>
          </cell>
          <cell r="D6360">
            <v>15.1</v>
          </cell>
          <cell r="E6360">
            <v>7.92</v>
          </cell>
          <cell r="H6360">
            <v>45556</v>
          </cell>
          <cell r="I6360">
            <v>0.82333333333333325</v>
          </cell>
          <cell r="J6360">
            <v>22.305555555555557</v>
          </cell>
        </row>
        <row r="6361">
          <cell r="B6361">
            <v>28.54</v>
          </cell>
          <cell r="C6361">
            <v>50.75</v>
          </cell>
          <cell r="D6361">
            <v>14.55</v>
          </cell>
          <cell r="E6361">
            <v>7.52</v>
          </cell>
          <cell r="H6361">
            <v>45556</v>
          </cell>
          <cell r="I6361">
            <v>0.81555555555555548</v>
          </cell>
          <cell r="J6361">
            <v>21.943333333333335</v>
          </cell>
        </row>
        <row r="6362">
          <cell r="B6362">
            <v>28.47</v>
          </cell>
          <cell r="C6362">
            <v>46.23</v>
          </cell>
          <cell r="D6362">
            <v>14.34</v>
          </cell>
          <cell r="E6362">
            <v>7.33</v>
          </cell>
          <cell r="H6362">
            <v>45557</v>
          </cell>
          <cell r="I6362">
            <v>0.80888888888888888</v>
          </cell>
          <cell r="J6362">
            <v>21.484444444444442</v>
          </cell>
        </row>
        <row r="6363">
          <cell r="B6363">
            <v>28.04</v>
          </cell>
          <cell r="C6363">
            <v>44.56</v>
          </cell>
          <cell r="D6363">
            <v>14.33</v>
          </cell>
          <cell r="E6363">
            <v>7.69</v>
          </cell>
          <cell r="H6363">
            <v>45557</v>
          </cell>
          <cell r="I6363">
            <v>0.7911111111111111</v>
          </cell>
          <cell r="J6363">
            <v>21.266666666666666</v>
          </cell>
        </row>
        <row r="6364">
          <cell r="B6364">
            <v>29.1</v>
          </cell>
          <cell r="C6364">
            <v>46.29</v>
          </cell>
          <cell r="D6364">
            <v>14.2</v>
          </cell>
          <cell r="E6364">
            <v>7.95</v>
          </cell>
          <cell r="H6364">
            <v>45557</v>
          </cell>
          <cell r="I6364">
            <v>0.76</v>
          </cell>
          <cell r="J6364">
            <v>21.361111111111111</v>
          </cell>
        </row>
        <row r="6365">
          <cell r="B6365">
            <v>25.83</v>
          </cell>
          <cell r="C6365">
            <v>42.57</v>
          </cell>
          <cell r="D6365">
            <v>14.11</v>
          </cell>
          <cell r="E6365">
            <v>7.68</v>
          </cell>
          <cell r="H6365">
            <v>45557</v>
          </cell>
          <cell r="I6365">
            <v>0.7122222222222222</v>
          </cell>
          <cell r="J6365">
            <v>21.545555555555556</v>
          </cell>
        </row>
        <row r="6366">
          <cell r="B6366">
            <v>24.66</v>
          </cell>
          <cell r="C6366">
            <v>38.92</v>
          </cell>
          <cell r="D6366">
            <v>13.85</v>
          </cell>
          <cell r="E6366">
            <v>7.83</v>
          </cell>
          <cell r="H6366">
            <v>45557</v>
          </cell>
          <cell r="I6366">
            <v>0.65111111111111108</v>
          </cell>
          <cell r="J6366">
            <v>21.75</v>
          </cell>
        </row>
        <row r="6367">
          <cell r="B6367">
            <v>23.13</v>
          </cell>
          <cell r="C6367">
            <v>36.61</v>
          </cell>
          <cell r="D6367">
            <v>13.82</v>
          </cell>
          <cell r="E6367">
            <v>8.01</v>
          </cell>
          <cell r="H6367">
            <v>45557</v>
          </cell>
          <cell r="I6367">
            <v>0.62</v>
          </cell>
          <cell r="J6367">
            <v>21.864444444444445</v>
          </cell>
        </row>
        <row r="6368">
          <cell r="B6368">
            <v>23.18</v>
          </cell>
          <cell r="C6368">
            <v>39.479999999999997</v>
          </cell>
          <cell r="D6368">
            <v>14.2</v>
          </cell>
          <cell r="E6368">
            <v>7.96</v>
          </cell>
          <cell r="H6368">
            <v>45557</v>
          </cell>
          <cell r="I6368">
            <v>0.61333333333333329</v>
          </cell>
          <cell r="J6368">
            <v>21.858888888888888</v>
          </cell>
        </row>
        <row r="6369">
          <cell r="B6369">
            <v>25.98</v>
          </cell>
          <cell r="C6369">
            <v>46.8</v>
          </cell>
          <cell r="D6369">
            <v>14.38</v>
          </cell>
          <cell r="E6369">
            <v>7.84</v>
          </cell>
          <cell r="H6369">
            <v>45557</v>
          </cell>
          <cell r="I6369">
            <v>0.62222222222222223</v>
          </cell>
          <cell r="J6369">
            <v>21.766666666666666</v>
          </cell>
        </row>
        <row r="6370">
          <cell r="B6370">
            <v>29.3</v>
          </cell>
          <cell r="C6370">
            <v>52.9</v>
          </cell>
          <cell r="D6370">
            <v>14.23</v>
          </cell>
          <cell r="E6370">
            <v>7.99</v>
          </cell>
          <cell r="H6370">
            <v>45557</v>
          </cell>
          <cell r="I6370">
            <v>0.63666666666666671</v>
          </cell>
          <cell r="J6370">
            <v>21.687777777777779</v>
          </cell>
        </row>
        <row r="6371">
          <cell r="B6371">
            <v>22.98</v>
          </cell>
          <cell r="C6371">
            <v>44.4</v>
          </cell>
          <cell r="D6371">
            <v>14.08</v>
          </cell>
          <cell r="E6371">
            <v>8.0399999999999991</v>
          </cell>
          <cell r="H6371">
            <v>45557</v>
          </cell>
          <cell r="I6371">
            <v>0.64333333333333331</v>
          </cell>
          <cell r="J6371">
            <v>21.63111111111111</v>
          </cell>
        </row>
        <row r="6372">
          <cell r="B6372">
            <v>20.62</v>
          </cell>
          <cell r="C6372">
            <v>39</v>
          </cell>
          <cell r="D6372">
            <v>14.32</v>
          </cell>
          <cell r="E6372">
            <v>7.9</v>
          </cell>
          <cell r="H6372">
            <v>45557</v>
          </cell>
          <cell r="I6372">
            <v>0.65333333333333332</v>
          </cell>
          <cell r="J6372">
            <v>21.637777777777774</v>
          </cell>
        </row>
        <row r="6373">
          <cell r="B6373">
            <v>19.04</v>
          </cell>
          <cell r="C6373">
            <v>37.86</v>
          </cell>
          <cell r="D6373">
            <v>14.35</v>
          </cell>
          <cell r="E6373">
            <v>7.89</v>
          </cell>
          <cell r="H6373">
            <v>45557</v>
          </cell>
          <cell r="I6373">
            <v>0.65777777777777779</v>
          </cell>
          <cell r="J6373">
            <v>21.927777777777781</v>
          </cell>
        </row>
        <row r="6374">
          <cell r="B6374">
            <v>18.38</v>
          </cell>
          <cell r="C6374">
            <v>37.840000000000003</v>
          </cell>
          <cell r="D6374">
            <v>14.77</v>
          </cell>
          <cell r="E6374">
            <v>8.26</v>
          </cell>
          <cell r="H6374">
            <v>45557</v>
          </cell>
          <cell r="I6374">
            <v>0.66222222222222227</v>
          </cell>
          <cell r="J6374">
            <v>22.644444444444446</v>
          </cell>
        </row>
        <row r="6375">
          <cell r="B6375">
            <v>18.239999999999998</v>
          </cell>
          <cell r="C6375">
            <v>37.380000000000003</v>
          </cell>
          <cell r="D6375">
            <v>14.53</v>
          </cell>
          <cell r="E6375">
            <v>7.94</v>
          </cell>
          <cell r="H6375">
            <v>45557</v>
          </cell>
          <cell r="I6375">
            <v>0.66888888888888898</v>
          </cell>
          <cell r="J6375">
            <v>23.437777777777782</v>
          </cell>
        </row>
        <row r="6376">
          <cell r="B6376">
            <v>17.55</v>
          </cell>
          <cell r="C6376">
            <v>37.090000000000003</v>
          </cell>
          <cell r="D6376">
            <v>14.09</v>
          </cell>
          <cell r="E6376">
            <v>7.96</v>
          </cell>
          <cell r="H6376">
            <v>45557</v>
          </cell>
          <cell r="I6376">
            <v>0.66555555555555557</v>
          </cell>
          <cell r="J6376">
            <v>24.163333333333338</v>
          </cell>
        </row>
        <row r="6377">
          <cell r="B6377">
            <v>17.440000000000001</v>
          </cell>
          <cell r="C6377">
            <v>36.9</v>
          </cell>
          <cell r="D6377">
            <v>14.08</v>
          </cell>
          <cell r="E6377">
            <v>7.98</v>
          </cell>
          <cell r="H6377">
            <v>45557</v>
          </cell>
          <cell r="I6377">
            <v>0.66</v>
          </cell>
          <cell r="J6377">
            <v>24.982222222222227</v>
          </cell>
        </row>
        <row r="6378">
          <cell r="B6378">
            <v>18.600000000000001</v>
          </cell>
          <cell r="C6378">
            <v>38.299999999999997</v>
          </cell>
          <cell r="D6378">
            <v>14.48</v>
          </cell>
          <cell r="E6378">
            <v>8.2200000000000006</v>
          </cell>
          <cell r="H6378">
            <v>45557</v>
          </cell>
          <cell r="I6378">
            <v>0.6511111111111112</v>
          </cell>
          <cell r="J6378">
            <v>25.448888888888892</v>
          </cell>
        </row>
        <row r="6379">
          <cell r="B6379">
            <v>20.21</v>
          </cell>
          <cell r="C6379">
            <v>36.75</v>
          </cell>
          <cell r="D6379">
            <v>14.75</v>
          </cell>
          <cell r="E6379">
            <v>8.36</v>
          </cell>
          <cell r="H6379">
            <v>45557</v>
          </cell>
          <cell r="I6379">
            <v>0.6511111111111112</v>
          </cell>
          <cell r="J6379">
            <v>25.63111111111111</v>
          </cell>
        </row>
        <row r="6380">
          <cell r="B6380">
            <v>30.87</v>
          </cell>
          <cell r="C6380">
            <v>53.34</v>
          </cell>
          <cell r="D6380">
            <v>15.35</v>
          </cell>
          <cell r="E6380">
            <v>8.42</v>
          </cell>
          <cell r="H6380">
            <v>45557</v>
          </cell>
          <cell r="I6380">
            <v>0.67333333333333334</v>
          </cell>
          <cell r="J6380">
            <v>25.592222222222222</v>
          </cell>
        </row>
        <row r="6381">
          <cell r="B6381">
            <v>28.25</v>
          </cell>
          <cell r="C6381">
            <v>47.56</v>
          </cell>
          <cell r="D6381">
            <v>16.21</v>
          </cell>
          <cell r="E6381">
            <v>8.7799999999999994</v>
          </cell>
          <cell r="H6381">
            <v>45557</v>
          </cell>
          <cell r="I6381">
            <v>0.71777777777777774</v>
          </cell>
          <cell r="J6381">
            <v>25.318888888888889</v>
          </cell>
        </row>
        <row r="6382">
          <cell r="B6382">
            <v>28</v>
          </cell>
          <cell r="C6382">
            <v>49.68</v>
          </cell>
          <cell r="D6382">
            <v>16.34</v>
          </cell>
          <cell r="E6382">
            <v>9.1300000000000008</v>
          </cell>
          <cell r="H6382">
            <v>45557</v>
          </cell>
          <cell r="I6382">
            <v>0.74333333333333329</v>
          </cell>
          <cell r="J6382">
            <v>24.89777777777778</v>
          </cell>
        </row>
        <row r="6383">
          <cell r="B6383">
            <v>26.17</v>
          </cell>
          <cell r="C6383">
            <v>47.84</v>
          </cell>
          <cell r="D6383">
            <v>15.71</v>
          </cell>
          <cell r="E6383">
            <v>8.85</v>
          </cell>
          <cell r="H6383">
            <v>45557</v>
          </cell>
          <cell r="I6383">
            <v>0.74888888888888883</v>
          </cell>
          <cell r="J6383">
            <v>24.17</v>
          </cell>
        </row>
        <row r="6384">
          <cell r="B6384">
            <v>25.71</v>
          </cell>
          <cell r="C6384">
            <v>44.18</v>
          </cell>
          <cell r="D6384">
            <v>15.02</v>
          </cell>
          <cell r="E6384">
            <v>8.6300000000000008</v>
          </cell>
          <cell r="H6384">
            <v>45557</v>
          </cell>
          <cell r="I6384">
            <v>0.74444444444444446</v>
          </cell>
          <cell r="J6384">
            <v>23.37222222222222</v>
          </cell>
        </row>
        <row r="6385">
          <cell r="B6385">
            <v>22.73</v>
          </cell>
          <cell r="C6385">
            <v>38.22</v>
          </cell>
          <cell r="D6385">
            <v>14.49</v>
          </cell>
          <cell r="E6385">
            <v>8.57</v>
          </cell>
          <cell r="H6385">
            <v>45557</v>
          </cell>
          <cell r="I6385">
            <v>0.7433333333333334</v>
          </cell>
          <cell r="J6385">
            <v>22.727777777777774</v>
          </cell>
        </row>
        <row r="6386">
          <cell r="B6386">
            <v>21.91</v>
          </cell>
          <cell r="C6386">
            <v>36.01</v>
          </cell>
          <cell r="D6386">
            <v>14.02</v>
          </cell>
          <cell r="E6386">
            <v>8.8000000000000007</v>
          </cell>
          <cell r="H6386">
            <v>45558</v>
          </cell>
          <cell r="I6386">
            <v>0.74111111111111116</v>
          </cell>
          <cell r="J6386">
            <v>22.088888888888889</v>
          </cell>
        </row>
        <row r="6387">
          <cell r="B6387">
            <v>22.88</v>
          </cell>
          <cell r="C6387">
            <v>39.72</v>
          </cell>
          <cell r="D6387">
            <v>13.92</v>
          </cell>
          <cell r="E6387">
            <v>7.79</v>
          </cell>
          <cell r="H6387">
            <v>45558</v>
          </cell>
          <cell r="I6387">
            <v>0.73222222222222233</v>
          </cell>
          <cell r="J6387">
            <v>21.803333333333331</v>
          </cell>
        </row>
        <row r="6388">
          <cell r="B6388">
            <v>18.18</v>
          </cell>
          <cell r="C6388">
            <v>33.43</v>
          </cell>
          <cell r="D6388">
            <v>13.6</v>
          </cell>
          <cell r="E6388">
            <v>7.41</v>
          </cell>
          <cell r="H6388">
            <v>45558</v>
          </cell>
          <cell r="I6388">
            <v>0.71333333333333337</v>
          </cell>
          <cell r="J6388">
            <v>21.796666666666667</v>
          </cell>
        </row>
        <row r="6389">
          <cell r="B6389">
            <v>19.79</v>
          </cell>
          <cell r="C6389">
            <v>32.85</v>
          </cell>
          <cell r="D6389">
            <v>13.94</v>
          </cell>
          <cell r="E6389">
            <v>7.89</v>
          </cell>
          <cell r="H6389">
            <v>45558</v>
          </cell>
          <cell r="I6389">
            <v>0.67888888888888888</v>
          </cell>
          <cell r="J6389">
            <v>21.975555555555555</v>
          </cell>
        </row>
        <row r="6390">
          <cell r="B6390">
            <v>17.579999999999998</v>
          </cell>
          <cell r="C6390">
            <v>32.76</v>
          </cell>
          <cell r="D6390">
            <v>14.04</v>
          </cell>
          <cell r="E6390">
            <v>8.06</v>
          </cell>
          <cell r="H6390">
            <v>45558</v>
          </cell>
          <cell r="I6390">
            <v>0.62333333333333341</v>
          </cell>
          <cell r="J6390">
            <v>22.252222222222223</v>
          </cell>
        </row>
        <row r="6391">
          <cell r="B6391">
            <v>15.73</v>
          </cell>
          <cell r="C6391">
            <v>28.74</v>
          </cell>
          <cell r="D6391">
            <v>13.22</v>
          </cell>
          <cell r="E6391">
            <v>7.4</v>
          </cell>
          <cell r="H6391">
            <v>45558</v>
          </cell>
          <cell r="I6391">
            <v>0.58888888888888891</v>
          </cell>
          <cell r="J6391">
            <v>22.226666666666663</v>
          </cell>
        </row>
        <row r="6392">
          <cell r="B6392">
            <v>15.42</v>
          </cell>
          <cell r="C6392">
            <v>29.02</v>
          </cell>
          <cell r="D6392">
            <v>13.35</v>
          </cell>
          <cell r="E6392">
            <v>7.37</v>
          </cell>
          <cell r="H6392">
            <v>45558</v>
          </cell>
          <cell r="I6392">
            <v>0.58111111111111102</v>
          </cell>
          <cell r="J6392">
            <v>21.966666666666665</v>
          </cell>
        </row>
        <row r="6393">
          <cell r="B6393">
            <v>18.649999999999999</v>
          </cell>
          <cell r="C6393">
            <v>34.96</v>
          </cell>
          <cell r="D6393">
            <v>13.99</v>
          </cell>
          <cell r="E6393">
            <v>7.47</v>
          </cell>
          <cell r="H6393">
            <v>45558</v>
          </cell>
          <cell r="I6393">
            <v>0.59111111111111114</v>
          </cell>
          <cell r="J6393">
            <v>21.704444444444444</v>
          </cell>
        </row>
        <row r="6394">
          <cell r="B6394">
            <v>18.43</v>
          </cell>
          <cell r="C6394">
            <v>34.19</v>
          </cell>
          <cell r="D6394">
            <v>14.2</v>
          </cell>
          <cell r="E6394">
            <v>7.52</v>
          </cell>
          <cell r="H6394">
            <v>45558</v>
          </cell>
          <cell r="I6394">
            <v>0.61</v>
          </cell>
          <cell r="J6394">
            <v>21.436666666666667</v>
          </cell>
        </row>
        <row r="6395">
          <cell r="B6395">
            <v>18.54</v>
          </cell>
          <cell r="C6395">
            <v>40.25</v>
          </cell>
          <cell r="D6395">
            <v>15.38</v>
          </cell>
          <cell r="E6395">
            <v>8.16</v>
          </cell>
          <cell r="H6395">
            <v>45558</v>
          </cell>
          <cell r="I6395">
            <v>0.63555555555555554</v>
          </cell>
          <cell r="J6395">
            <v>21.162222222222226</v>
          </cell>
        </row>
        <row r="6396">
          <cell r="B6396">
            <v>19.010000000000002</v>
          </cell>
          <cell r="C6396">
            <v>41.27</v>
          </cell>
          <cell r="D6396">
            <v>15.39</v>
          </cell>
          <cell r="E6396">
            <v>7.85</v>
          </cell>
          <cell r="H6396">
            <v>45558</v>
          </cell>
          <cell r="I6396">
            <v>0.66333333333333333</v>
          </cell>
          <cell r="J6396">
            <v>20.936666666666671</v>
          </cell>
        </row>
        <row r="6397">
          <cell r="B6397">
            <v>18.78</v>
          </cell>
          <cell r="C6397">
            <v>45.34</v>
          </cell>
          <cell r="D6397">
            <v>17.329999999999998</v>
          </cell>
          <cell r="E6397">
            <v>8.93</v>
          </cell>
          <cell r="H6397">
            <v>45558</v>
          </cell>
          <cell r="I6397">
            <v>0.68888888888888877</v>
          </cell>
          <cell r="J6397">
            <v>20.812222222222221</v>
          </cell>
        </row>
        <row r="6398">
          <cell r="B6398">
            <v>22.3</v>
          </cell>
          <cell r="C6398">
            <v>51.73</v>
          </cell>
          <cell r="D6398">
            <v>17.350000000000001</v>
          </cell>
          <cell r="E6398">
            <v>10.029999999999999</v>
          </cell>
          <cell r="H6398">
            <v>45558</v>
          </cell>
          <cell r="I6398">
            <v>0.71000000000000008</v>
          </cell>
          <cell r="J6398">
            <v>20.951111111111111</v>
          </cell>
        </row>
        <row r="6399">
          <cell r="B6399">
            <v>21.56</v>
          </cell>
          <cell r="C6399">
            <v>49.4</v>
          </cell>
          <cell r="D6399">
            <v>17.829999999999998</v>
          </cell>
          <cell r="E6399">
            <v>9.65</v>
          </cell>
          <cell r="H6399">
            <v>45558</v>
          </cell>
          <cell r="I6399">
            <v>0.72888888888888881</v>
          </cell>
          <cell r="J6399">
            <v>21.137777777777778</v>
          </cell>
        </row>
        <row r="6400">
          <cell r="B6400">
            <v>20.62</v>
          </cell>
          <cell r="C6400">
            <v>47.46</v>
          </cell>
          <cell r="D6400">
            <v>17.75</v>
          </cell>
          <cell r="E6400">
            <v>9.34</v>
          </cell>
          <cell r="H6400">
            <v>45558</v>
          </cell>
          <cell r="I6400">
            <v>0.74333333333333329</v>
          </cell>
          <cell r="J6400">
            <v>21.582222222222224</v>
          </cell>
        </row>
        <row r="6401">
          <cell r="B6401">
            <v>21.01</v>
          </cell>
          <cell r="C6401">
            <v>48.86</v>
          </cell>
          <cell r="D6401">
            <v>17.559999999999999</v>
          </cell>
          <cell r="E6401">
            <v>8.84</v>
          </cell>
          <cell r="H6401">
            <v>45558</v>
          </cell>
          <cell r="I6401">
            <v>0.74666666666666659</v>
          </cell>
          <cell r="J6401">
            <v>22.278888888888886</v>
          </cell>
        </row>
        <row r="6402">
          <cell r="B6402">
            <v>21.27</v>
          </cell>
          <cell r="C6402">
            <v>48.06</v>
          </cell>
          <cell r="D6402">
            <v>17.559999999999999</v>
          </cell>
          <cell r="E6402">
            <v>8.81</v>
          </cell>
          <cell r="H6402">
            <v>45558</v>
          </cell>
          <cell r="I6402">
            <v>0.74444444444444435</v>
          </cell>
          <cell r="J6402">
            <v>23.021111111111111</v>
          </cell>
        </row>
        <row r="6403">
          <cell r="B6403">
            <v>22.25</v>
          </cell>
          <cell r="C6403">
            <v>51.82</v>
          </cell>
          <cell r="D6403">
            <v>16.649999999999999</v>
          </cell>
          <cell r="E6403">
            <v>9.2899999999999991</v>
          </cell>
          <cell r="H6403">
            <v>45558</v>
          </cell>
          <cell r="I6403">
            <v>0.73666666666666669</v>
          </cell>
          <cell r="J6403">
            <v>23.287777777777777</v>
          </cell>
        </row>
        <row r="6404">
          <cell r="B6404">
            <v>27.73</v>
          </cell>
          <cell r="C6404">
            <v>55.49</v>
          </cell>
          <cell r="D6404">
            <v>16.27</v>
          </cell>
          <cell r="E6404">
            <v>8.9700000000000006</v>
          </cell>
          <cell r="H6404">
            <v>45558</v>
          </cell>
          <cell r="I6404">
            <v>0.73888888888888893</v>
          </cell>
          <cell r="J6404">
            <v>23.254444444444445</v>
          </cell>
        </row>
        <row r="6405">
          <cell r="B6405">
            <v>32.22</v>
          </cell>
          <cell r="C6405">
            <v>66.25</v>
          </cell>
          <cell r="D6405">
            <v>16.510000000000002</v>
          </cell>
          <cell r="E6405">
            <v>9.2100000000000009</v>
          </cell>
          <cell r="H6405">
            <v>45558</v>
          </cell>
          <cell r="I6405">
            <v>0.74444444444444435</v>
          </cell>
          <cell r="J6405">
            <v>23.055555555555561</v>
          </cell>
        </row>
        <row r="6406">
          <cell r="B6406">
            <v>41.29</v>
          </cell>
          <cell r="C6406">
            <v>77.569999999999993</v>
          </cell>
          <cell r="D6406">
            <v>15.8</v>
          </cell>
          <cell r="E6406">
            <v>9.42</v>
          </cell>
          <cell r="H6406">
            <v>45558</v>
          </cell>
          <cell r="I6406">
            <v>0.74666666666666659</v>
          </cell>
          <cell r="J6406">
            <v>22.728888888888893</v>
          </cell>
        </row>
        <row r="6407">
          <cell r="B6407">
            <v>39</v>
          </cell>
          <cell r="C6407">
            <v>72.06</v>
          </cell>
          <cell r="D6407">
            <v>16.23</v>
          </cell>
          <cell r="E6407">
            <v>9.3000000000000007</v>
          </cell>
          <cell r="H6407">
            <v>45558</v>
          </cell>
          <cell r="I6407">
            <v>0.74999999999999989</v>
          </cell>
          <cell r="J6407">
            <v>22.142222222222223</v>
          </cell>
        </row>
        <row r="6408">
          <cell r="B6408">
            <v>34.159999999999997</v>
          </cell>
          <cell r="C6408">
            <v>62.5</v>
          </cell>
          <cell r="D6408">
            <v>15.95</v>
          </cell>
          <cell r="E6408">
            <v>9.15</v>
          </cell>
          <cell r="H6408">
            <v>45558</v>
          </cell>
          <cell r="I6408">
            <v>0.74888888888888883</v>
          </cell>
          <cell r="J6408">
            <v>21.574444444444442</v>
          </cell>
        </row>
        <row r="6409">
          <cell r="B6409">
            <v>25.68</v>
          </cell>
          <cell r="C6409">
            <v>51.96</v>
          </cell>
          <cell r="D6409">
            <v>15.84</v>
          </cell>
          <cell r="E6409">
            <v>8.59</v>
          </cell>
          <cell r="H6409">
            <v>45558</v>
          </cell>
          <cell r="I6409">
            <v>0.74</v>
          </cell>
          <cell r="J6409">
            <v>20.968888888888888</v>
          </cell>
        </row>
        <row r="6410">
          <cell r="B6410">
            <v>25.73</v>
          </cell>
          <cell r="C6410">
            <v>47.73</v>
          </cell>
          <cell r="D6410">
            <v>15.25</v>
          </cell>
          <cell r="E6410">
            <v>8.25</v>
          </cell>
          <cell r="H6410">
            <v>45559</v>
          </cell>
          <cell r="I6410">
            <v>0.73666666666666669</v>
          </cell>
          <cell r="J6410">
            <v>20.273333333333333</v>
          </cell>
        </row>
        <row r="6411">
          <cell r="B6411">
            <v>22.55</v>
          </cell>
          <cell r="C6411">
            <v>42</v>
          </cell>
          <cell r="D6411">
            <v>15.46</v>
          </cell>
          <cell r="E6411">
            <v>8.41</v>
          </cell>
          <cell r="H6411">
            <v>45559</v>
          </cell>
          <cell r="I6411">
            <v>0.72888888888888881</v>
          </cell>
          <cell r="J6411">
            <v>19.555555555555557</v>
          </cell>
        </row>
        <row r="6412">
          <cell r="B6412">
            <v>20.86</v>
          </cell>
          <cell r="C6412">
            <v>39.58</v>
          </cell>
          <cell r="D6412">
            <v>14.98</v>
          </cell>
          <cell r="E6412">
            <v>8.5</v>
          </cell>
          <cell r="H6412">
            <v>45559</v>
          </cell>
          <cell r="I6412">
            <v>0.71777777777777774</v>
          </cell>
          <cell r="J6412">
            <v>19.305555555555557</v>
          </cell>
        </row>
        <row r="6413">
          <cell r="B6413">
            <v>19.46</v>
          </cell>
          <cell r="C6413">
            <v>37.94</v>
          </cell>
          <cell r="D6413">
            <v>15.33</v>
          </cell>
          <cell r="E6413">
            <v>8.9</v>
          </cell>
          <cell r="H6413">
            <v>45559</v>
          </cell>
          <cell r="I6413">
            <v>0.69111111111111123</v>
          </cell>
          <cell r="J6413">
            <v>19.3</v>
          </cell>
        </row>
        <row r="6414">
          <cell r="B6414">
            <v>18.62</v>
          </cell>
          <cell r="C6414">
            <v>36.590000000000003</v>
          </cell>
          <cell r="D6414">
            <v>15.06</v>
          </cell>
          <cell r="E6414">
            <v>8.83</v>
          </cell>
          <cell r="H6414">
            <v>45559</v>
          </cell>
          <cell r="I6414">
            <v>0.67</v>
          </cell>
          <cell r="J6414">
            <v>19.326666666666668</v>
          </cell>
        </row>
        <row r="6415">
          <cell r="B6415">
            <v>21.77</v>
          </cell>
          <cell r="C6415">
            <v>41.37</v>
          </cell>
          <cell r="D6415">
            <v>15.21</v>
          </cell>
          <cell r="E6415">
            <v>8.76</v>
          </cell>
          <cell r="H6415">
            <v>45559</v>
          </cell>
          <cell r="I6415">
            <v>0.6544444444444445</v>
          </cell>
          <cell r="J6415">
            <v>19.27</v>
          </cell>
        </row>
        <row r="6416">
          <cell r="B6416">
            <v>20</v>
          </cell>
          <cell r="C6416">
            <v>40.92</v>
          </cell>
          <cell r="D6416">
            <v>15.16</v>
          </cell>
          <cell r="E6416">
            <v>8.6</v>
          </cell>
          <cell r="H6416">
            <v>45559</v>
          </cell>
          <cell r="I6416">
            <v>0.64333333333333342</v>
          </cell>
          <cell r="J6416">
            <v>19.176666666666666</v>
          </cell>
        </row>
        <row r="6417">
          <cell r="B6417">
            <v>23.09</v>
          </cell>
          <cell r="C6417">
            <v>43.01</v>
          </cell>
          <cell r="D6417">
            <v>14.77</v>
          </cell>
          <cell r="E6417">
            <v>9.0399999999999991</v>
          </cell>
          <cell r="H6417">
            <v>45559</v>
          </cell>
          <cell r="I6417">
            <v>0.64333333333333342</v>
          </cell>
          <cell r="J6417">
            <v>19.086666666666662</v>
          </cell>
        </row>
        <row r="6418">
          <cell r="B6418">
            <v>22.15</v>
          </cell>
          <cell r="C6418">
            <v>42.25</v>
          </cell>
          <cell r="D6418">
            <v>15.28</v>
          </cell>
          <cell r="E6418">
            <v>9.1199999999999992</v>
          </cell>
          <cell r="H6418">
            <v>45559</v>
          </cell>
          <cell r="I6418">
            <v>0.65555555555555556</v>
          </cell>
          <cell r="J6418">
            <v>18.963333333333335</v>
          </cell>
        </row>
        <row r="6419">
          <cell r="B6419">
            <v>20.65</v>
          </cell>
          <cell r="C6419">
            <v>42.27</v>
          </cell>
          <cell r="D6419">
            <v>15.19</v>
          </cell>
          <cell r="E6419">
            <v>8.9600000000000009</v>
          </cell>
          <cell r="H6419">
            <v>45559</v>
          </cell>
          <cell r="I6419">
            <v>0.67333333333333334</v>
          </cell>
          <cell r="J6419">
            <v>18.883333333333333</v>
          </cell>
        </row>
        <row r="6420">
          <cell r="B6420">
            <v>19.04</v>
          </cell>
          <cell r="C6420">
            <v>42.7</v>
          </cell>
          <cell r="D6420">
            <v>15.32</v>
          </cell>
          <cell r="E6420">
            <v>9.2200000000000006</v>
          </cell>
          <cell r="H6420">
            <v>45559</v>
          </cell>
          <cell r="I6420">
            <v>0.68666666666666676</v>
          </cell>
          <cell r="J6420">
            <v>18.82</v>
          </cell>
        </row>
        <row r="6421">
          <cell r="B6421">
            <v>17.53</v>
          </cell>
          <cell r="C6421">
            <v>41.15</v>
          </cell>
          <cell r="D6421">
            <v>15.27</v>
          </cell>
          <cell r="E6421">
            <v>9.2899999999999991</v>
          </cell>
          <cell r="H6421">
            <v>45559</v>
          </cell>
          <cell r="I6421">
            <v>0.69444444444444442</v>
          </cell>
          <cell r="J6421">
            <v>18.763333333333332</v>
          </cell>
        </row>
        <row r="6422">
          <cell r="B6422">
            <v>18.59</v>
          </cell>
          <cell r="C6422">
            <v>41.13</v>
          </cell>
          <cell r="D6422">
            <v>15.42</v>
          </cell>
          <cell r="E6422">
            <v>8.8800000000000008</v>
          </cell>
          <cell r="H6422">
            <v>45559</v>
          </cell>
          <cell r="I6422">
            <v>0.7022222222222223</v>
          </cell>
          <cell r="J6422">
            <v>18.837777777777774</v>
          </cell>
        </row>
        <row r="6423">
          <cell r="B6423">
            <v>18.88</v>
          </cell>
          <cell r="C6423">
            <v>41.97</v>
          </cell>
          <cell r="D6423">
            <v>15.05</v>
          </cell>
          <cell r="E6423">
            <v>9.25</v>
          </cell>
          <cell r="H6423">
            <v>45559</v>
          </cell>
          <cell r="I6423">
            <v>0.70666666666666667</v>
          </cell>
          <cell r="J6423">
            <v>19.068888888888889</v>
          </cell>
        </row>
        <row r="6424">
          <cell r="B6424">
            <v>19.29</v>
          </cell>
          <cell r="C6424">
            <v>43.5</v>
          </cell>
          <cell r="D6424">
            <v>15.49</v>
          </cell>
          <cell r="E6424">
            <v>9.2899999999999991</v>
          </cell>
          <cell r="H6424">
            <v>45559</v>
          </cell>
          <cell r="I6424">
            <v>0.71333333333333337</v>
          </cell>
          <cell r="J6424">
            <v>19.341111111111115</v>
          </cell>
        </row>
        <row r="6425">
          <cell r="B6425">
            <v>18.190000000000001</v>
          </cell>
          <cell r="C6425">
            <v>42.41</v>
          </cell>
          <cell r="D6425">
            <v>15.97</v>
          </cell>
          <cell r="E6425">
            <v>9.1999999999999993</v>
          </cell>
          <cell r="H6425">
            <v>45559</v>
          </cell>
          <cell r="I6425">
            <v>0.71777777777777785</v>
          </cell>
          <cell r="J6425">
            <v>19.721111111111114</v>
          </cell>
        </row>
        <row r="6426">
          <cell r="B6426">
            <v>18.84</v>
          </cell>
          <cell r="C6426">
            <v>42.69</v>
          </cell>
          <cell r="D6426">
            <v>15.7</v>
          </cell>
          <cell r="E6426">
            <v>9</v>
          </cell>
          <cell r="H6426">
            <v>45559</v>
          </cell>
          <cell r="I6426">
            <v>0.72111111111111115</v>
          </cell>
          <cell r="J6426">
            <v>20.052222222222223</v>
          </cell>
        </row>
        <row r="6427">
          <cell r="B6427">
            <v>20.5</v>
          </cell>
          <cell r="C6427">
            <v>52</v>
          </cell>
          <cell r="D6427">
            <v>15.59</v>
          </cell>
          <cell r="E6427">
            <v>8.92</v>
          </cell>
          <cell r="H6427">
            <v>45559</v>
          </cell>
          <cell r="I6427">
            <v>0.71777777777777774</v>
          </cell>
          <cell r="J6427">
            <v>20.337777777777777</v>
          </cell>
        </row>
        <row r="6428">
          <cell r="B6428">
            <v>26.06</v>
          </cell>
          <cell r="C6428">
            <v>59.79</v>
          </cell>
          <cell r="D6428">
            <v>15.56</v>
          </cell>
          <cell r="E6428">
            <v>9.02</v>
          </cell>
          <cell r="H6428">
            <v>45559</v>
          </cell>
          <cell r="I6428">
            <v>0.7188888888888888</v>
          </cell>
          <cell r="J6428">
            <v>20.374444444444446</v>
          </cell>
        </row>
        <row r="6429">
          <cell r="B6429">
            <v>27.55</v>
          </cell>
          <cell r="C6429">
            <v>56.6</v>
          </cell>
          <cell r="D6429">
            <v>15.63</v>
          </cell>
          <cell r="E6429">
            <v>9.3000000000000007</v>
          </cell>
          <cell r="H6429">
            <v>45559</v>
          </cell>
          <cell r="I6429">
            <v>0.73444444444444446</v>
          </cell>
          <cell r="J6429">
            <v>20.297777777777775</v>
          </cell>
        </row>
        <row r="6430">
          <cell r="B6430">
            <v>27.16</v>
          </cell>
          <cell r="C6430">
            <v>56.9</v>
          </cell>
          <cell r="D6430">
            <v>15.81</v>
          </cell>
          <cell r="E6430">
            <v>9.1</v>
          </cell>
          <cell r="H6430">
            <v>45559</v>
          </cell>
          <cell r="I6430">
            <v>0.74777777777777787</v>
          </cell>
          <cell r="J6430">
            <v>20.171111111111109</v>
          </cell>
        </row>
        <row r="6431">
          <cell r="B6431">
            <v>23.72</v>
          </cell>
          <cell r="C6431">
            <v>60.43</v>
          </cell>
          <cell r="D6431">
            <v>15.57</v>
          </cell>
          <cell r="E6431">
            <v>9.32</v>
          </cell>
          <cell r="H6431">
            <v>45559</v>
          </cell>
          <cell r="I6431">
            <v>0.75444444444444436</v>
          </cell>
          <cell r="J6431">
            <v>20.008888888888887</v>
          </cell>
        </row>
        <row r="6432">
          <cell r="B6432">
            <v>22.62</v>
          </cell>
          <cell r="C6432">
            <v>53.84</v>
          </cell>
          <cell r="D6432">
            <v>15.48</v>
          </cell>
          <cell r="E6432">
            <v>9.41</v>
          </cell>
          <cell r="H6432">
            <v>45559</v>
          </cell>
          <cell r="I6432">
            <v>0.75888888888888895</v>
          </cell>
          <cell r="J6432">
            <v>19.752222222222219</v>
          </cell>
        </row>
        <row r="6433">
          <cell r="B6433">
            <v>24.19</v>
          </cell>
          <cell r="C6433">
            <v>50.13</v>
          </cell>
          <cell r="D6433">
            <v>15.17</v>
          </cell>
          <cell r="E6433">
            <v>9.42</v>
          </cell>
          <cell r="H6433">
            <v>45559</v>
          </cell>
          <cell r="I6433">
            <v>0.75888888888888895</v>
          </cell>
          <cell r="J6433">
            <v>19.505555555555556</v>
          </cell>
        </row>
        <row r="6434">
          <cell r="B6434">
            <v>26.18</v>
          </cell>
          <cell r="C6434">
            <v>52.03</v>
          </cell>
          <cell r="D6434">
            <v>15.14</v>
          </cell>
          <cell r="E6434">
            <v>8.83</v>
          </cell>
          <cell r="H6434">
            <v>45560</v>
          </cell>
          <cell r="I6434">
            <v>0.74777777777777776</v>
          </cell>
          <cell r="J6434">
            <v>19.220000000000002</v>
          </cell>
        </row>
        <row r="6435">
          <cell r="B6435">
            <v>25.7</v>
          </cell>
          <cell r="C6435">
            <v>47.73</v>
          </cell>
          <cell r="D6435">
            <v>15.15</v>
          </cell>
          <cell r="E6435">
            <v>8.51</v>
          </cell>
          <cell r="H6435">
            <v>45560</v>
          </cell>
          <cell r="I6435">
            <v>0.74</v>
          </cell>
          <cell r="J6435">
            <v>18.962222222222223</v>
          </cell>
        </row>
        <row r="6436">
          <cell r="B6436">
            <v>27.1</v>
          </cell>
          <cell r="C6436">
            <v>49.46</v>
          </cell>
          <cell r="D6436">
            <v>15.24</v>
          </cell>
          <cell r="E6436">
            <v>8.44</v>
          </cell>
          <cell r="H6436">
            <v>45560</v>
          </cell>
          <cell r="I6436">
            <v>0.73444444444444446</v>
          </cell>
          <cell r="J6436">
            <v>18.79111111111111</v>
          </cell>
        </row>
        <row r="6437">
          <cell r="B6437">
            <v>23.67</v>
          </cell>
          <cell r="C6437">
            <v>47.52</v>
          </cell>
          <cell r="D6437">
            <v>15.53</v>
          </cell>
          <cell r="E6437">
            <v>8.57</v>
          </cell>
          <cell r="H6437">
            <v>45560</v>
          </cell>
          <cell r="I6437">
            <v>0.71666666666666667</v>
          </cell>
          <cell r="J6437">
            <v>18.793333333333333</v>
          </cell>
        </row>
        <row r="6438">
          <cell r="B6438">
            <v>22.07</v>
          </cell>
          <cell r="C6438">
            <v>42.47</v>
          </cell>
          <cell r="D6438">
            <v>15.11</v>
          </cell>
          <cell r="E6438">
            <v>8.7899999999999991</v>
          </cell>
          <cell r="H6438">
            <v>45560</v>
          </cell>
          <cell r="I6438">
            <v>0.69111111111111123</v>
          </cell>
          <cell r="J6438">
            <v>18.817777777777778</v>
          </cell>
        </row>
        <row r="6439">
          <cell r="B6439">
            <v>21.67</v>
          </cell>
          <cell r="C6439">
            <v>38.67</v>
          </cell>
          <cell r="D6439">
            <v>14.61</v>
          </cell>
          <cell r="E6439">
            <v>8.9499999999999993</v>
          </cell>
          <cell r="H6439">
            <v>45560</v>
          </cell>
          <cell r="I6439">
            <v>0.67444444444444462</v>
          </cell>
          <cell r="J6439">
            <v>18.82</v>
          </cell>
        </row>
        <row r="6440">
          <cell r="B6440">
            <v>19.579999999999998</v>
          </cell>
          <cell r="C6440">
            <v>38.31</v>
          </cell>
          <cell r="D6440">
            <v>15.11</v>
          </cell>
          <cell r="E6440">
            <v>9.1199999999999992</v>
          </cell>
          <cell r="H6440">
            <v>45560</v>
          </cell>
          <cell r="I6440">
            <v>0.66555555555555568</v>
          </cell>
          <cell r="J6440">
            <v>18.77</v>
          </cell>
        </row>
        <row r="6441">
          <cell r="B6441">
            <v>21.76</v>
          </cell>
          <cell r="C6441">
            <v>41.49</v>
          </cell>
          <cell r="D6441">
            <v>15.24</v>
          </cell>
          <cell r="E6441">
            <v>9.23</v>
          </cell>
          <cell r="H6441">
            <v>45560</v>
          </cell>
          <cell r="I6441">
            <v>0.66111111111111109</v>
          </cell>
          <cell r="J6441">
            <v>18.696666666666669</v>
          </cell>
        </row>
        <row r="6442">
          <cell r="B6442">
            <v>21.96</v>
          </cell>
          <cell r="C6442">
            <v>39.450000000000003</v>
          </cell>
          <cell r="D6442">
            <v>15.51</v>
          </cell>
          <cell r="E6442">
            <v>9.18</v>
          </cell>
          <cell r="H6442">
            <v>45560</v>
          </cell>
          <cell r="I6442">
            <v>0.66333333333333344</v>
          </cell>
          <cell r="J6442">
            <v>18.677777777777781</v>
          </cell>
        </row>
        <row r="6443">
          <cell r="B6443">
            <v>20.170000000000002</v>
          </cell>
          <cell r="C6443">
            <v>44.15</v>
          </cell>
          <cell r="D6443">
            <v>15.92</v>
          </cell>
          <cell r="E6443">
            <v>8.73</v>
          </cell>
          <cell r="H6443">
            <v>45560</v>
          </cell>
          <cell r="I6443">
            <v>0.67666666666666653</v>
          </cell>
          <cell r="J6443">
            <v>18.685555555555553</v>
          </cell>
        </row>
        <row r="6444">
          <cell r="B6444">
            <v>20.7</v>
          </cell>
          <cell r="C6444">
            <v>43.36</v>
          </cell>
          <cell r="D6444">
            <v>15.25</v>
          </cell>
          <cell r="E6444">
            <v>8.89</v>
          </cell>
          <cell r="H6444">
            <v>45560</v>
          </cell>
          <cell r="I6444">
            <v>0.68888888888888877</v>
          </cell>
          <cell r="J6444">
            <v>18.758888888888887</v>
          </cell>
        </row>
        <row r="6445">
          <cell r="B6445">
            <v>20.29</v>
          </cell>
          <cell r="C6445">
            <v>42.69</v>
          </cell>
          <cell r="D6445">
            <v>15.06</v>
          </cell>
          <cell r="E6445">
            <v>9.02</v>
          </cell>
          <cell r="H6445">
            <v>45560</v>
          </cell>
          <cell r="I6445">
            <v>0.698888888888889</v>
          </cell>
          <cell r="J6445">
            <v>18.763333333333332</v>
          </cell>
        </row>
        <row r="6446">
          <cell r="B6446">
            <v>19.98</v>
          </cell>
          <cell r="C6446">
            <v>43.26</v>
          </cell>
          <cell r="D6446">
            <v>15.76</v>
          </cell>
          <cell r="E6446">
            <v>9.0299999999999994</v>
          </cell>
          <cell r="H6446">
            <v>45560</v>
          </cell>
          <cell r="I6446">
            <v>0.70333333333333337</v>
          </cell>
          <cell r="J6446">
            <v>18.802222222222223</v>
          </cell>
        </row>
        <row r="6447">
          <cell r="B6447">
            <v>19.45</v>
          </cell>
          <cell r="C6447">
            <v>44.39</v>
          </cell>
          <cell r="D6447">
            <v>15.51</v>
          </cell>
          <cell r="E6447">
            <v>9.16</v>
          </cell>
          <cell r="H6447">
            <v>45560</v>
          </cell>
          <cell r="I6447">
            <v>0.70777777777777773</v>
          </cell>
          <cell r="J6447">
            <v>18.986666666666665</v>
          </cell>
        </row>
        <row r="6448">
          <cell r="B6448">
            <v>17.760000000000002</v>
          </cell>
          <cell r="C6448">
            <v>41.09</v>
          </cell>
          <cell r="D6448">
            <v>15.82</v>
          </cell>
          <cell r="E6448">
            <v>9.4</v>
          </cell>
          <cell r="H6448">
            <v>45560</v>
          </cell>
          <cell r="I6448">
            <v>0.70777777777777773</v>
          </cell>
          <cell r="J6448">
            <v>19.194444444444443</v>
          </cell>
        </row>
        <row r="6449">
          <cell r="B6449">
            <v>18.100000000000001</v>
          </cell>
          <cell r="C6449">
            <v>41.94</v>
          </cell>
          <cell r="D6449">
            <v>15.54</v>
          </cell>
          <cell r="E6449">
            <v>8.7799999999999994</v>
          </cell>
          <cell r="H6449">
            <v>45560</v>
          </cell>
          <cell r="I6449">
            <v>0.70444444444444432</v>
          </cell>
          <cell r="J6449">
            <v>19.534444444444443</v>
          </cell>
        </row>
        <row r="6450">
          <cell r="B6450">
            <v>18.21</v>
          </cell>
          <cell r="C6450">
            <v>43.59</v>
          </cell>
          <cell r="D6450">
            <v>15.96</v>
          </cell>
          <cell r="E6450">
            <v>8.58</v>
          </cell>
          <cell r="H6450">
            <v>45560</v>
          </cell>
          <cell r="I6450">
            <v>0.70111111111111102</v>
          </cell>
          <cell r="J6450">
            <v>19.75</v>
          </cell>
        </row>
        <row r="6451">
          <cell r="B6451">
            <v>19.21</v>
          </cell>
          <cell r="C6451">
            <v>45.78</v>
          </cell>
          <cell r="D6451">
            <v>15.58</v>
          </cell>
          <cell r="E6451">
            <v>8.64</v>
          </cell>
          <cell r="H6451">
            <v>45560</v>
          </cell>
          <cell r="I6451">
            <v>0.70444444444444443</v>
          </cell>
          <cell r="J6451">
            <v>19.852222222222224</v>
          </cell>
        </row>
        <row r="6452">
          <cell r="B6452">
            <v>20.18</v>
          </cell>
          <cell r="C6452">
            <v>45.73</v>
          </cell>
          <cell r="D6452">
            <v>15.73</v>
          </cell>
          <cell r="E6452">
            <v>8.76</v>
          </cell>
          <cell r="H6452">
            <v>45560</v>
          </cell>
          <cell r="I6452">
            <v>0.7155555555555555</v>
          </cell>
          <cell r="J6452">
            <v>19.844444444444449</v>
          </cell>
        </row>
        <row r="6453">
          <cell r="B6453">
            <v>22.82</v>
          </cell>
          <cell r="C6453">
            <v>46.26</v>
          </cell>
          <cell r="D6453">
            <v>15.83</v>
          </cell>
          <cell r="E6453">
            <v>9.02</v>
          </cell>
          <cell r="H6453">
            <v>45560</v>
          </cell>
          <cell r="I6453">
            <v>0.72222222222222221</v>
          </cell>
          <cell r="J6453">
            <v>19.747777777777781</v>
          </cell>
        </row>
        <row r="6454">
          <cell r="B6454">
            <v>22.74</v>
          </cell>
          <cell r="C6454">
            <v>39.96</v>
          </cell>
          <cell r="D6454">
            <v>15.49</v>
          </cell>
          <cell r="E6454">
            <v>8.84</v>
          </cell>
          <cell r="H6454">
            <v>45560</v>
          </cell>
          <cell r="I6454">
            <v>0.72444444444444445</v>
          </cell>
          <cell r="J6454">
            <v>19.718888888888891</v>
          </cell>
        </row>
        <row r="6455">
          <cell r="B6455">
            <v>24.7</v>
          </cell>
          <cell r="C6455">
            <v>40.9</v>
          </cell>
          <cell r="D6455">
            <v>15.59</v>
          </cell>
          <cell r="E6455">
            <v>8.73</v>
          </cell>
          <cell r="H6455">
            <v>45560</v>
          </cell>
          <cell r="I6455">
            <v>0.73222222222222222</v>
          </cell>
          <cell r="J6455">
            <v>19.634444444444444</v>
          </cell>
        </row>
        <row r="6456">
          <cell r="B6456">
            <v>25.13</v>
          </cell>
          <cell r="C6456">
            <v>95.48</v>
          </cell>
          <cell r="D6456">
            <v>15.34</v>
          </cell>
          <cell r="E6456">
            <v>8.69</v>
          </cell>
          <cell r="H6456">
            <v>45560</v>
          </cell>
          <cell r="I6456">
            <v>0.73444444444444423</v>
          </cell>
          <cell r="J6456">
            <v>19.456666666666663</v>
          </cell>
        </row>
        <row r="6457">
          <cell r="B6457">
            <v>22.34</v>
          </cell>
          <cell r="C6457">
            <v>77.17</v>
          </cell>
          <cell r="D6457">
            <v>15.23</v>
          </cell>
          <cell r="E6457">
            <v>8.6</v>
          </cell>
          <cell r="H6457">
            <v>45560</v>
          </cell>
          <cell r="I6457">
            <v>0.73555555555555552</v>
          </cell>
          <cell r="J6457">
            <v>19.265555555555554</v>
          </cell>
        </row>
        <row r="6458">
          <cell r="B6458">
            <v>25.24</v>
          </cell>
          <cell r="C6458">
            <v>64.12</v>
          </cell>
          <cell r="D6458">
            <v>14.98</v>
          </cell>
          <cell r="E6458">
            <v>8.5500000000000007</v>
          </cell>
          <cell r="H6458">
            <v>45561</v>
          </cell>
          <cell r="I6458">
            <v>0.73222222222222233</v>
          </cell>
          <cell r="J6458">
            <v>18.981111111111108</v>
          </cell>
        </row>
        <row r="6459">
          <cell r="B6459">
            <v>26.75</v>
          </cell>
          <cell r="C6459">
            <v>59.98</v>
          </cell>
          <cell r="D6459">
            <v>14.96</v>
          </cell>
          <cell r="E6459">
            <v>8.64</v>
          </cell>
          <cell r="H6459">
            <v>45561</v>
          </cell>
          <cell r="I6459">
            <v>0.72666666666666679</v>
          </cell>
          <cell r="J6459">
            <v>18.831111111111113</v>
          </cell>
        </row>
        <row r="6460">
          <cell r="B6460">
            <v>27.69</v>
          </cell>
          <cell r="C6460">
            <v>52.11</v>
          </cell>
          <cell r="D6460">
            <v>15.24</v>
          </cell>
          <cell r="E6460">
            <v>8.6199999999999992</v>
          </cell>
          <cell r="H6460">
            <v>45561</v>
          </cell>
          <cell r="I6460">
            <v>0.7122222222222222</v>
          </cell>
          <cell r="J6460">
            <v>18.68</v>
          </cell>
        </row>
        <row r="6461">
          <cell r="B6461">
            <v>25.26</v>
          </cell>
          <cell r="C6461">
            <v>49.83</v>
          </cell>
          <cell r="D6461">
            <v>14.88</v>
          </cell>
          <cell r="E6461">
            <v>8.84</v>
          </cell>
          <cell r="H6461">
            <v>45561</v>
          </cell>
          <cell r="I6461">
            <v>0.69333333333333347</v>
          </cell>
          <cell r="J6461">
            <v>18.635555555555559</v>
          </cell>
        </row>
        <row r="6462">
          <cell r="B6462">
            <v>25.77</v>
          </cell>
          <cell r="C6462">
            <v>47.55</v>
          </cell>
          <cell r="D6462">
            <v>14.97</v>
          </cell>
          <cell r="E6462">
            <v>9.02</v>
          </cell>
          <cell r="H6462">
            <v>45561</v>
          </cell>
          <cell r="I6462">
            <v>0.67333333333333334</v>
          </cell>
          <cell r="J6462">
            <v>18.600000000000001</v>
          </cell>
        </row>
        <row r="6463">
          <cell r="B6463">
            <v>26.36</v>
          </cell>
          <cell r="C6463">
            <v>42.89</v>
          </cell>
          <cell r="D6463">
            <v>14.79</v>
          </cell>
          <cell r="E6463">
            <v>9.25</v>
          </cell>
          <cell r="H6463">
            <v>45561</v>
          </cell>
          <cell r="I6463">
            <v>0.65888888888888886</v>
          </cell>
          <cell r="J6463">
            <v>18.513333333333335</v>
          </cell>
        </row>
        <row r="6464">
          <cell r="B6464">
            <v>21.98</v>
          </cell>
          <cell r="C6464">
            <v>37.24</v>
          </cell>
          <cell r="D6464">
            <v>14.89</v>
          </cell>
          <cell r="E6464">
            <v>9.26</v>
          </cell>
          <cell r="H6464">
            <v>45561</v>
          </cell>
          <cell r="I6464">
            <v>0.64777777777777779</v>
          </cell>
          <cell r="J6464">
            <v>18.418888888888894</v>
          </cell>
        </row>
        <row r="6465">
          <cell r="B6465">
            <v>25.18</v>
          </cell>
          <cell r="C6465">
            <v>39.68</v>
          </cell>
          <cell r="D6465">
            <v>14.86</v>
          </cell>
          <cell r="E6465">
            <v>9.14</v>
          </cell>
          <cell r="H6465">
            <v>45561</v>
          </cell>
          <cell r="I6465">
            <v>0.64222222222222225</v>
          </cell>
          <cell r="J6465">
            <v>18.328888888888887</v>
          </cell>
        </row>
        <row r="6466">
          <cell r="B6466">
            <v>25.48</v>
          </cell>
          <cell r="C6466">
            <v>46.98</v>
          </cell>
          <cell r="D6466">
            <v>15</v>
          </cell>
          <cell r="E6466">
            <v>8.83</v>
          </cell>
          <cell r="H6466">
            <v>45561</v>
          </cell>
          <cell r="I6466">
            <v>0.65222222222222226</v>
          </cell>
          <cell r="J6466">
            <v>18.255555555555553</v>
          </cell>
        </row>
        <row r="6467">
          <cell r="B6467">
            <v>23.19</v>
          </cell>
          <cell r="C6467">
            <v>44.11</v>
          </cell>
          <cell r="D6467">
            <v>15.05</v>
          </cell>
          <cell r="E6467">
            <v>8.74</v>
          </cell>
          <cell r="H6467">
            <v>45561</v>
          </cell>
          <cell r="I6467">
            <v>0.66666666666666663</v>
          </cell>
          <cell r="J6467">
            <v>18.18888888888889</v>
          </cell>
        </row>
        <row r="6468">
          <cell r="B6468">
            <v>22.07</v>
          </cell>
          <cell r="C6468">
            <v>43.98</v>
          </cell>
          <cell r="D6468">
            <v>15.15</v>
          </cell>
          <cell r="E6468">
            <v>9.01</v>
          </cell>
          <cell r="H6468">
            <v>45561</v>
          </cell>
          <cell r="I6468">
            <v>0.67777777777777781</v>
          </cell>
          <cell r="J6468">
            <v>18.215555555555554</v>
          </cell>
        </row>
        <row r="6469">
          <cell r="B6469">
            <v>22.52</v>
          </cell>
          <cell r="C6469">
            <v>45.8</v>
          </cell>
          <cell r="D6469">
            <v>15.2</v>
          </cell>
          <cell r="E6469">
            <v>8.9700000000000006</v>
          </cell>
          <cell r="H6469">
            <v>45561</v>
          </cell>
          <cell r="I6469">
            <v>0.68222222222222217</v>
          </cell>
          <cell r="J6469">
            <v>18.333333333333332</v>
          </cell>
        </row>
        <row r="6470">
          <cell r="B6470">
            <v>22.9</v>
          </cell>
          <cell r="C6470">
            <v>45.5</v>
          </cell>
          <cell r="D6470">
            <v>16.809999999999999</v>
          </cell>
          <cell r="E6470">
            <v>9.36</v>
          </cell>
          <cell r="H6470">
            <v>45561</v>
          </cell>
          <cell r="I6470">
            <v>0.68777777777777782</v>
          </cell>
          <cell r="J6470">
            <v>18.666666666666668</v>
          </cell>
        </row>
        <row r="6471">
          <cell r="B6471">
            <v>22.19</v>
          </cell>
          <cell r="C6471">
            <v>45.64</v>
          </cell>
          <cell r="D6471">
            <v>17.309999999999999</v>
          </cell>
          <cell r="E6471">
            <v>9.81</v>
          </cell>
          <cell r="H6471">
            <v>45561</v>
          </cell>
          <cell r="I6471">
            <v>0.69222222222222229</v>
          </cell>
          <cell r="J6471">
            <v>19.152222222222221</v>
          </cell>
        </row>
        <row r="6472">
          <cell r="B6472">
            <v>20.170000000000002</v>
          </cell>
          <cell r="C6472">
            <v>45.67</v>
          </cell>
          <cell r="D6472">
            <v>16.809999999999999</v>
          </cell>
          <cell r="E6472">
            <v>9.7799999999999994</v>
          </cell>
          <cell r="H6472">
            <v>45561</v>
          </cell>
          <cell r="I6472">
            <v>0.69222222222222218</v>
          </cell>
          <cell r="J6472">
            <v>19.952222222222222</v>
          </cell>
        </row>
        <row r="6473">
          <cell r="B6473">
            <v>18.89</v>
          </cell>
          <cell r="C6473">
            <v>45.13</v>
          </cell>
          <cell r="D6473">
            <v>17.239999999999998</v>
          </cell>
          <cell r="E6473">
            <v>9.66</v>
          </cell>
          <cell r="H6473">
            <v>45561</v>
          </cell>
          <cell r="I6473">
            <v>0.69111111111111112</v>
          </cell>
          <cell r="J6473">
            <v>20.841111111111111</v>
          </cell>
        </row>
        <row r="6474">
          <cell r="B6474">
            <v>19.489999999999998</v>
          </cell>
          <cell r="C6474">
            <v>45.83</v>
          </cell>
          <cell r="D6474">
            <v>16.420000000000002</v>
          </cell>
          <cell r="E6474">
            <v>9.7200000000000006</v>
          </cell>
          <cell r="H6474">
            <v>45561</v>
          </cell>
          <cell r="I6474">
            <v>0.69666666666666666</v>
          </cell>
          <cell r="J6474">
            <v>21.593333333333334</v>
          </cell>
        </row>
        <row r="6475">
          <cell r="B6475">
            <v>21.73</v>
          </cell>
          <cell r="C6475">
            <v>49.91</v>
          </cell>
          <cell r="D6475">
            <v>15.56</v>
          </cell>
          <cell r="E6475">
            <v>9.4</v>
          </cell>
          <cell r="H6475">
            <v>45561</v>
          </cell>
          <cell r="I6475">
            <v>0.69666666666666677</v>
          </cell>
          <cell r="J6475">
            <v>22.159999999999997</v>
          </cell>
        </row>
        <row r="6476">
          <cell r="B6476">
            <v>25.64</v>
          </cell>
          <cell r="C6476">
            <v>59.28</v>
          </cell>
          <cell r="D6476">
            <v>15.7</v>
          </cell>
          <cell r="E6476">
            <v>9.6</v>
          </cell>
          <cell r="H6476">
            <v>45561</v>
          </cell>
          <cell r="I6476">
            <v>0.70444444444444443</v>
          </cell>
          <cell r="J6476">
            <v>22.453333333333333</v>
          </cell>
        </row>
        <row r="6477">
          <cell r="B6477">
            <v>26.75</v>
          </cell>
          <cell r="C6477">
            <v>63.3</v>
          </cell>
          <cell r="D6477">
            <v>15.6</v>
          </cell>
          <cell r="E6477">
            <v>9.6</v>
          </cell>
          <cell r="H6477">
            <v>45561</v>
          </cell>
          <cell r="I6477">
            <v>0.71666666666666679</v>
          </cell>
          <cell r="J6477">
            <v>22.614444444444448</v>
          </cell>
        </row>
        <row r="6478">
          <cell r="B6478">
            <v>26.91</v>
          </cell>
          <cell r="C6478">
            <v>54.06</v>
          </cell>
          <cell r="D6478">
            <v>15.44</v>
          </cell>
          <cell r="E6478">
            <v>9.7200000000000006</v>
          </cell>
          <cell r="H6478">
            <v>45561</v>
          </cell>
          <cell r="I6478">
            <v>0.7222222222222221</v>
          </cell>
          <cell r="J6478">
            <v>22.815555555555552</v>
          </cell>
        </row>
        <row r="6479">
          <cell r="B6479">
            <v>23.92</v>
          </cell>
          <cell r="C6479">
            <v>48.79</v>
          </cell>
          <cell r="D6479">
            <v>15.53</v>
          </cell>
          <cell r="E6479">
            <v>9.5299999999999994</v>
          </cell>
          <cell r="H6479">
            <v>45561</v>
          </cell>
          <cell r="I6479">
            <v>0.72111111111111115</v>
          </cell>
          <cell r="J6479">
            <v>22.77888888888889</v>
          </cell>
        </row>
        <row r="6480">
          <cell r="B6480">
            <v>23.03</v>
          </cell>
          <cell r="C6480">
            <v>50.06</v>
          </cell>
          <cell r="D6480">
            <v>15.1</v>
          </cell>
          <cell r="E6480">
            <v>9.2899999999999991</v>
          </cell>
          <cell r="H6480">
            <v>45561</v>
          </cell>
          <cell r="I6480">
            <v>0.71777777777777763</v>
          </cell>
          <cell r="J6480">
            <v>22.567777777777778</v>
          </cell>
        </row>
        <row r="6481">
          <cell r="B6481">
            <v>23.6</v>
          </cell>
          <cell r="C6481">
            <v>47.58</v>
          </cell>
          <cell r="D6481">
            <v>15.49</v>
          </cell>
          <cell r="E6481">
            <v>9.23</v>
          </cell>
          <cell r="H6481">
            <v>45561</v>
          </cell>
          <cell r="I6481">
            <v>0.71666666666666667</v>
          </cell>
          <cell r="J6481">
            <v>22.10222222222222</v>
          </cell>
        </row>
        <row r="6482">
          <cell r="B6482">
            <v>24.95</v>
          </cell>
          <cell r="C6482">
            <v>47.77</v>
          </cell>
          <cell r="D6482">
            <v>15.07</v>
          </cell>
          <cell r="E6482">
            <v>9.3800000000000008</v>
          </cell>
          <cell r="H6482">
            <v>45562</v>
          </cell>
          <cell r="I6482">
            <v>0.7155555555555555</v>
          </cell>
          <cell r="J6482">
            <v>21.6</v>
          </cell>
        </row>
        <row r="6483">
          <cell r="B6483">
            <v>22.42</v>
          </cell>
          <cell r="C6483">
            <v>44.36</v>
          </cell>
          <cell r="D6483">
            <v>14.61</v>
          </cell>
          <cell r="E6483">
            <v>9.1</v>
          </cell>
          <cell r="H6483">
            <v>45562</v>
          </cell>
          <cell r="I6483">
            <v>0.71</v>
          </cell>
          <cell r="J6483">
            <v>21.248888888888889</v>
          </cell>
        </row>
        <row r="6484">
          <cell r="B6484">
            <v>23.22</v>
          </cell>
          <cell r="C6484">
            <v>107.49</v>
          </cell>
          <cell r="D6484">
            <v>15.1</v>
          </cell>
          <cell r="E6484">
            <v>9.0299999999999994</v>
          </cell>
          <cell r="H6484">
            <v>45562</v>
          </cell>
          <cell r="I6484">
            <v>0.69777777777777783</v>
          </cell>
          <cell r="J6484">
            <v>21.048888888888893</v>
          </cell>
        </row>
        <row r="6485">
          <cell r="B6485">
            <v>23.5</v>
          </cell>
          <cell r="C6485">
            <v>84.21</v>
          </cell>
          <cell r="D6485">
            <v>14.54</v>
          </cell>
          <cell r="E6485">
            <v>9.4</v>
          </cell>
          <cell r="H6485">
            <v>45562</v>
          </cell>
          <cell r="I6485">
            <v>0.67555555555555558</v>
          </cell>
          <cell r="J6485">
            <v>21.062222222222221</v>
          </cell>
        </row>
        <row r="6486">
          <cell r="B6486">
            <v>22.52</v>
          </cell>
          <cell r="C6486">
            <v>60.41</v>
          </cell>
          <cell r="D6486">
            <v>14.91</v>
          </cell>
          <cell r="E6486">
            <v>9.49</v>
          </cell>
          <cell r="H6486">
            <v>45562</v>
          </cell>
          <cell r="I6486">
            <v>0.64999999999999991</v>
          </cell>
          <cell r="J6486">
            <v>21.103333333333335</v>
          </cell>
        </row>
        <row r="6487">
          <cell r="B6487">
            <v>21.75</v>
          </cell>
          <cell r="C6487">
            <v>51.86</v>
          </cell>
          <cell r="D6487">
            <v>14.72</v>
          </cell>
          <cell r="E6487">
            <v>9.61</v>
          </cell>
          <cell r="H6487">
            <v>45562</v>
          </cell>
          <cell r="I6487">
            <v>0.64</v>
          </cell>
          <cell r="J6487">
            <v>21.021111111111114</v>
          </cell>
        </row>
        <row r="6488">
          <cell r="B6488">
            <v>26.44</v>
          </cell>
          <cell r="C6488">
            <v>52.87</v>
          </cell>
          <cell r="D6488">
            <v>15.13</v>
          </cell>
          <cell r="E6488">
            <v>9.57</v>
          </cell>
          <cell r="H6488">
            <v>45562</v>
          </cell>
          <cell r="I6488">
            <v>0.63888888888888884</v>
          </cell>
          <cell r="J6488">
            <v>20.878888888888888</v>
          </cell>
        </row>
        <row r="6489">
          <cell r="B6489">
            <v>28.18</v>
          </cell>
          <cell r="C6489">
            <v>57.05</v>
          </cell>
          <cell r="D6489">
            <v>14.97</v>
          </cell>
          <cell r="E6489">
            <v>9.5500000000000007</v>
          </cell>
          <cell r="H6489">
            <v>45562</v>
          </cell>
          <cell r="I6489">
            <v>0.64111111111111108</v>
          </cell>
          <cell r="J6489">
            <v>20.779999999999998</v>
          </cell>
        </row>
        <row r="6490">
          <cell r="B6490">
            <v>24.11</v>
          </cell>
          <cell r="C6490">
            <v>51.98</v>
          </cell>
          <cell r="D6490">
            <v>15.27</v>
          </cell>
          <cell r="E6490">
            <v>9.3800000000000008</v>
          </cell>
          <cell r="H6490">
            <v>45562</v>
          </cell>
          <cell r="I6490">
            <v>0.65444444444444438</v>
          </cell>
          <cell r="J6490">
            <v>20.668888888888887</v>
          </cell>
        </row>
        <row r="6491">
          <cell r="B6491">
            <v>22.64</v>
          </cell>
          <cell r="C6491">
            <v>50.65</v>
          </cell>
          <cell r="D6491">
            <v>15.13</v>
          </cell>
          <cell r="E6491">
            <v>9.4</v>
          </cell>
          <cell r="H6491">
            <v>45562</v>
          </cell>
          <cell r="I6491">
            <v>0.66333333333333333</v>
          </cell>
          <cell r="J6491">
            <v>20.62222222222222</v>
          </cell>
        </row>
        <row r="6492">
          <cell r="B6492">
            <v>20.71</v>
          </cell>
          <cell r="C6492">
            <v>49.57</v>
          </cell>
          <cell r="D6492">
            <v>15.03</v>
          </cell>
          <cell r="E6492">
            <v>9.74</v>
          </cell>
          <cell r="H6492">
            <v>45562</v>
          </cell>
          <cell r="I6492">
            <v>0.67111111111111099</v>
          </cell>
          <cell r="J6492">
            <v>20.606666666666666</v>
          </cell>
        </row>
        <row r="6493">
          <cell r="B6493">
            <v>21.02</v>
          </cell>
          <cell r="C6493">
            <v>52.06</v>
          </cell>
          <cell r="D6493">
            <v>15.94</v>
          </cell>
          <cell r="E6493">
            <v>10.050000000000001</v>
          </cell>
          <cell r="H6493">
            <v>45562</v>
          </cell>
          <cell r="I6493">
            <v>0.67444444444444451</v>
          </cell>
          <cell r="J6493">
            <v>20.733333333333334</v>
          </cell>
        </row>
        <row r="6494">
          <cell r="B6494">
            <v>19.96</v>
          </cell>
          <cell r="C6494">
            <v>48.02</v>
          </cell>
          <cell r="D6494">
            <v>16.920000000000002</v>
          </cell>
          <cell r="E6494">
            <v>10.41</v>
          </cell>
          <cell r="H6494">
            <v>45562</v>
          </cell>
          <cell r="I6494">
            <v>0.67777777777777781</v>
          </cell>
          <cell r="J6494">
            <v>21.013333333333335</v>
          </cell>
        </row>
        <row r="6495">
          <cell r="B6495">
            <v>19.149999999999999</v>
          </cell>
          <cell r="C6495">
            <v>49.94</v>
          </cell>
          <cell r="D6495">
            <v>16.989999999999998</v>
          </cell>
          <cell r="E6495">
            <v>10.68</v>
          </cell>
          <cell r="H6495">
            <v>45562</v>
          </cell>
          <cell r="I6495">
            <v>0.68444444444444441</v>
          </cell>
          <cell r="J6495">
            <v>21.436666666666667</v>
          </cell>
        </row>
        <row r="6496">
          <cell r="B6496">
            <v>17.62</v>
          </cell>
          <cell r="C6496">
            <v>47.46</v>
          </cell>
          <cell r="D6496">
            <v>17.78</v>
          </cell>
          <cell r="E6496">
            <v>10.91</v>
          </cell>
          <cell r="H6496">
            <v>45562</v>
          </cell>
          <cell r="I6496">
            <v>0.68666666666666676</v>
          </cell>
          <cell r="J6496">
            <v>21.786666666666665</v>
          </cell>
        </row>
        <row r="6497">
          <cell r="B6497">
            <v>19.670000000000002</v>
          </cell>
          <cell r="C6497">
            <v>48.83</v>
          </cell>
          <cell r="D6497">
            <v>15.76</v>
          </cell>
          <cell r="E6497">
            <v>10.5</v>
          </cell>
          <cell r="H6497">
            <v>45562</v>
          </cell>
          <cell r="I6497">
            <v>0.68000000000000016</v>
          </cell>
          <cell r="J6497">
            <v>22.515555555555554</v>
          </cell>
        </row>
        <row r="6498">
          <cell r="B6498">
            <v>20.98</v>
          </cell>
          <cell r="C6498">
            <v>56</v>
          </cell>
          <cell r="D6498">
            <v>15.96</v>
          </cell>
          <cell r="E6498">
            <v>10.49</v>
          </cell>
          <cell r="H6498">
            <v>45562</v>
          </cell>
          <cell r="I6498">
            <v>0.68111111111111122</v>
          </cell>
          <cell r="J6498">
            <v>22.897777777777776</v>
          </cell>
        </row>
        <row r="6499">
          <cell r="B6499">
            <v>18.5</v>
          </cell>
          <cell r="C6499">
            <v>51.76</v>
          </cell>
          <cell r="D6499">
            <v>16.29</v>
          </cell>
          <cell r="E6499">
            <v>10.64</v>
          </cell>
          <cell r="H6499">
            <v>45562</v>
          </cell>
          <cell r="I6499">
            <v>0.67111111111111121</v>
          </cell>
          <cell r="J6499">
            <v>23.246666666666666</v>
          </cell>
        </row>
        <row r="6500">
          <cell r="B6500">
            <v>25.64</v>
          </cell>
          <cell r="C6500">
            <v>64.62</v>
          </cell>
          <cell r="D6500">
            <v>18.16</v>
          </cell>
          <cell r="E6500">
            <v>9.9700000000000006</v>
          </cell>
          <cell r="H6500">
            <v>45562</v>
          </cell>
          <cell r="I6500">
            <v>0.68888888888888888</v>
          </cell>
          <cell r="J6500">
            <v>23.322222222222223</v>
          </cell>
        </row>
        <row r="6501">
          <cell r="B6501">
            <v>33.58</v>
          </cell>
          <cell r="C6501">
            <v>70.59</v>
          </cell>
          <cell r="D6501">
            <v>16.8</v>
          </cell>
          <cell r="E6501">
            <v>9.69</v>
          </cell>
          <cell r="H6501">
            <v>45562</v>
          </cell>
          <cell r="I6501">
            <v>0.7088888888888889</v>
          </cell>
          <cell r="J6501">
            <v>23.204444444444441</v>
          </cell>
        </row>
        <row r="6502">
          <cell r="B6502">
            <v>27.69</v>
          </cell>
          <cell r="C6502">
            <v>68.11</v>
          </cell>
          <cell r="D6502">
            <v>15.9</v>
          </cell>
          <cell r="E6502">
            <v>9.6300000000000008</v>
          </cell>
          <cell r="H6502">
            <v>45562</v>
          </cell>
          <cell r="I6502">
            <v>0.72333333333333338</v>
          </cell>
          <cell r="J6502">
            <v>23.021111111111111</v>
          </cell>
        </row>
        <row r="6503">
          <cell r="B6503">
            <v>32.22</v>
          </cell>
          <cell r="C6503">
            <v>63.19</v>
          </cell>
          <cell r="D6503">
            <v>15.65</v>
          </cell>
          <cell r="E6503">
            <v>9.66</v>
          </cell>
          <cell r="H6503">
            <v>45562</v>
          </cell>
          <cell r="I6503">
            <v>0.72222222222222221</v>
          </cell>
          <cell r="J6503">
            <v>22.716666666666665</v>
          </cell>
        </row>
        <row r="6504">
          <cell r="B6504">
            <v>27.67</v>
          </cell>
          <cell r="C6504">
            <v>60.45</v>
          </cell>
          <cell r="D6504">
            <v>15.39</v>
          </cell>
          <cell r="E6504">
            <v>9.18</v>
          </cell>
          <cell r="H6504">
            <v>45562</v>
          </cell>
          <cell r="I6504">
            <v>0.71111111111111114</v>
          </cell>
          <cell r="J6504">
            <v>22.353333333333332</v>
          </cell>
        </row>
        <row r="6505">
          <cell r="B6505">
            <v>26.83</v>
          </cell>
          <cell r="C6505">
            <v>56.72</v>
          </cell>
          <cell r="D6505">
            <v>14.99</v>
          </cell>
          <cell r="E6505">
            <v>9.19</v>
          </cell>
          <cell r="H6505">
            <v>45562</v>
          </cell>
          <cell r="I6505">
            <v>0.7022222222222223</v>
          </cell>
          <cell r="J6505">
            <v>22.133333333333333</v>
          </cell>
        </row>
        <row r="6506">
          <cell r="B6506">
            <v>26.18</v>
          </cell>
          <cell r="C6506">
            <v>55.34</v>
          </cell>
          <cell r="D6506">
            <v>15.05</v>
          </cell>
          <cell r="E6506">
            <v>8.9499999999999993</v>
          </cell>
          <cell r="H6506">
            <v>45563</v>
          </cell>
          <cell r="I6506">
            <v>0.70000000000000007</v>
          </cell>
          <cell r="J6506">
            <v>21.61888888888889</v>
          </cell>
        </row>
        <row r="6507">
          <cell r="B6507">
            <v>24.88</v>
          </cell>
          <cell r="C6507">
            <v>50.71</v>
          </cell>
          <cell r="D6507">
            <v>14.94</v>
          </cell>
          <cell r="E6507">
            <v>8.9600000000000009</v>
          </cell>
          <cell r="H6507">
            <v>45563</v>
          </cell>
          <cell r="I6507">
            <v>0.68888888888888877</v>
          </cell>
          <cell r="J6507">
            <v>21.394444444444446</v>
          </cell>
        </row>
        <row r="6508">
          <cell r="B6508">
            <v>23</v>
          </cell>
          <cell r="C6508">
            <v>46.32</v>
          </cell>
          <cell r="D6508">
            <v>14.69</v>
          </cell>
          <cell r="E6508">
            <v>8.82</v>
          </cell>
          <cell r="H6508">
            <v>45563</v>
          </cell>
          <cell r="I6508">
            <v>0.67999999999999994</v>
          </cell>
          <cell r="J6508">
            <v>21.156666666666666</v>
          </cell>
        </row>
        <row r="6509">
          <cell r="B6509">
            <v>24.34</v>
          </cell>
          <cell r="C6509">
            <v>46.16</v>
          </cell>
          <cell r="D6509">
            <v>14.7</v>
          </cell>
          <cell r="E6509">
            <v>8.92</v>
          </cell>
          <cell r="H6509">
            <v>45563</v>
          </cell>
          <cell r="I6509">
            <v>0.64888888888888874</v>
          </cell>
          <cell r="J6509">
            <v>21.082222222222224</v>
          </cell>
        </row>
        <row r="6510">
          <cell r="B6510">
            <v>22.74</v>
          </cell>
          <cell r="C6510">
            <v>47.03</v>
          </cell>
          <cell r="D6510">
            <v>15.24</v>
          </cell>
          <cell r="E6510">
            <v>9.14</v>
          </cell>
          <cell r="H6510">
            <v>45563</v>
          </cell>
          <cell r="I6510">
            <v>0.61444444444444435</v>
          </cell>
          <cell r="J6510">
            <v>21.111111111111114</v>
          </cell>
        </row>
        <row r="6511">
          <cell r="B6511">
            <v>23.26</v>
          </cell>
          <cell r="C6511">
            <v>47.76</v>
          </cell>
          <cell r="D6511">
            <v>15.12</v>
          </cell>
          <cell r="E6511">
            <v>9.42</v>
          </cell>
          <cell r="H6511">
            <v>45563</v>
          </cell>
          <cell r="I6511">
            <v>0.59333333333333327</v>
          </cell>
          <cell r="J6511">
            <v>21.06666666666667</v>
          </cell>
        </row>
        <row r="6512">
          <cell r="B6512">
            <v>26.79</v>
          </cell>
          <cell r="C6512">
            <v>54.02</v>
          </cell>
          <cell r="D6512">
            <v>15.26</v>
          </cell>
          <cell r="E6512">
            <v>8.8800000000000008</v>
          </cell>
          <cell r="H6512">
            <v>45563</v>
          </cell>
          <cell r="I6512">
            <v>0.5988888888888888</v>
          </cell>
          <cell r="J6512">
            <v>21.001111111111111</v>
          </cell>
        </row>
        <row r="6513">
          <cell r="B6513">
            <v>31.92</v>
          </cell>
          <cell r="C6513">
            <v>60.44</v>
          </cell>
          <cell r="D6513">
            <v>14.89</v>
          </cell>
          <cell r="E6513">
            <v>9.17</v>
          </cell>
          <cell r="H6513">
            <v>45563</v>
          </cell>
          <cell r="I6513">
            <v>0.61222222222222222</v>
          </cell>
          <cell r="J6513">
            <v>21.009999999999998</v>
          </cell>
        </row>
        <row r="6514">
          <cell r="B6514">
            <v>27.38</v>
          </cell>
          <cell r="C6514">
            <v>60.1</v>
          </cell>
          <cell r="D6514">
            <v>15.19</v>
          </cell>
          <cell r="E6514">
            <v>9.16</v>
          </cell>
          <cell r="H6514">
            <v>45563</v>
          </cell>
          <cell r="I6514">
            <v>0.62777777777777777</v>
          </cell>
          <cell r="J6514">
            <v>21.064444444444444</v>
          </cell>
        </row>
        <row r="6515">
          <cell r="B6515">
            <v>24.86</v>
          </cell>
          <cell r="C6515">
            <v>56.97</v>
          </cell>
          <cell r="D6515">
            <v>15.4</v>
          </cell>
          <cell r="E6515">
            <v>9.64</v>
          </cell>
          <cell r="H6515">
            <v>45563</v>
          </cell>
          <cell r="I6515">
            <v>0.64333333333333331</v>
          </cell>
          <cell r="J6515">
            <v>21.254444444444445</v>
          </cell>
        </row>
        <row r="6516">
          <cell r="B6516">
            <v>22.3</v>
          </cell>
          <cell r="C6516">
            <v>52.77</v>
          </cell>
          <cell r="D6516">
            <v>15.4</v>
          </cell>
          <cell r="E6516">
            <v>9.43</v>
          </cell>
          <cell r="H6516">
            <v>45563</v>
          </cell>
          <cell r="I6516">
            <v>0.6644444444444445</v>
          </cell>
          <cell r="J6516">
            <v>21.646666666666668</v>
          </cell>
        </row>
        <row r="6517">
          <cell r="B6517">
            <v>22.12</v>
          </cell>
          <cell r="C6517">
            <v>50.22</v>
          </cell>
          <cell r="D6517">
            <v>16.010000000000002</v>
          </cell>
          <cell r="E6517">
            <v>9.15</v>
          </cell>
          <cell r="H6517">
            <v>45563</v>
          </cell>
          <cell r="I6517">
            <v>0.67888888888888888</v>
          </cell>
          <cell r="J6517">
            <v>22.253333333333337</v>
          </cell>
        </row>
        <row r="6518">
          <cell r="B6518">
            <v>24.28</v>
          </cell>
          <cell r="C6518">
            <v>52.16</v>
          </cell>
          <cell r="D6518">
            <v>16.05</v>
          </cell>
          <cell r="E6518">
            <v>9.17</v>
          </cell>
          <cell r="H6518">
            <v>45563</v>
          </cell>
          <cell r="I6518">
            <v>0.69444444444444453</v>
          </cell>
          <cell r="J6518">
            <v>23.068888888888889</v>
          </cell>
        </row>
        <row r="6519">
          <cell r="B6519">
            <v>24.39</v>
          </cell>
          <cell r="C6519">
            <v>52.1</v>
          </cell>
          <cell r="D6519">
            <v>16.079999999999998</v>
          </cell>
          <cell r="E6519">
            <v>8.98</v>
          </cell>
          <cell r="H6519">
            <v>45563</v>
          </cell>
          <cell r="I6519">
            <v>0.71111111111111114</v>
          </cell>
          <cell r="J6519">
            <v>24.130000000000003</v>
          </cell>
        </row>
        <row r="6520">
          <cell r="B6520">
            <v>25.84</v>
          </cell>
          <cell r="C6520">
            <v>56.24</v>
          </cell>
          <cell r="D6520">
            <v>15.82</v>
          </cell>
          <cell r="E6520">
            <v>8.6999999999999993</v>
          </cell>
          <cell r="H6520">
            <v>45563</v>
          </cell>
          <cell r="I6520">
            <v>0.73111111111111127</v>
          </cell>
          <cell r="J6520">
            <v>25.148888888888891</v>
          </cell>
        </row>
        <row r="6521">
          <cell r="B6521">
            <v>26.41</v>
          </cell>
          <cell r="C6521">
            <v>61.58</v>
          </cell>
          <cell r="D6521">
            <v>15.57</v>
          </cell>
          <cell r="E6521">
            <v>8.7899999999999991</v>
          </cell>
          <cell r="H6521">
            <v>45563</v>
          </cell>
          <cell r="I6521">
            <v>0.74555555555555564</v>
          </cell>
          <cell r="J6521">
            <v>26.063333333333333</v>
          </cell>
        </row>
        <row r="6522">
          <cell r="B6522">
            <v>28.59</v>
          </cell>
          <cell r="C6522">
            <v>64.349999999999994</v>
          </cell>
          <cell r="D6522">
            <v>15.7</v>
          </cell>
          <cell r="E6522">
            <v>9.02</v>
          </cell>
          <cell r="H6522">
            <v>45563</v>
          </cell>
          <cell r="I6522">
            <v>0.76</v>
          </cell>
          <cell r="J6522">
            <v>26.551111111111112</v>
          </cell>
        </row>
        <row r="6523">
          <cell r="B6523">
            <v>28.04</v>
          </cell>
          <cell r="C6523">
            <v>64.95</v>
          </cell>
          <cell r="D6523">
            <v>15.89</v>
          </cell>
          <cell r="E6523">
            <v>9.6300000000000008</v>
          </cell>
          <cell r="H6523">
            <v>45563</v>
          </cell>
          <cell r="I6523">
            <v>0.77333333333333343</v>
          </cell>
          <cell r="J6523">
            <v>26.820000000000004</v>
          </cell>
        </row>
        <row r="6524">
          <cell r="B6524">
            <v>27.75</v>
          </cell>
          <cell r="C6524">
            <v>67.86</v>
          </cell>
          <cell r="D6524">
            <v>15.67</v>
          </cell>
          <cell r="E6524">
            <v>9.4499999999999993</v>
          </cell>
          <cell r="H6524">
            <v>45563</v>
          </cell>
          <cell r="I6524">
            <v>0.80555555555555569</v>
          </cell>
          <cell r="J6524">
            <v>26.702222222222225</v>
          </cell>
        </row>
        <row r="6525">
          <cell r="B6525">
            <v>37.630000000000003</v>
          </cell>
          <cell r="C6525">
            <v>85.23</v>
          </cell>
          <cell r="D6525">
            <v>17.239999999999998</v>
          </cell>
          <cell r="E6525">
            <v>9.74</v>
          </cell>
          <cell r="H6525">
            <v>45563</v>
          </cell>
          <cell r="I6525">
            <v>0.85111111111111115</v>
          </cell>
          <cell r="J6525">
            <v>26.207777777777778</v>
          </cell>
        </row>
        <row r="6526">
          <cell r="B6526">
            <v>45.89</v>
          </cell>
          <cell r="C6526">
            <v>102.6</v>
          </cell>
          <cell r="D6526">
            <v>16.68</v>
          </cell>
          <cell r="E6526">
            <v>9.58</v>
          </cell>
          <cell r="H6526">
            <v>45563</v>
          </cell>
          <cell r="I6526">
            <v>0.89000000000000012</v>
          </cell>
          <cell r="J6526">
            <v>25.455555555555559</v>
          </cell>
        </row>
        <row r="6527">
          <cell r="B6527">
            <v>32.840000000000003</v>
          </cell>
          <cell r="C6527">
            <v>64.540000000000006</v>
          </cell>
          <cell r="D6527">
            <v>16.600000000000001</v>
          </cell>
          <cell r="E6527">
            <v>9.84</v>
          </cell>
          <cell r="H6527">
            <v>45563</v>
          </cell>
          <cell r="I6527">
            <v>0.91333333333333344</v>
          </cell>
          <cell r="J6527">
            <v>24.515555555555558</v>
          </cell>
        </row>
        <row r="6528">
          <cell r="B6528">
            <v>32.19</v>
          </cell>
          <cell r="C6528">
            <v>59.3</v>
          </cell>
          <cell r="D6528">
            <v>17.079999999999998</v>
          </cell>
          <cell r="E6528">
            <v>9.6</v>
          </cell>
          <cell r="H6528">
            <v>45563</v>
          </cell>
          <cell r="I6528">
            <v>0.9255555555555558</v>
          </cell>
          <cell r="J6528">
            <v>23.423333333333336</v>
          </cell>
        </row>
        <row r="6529">
          <cell r="B6529">
            <v>29.28</v>
          </cell>
          <cell r="C6529">
            <v>51.94</v>
          </cell>
          <cell r="D6529">
            <v>15.51</v>
          </cell>
          <cell r="E6529">
            <v>8.7100000000000009</v>
          </cell>
          <cell r="H6529">
            <v>45563</v>
          </cell>
          <cell r="I6529">
            <v>0.9255555555555558</v>
          </cell>
          <cell r="J6529">
            <v>22.500000000000004</v>
          </cell>
        </row>
        <row r="6530">
          <cell r="B6530">
            <v>27.7</v>
          </cell>
          <cell r="C6530">
            <v>51.68</v>
          </cell>
          <cell r="D6530">
            <v>15.66</v>
          </cell>
          <cell r="E6530">
            <v>8.5299999999999994</v>
          </cell>
          <cell r="H6530">
            <v>45564</v>
          </cell>
          <cell r="I6530">
            <v>0.91333333333333344</v>
          </cell>
          <cell r="J6530">
            <v>21.696666666666669</v>
          </cell>
        </row>
        <row r="6531">
          <cell r="B6531">
            <v>22.67</v>
          </cell>
          <cell r="C6531">
            <v>43.54</v>
          </cell>
          <cell r="D6531">
            <v>15.25</v>
          </cell>
          <cell r="E6531">
            <v>8.5399999999999991</v>
          </cell>
          <cell r="H6531">
            <v>45564</v>
          </cell>
          <cell r="I6531">
            <v>0.89555555555555566</v>
          </cell>
          <cell r="J6531">
            <v>21.323333333333334</v>
          </cell>
        </row>
        <row r="6532">
          <cell r="B6532">
            <v>19.420000000000002</v>
          </cell>
          <cell r="C6532">
            <v>37.380000000000003</v>
          </cell>
          <cell r="D6532">
            <v>15.32</v>
          </cell>
          <cell r="E6532">
            <v>8.3800000000000008</v>
          </cell>
          <cell r="H6532">
            <v>45564</v>
          </cell>
          <cell r="I6532">
            <v>0.87555555555555564</v>
          </cell>
          <cell r="J6532">
            <v>21.03</v>
          </cell>
        </row>
        <row r="6533">
          <cell r="B6533">
            <v>18.75</v>
          </cell>
          <cell r="C6533">
            <v>34.99</v>
          </cell>
          <cell r="D6533">
            <v>15.18</v>
          </cell>
          <cell r="E6533">
            <v>8.56</v>
          </cell>
          <cell r="H6533">
            <v>45564</v>
          </cell>
          <cell r="I6533">
            <v>0.83111111111111124</v>
          </cell>
          <cell r="J6533">
            <v>20.892222222222227</v>
          </cell>
        </row>
        <row r="6534">
          <cell r="B6534">
            <v>16.34</v>
          </cell>
          <cell r="C6534">
            <v>34.82</v>
          </cell>
          <cell r="D6534">
            <v>15.51</v>
          </cell>
          <cell r="E6534">
            <v>8.76</v>
          </cell>
          <cell r="H6534">
            <v>45564</v>
          </cell>
          <cell r="I6534">
            <v>0.76888888888888884</v>
          </cell>
          <cell r="J6534">
            <v>20.914444444444445</v>
          </cell>
        </row>
        <row r="6535">
          <cell r="B6535">
            <v>19.36</v>
          </cell>
          <cell r="C6535">
            <v>35.68</v>
          </cell>
          <cell r="D6535">
            <v>15.94</v>
          </cell>
          <cell r="E6535">
            <v>9.08</v>
          </cell>
          <cell r="H6535">
            <v>45564</v>
          </cell>
          <cell r="I6535">
            <v>0.72444444444444445</v>
          </cell>
          <cell r="J6535">
            <v>20.91888888888889</v>
          </cell>
        </row>
        <row r="6536">
          <cell r="B6536">
            <v>21.16</v>
          </cell>
          <cell r="C6536">
            <v>39.42</v>
          </cell>
          <cell r="D6536">
            <v>15.87</v>
          </cell>
          <cell r="E6536">
            <v>8.7200000000000006</v>
          </cell>
          <cell r="H6536">
            <v>45564</v>
          </cell>
          <cell r="I6536">
            <v>0.69222222222222218</v>
          </cell>
          <cell r="J6536">
            <v>20.985555555555557</v>
          </cell>
        </row>
        <row r="6537">
          <cell r="B6537">
            <v>23.87</v>
          </cell>
          <cell r="C6537">
            <v>41.15</v>
          </cell>
          <cell r="D6537">
            <v>15.63</v>
          </cell>
          <cell r="E6537">
            <v>8.61</v>
          </cell>
          <cell r="H6537">
            <v>45564</v>
          </cell>
          <cell r="I6537">
            <v>0.67888888888888888</v>
          </cell>
          <cell r="J6537">
            <v>21.042222222222222</v>
          </cell>
        </row>
        <row r="6538">
          <cell r="B6538">
            <v>22.77</v>
          </cell>
          <cell r="C6538">
            <v>43.98</v>
          </cell>
          <cell r="D6538">
            <v>16.64</v>
          </cell>
          <cell r="E6538">
            <v>9.32</v>
          </cell>
          <cell r="H6538">
            <v>45564</v>
          </cell>
          <cell r="I6538">
            <v>0.69</v>
          </cell>
          <cell r="J6538">
            <v>20.993333333333329</v>
          </cell>
        </row>
        <row r="6539">
          <cell r="B6539">
            <v>24.96</v>
          </cell>
          <cell r="C6539">
            <v>54.9</v>
          </cell>
          <cell r="D6539">
            <v>16.899999999999999</v>
          </cell>
          <cell r="E6539">
            <v>9.24</v>
          </cell>
          <cell r="H6539">
            <v>45564</v>
          </cell>
          <cell r="I6539">
            <v>0.70333333333333337</v>
          </cell>
          <cell r="J6539">
            <v>21.303333333333331</v>
          </cell>
        </row>
        <row r="6540">
          <cell r="B6540">
            <v>25.48</v>
          </cell>
          <cell r="C6540">
            <v>54.79</v>
          </cell>
          <cell r="D6540">
            <v>16.98</v>
          </cell>
          <cell r="E6540">
            <v>9.16</v>
          </cell>
          <cell r="H6540">
            <v>45564</v>
          </cell>
          <cell r="I6540">
            <v>0.70888888888888901</v>
          </cell>
          <cell r="J6540">
            <v>21.643333333333331</v>
          </cell>
        </row>
        <row r="6541">
          <cell r="B6541">
            <v>25.94</v>
          </cell>
          <cell r="C6541">
            <v>52.26</v>
          </cell>
          <cell r="D6541">
            <v>17.75</v>
          </cell>
          <cell r="E6541">
            <v>8.1300000000000008</v>
          </cell>
          <cell r="H6541">
            <v>45564</v>
          </cell>
          <cell r="I6541">
            <v>0.71888888888888891</v>
          </cell>
          <cell r="J6541">
            <v>22.093333333333334</v>
          </cell>
        </row>
        <row r="6542">
          <cell r="B6542">
            <v>25.02</v>
          </cell>
          <cell r="C6542">
            <v>49.41</v>
          </cell>
          <cell r="D6542">
            <v>16.13</v>
          </cell>
          <cell r="E6542">
            <v>8.34</v>
          </cell>
          <cell r="H6542">
            <v>45564</v>
          </cell>
          <cell r="I6542">
            <v>0.73333333333333339</v>
          </cell>
          <cell r="J6542">
            <v>22.659999999999997</v>
          </cell>
        </row>
        <row r="6543">
          <cell r="B6543">
            <v>23.02</v>
          </cell>
          <cell r="C6543">
            <v>42.97</v>
          </cell>
          <cell r="D6543">
            <v>16.47</v>
          </cell>
          <cell r="E6543">
            <v>8.68</v>
          </cell>
          <cell r="H6543">
            <v>45564</v>
          </cell>
          <cell r="I6543">
            <v>0.74111111111111105</v>
          </cell>
          <cell r="J6543">
            <v>23.308888888888887</v>
          </cell>
        </row>
        <row r="6544">
          <cell r="B6544">
            <v>23.92</v>
          </cell>
          <cell r="C6544">
            <v>46.74</v>
          </cell>
          <cell r="D6544">
            <v>16.04</v>
          </cell>
          <cell r="E6544">
            <v>8.4700000000000006</v>
          </cell>
          <cell r="H6544">
            <v>45564</v>
          </cell>
          <cell r="I6544">
            <v>0.74777777777777776</v>
          </cell>
          <cell r="J6544">
            <v>24.081111111111106</v>
          </cell>
        </row>
        <row r="6545">
          <cell r="B6545">
            <v>23.7</v>
          </cell>
          <cell r="C6545">
            <v>46.86</v>
          </cell>
          <cell r="D6545">
            <v>15.69</v>
          </cell>
          <cell r="E6545">
            <v>8.49</v>
          </cell>
          <cell r="H6545">
            <v>45564</v>
          </cell>
          <cell r="I6545">
            <v>0.7533333333333333</v>
          </cell>
          <cell r="J6545">
            <v>24.854444444444443</v>
          </cell>
        </row>
        <row r="6546">
          <cell r="B6546">
            <v>25.21</v>
          </cell>
          <cell r="C6546">
            <v>45.62</v>
          </cell>
          <cell r="D6546">
            <v>15.71</v>
          </cell>
          <cell r="E6546">
            <v>8.81</v>
          </cell>
          <cell r="H6546">
            <v>45564</v>
          </cell>
          <cell r="I6546">
            <v>0.75222222222222213</v>
          </cell>
          <cell r="J6546">
            <v>25.582222222222228</v>
          </cell>
        </row>
        <row r="6547">
          <cell r="B6547">
            <v>25.24</v>
          </cell>
          <cell r="C6547">
            <v>48</v>
          </cell>
          <cell r="D6547">
            <v>15.85</v>
          </cell>
          <cell r="E6547">
            <v>8.48</v>
          </cell>
          <cell r="H6547">
            <v>45564</v>
          </cell>
          <cell r="I6547">
            <v>0.73444444444444434</v>
          </cell>
          <cell r="J6547">
            <v>26.218888888888891</v>
          </cell>
        </row>
        <row r="6548">
          <cell r="B6548">
            <v>28.36</v>
          </cell>
          <cell r="C6548">
            <v>51.17</v>
          </cell>
          <cell r="D6548">
            <v>16.07</v>
          </cell>
          <cell r="E6548">
            <v>8.6300000000000008</v>
          </cell>
          <cell r="H6548">
            <v>45564</v>
          </cell>
          <cell r="I6548">
            <v>0.73111111111111127</v>
          </cell>
          <cell r="J6548">
            <v>26.162222222222226</v>
          </cell>
        </row>
        <row r="6549">
          <cell r="B6549">
            <v>34</v>
          </cell>
          <cell r="C6549">
            <v>66.260000000000005</v>
          </cell>
          <cell r="D6549">
            <v>16.75</v>
          </cell>
          <cell r="E6549">
            <v>8.67</v>
          </cell>
          <cell r="H6549">
            <v>45564</v>
          </cell>
          <cell r="I6549">
            <v>0.74777777777777776</v>
          </cell>
          <cell r="J6549">
            <v>25.757777777777775</v>
          </cell>
        </row>
        <row r="6550">
          <cell r="B6550">
            <v>39.89</v>
          </cell>
          <cell r="C6550">
            <v>74.540000000000006</v>
          </cell>
          <cell r="D6550">
            <v>17.100000000000001</v>
          </cell>
          <cell r="E6550">
            <v>8.6999999999999993</v>
          </cell>
          <cell r="H6550">
            <v>45564</v>
          </cell>
          <cell r="I6550">
            <v>0.76444444444444437</v>
          </cell>
          <cell r="J6550">
            <v>25.20888888888889</v>
          </cell>
        </row>
        <row r="6551">
          <cell r="B6551">
            <v>42.98</v>
          </cell>
          <cell r="C6551">
            <v>82.59</v>
          </cell>
          <cell r="D6551">
            <v>17.04</v>
          </cell>
          <cell r="E6551">
            <v>8.44</v>
          </cell>
          <cell r="H6551">
            <v>45564</v>
          </cell>
          <cell r="I6551">
            <v>0.76777777777777767</v>
          </cell>
          <cell r="J6551">
            <v>24.66888888888889</v>
          </cell>
        </row>
        <row r="6552">
          <cell r="B6552">
            <v>36.880000000000003</v>
          </cell>
          <cell r="C6552">
            <v>79</v>
          </cell>
          <cell r="D6552">
            <v>16.59</v>
          </cell>
          <cell r="E6552">
            <v>8.84</v>
          </cell>
          <cell r="H6552">
            <v>45564</v>
          </cell>
          <cell r="I6552">
            <v>0.77</v>
          </cell>
          <cell r="J6552">
            <v>24.376666666666669</v>
          </cell>
        </row>
        <row r="6553">
          <cell r="B6553">
            <v>34.67</v>
          </cell>
          <cell r="C6553">
            <v>77.25</v>
          </cell>
          <cell r="D6553">
            <v>15.72</v>
          </cell>
          <cell r="E6553">
            <v>8.76</v>
          </cell>
          <cell r="H6553">
            <v>45564</v>
          </cell>
          <cell r="I6553">
            <v>0.76666666666666672</v>
          </cell>
          <cell r="J6553">
            <v>24.062222222222221</v>
          </cell>
        </row>
        <row r="6554">
          <cell r="B6554">
            <v>38.07</v>
          </cell>
          <cell r="C6554">
            <v>76.010000000000005</v>
          </cell>
          <cell r="D6554">
            <v>15.45</v>
          </cell>
          <cell r="E6554">
            <v>9.01</v>
          </cell>
          <cell r="H6554">
            <v>45565</v>
          </cell>
          <cell r="I6554">
            <v>0.7533333333333333</v>
          </cell>
          <cell r="J6554">
            <v>23.567777777777778</v>
          </cell>
        </row>
        <row r="6555">
          <cell r="B6555">
            <v>36.619999999999997</v>
          </cell>
          <cell r="C6555">
            <v>74.2</v>
          </cell>
          <cell r="D6555">
            <v>15.51</v>
          </cell>
          <cell r="E6555">
            <v>9.0500000000000007</v>
          </cell>
          <cell r="H6555">
            <v>45565</v>
          </cell>
          <cell r="I6555">
            <v>0.73444444444444457</v>
          </cell>
          <cell r="J6555">
            <v>23.034444444444446</v>
          </cell>
        </row>
        <row r="6556">
          <cell r="B6556">
            <v>34.549999999999997</v>
          </cell>
          <cell r="C6556">
            <v>62.91</v>
          </cell>
          <cell r="D6556">
            <v>15.68</v>
          </cell>
          <cell r="E6556">
            <v>9.1999999999999993</v>
          </cell>
          <cell r="H6556">
            <v>45565</v>
          </cell>
          <cell r="I6556">
            <v>0.71444444444444455</v>
          </cell>
          <cell r="J6556">
            <v>22.538888888888888</v>
          </cell>
        </row>
        <row r="6557">
          <cell r="B6557">
            <v>34.520000000000003</v>
          </cell>
          <cell r="C6557">
            <v>69.33</v>
          </cell>
          <cell r="D6557">
            <v>15.22</v>
          </cell>
          <cell r="E6557">
            <v>10.25</v>
          </cell>
          <cell r="H6557">
            <v>45565</v>
          </cell>
          <cell r="I6557">
            <v>0.68666666666666665</v>
          </cell>
          <cell r="J6557">
            <v>22.364444444444445</v>
          </cell>
        </row>
        <row r="6558">
          <cell r="B6558">
            <v>33.159999999999997</v>
          </cell>
          <cell r="C6558">
            <v>70.61</v>
          </cell>
          <cell r="D6558">
            <v>15.21</v>
          </cell>
          <cell r="E6558">
            <v>10.39</v>
          </cell>
          <cell r="H6558">
            <v>45565</v>
          </cell>
          <cell r="I6558">
            <v>0.65222222222222226</v>
          </cell>
          <cell r="J6558">
            <v>22.274444444444448</v>
          </cell>
        </row>
        <row r="6559">
          <cell r="B6559">
            <v>34.200000000000003</v>
          </cell>
          <cell r="C6559">
            <v>65.849999999999994</v>
          </cell>
          <cell r="D6559">
            <v>15.69</v>
          </cell>
          <cell r="E6559">
            <v>9.3000000000000007</v>
          </cell>
          <cell r="H6559">
            <v>45565</v>
          </cell>
          <cell r="I6559">
            <v>0.62222222222222223</v>
          </cell>
          <cell r="J6559">
            <v>22.176666666666666</v>
          </cell>
        </row>
        <row r="6560">
          <cell r="B6560">
            <v>32.6</v>
          </cell>
          <cell r="C6560">
            <v>57.95</v>
          </cell>
          <cell r="D6560">
            <v>15.58</v>
          </cell>
          <cell r="E6560">
            <v>9.43</v>
          </cell>
          <cell r="H6560">
            <v>45565</v>
          </cell>
          <cell r="I6560">
            <v>0.60555555555555562</v>
          </cell>
          <cell r="J6560">
            <v>22.047777777777782</v>
          </cell>
        </row>
        <row r="6561">
          <cell r="B6561">
            <v>30.32</v>
          </cell>
          <cell r="C6561">
            <v>52.71</v>
          </cell>
          <cell r="D6561">
            <v>16.04</v>
          </cell>
          <cell r="E6561">
            <v>9.48</v>
          </cell>
          <cell r="H6561">
            <v>45565</v>
          </cell>
          <cell r="I6561">
            <v>0.6</v>
          </cell>
          <cell r="J6561">
            <v>21.681111111111115</v>
          </cell>
        </row>
        <row r="6562">
          <cell r="B6562">
            <v>27.22</v>
          </cell>
          <cell r="C6562">
            <v>52.45</v>
          </cell>
          <cell r="D6562">
            <v>16.87</v>
          </cell>
          <cell r="E6562">
            <v>10.130000000000001</v>
          </cell>
          <cell r="H6562">
            <v>45565</v>
          </cell>
          <cell r="I6562">
            <v>0.60777777777777775</v>
          </cell>
          <cell r="J6562">
            <v>21.45888888888889</v>
          </cell>
        </row>
        <row r="6563">
          <cell r="B6563">
            <v>28.97</v>
          </cell>
          <cell r="C6563">
            <v>55.52</v>
          </cell>
          <cell r="D6563">
            <v>16.46</v>
          </cell>
          <cell r="E6563">
            <v>10.199999999999999</v>
          </cell>
          <cell r="H6563">
            <v>45565</v>
          </cell>
          <cell r="I6563">
            <v>0.62666666666666671</v>
          </cell>
          <cell r="J6563">
            <v>21.576666666666668</v>
          </cell>
        </row>
        <row r="6564">
          <cell r="B6564">
            <v>29.7</v>
          </cell>
          <cell r="C6564">
            <v>57.06</v>
          </cell>
          <cell r="D6564">
            <v>17.21</v>
          </cell>
          <cell r="E6564">
            <v>10.47</v>
          </cell>
          <cell r="H6564">
            <v>45565</v>
          </cell>
          <cell r="I6564">
            <v>0.65222222222222226</v>
          </cell>
          <cell r="J6564">
            <v>21.945555555555554</v>
          </cell>
        </row>
        <row r="6565">
          <cell r="B6565">
            <v>29.7</v>
          </cell>
          <cell r="C6565">
            <v>56.39</v>
          </cell>
          <cell r="D6565">
            <v>18.09</v>
          </cell>
          <cell r="E6565">
            <v>10.130000000000001</v>
          </cell>
          <cell r="H6565">
            <v>45565</v>
          </cell>
          <cell r="I6565">
            <v>0.67333333333333334</v>
          </cell>
          <cell r="J6565">
            <v>22.66</v>
          </cell>
        </row>
        <row r="6566">
          <cell r="B6566">
            <v>29.88</v>
          </cell>
          <cell r="C6566">
            <v>52.69</v>
          </cell>
          <cell r="D6566">
            <v>18.59</v>
          </cell>
          <cell r="E6566">
            <v>9.61</v>
          </cell>
          <cell r="H6566">
            <v>45565</v>
          </cell>
          <cell r="I6566">
            <v>0.69000000000000006</v>
          </cell>
          <cell r="J6566">
            <v>23.417777777777776</v>
          </cell>
        </row>
        <row r="6567">
          <cell r="B6567">
            <v>27.25</v>
          </cell>
          <cell r="C6567">
            <v>47.66</v>
          </cell>
          <cell r="D6567">
            <v>18.27</v>
          </cell>
          <cell r="E6567">
            <v>8.98</v>
          </cell>
          <cell r="H6567">
            <v>45565</v>
          </cell>
          <cell r="I6567">
            <v>0.71777777777777774</v>
          </cell>
          <cell r="J6567">
            <v>24.483333333333334</v>
          </cell>
        </row>
        <row r="6568">
          <cell r="B6568">
            <v>25.58</v>
          </cell>
          <cell r="C6568">
            <v>57.53</v>
          </cell>
          <cell r="D6568">
            <v>18.3</v>
          </cell>
          <cell r="E6568">
            <v>9.11</v>
          </cell>
          <cell r="H6568">
            <v>45565</v>
          </cell>
          <cell r="I6568">
            <v>0.7400000000000001</v>
          </cell>
          <cell r="J6568">
            <v>25.251111111111111</v>
          </cell>
        </row>
        <row r="6569">
          <cell r="B6569">
            <v>22.39</v>
          </cell>
          <cell r="C6569">
            <v>57.76</v>
          </cell>
          <cell r="D6569">
            <v>18.239999999999998</v>
          </cell>
          <cell r="E6569">
            <v>9.2799999999999994</v>
          </cell>
          <cell r="H6569">
            <v>45565</v>
          </cell>
          <cell r="I6569">
            <v>0.75444444444444458</v>
          </cell>
          <cell r="J6569">
            <v>26.054444444444446</v>
          </cell>
        </row>
        <row r="6570">
          <cell r="B6570">
            <v>21.14</v>
          </cell>
          <cell r="C6570">
            <v>52.61</v>
          </cell>
          <cell r="D6570">
            <v>17.73</v>
          </cell>
          <cell r="E6570">
            <v>9.67</v>
          </cell>
          <cell r="H6570">
            <v>45565</v>
          </cell>
          <cell r="I6570">
            <v>0.76555555555555543</v>
          </cell>
          <cell r="J6570">
            <v>26.766666666666666</v>
          </cell>
        </row>
        <row r="6571">
          <cell r="B6571">
            <v>23.71</v>
          </cell>
          <cell r="C6571">
            <v>54.18</v>
          </cell>
          <cell r="D6571">
            <v>17.59</v>
          </cell>
          <cell r="E6571">
            <v>10.16</v>
          </cell>
          <cell r="H6571">
            <v>45565</v>
          </cell>
          <cell r="I6571">
            <v>0.77333333333333321</v>
          </cell>
          <cell r="J6571">
            <v>27.029999999999998</v>
          </cell>
        </row>
        <row r="6572">
          <cell r="B6572">
            <v>24.98</v>
          </cell>
          <cell r="C6572">
            <v>60.29</v>
          </cell>
          <cell r="D6572">
            <v>18.829999999999998</v>
          </cell>
          <cell r="E6572">
            <v>9.69</v>
          </cell>
          <cell r="H6572">
            <v>45565</v>
          </cell>
          <cell r="I6572">
            <v>0.79666666666666652</v>
          </cell>
          <cell r="J6572">
            <v>26.74111111111111</v>
          </cell>
        </row>
        <row r="6573">
          <cell r="B6573">
            <v>32.51</v>
          </cell>
          <cell r="C6573">
            <v>65.66</v>
          </cell>
          <cell r="D6573">
            <v>19.34</v>
          </cell>
          <cell r="E6573">
            <v>9.69</v>
          </cell>
          <cell r="H6573">
            <v>45565</v>
          </cell>
          <cell r="I6573">
            <v>0.83777777777777773</v>
          </cell>
          <cell r="J6573">
            <v>26.145555555555557</v>
          </cell>
        </row>
        <row r="6574">
          <cell r="B6574">
            <v>37.32</v>
          </cell>
          <cell r="C6574">
            <v>74.33</v>
          </cell>
          <cell r="D6574">
            <v>19.260000000000002</v>
          </cell>
          <cell r="E6574">
            <v>9.48</v>
          </cell>
          <cell r="H6574">
            <v>45565</v>
          </cell>
          <cell r="I6574">
            <v>0.8866666666666666</v>
          </cell>
          <cell r="J6574">
            <v>25.314444444444444</v>
          </cell>
        </row>
        <row r="6575">
          <cell r="B6575">
            <v>38.17</v>
          </cell>
          <cell r="C6575">
            <v>80.03</v>
          </cell>
          <cell r="D6575">
            <v>18.12</v>
          </cell>
          <cell r="E6575">
            <v>8.77</v>
          </cell>
          <cell r="H6575">
            <v>45565</v>
          </cell>
          <cell r="I6575">
            <v>0.90222222222222215</v>
          </cell>
          <cell r="J6575">
            <v>24.592222222222219</v>
          </cell>
        </row>
        <row r="6576">
          <cell r="B6576">
            <v>33.07</v>
          </cell>
          <cell r="C6576">
            <v>68.59</v>
          </cell>
          <cell r="D6576">
            <v>17.170000000000002</v>
          </cell>
          <cell r="E6576">
            <v>8.6300000000000008</v>
          </cell>
          <cell r="H6576">
            <v>45565</v>
          </cell>
          <cell r="I6576">
            <v>0.89999999999999991</v>
          </cell>
          <cell r="J6576">
            <v>23.879999999999995</v>
          </cell>
        </row>
        <row r="6577">
          <cell r="B6577">
            <v>32.58</v>
          </cell>
          <cell r="C6577">
            <v>64.38</v>
          </cell>
          <cell r="D6577">
            <v>17.010000000000002</v>
          </cell>
          <cell r="E6577">
            <v>8.2799999999999994</v>
          </cell>
          <cell r="H6577">
            <v>45565</v>
          </cell>
          <cell r="I6577">
            <v>0.89111111111111108</v>
          </cell>
          <cell r="J6577">
            <v>23.547777777777778</v>
          </cell>
        </row>
        <row r="6578">
          <cell r="B6578">
            <v>31.73</v>
          </cell>
          <cell r="C6578">
            <v>62.11</v>
          </cell>
          <cell r="D6578">
            <v>16.89</v>
          </cell>
          <cell r="E6578">
            <v>8.33</v>
          </cell>
          <cell r="H6578">
            <v>45566</v>
          </cell>
          <cell r="I6578">
            <v>0.87888888888888894</v>
          </cell>
          <cell r="J6578">
            <v>23.119999999999997</v>
          </cell>
        </row>
        <row r="6579">
          <cell r="B6579">
            <v>34.67</v>
          </cell>
          <cell r="C6579">
            <v>58.17</v>
          </cell>
          <cell r="D6579">
            <v>17.170000000000002</v>
          </cell>
          <cell r="E6579">
            <v>8.56</v>
          </cell>
          <cell r="H6579">
            <v>45566</v>
          </cell>
          <cell r="I6579">
            <v>0.87111111111111117</v>
          </cell>
          <cell r="J6579">
            <v>22.681111111111111</v>
          </cell>
        </row>
        <row r="6580">
          <cell r="B6580">
            <v>34.36</v>
          </cell>
          <cell r="C6580">
            <v>61.4</v>
          </cell>
          <cell r="D6580">
            <v>16.46</v>
          </cell>
          <cell r="E6580">
            <v>8.82</v>
          </cell>
          <cell r="H6580">
            <v>45566</v>
          </cell>
          <cell r="I6580">
            <v>0.85333333333333339</v>
          </cell>
          <cell r="J6580">
            <v>22.52</v>
          </cell>
        </row>
        <row r="6581">
          <cell r="B6581">
            <v>36.840000000000003</v>
          </cell>
          <cell r="C6581">
            <v>62.59</v>
          </cell>
          <cell r="D6581">
            <v>16.52</v>
          </cell>
          <cell r="E6581">
            <v>8.98</v>
          </cell>
          <cell r="H6581">
            <v>45566</v>
          </cell>
          <cell r="I6581">
            <v>0.8222222222222223</v>
          </cell>
          <cell r="J6581">
            <v>22.71222222222222</v>
          </cell>
        </row>
        <row r="6582">
          <cell r="B6582">
            <v>34.99</v>
          </cell>
          <cell r="C6582">
            <v>63.57</v>
          </cell>
          <cell r="D6582">
            <v>16.47</v>
          </cell>
          <cell r="E6582">
            <v>8.82</v>
          </cell>
          <cell r="H6582">
            <v>45566</v>
          </cell>
          <cell r="I6582">
            <v>0.77111111111111119</v>
          </cell>
          <cell r="J6582">
            <v>22.966666666666669</v>
          </cell>
        </row>
        <row r="6583">
          <cell r="B6583">
            <v>32.43</v>
          </cell>
          <cell r="C6583">
            <v>59.65</v>
          </cell>
          <cell r="D6583">
            <v>16.66</v>
          </cell>
          <cell r="E6583">
            <v>8.81</v>
          </cell>
          <cell r="H6583">
            <v>45566</v>
          </cell>
          <cell r="I6583">
            <v>0.72333333333333338</v>
          </cell>
          <cell r="J6583">
            <v>23.182222222222222</v>
          </cell>
        </row>
        <row r="6584">
          <cell r="B6584">
            <v>33.869999999999997</v>
          </cell>
          <cell r="C6584">
            <v>56.26</v>
          </cell>
          <cell r="D6584">
            <v>17.29</v>
          </cell>
          <cell r="E6584">
            <v>8.6999999999999993</v>
          </cell>
          <cell r="H6584">
            <v>45566</v>
          </cell>
          <cell r="I6584">
            <v>0.71777777777777785</v>
          </cell>
          <cell r="J6584">
            <v>23.174444444444443</v>
          </cell>
        </row>
        <row r="6585">
          <cell r="B6585">
            <v>38.6</v>
          </cell>
          <cell r="C6585">
            <v>66.260000000000005</v>
          </cell>
          <cell r="D6585">
            <v>17.04</v>
          </cell>
          <cell r="E6585">
            <v>8.48</v>
          </cell>
          <cell r="H6585">
            <v>45566</v>
          </cell>
          <cell r="I6585">
            <v>0.71888888888888891</v>
          </cell>
          <cell r="J6585">
            <v>23.017777777777777</v>
          </cell>
        </row>
        <row r="6586">
          <cell r="B6586">
            <v>34.26</v>
          </cell>
          <cell r="C6586">
            <v>67.36</v>
          </cell>
          <cell r="D6586">
            <v>16.97</v>
          </cell>
          <cell r="E6586">
            <v>9.0399999999999991</v>
          </cell>
          <cell r="H6586">
            <v>45566</v>
          </cell>
          <cell r="I6586">
            <v>0.72777777777777786</v>
          </cell>
          <cell r="J6586">
            <v>23.021111111111111</v>
          </cell>
        </row>
        <row r="6587">
          <cell r="B6587">
            <v>36.090000000000003</v>
          </cell>
          <cell r="C6587">
            <v>73.72</v>
          </cell>
          <cell r="D6587">
            <v>17.11</v>
          </cell>
          <cell r="E6587">
            <v>8.81</v>
          </cell>
          <cell r="H6587">
            <v>45566</v>
          </cell>
          <cell r="I6587">
            <v>0.74444444444444458</v>
          </cell>
          <cell r="J6587">
            <v>23.345555555555553</v>
          </cell>
        </row>
        <row r="6588">
          <cell r="B6588">
            <v>34</v>
          </cell>
          <cell r="C6588">
            <v>68.819999999999993</v>
          </cell>
          <cell r="D6588">
            <v>17.059999999999999</v>
          </cell>
          <cell r="E6588">
            <v>8.9499999999999993</v>
          </cell>
          <cell r="H6588">
            <v>45566</v>
          </cell>
          <cell r="I6588">
            <v>0.75555555555555554</v>
          </cell>
          <cell r="J6588">
            <v>24.074444444444442</v>
          </cell>
        </row>
        <row r="6589">
          <cell r="B6589">
            <v>31.69</v>
          </cell>
          <cell r="C6589">
            <v>62.15</v>
          </cell>
          <cell r="D6589">
            <v>17.260000000000002</v>
          </cell>
          <cell r="E6589">
            <v>8.82</v>
          </cell>
          <cell r="H6589">
            <v>45566</v>
          </cell>
          <cell r="I6589">
            <v>0.76666666666666672</v>
          </cell>
          <cell r="J6589">
            <v>24.771111111111111</v>
          </cell>
        </row>
        <row r="6590">
          <cell r="B6590">
            <v>27.96</v>
          </cell>
          <cell r="C6590">
            <v>58.17</v>
          </cell>
          <cell r="D6590">
            <v>17.75</v>
          </cell>
          <cell r="E6590">
            <v>8.67</v>
          </cell>
          <cell r="H6590">
            <v>45566</v>
          </cell>
          <cell r="I6590">
            <v>0.77666666666666662</v>
          </cell>
          <cell r="J6590">
            <v>25.352222222222224</v>
          </cell>
        </row>
        <row r="6591">
          <cell r="B6591">
            <v>26.54</v>
          </cell>
          <cell r="C6591">
            <v>51.61</v>
          </cell>
          <cell r="D6591">
            <v>18.27</v>
          </cell>
          <cell r="E6591">
            <v>8.01</v>
          </cell>
          <cell r="H6591">
            <v>45566</v>
          </cell>
          <cell r="I6591">
            <v>0.78666666666666663</v>
          </cell>
          <cell r="J6591">
            <v>26.132222222222225</v>
          </cell>
        </row>
        <row r="6592">
          <cell r="B6592">
            <v>27.14</v>
          </cell>
          <cell r="C6592">
            <v>51.43</v>
          </cell>
          <cell r="D6592">
            <v>17.579999999999998</v>
          </cell>
          <cell r="E6592">
            <v>7.5</v>
          </cell>
          <cell r="H6592">
            <v>45566</v>
          </cell>
          <cell r="I6592">
            <v>0.79222222222222216</v>
          </cell>
          <cell r="J6592">
            <v>26.162222222222223</v>
          </cell>
        </row>
        <row r="6593">
          <cell r="B6593">
            <v>27.83</v>
          </cell>
          <cell r="C6593">
            <v>55.25</v>
          </cell>
          <cell r="D6593">
            <v>17.59</v>
          </cell>
          <cell r="E6593">
            <v>8.01</v>
          </cell>
          <cell r="H6593">
            <v>45566</v>
          </cell>
          <cell r="I6593">
            <v>0.79666666666666663</v>
          </cell>
          <cell r="J6593">
            <v>26.856666666666669</v>
          </cell>
        </row>
        <row r="6594">
          <cell r="B6594">
            <v>29.39</v>
          </cell>
          <cell r="C6594">
            <v>58.12</v>
          </cell>
          <cell r="D6594">
            <v>18.54</v>
          </cell>
          <cell r="E6594">
            <v>7.98</v>
          </cell>
          <cell r="H6594">
            <v>45566</v>
          </cell>
          <cell r="I6594">
            <v>0.80777777777777771</v>
          </cell>
          <cell r="J6594">
            <v>27.018888888888888</v>
          </cell>
        </row>
        <row r="6595">
          <cell r="B6595">
            <v>31.73</v>
          </cell>
          <cell r="C6595">
            <v>70.92</v>
          </cell>
          <cell r="D6595">
            <v>18.96</v>
          </cell>
          <cell r="E6595">
            <v>7.55</v>
          </cell>
          <cell r="H6595">
            <v>45566</v>
          </cell>
          <cell r="I6595">
            <v>0.82111111111111112</v>
          </cell>
          <cell r="J6595">
            <v>26.75888888888889</v>
          </cell>
        </row>
        <row r="6596">
          <cell r="B6596">
            <v>34.700000000000003</v>
          </cell>
          <cell r="C6596">
            <v>76.72</v>
          </cell>
          <cell r="D6596">
            <v>18.920000000000002</v>
          </cell>
          <cell r="E6596">
            <v>7.7</v>
          </cell>
          <cell r="H6596">
            <v>45566</v>
          </cell>
          <cell r="I6596">
            <v>0.86111111111111116</v>
          </cell>
          <cell r="J6596">
            <v>25.927777777777781</v>
          </cell>
        </row>
        <row r="6597">
          <cell r="B6597">
            <v>45.23</v>
          </cell>
          <cell r="C6597">
            <v>90.06</v>
          </cell>
          <cell r="D6597">
            <v>19.84</v>
          </cell>
          <cell r="E6597">
            <v>8.41</v>
          </cell>
          <cell r="H6597">
            <v>45566</v>
          </cell>
          <cell r="I6597">
            <v>0.90999999999999992</v>
          </cell>
          <cell r="J6597">
            <v>24.808888888888891</v>
          </cell>
        </row>
        <row r="6598">
          <cell r="B6598">
            <v>42.92</v>
          </cell>
          <cell r="C6598">
            <v>86.72</v>
          </cell>
          <cell r="D6598">
            <v>19.399999999999999</v>
          </cell>
          <cell r="E6598">
            <v>8.6999999999999993</v>
          </cell>
          <cell r="H6598">
            <v>45566</v>
          </cell>
          <cell r="I6598">
            <v>0.94888888888888878</v>
          </cell>
          <cell r="J6598">
            <v>23.85777777777778</v>
          </cell>
        </row>
        <row r="6599">
          <cell r="B6599">
            <v>42.3</v>
          </cell>
          <cell r="C6599">
            <v>81.67</v>
          </cell>
          <cell r="D6599">
            <v>18.57</v>
          </cell>
          <cell r="E6599">
            <v>8.7799999999999994</v>
          </cell>
          <cell r="H6599">
            <v>45566</v>
          </cell>
          <cell r="I6599">
            <v>0.96444444444444466</v>
          </cell>
          <cell r="J6599">
            <v>22.978888888888889</v>
          </cell>
        </row>
        <row r="6600">
          <cell r="B6600">
            <v>40.86</v>
          </cell>
          <cell r="C6600">
            <v>74.489999999999995</v>
          </cell>
          <cell r="D6600">
            <v>18.489999999999998</v>
          </cell>
          <cell r="E6600">
            <v>8.7200000000000006</v>
          </cell>
          <cell r="H6600">
            <v>45566</v>
          </cell>
          <cell r="I6600">
            <v>0.97222222222222221</v>
          </cell>
          <cell r="J6600">
            <v>21.959999999999997</v>
          </cell>
        </row>
        <row r="6601">
          <cell r="B6601">
            <v>35.159999999999997</v>
          </cell>
          <cell r="C6601">
            <v>68.08</v>
          </cell>
          <cell r="D6601">
            <v>18.55</v>
          </cell>
          <cell r="E6601">
            <v>7.8</v>
          </cell>
          <cell r="H6601">
            <v>45566</v>
          </cell>
          <cell r="I6601">
            <v>0.97444444444444445</v>
          </cell>
          <cell r="J6601">
            <v>21.683333333333334</v>
          </cell>
        </row>
        <row r="6602">
          <cell r="B6602">
            <v>35.85</v>
          </cell>
          <cell r="C6602">
            <v>68.88</v>
          </cell>
          <cell r="D6602">
            <v>17.5</v>
          </cell>
          <cell r="E6602">
            <v>8.4</v>
          </cell>
          <cell r="H6602">
            <v>45567</v>
          </cell>
          <cell r="I6602">
            <v>0.97444444444444445</v>
          </cell>
          <cell r="J6602">
            <v>20.764444444444443</v>
          </cell>
        </row>
        <row r="6603">
          <cell r="B6603">
            <v>37.4</v>
          </cell>
          <cell r="C6603">
            <v>67.5</v>
          </cell>
          <cell r="D6603">
            <v>17.7</v>
          </cell>
          <cell r="E6603">
            <v>8.11</v>
          </cell>
          <cell r="H6603">
            <v>45567</v>
          </cell>
          <cell r="I6603">
            <v>0.96666666666666679</v>
          </cell>
          <cell r="J6603">
            <v>20.177777777777774</v>
          </cell>
        </row>
        <row r="6604">
          <cell r="B6604">
            <v>37.6</v>
          </cell>
          <cell r="C6604">
            <v>69.290000000000006</v>
          </cell>
          <cell r="D6604">
            <v>17.72</v>
          </cell>
          <cell r="E6604">
            <v>8.25</v>
          </cell>
          <cell r="H6604">
            <v>45567</v>
          </cell>
          <cell r="I6604">
            <v>0.95444444444444465</v>
          </cell>
          <cell r="J6604">
            <v>19.802222222222227</v>
          </cell>
        </row>
        <row r="6605">
          <cell r="B6605">
            <v>37.42</v>
          </cell>
          <cell r="C6605">
            <v>68.06</v>
          </cell>
          <cell r="D6605">
            <v>17.84</v>
          </cell>
          <cell r="E6605">
            <v>8.23</v>
          </cell>
          <cell r="H6605">
            <v>45567</v>
          </cell>
          <cell r="I6605">
            <v>0.91333333333333355</v>
          </cell>
          <cell r="J6605">
            <v>19.818888888888893</v>
          </cell>
        </row>
        <row r="6606">
          <cell r="B6606">
            <v>39.11</v>
          </cell>
          <cell r="C6606">
            <v>65.56</v>
          </cell>
          <cell r="D6606">
            <v>17.649999999999999</v>
          </cell>
          <cell r="E6606">
            <v>8.26</v>
          </cell>
          <cell r="H6606">
            <v>45567</v>
          </cell>
          <cell r="I6606">
            <v>0.86333333333333329</v>
          </cell>
          <cell r="J6606">
            <v>19.846666666666668</v>
          </cell>
        </row>
        <row r="6607">
          <cell r="B6607">
            <v>37.909999999999997</v>
          </cell>
          <cell r="C6607">
            <v>64.98</v>
          </cell>
          <cell r="D6607">
            <v>17.100000000000001</v>
          </cell>
          <cell r="E6607">
            <v>8.35</v>
          </cell>
          <cell r="H6607">
            <v>45567</v>
          </cell>
          <cell r="I6607">
            <v>0.83333333333333337</v>
          </cell>
          <cell r="J6607">
            <v>19.735555555555557</v>
          </cell>
        </row>
        <row r="6608">
          <cell r="B6608">
            <v>39.18</v>
          </cell>
          <cell r="C6608">
            <v>66.83</v>
          </cell>
          <cell r="D6608">
            <v>17.25</v>
          </cell>
          <cell r="E6608">
            <v>8.5299999999999994</v>
          </cell>
          <cell r="H6608">
            <v>45567</v>
          </cell>
          <cell r="I6608">
            <v>0.82888888888888879</v>
          </cell>
          <cell r="J6608">
            <v>19.644444444444446</v>
          </cell>
        </row>
        <row r="6609">
          <cell r="B6609">
            <v>37.61</v>
          </cell>
          <cell r="C6609">
            <v>67.72</v>
          </cell>
          <cell r="D6609">
            <v>17.38</v>
          </cell>
          <cell r="E6609">
            <v>8</v>
          </cell>
          <cell r="H6609">
            <v>45567</v>
          </cell>
          <cell r="I6609">
            <v>0.83</v>
          </cell>
          <cell r="J6609">
            <v>19.684444444444448</v>
          </cell>
        </row>
        <row r="6610">
          <cell r="B6610">
            <v>31.83</v>
          </cell>
          <cell r="C6610">
            <v>57.52</v>
          </cell>
          <cell r="D6610">
            <v>17.100000000000001</v>
          </cell>
          <cell r="E6610">
            <v>7.42</v>
          </cell>
          <cell r="H6610">
            <v>45567</v>
          </cell>
          <cell r="I6610">
            <v>0.83333333333333326</v>
          </cell>
          <cell r="J6610">
            <v>19.906666666666666</v>
          </cell>
        </row>
        <row r="6611">
          <cell r="B6611">
            <v>25.99</v>
          </cell>
          <cell r="C6611">
            <v>48.8</v>
          </cell>
          <cell r="D6611">
            <v>17.32</v>
          </cell>
          <cell r="E6611">
            <v>7.69</v>
          </cell>
          <cell r="H6611">
            <v>45567</v>
          </cell>
          <cell r="I6611">
            <v>0.83888888888888891</v>
          </cell>
          <cell r="J6611">
            <v>20.428888888888888</v>
          </cell>
        </row>
        <row r="6612">
          <cell r="B6612">
            <v>22.64</v>
          </cell>
          <cell r="C6612">
            <v>42.06</v>
          </cell>
          <cell r="D6612">
            <v>16.82</v>
          </cell>
          <cell r="E6612">
            <v>7.69</v>
          </cell>
          <cell r="H6612">
            <v>45567</v>
          </cell>
          <cell r="I6612">
            <v>0.84111111111111114</v>
          </cell>
          <cell r="J6612">
            <v>21.548888888888893</v>
          </cell>
        </row>
        <row r="6613">
          <cell r="B6613">
            <v>21.58</v>
          </cell>
          <cell r="C6613">
            <v>40.299999999999997</v>
          </cell>
          <cell r="D6613">
            <v>17.03</v>
          </cell>
          <cell r="E6613">
            <v>7.97</v>
          </cell>
          <cell r="H6613">
            <v>45567</v>
          </cell>
          <cell r="I6613">
            <v>0.84222222222222209</v>
          </cell>
          <cell r="J6613">
            <v>23.64777777777778</v>
          </cell>
        </row>
        <row r="6614">
          <cell r="B6614">
            <v>20.65</v>
          </cell>
          <cell r="C6614">
            <v>38.979999999999997</v>
          </cell>
          <cell r="D6614">
            <v>17.47</v>
          </cell>
          <cell r="E6614">
            <v>7.4</v>
          </cell>
          <cell r="H6614">
            <v>45567</v>
          </cell>
          <cell r="I6614">
            <v>0.84555555555555562</v>
          </cell>
          <cell r="J6614">
            <v>25.867777777777778</v>
          </cell>
        </row>
        <row r="6615">
          <cell r="B6615">
            <v>20.49</v>
          </cell>
          <cell r="C6615">
            <v>37.700000000000003</v>
          </cell>
          <cell r="D6615">
            <v>17.71</v>
          </cell>
          <cell r="E6615">
            <v>8.14</v>
          </cell>
          <cell r="H6615">
            <v>45567</v>
          </cell>
          <cell r="I6615">
            <v>0.84777777777777785</v>
          </cell>
          <cell r="J6615">
            <v>27.584444444444447</v>
          </cell>
        </row>
        <row r="6616">
          <cell r="B6616">
            <v>19.52</v>
          </cell>
          <cell r="C6616">
            <v>38.32</v>
          </cell>
          <cell r="D6616">
            <v>17.75</v>
          </cell>
          <cell r="E6616">
            <v>8.49</v>
          </cell>
          <cell r="H6616">
            <v>45567</v>
          </cell>
          <cell r="I6616">
            <v>0.84222222222222209</v>
          </cell>
          <cell r="J6616">
            <v>28.577777777777776</v>
          </cell>
        </row>
        <row r="6617">
          <cell r="B6617">
            <v>17.8</v>
          </cell>
          <cell r="C6617">
            <v>35.119999999999997</v>
          </cell>
          <cell r="D6617">
            <v>17.399999999999999</v>
          </cell>
          <cell r="E6617">
            <v>8.33</v>
          </cell>
          <cell r="H6617">
            <v>45567</v>
          </cell>
          <cell r="I6617">
            <v>0.83666666666666667</v>
          </cell>
          <cell r="J6617">
            <v>29.504444444444445</v>
          </cell>
        </row>
        <row r="6618">
          <cell r="B6618">
            <v>17.97</v>
          </cell>
          <cell r="C6618">
            <v>36.659999999999997</v>
          </cell>
          <cell r="D6618">
            <v>17.16</v>
          </cell>
          <cell r="E6618">
            <v>8.32</v>
          </cell>
          <cell r="H6618">
            <v>45567</v>
          </cell>
          <cell r="I6618">
            <v>0.82999999999999985</v>
          </cell>
          <cell r="J6618">
            <v>30.101111111111109</v>
          </cell>
        </row>
        <row r="6619">
          <cell r="B6619">
            <v>22.3</v>
          </cell>
          <cell r="C6619">
            <v>42.88</v>
          </cell>
          <cell r="D6619">
            <v>17.41</v>
          </cell>
          <cell r="E6619">
            <v>8.43</v>
          </cell>
          <cell r="H6619">
            <v>45567</v>
          </cell>
          <cell r="I6619">
            <v>0.83111111111111102</v>
          </cell>
          <cell r="J6619">
            <v>30.498888888888885</v>
          </cell>
        </row>
        <row r="6620">
          <cell r="B6620">
            <v>24.68</v>
          </cell>
          <cell r="C6620">
            <v>46.97</v>
          </cell>
          <cell r="D6620">
            <v>17.45</v>
          </cell>
          <cell r="E6620">
            <v>8.66</v>
          </cell>
          <cell r="H6620">
            <v>45567</v>
          </cell>
          <cell r="I6620">
            <v>0.83777777777777773</v>
          </cell>
          <cell r="J6620">
            <v>30.372222222222224</v>
          </cell>
        </row>
        <row r="6621">
          <cell r="B6621">
            <v>27.81</v>
          </cell>
          <cell r="C6621">
            <v>47.24</v>
          </cell>
          <cell r="D6621">
            <v>18.170000000000002</v>
          </cell>
          <cell r="E6621">
            <v>8.81</v>
          </cell>
          <cell r="H6621">
            <v>45567</v>
          </cell>
          <cell r="I6621">
            <v>0.86111111111111116</v>
          </cell>
          <cell r="J6621">
            <v>29.304444444444446</v>
          </cell>
        </row>
        <row r="6622">
          <cell r="B6622">
            <v>23.23</v>
          </cell>
          <cell r="C6622">
            <v>39.99</v>
          </cell>
          <cell r="D6622">
            <v>18.61</v>
          </cell>
          <cell r="E6622">
            <v>8.94</v>
          </cell>
          <cell r="H6622">
            <v>45567</v>
          </cell>
          <cell r="I6622">
            <v>0.88555555555555565</v>
          </cell>
          <cell r="J6622">
            <v>27.236666666666665</v>
          </cell>
        </row>
        <row r="6623">
          <cell r="B6623">
            <v>28.63</v>
          </cell>
          <cell r="C6623">
            <v>43.12</v>
          </cell>
          <cell r="D6623">
            <v>17.2</v>
          </cell>
          <cell r="E6623">
            <v>9.16</v>
          </cell>
          <cell r="H6623">
            <v>45567</v>
          </cell>
          <cell r="I6623">
            <v>0.88444444444444459</v>
          </cell>
          <cell r="J6623">
            <v>25.149999999999995</v>
          </cell>
        </row>
        <row r="6624">
          <cell r="B6624">
            <v>22.43</v>
          </cell>
          <cell r="C6624">
            <v>33.29</v>
          </cell>
          <cell r="D6624">
            <v>16.75</v>
          </cell>
          <cell r="E6624">
            <v>8.0399999999999991</v>
          </cell>
          <cell r="H6624">
            <v>45567</v>
          </cell>
          <cell r="I6624">
            <v>0.8833333333333333</v>
          </cell>
          <cell r="J6624">
            <v>23.533333333333328</v>
          </cell>
        </row>
        <row r="6625">
          <cell r="B6625">
            <v>21.36</v>
          </cell>
          <cell r="C6625">
            <v>32.19</v>
          </cell>
          <cell r="D6625">
            <v>17.010000000000002</v>
          </cell>
          <cell r="E6625">
            <v>7.81</v>
          </cell>
          <cell r="H6625">
            <v>45567</v>
          </cell>
          <cell r="I6625">
            <v>0.87777777777777788</v>
          </cell>
          <cell r="J6625">
            <v>22.666666666666668</v>
          </cell>
        </row>
        <row r="6626">
          <cell r="B6626">
            <v>16.97</v>
          </cell>
          <cell r="C6626">
            <v>28.72</v>
          </cell>
          <cell r="D6626">
            <v>17.100000000000001</v>
          </cell>
          <cell r="E6626">
            <v>7.42</v>
          </cell>
          <cell r="H6626">
            <v>45568</v>
          </cell>
          <cell r="I6626">
            <v>0.8666666666666667</v>
          </cell>
          <cell r="J6626">
            <v>21.86888888888889</v>
          </cell>
        </row>
        <row r="6627">
          <cell r="B6627">
            <v>15.2</v>
          </cell>
          <cell r="C6627">
            <v>26.21</v>
          </cell>
          <cell r="D6627">
            <v>16.91</v>
          </cell>
          <cell r="E6627">
            <v>7.9</v>
          </cell>
          <cell r="H6627">
            <v>45568</v>
          </cell>
          <cell r="I6627">
            <v>0.85777777777777786</v>
          </cell>
          <cell r="J6627">
            <v>21.437777777777779</v>
          </cell>
        </row>
        <row r="6628">
          <cell r="B6628">
            <v>13.57</v>
          </cell>
          <cell r="C6628">
            <v>24.45</v>
          </cell>
          <cell r="D6628">
            <v>16.690000000000001</v>
          </cell>
          <cell r="E6628">
            <v>7.78</v>
          </cell>
          <cell r="H6628">
            <v>45568</v>
          </cell>
          <cell r="I6628">
            <v>0.83666666666666678</v>
          </cell>
          <cell r="J6628">
            <v>21.042222222222222</v>
          </cell>
        </row>
        <row r="6629">
          <cell r="B6629">
            <v>12.21</v>
          </cell>
          <cell r="C6629">
            <v>22.22</v>
          </cell>
          <cell r="D6629">
            <v>16.73</v>
          </cell>
          <cell r="E6629">
            <v>7.35</v>
          </cell>
          <cell r="H6629">
            <v>45568</v>
          </cell>
          <cell r="I6629">
            <v>0.80888888888888877</v>
          </cell>
          <cell r="J6629">
            <v>20.846666666666668</v>
          </cell>
        </row>
        <row r="6630">
          <cell r="B6630">
            <v>12.15</v>
          </cell>
          <cell r="C6630">
            <v>22.78</v>
          </cell>
          <cell r="D6630">
            <v>16.670000000000002</v>
          </cell>
          <cell r="E6630">
            <v>7.19</v>
          </cell>
          <cell r="H6630">
            <v>45568</v>
          </cell>
          <cell r="I6630">
            <v>0.76555555555555566</v>
          </cell>
          <cell r="J6630">
            <v>21.086666666666662</v>
          </cell>
        </row>
        <row r="6631">
          <cell r="B6631">
            <v>14.11</v>
          </cell>
          <cell r="C6631">
            <v>23.96</v>
          </cell>
          <cell r="D6631">
            <v>15.63</v>
          </cell>
          <cell r="E6631">
            <v>7.16</v>
          </cell>
          <cell r="H6631">
            <v>45568</v>
          </cell>
          <cell r="I6631">
            <v>0.72111111111111115</v>
          </cell>
          <cell r="J6631">
            <v>21.256666666666664</v>
          </cell>
        </row>
        <row r="6632">
          <cell r="B6632">
            <v>16.399999999999999</v>
          </cell>
          <cell r="C6632">
            <v>29.24</v>
          </cell>
          <cell r="D6632">
            <v>15.43</v>
          </cell>
          <cell r="E6632">
            <v>7.04</v>
          </cell>
          <cell r="H6632">
            <v>45568</v>
          </cell>
          <cell r="I6632">
            <v>0.71444444444444455</v>
          </cell>
          <cell r="J6632">
            <v>21.053333333333327</v>
          </cell>
        </row>
        <row r="6633">
          <cell r="B6633">
            <v>24.67</v>
          </cell>
          <cell r="C6633">
            <v>38.44</v>
          </cell>
          <cell r="D6633">
            <v>16.440000000000001</v>
          </cell>
          <cell r="E6633">
            <v>7.58</v>
          </cell>
          <cell r="H6633">
            <v>45568</v>
          </cell>
          <cell r="I6633">
            <v>0.72111111111111115</v>
          </cell>
          <cell r="J6633">
            <v>20.824444444444438</v>
          </cell>
        </row>
        <row r="6634">
          <cell r="B6634">
            <v>26.19</v>
          </cell>
          <cell r="C6634">
            <v>42.3</v>
          </cell>
          <cell r="D6634">
            <v>17.38</v>
          </cell>
          <cell r="E6634">
            <v>7.74</v>
          </cell>
          <cell r="H6634">
            <v>45568</v>
          </cell>
          <cell r="I6634">
            <v>0.73888888888888893</v>
          </cell>
          <cell r="J6634">
            <v>20.711111111111112</v>
          </cell>
        </row>
        <row r="6635">
          <cell r="B6635">
            <v>25.58</v>
          </cell>
          <cell r="C6635">
            <v>42.26</v>
          </cell>
          <cell r="D6635">
            <v>17.260000000000002</v>
          </cell>
          <cell r="E6635">
            <v>7.85</v>
          </cell>
          <cell r="H6635">
            <v>45568</v>
          </cell>
          <cell r="I6635">
            <v>0.74888888888888905</v>
          </cell>
          <cell r="J6635">
            <v>20.818888888888893</v>
          </cell>
        </row>
        <row r="6636">
          <cell r="B6636">
            <v>22.12</v>
          </cell>
          <cell r="C6636">
            <v>42.18</v>
          </cell>
          <cell r="D6636">
            <v>17.059999999999999</v>
          </cell>
          <cell r="E6636">
            <v>7.87</v>
          </cell>
          <cell r="H6636">
            <v>45568</v>
          </cell>
          <cell r="I6636">
            <v>0.75111111111111117</v>
          </cell>
          <cell r="J6636">
            <v>20.675555555555558</v>
          </cell>
        </row>
        <row r="6637">
          <cell r="B6637">
            <v>20.34</v>
          </cell>
          <cell r="C6637">
            <v>43.02</v>
          </cell>
          <cell r="D6637">
            <v>16.78</v>
          </cell>
          <cell r="E6637">
            <v>7.52</v>
          </cell>
          <cell r="H6637">
            <v>45568</v>
          </cell>
          <cell r="I6637">
            <v>0.7566666666666666</v>
          </cell>
          <cell r="J6637">
            <v>20.66888888888889</v>
          </cell>
        </row>
        <row r="6638">
          <cell r="B6638">
            <v>21.15</v>
          </cell>
          <cell r="C6638">
            <v>42.81</v>
          </cell>
          <cell r="D6638">
            <v>17.850000000000001</v>
          </cell>
          <cell r="E6638">
            <v>7.71</v>
          </cell>
          <cell r="H6638">
            <v>45568</v>
          </cell>
          <cell r="I6638">
            <v>0.75333333333333341</v>
          </cell>
          <cell r="J6638">
            <v>21.004444444444445</v>
          </cell>
        </row>
        <row r="6639">
          <cell r="B6639">
            <v>18.489999999999998</v>
          </cell>
          <cell r="C6639">
            <v>41.12</v>
          </cell>
          <cell r="D6639">
            <v>17.649999999999999</v>
          </cell>
          <cell r="E6639">
            <v>7.72</v>
          </cell>
          <cell r="H6639">
            <v>45568</v>
          </cell>
          <cell r="I6639">
            <v>0.77555555555555555</v>
          </cell>
          <cell r="J6639">
            <v>22.065555555555555</v>
          </cell>
        </row>
        <row r="6640">
          <cell r="B6640">
            <v>17.190000000000001</v>
          </cell>
          <cell r="C6640">
            <v>42.3</v>
          </cell>
          <cell r="D6640">
            <v>19.38</v>
          </cell>
          <cell r="E6640">
            <v>7.41</v>
          </cell>
          <cell r="H6640">
            <v>45568</v>
          </cell>
          <cell r="I6640">
            <v>0.83444444444444443</v>
          </cell>
          <cell r="J6640">
            <v>22.448888888888892</v>
          </cell>
        </row>
        <row r="6641">
          <cell r="B6641">
            <v>21.63</v>
          </cell>
          <cell r="C6641">
            <v>50.29</v>
          </cell>
          <cell r="D6641">
            <v>19.63</v>
          </cell>
          <cell r="E6641">
            <v>7.21</v>
          </cell>
          <cell r="H6641">
            <v>45568</v>
          </cell>
          <cell r="I6641">
            <v>0.8355555555555555</v>
          </cell>
          <cell r="J6641">
            <v>22.742222222222225</v>
          </cell>
        </row>
        <row r="6642">
          <cell r="B6642">
            <v>18.239999999999998</v>
          </cell>
          <cell r="C6642">
            <v>40.43</v>
          </cell>
          <cell r="D6642">
            <v>18.88</v>
          </cell>
          <cell r="E6642">
            <v>7.77</v>
          </cell>
          <cell r="H6642">
            <v>45568</v>
          </cell>
          <cell r="I6642">
            <v>0.82444444444444442</v>
          </cell>
          <cell r="J6642">
            <v>22.985555555555557</v>
          </cell>
        </row>
        <row r="6643">
          <cell r="B6643">
            <v>17.350000000000001</v>
          </cell>
          <cell r="C6643">
            <v>40.36</v>
          </cell>
          <cell r="D6643">
            <v>18.96</v>
          </cell>
          <cell r="E6643">
            <v>7.68</v>
          </cell>
          <cell r="H6643">
            <v>45568</v>
          </cell>
          <cell r="I6643">
            <v>0.82222222222222219</v>
          </cell>
          <cell r="J6643">
            <v>22.963333333333335</v>
          </cell>
        </row>
        <row r="6644">
          <cell r="B6644">
            <v>21.93</v>
          </cell>
          <cell r="C6644">
            <v>51.74</v>
          </cell>
          <cell r="D6644">
            <v>20.21</v>
          </cell>
          <cell r="E6644">
            <v>7.57</v>
          </cell>
          <cell r="H6644">
            <v>45568</v>
          </cell>
          <cell r="I6644">
            <v>0.8455555555555555</v>
          </cell>
          <cell r="J6644">
            <v>22.613333333333333</v>
          </cell>
        </row>
        <row r="6645">
          <cell r="B6645">
            <v>25.23</v>
          </cell>
          <cell r="C6645">
            <v>57.52</v>
          </cell>
          <cell r="D6645">
            <v>20.9</v>
          </cell>
          <cell r="E6645">
            <v>8.14</v>
          </cell>
          <cell r="H6645">
            <v>45568</v>
          </cell>
          <cell r="I6645">
            <v>0.8866666666666666</v>
          </cell>
          <cell r="J6645">
            <v>22.25888888888889</v>
          </cell>
        </row>
        <row r="6646">
          <cell r="B6646">
            <v>27.06</v>
          </cell>
          <cell r="C6646">
            <v>62.4</v>
          </cell>
          <cell r="D6646">
            <v>21.11</v>
          </cell>
          <cell r="E6646">
            <v>8.0500000000000007</v>
          </cell>
          <cell r="H6646">
            <v>45568</v>
          </cell>
          <cell r="I6646">
            <v>0.93222222222222229</v>
          </cell>
          <cell r="J6646">
            <v>21.709999999999997</v>
          </cell>
        </row>
        <row r="6647">
          <cell r="B6647">
            <v>29.67</v>
          </cell>
          <cell r="C6647">
            <v>62.28</v>
          </cell>
          <cell r="D6647">
            <v>20.99</v>
          </cell>
          <cell r="E6647">
            <v>7.99</v>
          </cell>
          <cell r="H6647">
            <v>45568</v>
          </cell>
          <cell r="I6647">
            <v>0.96444444444444444</v>
          </cell>
          <cell r="J6647">
            <v>20.887777777777774</v>
          </cell>
        </row>
        <row r="6648">
          <cell r="B6648">
            <v>26.48</v>
          </cell>
          <cell r="C6648">
            <v>59.66</v>
          </cell>
          <cell r="D6648">
            <v>20.72</v>
          </cell>
          <cell r="E6648">
            <v>8.06</v>
          </cell>
          <cell r="H6648">
            <v>45568</v>
          </cell>
          <cell r="I6648">
            <v>0.98111111111111116</v>
          </cell>
          <cell r="J6648">
            <v>19.363333333333333</v>
          </cell>
        </row>
        <row r="6649">
          <cell r="B6649">
            <v>27.93</v>
          </cell>
          <cell r="C6649">
            <v>60.13</v>
          </cell>
          <cell r="D6649">
            <v>20.75</v>
          </cell>
          <cell r="E6649">
            <v>8.01</v>
          </cell>
          <cell r="H6649">
            <v>45568</v>
          </cell>
          <cell r="I6649">
            <v>0.94777777777777794</v>
          </cell>
          <cell r="J6649">
            <v>18.711111111111112</v>
          </cell>
        </row>
        <row r="6650">
          <cell r="B6650">
            <v>28.78</v>
          </cell>
          <cell r="C6650">
            <v>61.44</v>
          </cell>
          <cell r="D6650">
            <v>19.47</v>
          </cell>
          <cell r="E6650">
            <v>7.23</v>
          </cell>
          <cell r="H6650">
            <v>45569</v>
          </cell>
          <cell r="I6650">
            <v>0.95111111111111102</v>
          </cell>
          <cell r="J6650">
            <v>18.378888888888888</v>
          </cell>
        </row>
        <row r="6651">
          <cell r="B6651">
            <v>28.11</v>
          </cell>
          <cell r="C6651">
            <v>58.05</v>
          </cell>
          <cell r="D6651">
            <v>19.21</v>
          </cell>
          <cell r="E6651">
            <v>7.06</v>
          </cell>
          <cell r="H6651">
            <v>45569</v>
          </cell>
          <cell r="I6651">
            <v>0.94888888888888878</v>
          </cell>
          <cell r="J6651">
            <v>18.18</v>
          </cell>
        </row>
        <row r="6652">
          <cell r="B6652">
            <v>25.73</v>
          </cell>
          <cell r="C6652">
            <v>48.1</v>
          </cell>
          <cell r="D6652">
            <v>18.29</v>
          </cell>
          <cell r="E6652">
            <v>7.29</v>
          </cell>
          <cell r="H6652">
            <v>45569</v>
          </cell>
          <cell r="I6652">
            <v>0.92888888888888888</v>
          </cell>
          <cell r="J6652">
            <v>18.143333333333334</v>
          </cell>
        </row>
        <row r="6653">
          <cell r="B6653">
            <v>26.49</v>
          </cell>
          <cell r="C6653">
            <v>48.29</v>
          </cell>
          <cell r="D6653">
            <v>18.239999999999998</v>
          </cell>
          <cell r="E6653">
            <v>7.52</v>
          </cell>
          <cell r="H6653">
            <v>45569</v>
          </cell>
          <cell r="I6653">
            <v>0.89444444444444438</v>
          </cell>
          <cell r="J6653">
            <v>18.13666666666667</v>
          </cell>
        </row>
        <row r="6654">
          <cell r="B6654">
            <v>27.75</v>
          </cell>
          <cell r="C6654">
            <v>52.09</v>
          </cell>
          <cell r="D6654">
            <v>18.61</v>
          </cell>
          <cell r="E6654">
            <v>7.89</v>
          </cell>
          <cell r="H6654">
            <v>45569</v>
          </cell>
          <cell r="I6654">
            <v>0.85333333333333328</v>
          </cell>
          <cell r="J6654">
            <v>18.172222222222224</v>
          </cell>
        </row>
        <row r="6655">
          <cell r="B6655">
            <v>29.88</v>
          </cell>
          <cell r="C6655">
            <v>107.23</v>
          </cell>
          <cell r="D6655">
            <v>18.510000000000002</v>
          </cell>
          <cell r="E6655">
            <v>8.1199999999999992</v>
          </cell>
          <cell r="H6655">
            <v>45569</v>
          </cell>
          <cell r="I6655">
            <v>0.81444444444444442</v>
          </cell>
          <cell r="J6655">
            <v>18.253333333333334</v>
          </cell>
        </row>
        <row r="6656">
          <cell r="B6656">
            <v>31.74</v>
          </cell>
          <cell r="C6656">
            <v>90.72</v>
          </cell>
          <cell r="D6656">
            <v>18.57</v>
          </cell>
          <cell r="E6656">
            <v>8.32</v>
          </cell>
          <cell r="H6656">
            <v>45569</v>
          </cell>
          <cell r="I6656">
            <v>0.80333333333333334</v>
          </cell>
          <cell r="J6656">
            <v>18.323333333333334</v>
          </cell>
        </row>
        <row r="6657">
          <cell r="B6657">
            <v>32.71</v>
          </cell>
          <cell r="C6657">
            <v>80.14</v>
          </cell>
          <cell r="D6657">
            <v>18.440000000000001</v>
          </cell>
          <cell r="E6657">
            <v>7.98</v>
          </cell>
          <cell r="H6657">
            <v>45569</v>
          </cell>
          <cell r="I6657">
            <v>0.78888888888888886</v>
          </cell>
          <cell r="J6657">
            <v>18.448888888888888</v>
          </cell>
        </row>
        <row r="6658">
          <cell r="B6658">
            <v>30.8</v>
          </cell>
          <cell r="C6658">
            <v>70.87</v>
          </cell>
          <cell r="D6658">
            <v>18.09</v>
          </cell>
          <cell r="E6658">
            <v>7.71</v>
          </cell>
          <cell r="H6658">
            <v>45569</v>
          </cell>
          <cell r="I6658">
            <v>0.79</v>
          </cell>
          <cell r="J6658">
            <v>18.626666666666665</v>
          </cell>
        </row>
        <row r="6659">
          <cell r="B6659">
            <v>27.2</v>
          </cell>
          <cell r="C6659">
            <v>56.94</v>
          </cell>
          <cell r="D6659">
            <v>18.36</v>
          </cell>
          <cell r="E6659">
            <v>7.48</v>
          </cell>
          <cell r="H6659">
            <v>45569</v>
          </cell>
          <cell r="I6659">
            <v>0.79444444444444451</v>
          </cell>
          <cell r="J6659">
            <v>18.864444444444445</v>
          </cell>
        </row>
        <row r="6660">
          <cell r="B6660">
            <v>26.45</v>
          </cell>
          <cell r="C6660">
            <v>52.67</v>
          </cell>
          <cell r="D6660">
            <v>17.8</v>
          </cell>
          <cell r="E6660">
            <v>7.56</v>
          </cell>
          <cell r="H6660">
            <v>45569</v>
          </cell>
          <cell r="I6660">
            <v>0.80222222222222228</v>
          </cell>
          <cell r="J6660">
            <v>19.361111111111111</v>
          </cell>
        </row>
        <row r="6661">
          <cell r="B6661">
            <v>24.02</v>
          </cell>
          <cell r="C6661">
            <v>50.53</v>
          </cell>
          <cell r="D6661">
            <v>18.73</v>
          </cell>
          <cell r="E6661">
            <v>7.42</v>
          </cell>
          <cell r="H6661">
            <v>45569</v>
          </cell>
          <cell r="I6661">
            <v>0.80777777777777771</v>
          </cell>
          <cell r="J6661">
            <v>19.802222222222223</v>
          </cell>
        </row>
        <row r="6662">
          <cell r="B6662">
            <v>25.53</v>
          </cell>
          <cell r="C6662">
            <v>56.15</v>
          </cell>
          <cell r="D6662">
            <v>18.329999999999998</v>
          </cell>
          <cell r="E6662">
            <v>8.2200000000000006</v>
          </cell>
          <cell r="H6662">
            <v>45569</v>
          </cell>
          <cell r="I6662">
            <v>0.81111111111111123</v>
          </cell>
          <cell r="J6662">
            <v>20.534444444444446</v>
          </cell>
        </row>
        <row r="6663">
          <cell r="B6663">
            <v>24.57</v>
          </cell>
          <cell r="C6663">
            <v>53.5</v>
          </cell>
          <cell r="D6663">
            <v>18.64</v>
          </cell>
          <cell r="E6663">
            <v>8.08</v>
          </cell>
          <cell r="H6663">
            <v>45569</v>
          </cell>
          <cell r="I6663">
            <v>0.80444444444444452</v>
          </cell>
          <cell r="J6663">
            <v>22.044444444444444</v>
          </cell>
        </row>
        <row r="6664">
          <cell r="B6664">
            <v>26.61</v>
          </cell>
          <cell r="C6664">
            <v>55.65</v>
          </cell>
          <cell r="D6664">
            <v>19.190000000000001</v>
          </cell>
          <cell r="E6664">
            <v>7.84</v>
          </cell>
          <cell r="H6664">
            <v>45569</v>
          </cell>
          <cell r="I6664">
            <v>0.801111111111111</v>
          </cell>
          <cell r="J6664">
            <v>23.204444444444441</v>
          </cell>
        </row>
        <row r="6665">
          <cell r="B6665">
            <v>26.39</v>
          </cell>
          <cell r="C6665">
            <v>54.88</v>
          </cell>
          <cell r="D6665">
            <v>18.7</v>
          </cell>
          <cell r="E6665">
            <v>8.48</v>
          </cell>
          <cell r="H6665">
            <v>45569</v>
          </cell>
          <cell r="I6665">
            <v>0.81333333333333324</v>
          </cell>
          <cell r="J6665">
            <v>23.72111111111111</v>
          </cell>
        </row>
        <row r="6666">
          <cell r="B6666">
            <v>25.03</v>
          </cell>
          <cell r="C6666">
            <v>44.21</v>
          </cell>
          <cell r="D6666">
            <v>19.690000000000001</v>
          </cell>
          <cell r="E6666">
            <v>8.64</v>
          </cell>
          <cell r="H6666">
            <v>45569</v>
          </cell>
          <cell r="I6666">
            <v>0.83777777777777773</v>
          </cell>
          <cell r="J6666">
            <v>24.085555555555555</v>
          </cell>
        </row>
        <row r="6667">
          <cell r="B6667">
            <v>30.85</v>
          </cell>
          <cell r="C6667">
            <v>57.25</v>
          </cell>
          <cell r="D6667">
            <v>21.73</v>
          </cell>
          <cell r="E6667">
            <v>9.25</v>
          </cell>
          <cell r="H6667">
            <v>45569</v>
          </cell>
          <cell r="I6667">
            <v>0.87222222222222223</v>
          </cell>
          <cell r="J6667">
            <v>24.497777777777781</v>
          </cell>
        </row>
        <row r="6668">
          <cell r="B6668">
            <v>38.729999999999997</v>
          </cell>
          <cell r="C6668">
            <v>66.78</v>
          </cell>
          <cell r="D6668">
            <v>22.66</v>
          </cell>
          <cell r="E6668">
            <v>8.94</v>
          </cell>
          <cell r="H6668">
            <v>45569</v>
          </cell>
          <cell r="I6668">
            <v>0.91333333333333322</v>
          </cell>
          <cell r="J6668">
            <v>24.912222222222223</v>
          </cell>
        </row>
        <row r="6669">
          <cell r="B6669">
            <v>35.9</v>
          </cell>
          <cell r="C6669">
            <v>66.98</v>
          </cell>
          <cell r="D6669">
            <v>19.079999999999998</v>
          </cell>
          <cell r="E6669">
            <v>8.4600000000000009</v>
          </cell>
          <cell r="H6669">
            <v>45569</v>
          </cell>
          <cell r="I6669">
            <v>0.91999999999999993</v>
          </cell>
          <cell r="J6669">
            <v>24.966666666666665</v>
          </cell>
        </row>
        <row r="6670">
          <cell r="B6670">
            <v>25.15</v>
          </cell>
          <cell r="C6670">
            <v>51.13</v>
          </cell>
          <cell r="D6670">
            <v>18.190000000000001</v>
          </cell>
          <cell r="E6670">
            <v>8.6199999999999992</v>
          </cell>
          <cell r="H6670">
            <v>45569</v>
          </cell>
          <cell r="I6670">
            <v>0.9277777777777777</v>
          </cell>
          <cell r="J6670">
            <v>24.918888888888887</v>
          </cell>
        </row>
        <row r="6671">
          <cell r="B6671">
            <v>21.31</v>
          </cell>
          <cell r="C6671">
            <v>42.55</v>
          </cell>
          <cell r="D6671">
            <v>18.39</v>
          </cell>
          <cell r="E6671">
            <v>8.39</v>
          </cell>
          <cell r="H6671">
            <v>45569</v>
          </cell>
          <cell r="I6671">
            <v>0.94333333333333336</v>
          </cell>
          <cell r="J6671">
            <v>24.597777777777775</v>
          </cell>
        </row>
        <row r="6672">
          <cell r="B6672">
            <v>20.260000000000002</v>
          </cell>
          <cell r="C6672">
            <v>37.78</v>
          </cell>
          <cell r="D6672">
            <v>18</v>
          </cell>
          <cell r="E6672">
            <v>8.16</v>
          </cell>
          <cell r="H6672">
            <v>45569</v>
          </cell>
          <cell r="I6672">
            <v>0.95111111111111113</v>
          </cell>
          <cell r="J6672">
            <v>23.499999999999996</v>
          </cell>
        </row>
        <row r="6673">
          <cell r="B6673">
            <v>20.93</v>
          </cell>
          <cell r="C6673">
            <v>39.92</v>
          </cell>
          <cell r="D6673">
            <v>17.57</v>
          </cell>
          <cell r="E6673">
            <v>8.08</v>
          </cell>
          <cell r="H6673">
            <v>45569</v>
          </cell>
          <cell r="I6673">
            <v>0.94111111111111101</v>
          </cell>
          <cell r="J6673">
            <v>22.807777777777776</v>
          </cell>
        </row>
        <row r="6674">
          <cell r="B6674">
            <v>22.45</v>
          </cell>
          <cell r="C6674">
            <v>42.23</v>
          </cell>
          <cell r="D6674">
            <v>17.329999999999998</v>
          </cell>
          <cell r="E6674">
            <v>7.72</v>
          </cell>
          <cell r="H6674">
            <v>45570</v>
          </cell>
          <cell r="I6674">
            <v>0.90777777777777779</v>
          </cell>
          <cell r="J6674">
            <v>22.79</v>
          </cell>
        </row>
        <row r="6675">
          <cell r="B6675">
            <v>19.48</v>
          </cell>
          <cell r="C6675">
            <v>38.9</v>
          </cell>
          <cell r="D6675">
            <v>16.79</v>
          </cell>
          <cell r="E6675">
            <v>8.2100000000000009</v>
          </cell>
          <cell r="H6675">
            <v>45570</v>
          </cell>
          <cell r="I6675">
            <v>0.85555555555555562</v>
          </cell>
          <cell r="J6675">
            <v>22.977777777777774</v>
          </cell>
        </row>
        <row r="6676">
          <cell r="B6676">
            <v>17.260000000000002</v>
          </cell>
          <cell r="C6676">
            <v>34.75</v>
          </cell>
          <cell r="D6676">
            <v>17.27</v>
          </cell>
          <cell r="E6676">
            <v>8.19</v>
          </cell>
          <cell r="H6676">
            <v>45570</v>
          </cell>
          <cell r="I6676">
            <v>0.79222222222222227</v>
          </cell>
          <cell r="J6676">
            <v>22.978888888888889</v>
          </cell>
        </row>
        <row r="6677">
          <cell r="B6677">
            <v>18.29</v>
          </cell>
          <cell r="C6677">
            <v>34.270000000000003</v>
          </cell>
          <cell r="D6677">
            <v>17.22</v>
          </cell>
          <cell r="E6677">
            <v>8</v>
          </cell>
          <cell r="H6677">
            <v>45570</v>
          </cell>
          <cell r="I6677">
            <v>0.72888888888888881</v>
          </cell>
          <cell r="J6677">
            <v>22.945555555555558</v>
          </cell>
        </row>
        <row r="6678">
          <cell r="B6678">
            <v>18.05</v>
          </cell>
          <cell r="C6678">
            <v>32.479999999999997</v>
          </cell>
          <cell r="D6678">
            <v>17.12</v>
          </cell>
          <cell r="E6678">
            <v>8.14</v>
          </cell>
          <cell r="H6678">
            <v>45570</v>
          </cell>
          <cell r="I6678">
            <v>0.70666666666666655</v>
          </cell>
          <cell r="J6678">
            <v>22.968888888888891</v>
          </cell>
        </row>
        <row r="6679">
          <cell r="B6679">
            <v>16.989999999999998</v>
          </cell>
          <cell r="C6679">
            <v>29.77</v>
          </cell>
          <cell r="D6679">
            <v>17.16</v>
          </cell>
          <cell r="E6679">
            <v>8.75</v>
          </cell>
          <cell r="H6679">
            <v>45570</v>
          </cell>
          <cell r="I6679">
            <v>0.68777777777777771</v>
          </cell>
          <cell r="J6679">
            <v>23.077777777777779</v>
          </cell>
        </row>
        <row r="6680">
          <cell r="B6680">
            <v>20.38</v>
          </cell>
          <cell r="C6680">
            <v>32.020000000000003</v>
          </cell>
          <cell r="D6680">
            <v>17.920000000000002</v>
          </cell>
          <cell r="E6680">
            <v>8.5399999999999991</v>
          </cell>
          <cell r="H6680">
            <v>45570</v>
          </cell>
          <cell r="I6680">
            <v>0.6677777777777778</v>
          </cell>
          <cell r="J6680">
            <v>23.125555555555557</v>
          </cell>
        </row>
        <row r="6681">
          <cell r="B6681">
            <v>19.579999999999998</v>
          </cell>
          <cell r="C6681">
            <v>39.81</v>
          </cell>
          <cell r="D6681">
            <v>17.579999999999998</v>
          </cell>
          <cell r="E6681">
            <v>8.56</v>
          </cell>
          <cell r="H6681">
            <v>45570</v>
          </cell>
          <cell r="I6681">
            <v>0.67</v>
          </cell>
          <cell r="J6681">
            <v>23.176666666666666</v>
          </cell>
        </row>
        <row r="6682">
          <cell r="B6682">
            <v>22.43</v>
          </cell>
          <cell r="C6682">
            <v>44.67</v>
          </cell>
          <cell r="D6682">
            <v>17.91</v>
          </cell>
          <cell r="E6682">
            <v>8.31</v>
          </cell>
          <cell r="H6682">
            <v>45570</v>
          </cell>
          <cell r="I6682">
            <v>0.68555555555555558</v>
          </cell>
          <cell r="J6682">
            <v>23.234444444444446</v>
          </cell>
        </row>
        <row r="6683">
          <cell r="B6683">
            <v>23.47</v>
          </cell>
          <cell r="C6683">
            <v>44.06</v>
          </cell>
          <cell r="D6683">
            <v>17.28</v>
          </cell>
          <cell r="E6683">
            <v>8.52</v>
          </cell>
          <cell r="H6683">
            <v>45570</v>
          </cell>
          <cell r="I6683">
            <v>0.70111111111111102</v>
          </cell>
          <cell r="J6683">
            <v>23.306666666666665</v>
          </cell>
        </row>
        <row r="6684">
          <cell r="B6684">
            <v>22.17</v>
          </cell>
          <cell r="C6684">
            <v>41.7</v>
          </cell>
          <cell r="D6684">
            <v>17.489999999999998</v>
          </cell>
          <cell r="E6684">
            <v>8.33</v>
          </cell>
          <cell r="H6684">
            <v>45570</v>
          </cell>
          <cell r="I6684">
            <v>0.71666666666666667</v>
          </cell>
          <cell r="J6684">
            <v>23.414444444444442</v>
          </cell>
        </row>
        <row r="6685">
          <cell r="B6685">
            <v>20.02</v>
          </cell>
          <cell r="C6685">
            <v>39.340000000000003</v>
          </cell>
          <cell r="D6685">
            <v>16.23</v>
          </cell>
          <cell r="E6685">
            <v>8.44</v>
          </cell>
          <cell r="H6685">
            <v>45570</v>
          </cell>
          <cell r="I6685">
            <v>0.72444444444444445</v>
          </cell>
          <cell r="J6685">
            <v>23.703333333333333</v>
          </cell>
        </row>
        <row r="6686">
          <cell r="B6686">
            <v>17.71</v>
          </cell>
          <cell r="C6686">
            <v>38.06</v>
          </cell>
          <cell r="D6686">
            <v>16.809999999999999</v>
          </cell>
          <cell r="E6686">
            <v>8.32</v>
          </cell>
          <cell r="H6686">
            <v>45570</v>
          </cell>
          <cell r="I6686">
            <v>0.72888888888888881</v>
          </cell>
          <cell r="J6686">
            <v>24.127777777777776</v>
          </cell>
        </row>
        <row r="6687">
          <cell r="B6687">
            <v>17.54</v>
          </cell>
          <cell r="C6687">
            <v>39.979999999999997</v>
          </cell>
          <cell r="D6687">
            <v>17.71</v>
          </cell>
          <cell r="E6687">
            <v>9.14</v>
          </cell>
          <cell r="H6687">
            <v>45570</v>
          </cell>
          <cell r="I6687">
            <v>0.73666666666666669</v>
          </cell>
          <cell r="J6687">
            <v>24.6</v>
          </cell>
        </row>
        <row r="6688">
          <cell r="B6688">
            <v>18.43</v>
          </cell>
          <cell r="C6688">
            <v>46.12</v>
          </cell>
          <cell r="D6688">
            <v>18.37</v>
          </cell>
          <cell r="E6688">
            <v>8.92</v>
          </cell>
          <cell r="H6688">
            <v>45570</v>
          </cell>
          <cell r="I6688">
            <v>0.74666666666666659</v>
          </cell>
          <cell r="J6688">
            <v>25.10222222222222</v>
          </cell>
        </row>
        <row r="6689">
          <cell r="B6689">
            <v>16.77</v>
          </cell>
          <cell r="C6689">
            <v>45.63</v>
          </cell>
          <cell r="D6689">
            <v>18.149999999999999</v>
          </cell>
          <cell r="E6689">
            <v>9.2100000000000009</v>
          </cell>
          <cell r="H6689">
            <v>45570</v>
          </cell>
          <cell r="I6689">
            <v>0.7533333333333333</v>
          </cell>
          <cell r="J6689">
            <v>25.402222222222221</v>
          </cell>
        </row>
        <row r="6690">
          <cell r="B6690">
            <v>18.260000000000002</v>
          </cell>
          <cell r="C6690">
            <v>42.74</v>
          </cell>
          <cell r="D6690">
            <v>18.510000000000002</v>
          </cell>
          <cell r="E6690">
            <v>8.93</v>
          </cell>
          <cell r="H6690">
            <v>45570</v>
          </cell>
          <cell r="I6690">
            <v>0.77888888888888885</v>
          </cell>
          <cell r="J6690">
            <v>25.527777777777779</v>
          </cell>
        </row>
        <row r="6691">
          <cell r="B6691">
            <v>25.14</v>
          </cell>
          <cell r="C6691">
            <v>52.63</v>
          </cell>
          <cell r="D6691">
            <v>18.39</v>
          </cell>
          <cell r="E6691">
            <v>9.01</v>
          </cell>
          <cell r="H6691">
            <v>45570</v>
          </cell>
          <cell r="I6691">
            <v>0.80444444444444441</v>
          </cell>
          <cell r="J6691">
            <v>25.471111111111114</v>
          </cell>
        </row>
        <row r="6692">
          <cell r="B6692">
            <v>23.98</v>
          </cell>
          <cell r="C6692">
            <v>53.46</v>
          </cell>
          <cell r="D6692">
            <v>19.04</v>
          </cell>
          <cell r="E6692">
            <v>9.0399999999999991</v>
          </cell>
          <cell r="H6692">
            <v>45570</v>
          </cell>
          <cell r="I6692">
            <v>0.82333333333333336</v>
          </cell>
          <cell r="J6692">
            <v>25.435555555555553</v>
          </cell>
        </row>
        <row r="6693">
          <cell r="B6693">
            <v>23.5</v>
          </cell>
          <cell r="C6693">
            <v>48.85</v>
          </cell>
          <cell r="D6693">
            <v>18.47</v>
          </cell>
          <cell r="E6693">
            <v>9.07</v>
          </cell>
          <cell r="H6693">
            <v>45570</v>
          </cell>
          <cell r="I6693">
            <v>0.82777777777777783</v>
          </cell>
          <cell r="J6693">
            <v>25.319999999999997</v>
          </cell>
        </row>
        <row r="6694">
          <cell r="B6694">
            <v>20.95</v>
          </cell>
          <cell r="C6694">
            <v>46.29</v>
          </cell>
          <cell r="D6694">
            <v>17.440000000000001</v>
          </cell>
          <cell r="E6694">
            <v>8.8800000000000008</v>
          </cell>
          <cell r="H6694">
            <v>45570</v>
          </cell>
          <cell r="I6694">
            <v>0.83555555555555561</v>
          </cell>
          <cell r="J6694">
            <v>25.181111111111111</v>
          </cell>
        </row>
        <row r="6695">
          <cell r="B6695">
            <v>18.37</v>
          </cell>
          <cell r="C6695">
            <v>40.770000000000003</v>
          </cell>
          <cell r="D6695">
            <v>18.2</v>
          </cell>
          <cell r="E6695">
            <v>8.23</v>
          </cell>
          <cell r="H6695">
            <v>45570</v>
          </cell>
          <cell r="I6695">
            <v>0.86111111111111116</v>
          </cell>
          <cell r="J6695">
            <v>24.731111111111108</v>
          </cell>
        </row>
        <row r="6696">
          <cell r="B6696">
            <v>21.35</v>
          </cell>
          <cell r="C6696">
            <v>45.76</v>
          </cell>
          <cell r="D6696">
            <v>18.5</v>
          </cell>
          <cell r="E6696">
            <v>8.56</v>
          </cell>
          <cell r="H6696">
            <v>45570</v>
          </cell>
          <cell r="I6696">
            <v>0.87555555555555564</v>
          </cell>
          <cell r="J6696">
            <v>24.153333333333329</v>
          </cell>
        </row>
        <row r="6697">
          <cell r="B6697">
            <v>19</v>
          </cell>
          <cell r="C6697">
            <v>47.25</v>
          </cell>
          <cell r="D6697">
            <v>19.02</v>
          </cell>
          <cell r="E6697">
            <v>8.6</v>
          </cell>
          <cell r="H6697">
            <v>45570</v>
          </cell>
          <cell r="I6697">
            <v>0.89444444444444449</v>
          </cell>
          <cell r="J6697">
            <v>23.529999999999998</v>
          </cell>
        </row>
        <row r="6698">
          <cell r="B6698">
            <v>24.21</v>
          </cell>
          <cell r="C6698">
            <v>45.86</v>
          </cell>
          <cell r="D6698">
            <v>17.899999999999999</v>
          </cell>
          <cell r="E6698">
            <v>8.44</v>
          </cell>
          <cell r="H6698">
            <v>45571</v>
          </cell>
          <cell r="I6698">
            <v>0.90222222222222237</v>
          </cell>
          <cell r="J6698">
            <v>23.03777777777778</v>
          </cell>
        </row>
        <row r="6699">
          <cell r="B6699">
            <v>21.56</v>
          </cell>
          <cell r="C6699">
            <v>44.49</v>
          </cell>
          <cell r="D6699">
            <v>18.38</v>
          </cell>
          <cell r="E6699">
            <v>9.2899999999999991</v>
          </cell>
          <cell r="H6699">
            <v>45571</v>
          </cell>
          <cell r="I6699">
            <v>0.87777777777777777</v>
          </cell>
          <cell r="J6699">
            <v>22.736666666666665</v>
          </cell>
        </row>
        <row r="6700">
          <cell r="B6700">
            <v>21.58</v>
          </cell>
          <cell r="C6700">
            <v>44.31</v>
          </cell>
          <cell r="D6700">
            <v>17.8</v>
          </cell>
          <cell r="E6700">
            <v>8.9600000000000009</v>
          </cell>
          <cell r="H6700">
            <v>45571</v>
          </cell>
          <cell r="I6700">
            <v>0.84777777777777774</v>
          </cell>
          <cell r="J6700">
            <v>22.582222222222224</v>
          </cell>
        </row>
        <row r="6701">
          <cell r="B6701">
            <v>22.16</v>
          </cell>
          <cell r="C6701">
            <v>43.71</v>
          </cell>
          <cell r="D6701">
            <v>17.48</v>
          </cell>
          <cell r="E6701">
            <v>8.89</v>
          </cell>
          <cell r="H6701">
            <v>45571</v>
          </cell>
          <cell r="I6701">
            <v>0.81555555555555559</v>
          </cell>
          <cell r="J6701">
            <v>22.432222222222222</v>
          </cell>
        </row>
        <row r="6702">
          <cell r="B6702">
            <v>23.26</v>
          </cell>
          <cell r="C6702">
            <v>44.39</v>
          </cell>
          <cell r="D6702">
            <v>16.21</v>
          </cell>
          <cell r="E6702">
            <v>9.1300000000000008</v>
          </cell>
          <cell r="H6702">
            <v>45571</v>
          </cell>
          <cell r="I6702">
            <v>0.79666666666666663</v>
          </cell>
          <cell r="J6702">
            <v>22.380000000000003</v>
          </cell>
        </row>
        <row r="6703">
          <cell r="B6703">
            <v>24.14</v>
          </cell>
          <cell r="C6703">
            <v>44.97</v>
          </cell>
          <cell r="D6703">
            <v>15.94</v>
          </cell>
          <cell r="E6703">
            <v>9.17</v>
          </cell>
          <cell r="H6703">
            <v>45571</v>
          </cell>
          <cell r="I6703">
            <v>0.78222222222222226</v>
          </cell>
          <cell r="J6703">
            <v>22.196666666666665</v>
          </cell>
        </row>
        <row r="6704">
          <cell r="B6704">
            <v>24.67</v>
          </cell>
          <cell r="C6704">
            <v>44.03</v>
          </cell>
          <cell r="D6704">
            <v>15.64</v>
          </cell>
          <cell r="E6704">
            <v>8.5500000000000007</v>
          </cell>
          <cell r="H6704">
            <v>45571</v>
          </cell>
          <cell r="I6704">
            <v>0.75777777777777777</v>
          </cell>
          <cell r="J6704">
            <v>22.03222222222222</v>
          </cell>
        </row>
        <row r="6705">
          <cell r="B6705">
            <v>21.59</v>
          </cell>
          <cell r="C6705">
            <v>44.47</v>
          </cell>
          <cell r="D6705">
            <v>16.579999999999998</v>
          </cell>
          <cell r="E6705">
            <v>9.0299999999999994</v>
          </cell>
          <cell r="H6705">
            <v>45571</v>
          </cell>
          <cell r="I6705">
            <v>0.73666666666666658</v>
          </cell>
          <cell r="J6705">
            <v>21.925555555555558</v>
          </cell>
        </row>
        <row r="6706">
          <cell r="B6706">
            <v>23.06</v>
          </cell>
          <cell r="C6706">
            <v>45.04</v>
          </cell>
          <cell r="D6706">
            <v>16.8</v>
          </cell>
          <cell r="E6706">
            <v>8.8699999999999992</v>
          </cell>
          <cell r="H6706">
            <v>45571</v>
          </cell>
          <cell r="I6706">
            <v>0.71333333333333326</v>
          </cell>
          <cell r="J6706">
            <v>21.947777777777777</v>
          </cell>
        </row>
        <row r="6707">
          <cell r="B6707">
            <v>24.33</v>
          </cell>
          <cell r="C6707">
            <v>47.31</v>
          </cell>
          <cell r="D6707">
            <v>16.600000000000001</v>
          </cell>
          <cell r="E6707">
            <v>9.61</v>
          </cell>
          <cell r="H6707">
            <v>45571</v>
          </cell>
          <cell r="I6707">
            <v>0.69999999999999984</v>
          </cell>
          <cell r="J6707">
            <v>22.248888888888885</v>
          </cell>
        </row>
        <row r="6708">
          <cell r="B6708">
            <v>29.04</v>
          </cell>
          <cell r="C6708">
            <v>55.77</v>
          </cell>
          <cell r="D6708">
            <v>17.149999999999999</v>
          </cell>
          <cell r="E6708">
            <v>9.92</v>
          </cell>
          <cell r="H6708">
            <v>45571</v>
          </cell>
          <cell r="I6708">
            <v>0.69666666666666666</v>
          </cell>
          <cell r="J6708">
            <v>22.877777777777776</v>
          </cell>
        </row>
        <row r="6709">
          <cell r="B6709">
            <v>28.8</v>
          </cell>
          <cell r="C6709">
            <v>58.06</v>
          </cell>
          <cell r="D6709">
            <v>16.78</v>
          </cell>
          <cell r="E6709">
            <v>9.41</v>
          </cell>
          <cell r="H6709">
            <v>45571</v>
          </cell>
          <cell r="I6709">
            <v>0.69444444444444442</v>
          </cell>
          <cell r="J6709">
            <v>23.889999999999997</v>
          </cell>
        </row>
        <row r="6710">
          <cell r="B6710">
            <v>27.38</v>
          </cell>
          <cell r="C6710">
            <v>57.93</v>
          </cell>
          <cell r="D6710">
            <v>17.52</v>
          </cell>
          <cell r="E6710">
            <v>8.7799999999999994</v>
          </cell>
          <cell r="H6710">
            <v>45571</v>
          </cell>
          <cell r="I6710">
            <v>0.69111111111111112</v>
          </cell>
          <cell r="J6710">
            <v>25.143333333333331</v>
          </cell>
        </row>
        <row r="6711">
          <cell r="B6711">
            <v>26.32</v>
          </cell>
          <cell r="C6711">
            <v>58.91</v>
          </cell>
          <cell r="D6711">
            <v>17.68</v>
          </cell>
          <cell r="E6711">
            <v>8.98</v>
          </cell>
          <cell r="H6711">
            <v>45571</v>
          </cell>
          <cell r="I6711">
            <v>0.70333333333333337</v>
          </cell>
          <cell r="J6711">
            <v>26.11333333333333</v>
          </cell>
        </row>
        <row r="6712">
          <cell r="B6712">
            <v>27.05</v>
          </cell>
          <cell r="C6712">
            <v>61.9</v>
          </cell>
          <cell r="D6712">
            <v>17.690000000000001</v>
          </cell>
          <cell r="E6712">
            <v>8.85</v>
          </cell>
          <cell r="H6712">
            <v>45571</v>
          </cell>
          <cell r="I6712">
            <v>0.7088888888888889</v>
          </cell>
          <cell r="J6712">
            <v>27.167777777777776</v>
          </cell>
        </row>
        <row r="6713">
          <cell r="B6713">
            <v>27.3</v>
          </cell>
          <cell r="C6713">
            <v>62.46</v>
          </cell>
          <cell r="D6713">
            <v>17.75</v>
          </cell>
          <cell r="E6713">
            <v>8.85</v>
          </cell>
          <cell r="H6713">
            <v>45571</v>
          </cell>
          <cell r="I6713">
            <v>0.70333333333333337</v>
          </cell>
          <cell r="J6713">
            <v>28.286666666666665</v>
          </cell>
        </row>
        <row r="6714">
          <cell r="B6714">
            <v>27.57</v>
          </cell>
          <cell r="C6714">
            <v>65.12</v>
          </cell>
          <cell r="D6714">
            <v>17.61</v>
          </cell>
          <cell r="E6714">
            <v>8.9499999999999993</v>
          </cell>
          <cell r="H6714">
            <v>45571</v>
          </cell>
          <cell r="I6714">
            <v>0.70555555555555549</v>
          </cell>
          <cell r="J6714">
            <v>29.322222222222219</v>
          </cell>
        </row>
        <row r="6715">
          <cell r="B6715">
            <v>29.94</v>
          </cell>
          <cell r="C6715">
            <v>69.540000000000006</v>
          </cell>
          <cell r="D6715">
            <v>17.510000000000002</v>
          </cell>
          <cell r="E6715">
            <v>9.2200000000000006</v>
          </cell>
          <cell r="H6715">
            <v>45571</v>
          </cell>
          <cell r="I6715">
            <v>0.71</v>
          </cell>
          <cell r="J6715">
            <v>30.04111111111111</v>
          </cell>
        </row>
        <row r="6716">
          <cell r="B6716">
            <v>31.58</v>
          </cell>
          <cell r="C6716">
            <v>72.760000000000005</v>
          </cell>
          <cell r="D6716">
            <v>18.829999999999998</v>
          </cell>
          <cell r="E6716">
            <v>9.36</v>
          </cell>
          <cell r="H6716">
            <v>45571</v>
          </cell>
          <cell r="I6716">
            <v>0.72666666666666668</v>
          </cell>
          <cell r="J6716">
            <v>30.166666666666668</v>
          </cell>
        </row>
        <row r="6717">
          <cell r="B6717">
            <v>40.67</v>
          </cell>
          <cell r="C6717">
            <v>82.47</v>
          </cell>
          <cell r="D6717">
            <v>18.95</v>
          </cell>
          <cell r="E6717">
            <v>9.5299999999999994</v>
          </cell>
          <cell r="H6717">
            <v>45571</v>
          </cell>
          <cell r="I6717">
            <v>0.74888888888888894</v>
          </cell>
          <cell r="J6717">
            <v>29.764444444444443</v>
          </cell>
        </row>
        <row r="6718">
          <cell r="B6718">
            <v>47.21</v>
          </cell>
          <cell r="C6718">
            <v>87.68</v>
          </cell>
          <cell r="D6718">
            <v>19.55</v>
          </cell>
          <cell r="E6718">
            <v>9.31</v>
          </cell>
          <cell r="H6718">
            <v>45571</v>
          </cell>
          <cell r="I6718">
            <v>0.77222222222222225</v>
          </cell>
          <cell r="J6718">
            <v>28.847777777777779</v>
          </cell>
        </row>
        <row r="6719">
          <cell r="B6719">
            <v>48.17</v>
          </cell>
          <cell r="C6719">
            <v>92.7</v>
          </cell>
          <cell r="D6719">
            <v>20.010000000000002</v>
          </cell>
          <cell r="E6719">
            <v>9.19</v>
          </cell>
          <cell r="H6719">
            <v>45571</v>
          </cell>
          <cell r="I6719">
            <v>0.80222222222222228</v>
          </cell>
          <cell r="J6719">
            <v>27.674444444444447</v>
          </cell>
        </row>
        <row r="6720">
          <cell r="B6720">
            <v>54.5</v>
          </cell>
          <cell r="C6720">
            <v>96.03</v>
          </cell>
          <cell r="D6720">
            <v>19.079999999999998</v>
          </cell>
          <cell r="E6720">
            <v>9.0500000000000007</v>
          </cell>
          <cell r="H6720">
            <v>45571</v>
          </cell>
          <cell r="I6720">
            <v>0.81777777777777783</v>
          </cell>
          <cell r="J6720">
            <v>26.732222222222219</v>
          </cell>
        </row>
        <row r="6721">
          <cell r="B6721">
            <v>50.14</v>
          </cell>
          <cell r="C6721">
            <v>95.2</v>
          </cell>
          <cell r="D6721">
            <v>18.32</v>
          </cell>
          <cell r="E6721">
            <v>8.86</v>
          </cell>
          <cell r="H6721">
            <v>45571</v>
          </cell>
          <cell r="I6721">
            <v>0.82666666666666666</v>
          </cell>
          <cell r="J6721">
            <v>25.784444444444443</v>
          </cell>
        </row>
        <row r="6722">
          <cell r="B6722">
            <v>52.94</v>
          </cell>
          <cell r="C6722">
            <v>96.59</v>
          </cell>
          <cell r="D6722">
            <v>17.86</v>
          </cell>
          <cell r="E6722">
            <v>8.23</v>
          </cell>
          <cell r="H6722">
            <v>45572</v>
          </cell>
          <cell r="I6722">
            <v>0.84</v>
          </cell>
          <cell r="J6722">
            <v>24.788888888888884</v>
          </cell>
        </row>
        <row r="6723">
          <cell r="B6723">
            <v>52.56</v>
          </cell>
          <cell r="C6723">
            <v>93.35</v>
          </cell>
          <cell r="D6723">
            <v>18.010000000000002</v>
          </cell>
          <cell r="E6723">
            <v>8.08</v>
          </cell>
          <cell r="H6723">
            <v>45572</v>
          </cell>
          <cell r="I6723">
            <v>0.84444444444444455</v>
          </cell>
          <cell r="J6723">
            <v>23.908888888888889</v>
          </cell>
        </row>
        <row r="6724">
          <cell r="B6724">
            <v>51.45</v>
          </cell>
          <cell r="C6724">
            <v>86.9</v>
          </cell>
          <cell r="D6724">
            <v>18.18</v>
          </cell>
          <cell r="E6724">
            <v>7.94</v>
          </cell>
          <cell r="H6724">
            <v>45572</v>
          </cell>
          <cell r="I6724">
            <v>0.84000000000000008</v>
          </cell>
          <cell r="J6724">
            <v>23.321111111111108</v>
          </cell>
        </row>
        <row r="6725">
          <cell r="B6725">
            <v>52.44</v>
          </cell>
          <cell r="C6725">
            <v>90.56</v>
          </cell>
          <cell r="D6725">
            <v>17.739999999999998</v>
          </cell>
          <cell r="E6725">
            <v>8.19</v>
          </cell>
          <cell r="H6725">
            <v>45572</v>
          </cell>
          <cell r="I6725">
            <v>0.81777777777777771</v>
          </cell>
          <cell r="J6725">
            <v>23.374444444444446</v>
          </cell>
        </row>
        <row r="6726">
          <cell r="B6726">
            <v>56.65</v>
          </cell>
          <cell r="C6726">
            <v>97.16</v>
          </cell>
          <cell r="D6726">
            <v>17.53</v>
          </cell>
          <cell r="E6726">
            <v>8.0399999999999991</v>
          </cell>
          <cell r="H6726">
            <v>45572</v>
          </cell>
          <cell r="I6726">
            <v>0.7877777777777778</v>
          </cell>
          <cell r="J6726">
            <v>23.63111111111111</v>
          </cell>
        </row>
        <row r="6727">
          <cell r="B6727">
            <v>61</v>
          </cell>
          <cell r="C6727">
            <v>105.58</v>
          </cell>
          <cell r="D6727">
            <v>17.940000000000001</v>
          </cell>
          <cell r="E6727">
            <v>8.18</v>
          </cell>
          <cell r="H6727">
            <v>45572</v>
          </cell>
          <cell r="I6727">
            <v>0.76555555555555566</v>
          </cell>
          <cell r="J6727">
            <v>23.961111111111109</v>
          </cell>
        </row>
        <row r="6728">
          <cell r="B6728">
            <v>56.53</v>
          </cell>
          <cell r="C6728">
            <v>100.82</v>
          </cell>
          <cell r="D6728">
            <v>17.62</v>
          </cell>
          <cell r="E6728">
            <v>8.31</v>
          </cell>
          <cell r="H6728">
            <v>45572</v>
          </cell>
          <cell r="I6728">
            <v>0.75222222222222224</v>
          </cell>
          <cell r="J6728">
            <v>24.235555555555557</v>
          </cell>
        </row>
        <row r="6729">
          <cell r="B6729">
            <v>61.3</v>
          </cell>
          <cell r="C6729">
            <v>107.7</v>
          </cell>
          <cell r="D6729">
            <v>18.350000000000001</v>
          </cell>
          <cell r="E6729">
            <v>8.17</v>
          </cell>
          <cell r="H6729">
            <v>45572</v>
          </cell>
          <cell r="I6729">
            <v>0.74888888888888883</v>
          </cell>
          <cell r="J6729">
            <v>24.412222222222219</v>
          </cell>
        </row>
        <row r="6730">
          <cell r="B6730">
            <v>57.58</v>
          </cell>
          <cell r="C6730">
            <v>108</v>
          </cell>
          <cell r="D6730">
            <v>17.809999999999999</v>
          </cell>
          <cell r="E6730">
            <v>8.17</v>
          </cell>
          <cell r="H6730">
            <v>45572</v>
          </cell>
          <cell r="I6730">
            <v>0.76222222222222225</v>
          </cell>
          <cell r="J6730">
            <v>24.675555555555558</v>
          </cell>
        </row>
        <row r="6731">
          <cell r="B6731">
            <v>50.33</v>
          </cell>
          <cell r="C6731">
            <v>97.92</v>
          </cell>
          <cell r="D6731">
            <v>18.09</v>
          </cell>
          <cell r="E6731">
            <v>8.67</v>
          </cell>
          <cell r="H6731">
            <v>45572</v>
          </cell>
          <cell r="I6731">
            <v>0.77999999999999992</v>
          </cell>
          <cell r="J6731">
            <v>25.183333333333337</v>
          </cell>
        </row>
        <row r="6732">
          <cell r="B6732">
            <v>44.46</v>
          </cell>
          <cell r="C6732">
            <v>82.06</v>
          </cell>
          <cell r="D6732">
            <v>18.190000000000001</v>
          </cell>
          <cell r="E6732">
            <v>8.9</v>
          </cell>
          <cell r="H6732">
            <v>45572</v>
          </cell>
          <cell r="I6732">
            <v>0.79888888888888898</v>
          </cell>
          <cell r="J6732">
            <v>25.686666666666667</v>
          </cell>
        </row>
        <row r="6733">
          <cell r="B6733">
            <v>40.01</v>
          </cell>
          <cell r="C6733">
            <v>82.89</v>
          </cell>
          <cell r="D6733">
            <v>18.010000000000002</v>
          </cell>
          <cell r="E6733">
            <v>8.84</v>
          </cell>
          <cell r="H6733">
            <v>45572</v>
          </cell>
          <cell r="I6733">
            <v>0.80444444444444452</v>
          </cell>
          <cell r="J6733">
            <v>26.062222222222221</v>
          </cell>
        </row>
        <row r="6734">
          <cell r="B6734">
            <v>38.200000000000003</v>
          </cell>
          <cell r="C6734">
            <v>79.760000000000005</v>
          </cell>
          <cell r="D6734">
            <v>18.7</v>
          </cell>
          <cell r="E6734">
            <v>8.7899999999999991</v>
          </cell>
          <cell r="H6734">
            <v>45572</v>
          </cell>
          <cell r="I6734">
            <v>0.80666666666666664</v>
          </cell>
          <cell r="J6734">
            <v>26.608888888888888</v>
          </cell>
        </row>
        <row r="6735">
          <cell r="B6735">
            <v>38.840000000000003</v>
          </cell>
          <cell r="C6735">
            <v>80.62</v>
          </cell>
          <cell r="D6735">
            <v>18.45</v>
          </cell>
          <cell r="E6735">
            <v>9.01</v>
          </cell>
          <cell r="H6735">
            <v>45572</v>
          </cell>
          <cell r="I6735">
            <v>0.80888888888888888</v>
          </cell>
          <cell r="J6735">
            <v>27.130000000000003</v>
          </cell>
        </row>
        <row r="6736">
          <cell r="B6736">
            <v>38.29</v>
          </cell>
          <cell r="C6736">
            <v>82.88</v>
          </cell>
          <cell r="D6736">
            <v>18.37</v>
          </cell>
          <cell r="E6736">
            <v>8.74</v>
          </cell>
          <cell r="H6736">
            <v>45572</v>
          </cell>
          <cell r="I6736">
            <v>0.80555555555555558</v>
          </cell>
          <cell r="J6736">
            <v>27.837777777777777</v>
          </cell>
        </row>
        <row r="6737">
          <cell r="B6737">
            <v>39.340000000000003</v>
          </cell>
          <cell r="C6737">
            <v>75.59</v>
          </cell>
          <cell r="D6737">
            <v>19</v>
          </cell>
          <cell r="E6737">
            <v>8.69</v>
          </cell>
          <cell r="H6737">
            <v>45572</v>
          </cell>
          <cell r="I6737">
            <v>0.79666666666666652</v>
          </cell>
          <cell r="J6737">
            <v>28.526666666666667</v>
          </cell>
        </row>
        <row r="6738">
          <cell r="B6738">
            <v>45.05</v>
          </cell>
          <cell r="C6738">
            <v>81.91</v>
          </cell>
          <cell r="D6738">
            <v>18.510000000000002</v>
          </cell>
          <cell r="E6738">
            <v>8.2200000000000006</v>
          </cell>
          <cell r="H6738">
            <v>45572</v>
          </cell>
          <cell r="I6738">
            <v>0.78888888888888886</v>
          </cell>
          <cell r="J6738">
            <v>29.083333333333332</v>
          </cell>
        </row>
        <row r="6739">
          <cell r="B6739">
            <v>45.14</v>
          </cell>
          <cell r="C6739">
            <v>138.61000000000001</v>
          </cell>
          <cell r="D6739">
            <v>19.989999999999998</v>
          </cell>
          <cell r="E6739">
            <v>8.57</v>
          </cell>
          <cell r="H6739">
            <v>45572</v>
          </cell>
          <cell r="I6739">
            <v>0.77666666666666673</v>
          </cell>
          <cell r="J6739">
            <v>29.357777777777773</v>
          </cell>
        </row>
        <row r="6740">
          <cell r="B6740">
            <v>46.05</v>
          </cell>
          <cell r="C6740">
            <v>134.91999999999999</v>
          </cell>
          <cell r="D6740">
            <v>21.62</v>
          </cell>
          <cell r="E6740">
            <v>8.44</v>
          </cell>
          <cell r="H6740">
            <v>45572</v>
          </cell>
          <cell r="I6740">
            <v>0.78333333333333344</v>
          </cell>
          <cell r="J6740">
            <v>29.21222222222222</v>
          </cell>
        </row>
        <row r="6741">
          <cell r="B6741">
            <v>49.19</v>
          </cell>
          <cell r="C6741">
            <v>111.35</v>
          </cell>
          <cell r="D6741">
            <v>20.58</v>
          </cell>
          <cell r="E6741">
            <v>8.56</v>
          </cell>
          <cell r="H6741">
            <v>45572</v>
          </cell>
          <cell r="I6741">
            <v>0.78111111111111109</v>
          </cell>
          <cell r="J6741">
            <v>29.039999999999996</v>
          </cell>
        </row>
        <row r="6742">
          <cell r="B6742">
            <v>44.88</v>
          </cell>
          <cell r="C6742">
            <v>90.61</v>
          </cell>
          <cell r="D6742">
            <v>20.75</v>
          </cell>
          <cell r="E6742">
            <v>8.2899999999999991</v>
          </cell>
          <cell r="H6742">
            <v>45572</v>
          </cell>
          <cell r="I6742">
            <v>0.78888888888888897</v>
          </cell>
          <cell r="J6742">
            <v>28.91</v>
          </cell>
        </row>
        <row r="6743">
          <cell r="B6743">
            <v>48.13</v>
          </cell>
          <cell r="C6743">
            <v>83.92</v>
          </cell>
          <cell r="D6743">
            <v>20.350000000000001</v>
          </cell>
          <cell r="E6743">
            <v>7.98</v>
          </cell>
          <cell r="H6743">
            <v>45572</v>
          </cell>
          <cell r="I6743">
            <v>0.80222222222222206</v>
          </cell>
          <cell r="J6743">
            <v>28.268888888888892</v>
          </cell>
        </row>
        <row r="6744">
          <cell r="B6744">
            <v>43.91</v>
          </cell>
          <cell r="C6744">
            <v>70.14</v>
          </cell>
          <cell r="D6744">
            <v>20.399999999999999</v>
          </cell>
          <cell r="E6744">
            <v>8.01</v>
          </cell>
          <cell r="H6744">
            <v>45572</v>
          </cell>
          <cell r="I6744">
            <v>0.79888888888888887</v>
          </cell>
          <cell r="J6744">
            <v>27.817777777777778</v>
          </cell>
        </row>
        <row r="6745">
          <cell r="B6745">
            <v>37.44</v>
          </cell>
          <cell r="C6745">
            <v>59.02</v>
          </cell>
          <cell r="D6745">
            <v>19.72</v>
          </cell>
          <cell r="E6745">
            <v>8.14</v>
          </cell>
          <cell r="H6745">
            <v>45572</v>
          </cell>
          <cell r="I6745">
            <v>0.79555555555555557</v>
          </cell>
          <cell r="J6745">
            <v>27.176666666666669</v>
          </cell>
        </row>
        <row r="6746">
          <cell r="B6746">
            <v>35.93</v>
          </cell>
          <cell r="C6746">
            <v>54.37</v>
          </cell>
          <cell r="D6746">
            <v>19.12</v>
          </cell>
          <cell r="E6746">
            <v>8.52</v>
          </cell>
          <cell r="H6746">
            <v>45573</v>
          </cell>
          <cell r="I6746">
            <v>0.78888888888888886</v>
          </cell>
          <cell r="J6746">
            <v>26.587777777777784</v>
          </cell>
        </row>
        <row r="6747">
          <cell r="B6747">
            <v>32.270000000000003</v>
          </cell>
          <cell r="C6747">
            <v>48.22</v>
          </cell>
          <cell r="D6747">
            <v>18.350000000000001</v>
          </cell>
          <cell r="E6747">
            <v>8.8000000000000007</v>
          </cell>
          <cell r="H6747">
            <v>45573</v>
          </cell>
          <cell r="I6747">
            <v>0.76777777777777778</v>
          </cell>
          <cell r="J6747">
            <v>26.345555555555553</v>
          </cell>
        </row>
        <row r="6748">
          <cell r="B6748">
            <v>28.08</v>
          </cell>
          <cell r="C6748">
            <v>42.48</v>
          </cell>
          <cell r="D6748">
            <v>17.850000000000001</v>
          </cell>
          <cell r="E6748">
            <v>8.83</v>
          </cell>
          <cell r="H6748">
            <v>45573</v>
          </cell>
          <cell r="I6748">
            <v>0.74333333333333351</v>
          </cell>
          <cell r="J6748">
            <v>26.247777777777777</v>
          </cell>
        </row>
        <row r="6749">
          <cell r="B6749">
            <v>29.07</v>
          </cell>
          <cell r="C6749">
            <v>43.99</v>
          </cell>
          <cell r="D6749">
            <v>18.059999999999999</v>
          </cell>
          <cell r="E6749">
            <v>8.67</v>
          </cell>
          <cell r="H6749">
            <v>45573</v>
          </cell>
          <cell r="I6749">
            <v>0.70000000000000007</v>
          </cell>
          <cell r="J6749">
            <v>26.364444444444445</v>
          </cell>
        </row>
        <row r="6750">
          <cell r="B6750">
            <v>26.28</v>
          </cell>
          <cell r="C6750">
            <v>43.88</v>
          </cell>
          <cell r="D6750">
            <v>18.7</v>
          </cell>
          <cell r="E6750">
            <v>8.75</v>
          </cell>
          <cell r="H6750">
            <v>45573</v>
          </cell>
          <cell r="I6750">
            <v>0.6677777777777778</v>
          </cell>
          <cell r="J6750">
            <v>26.402222222222221</v>
          </cell>
        </row>
        <row r="6751">
          <cell r="B6751">
            <v>28.43</v>
          </cell>
          <cell r="C6751">
            <v>46.33</v>
          </cell>
          <cell r="D6751">
            <v>18.5</v>
          </cell>
          <cell r="E6751">
            <v>8.84</v>
          </cell>
          <cell r="H6751">
            <v>45573</v>
          </cell>
          <cell r="I6751">
            <v>0.64444444444444438</v>
          </cell>
          <cell r="J6751">
            <v>26.456666666666663</v>
          </cell>
        </row>
        <row r="6752">
          <cell r="B6752">
            <v>32.630000000000003</v>
          </cell>
          <cell r="C6752">
            <v>49.97</v>
          </cell>
          <cell r="D6752">
            <v>19.329999999999998</v>
          </cell>
          <cell r="E6752">
            <v>8.8000000000000007</v>
          </cell>
          <cell r="H6752">
            <v>45573</v>
          </cell>
          <cell r="I6752">
            <v>0.63222222222222213</v>
          </cell>
          <cell r="J6752">
            <v>26.538888888888884</v>
          </cell>
        </row>
        <row r="6753">
          <cell r="B6753">
            <v>33.64</v>
          </cell>
          <cell r="C6753">
            <v>55.07</v>
          </cell>
          <cell r="D6753">
            <v>19.72</v>
          </cell>
          <cell r="E6753">
            <v>8.82</v>
          </cell>
          <cell r="H6753">
            <v>45573</v>
          </cell>
          <cell r="I6753">
            <v>0.63777777777777778</v>
          </cell>
          <cell r="J6753">
            <v>26.4</v>
          </cell>
        </row>
        <row r="6754">
          <cell r="B6754">
            <v>34.17</v>
          </cell>
          <cell r="C6754">
            <v>56.56</v>
          </cell>
          <cell r="D6754">
            <v>19.41</v>
          </cell>
          <cell r="E6754">
            <v>8.61</v>
          </cell>
          <cell r="H6754">
            <v>45573</v>
          </cell>
          <cell r="I6754">
            <v>0.64333333333333342</v>
          </cell>
          <cell r="J6754">
            <v>26.612222222222222</v>
          </cell>
        </row>
        <row r="6755">
          <cell r="B6755">
            <v>30.27</v>
          </cell>
          <cell r="C6755">
            <v>51.77</v>
          </cell>
          <cell r="D6755">
            <v>19.98</v>
          </cell>
          <cell r="E6755">
            <v>8.59</v>
          </cell>
          <cell r="H6755">
            <v>45573</v>
          </cell>
          <cell r="I6755">
            <v>0.65666666666666673</v>
          </cell>
          <cell r="J6755">
            <v>27.035555555555554</v>
          </cell>
        </row>
        <row r="6756">
          <cell r="B6756">
            <v>30.74</v>
          </cell>
          <cell r="C6756">
            <v>52.66</v>
          </cell>
          <cell r="D6756">
            <v>20.68</v>
          </cell>
          <cell r="E6756">
            <v>8.69</v>
          </cell>
          <cell r="H6756">
            <v>45573</v>
          </cell>
          <cell r="I6756">
            <v>0.68111111111111122</v>
          </cell>
          <cell r="J6756">
            <v>27.320000000000004</v>
          </cell>
        </row>
        <row r="6757">
          <cell r="B6757">
            <v>28.75</v>
          </cell>
          <cell r="C6757">
            <v>53.19</v>
          </cell>
          <cell r="D6757">
            <v>20.84</v>
          </cell>
          <cell r="E6757">
            <v>9.73</v>
          </cell>
          <cell r="H6757">
            <v>45573</v>
          </cell>
          <cell r="I6757">
            <v>0.7022222222222223</v>
          </cell>
          <cell r="J6757">
            <v>27.62</v>
          </cell>
        </row>
        <row r="6758">
          <cell r="B6758">
            <v>28.42</v>
          </cell>
          <cell r="C6758">
            <v>55.02</v>
          </cell>
          <cell r="D6758">
            <v>21.12</v>
          </cell>
          <cell r="E6758">
            <v>9.7100000000000009</v>
          </cell>
          <cell r="H6758">
            <v>45573</v>
          </cell>
          <cell r="I6758">
            <v>0.72333333333333338</v>
          </cell>
          <cell r="J6758">
            <v>27.955555555555556</v>
          </cell>
        </row>
        <row r="6759">
          <cell r="B6759">
            <v>30.37</v>
          </cell>
          <cell r="C6759">
            <v>57.83</v>
          </cell>
          <cell r="D6759">
            <v>19.71</v>
          </cell>
          <cell r="E6759">
            <v>9.0500000000000007</v>
          </cell>
          <cell r="H6759">
            <v>45573</v>
          </cell>
          <cell r="I6759">
            <v>0.73555555555555552</v>
          </cell>
          <cell r="J6759">
            <v>28.353333333333332</v>
          </cell>
        </row>
        <row r="6760">
          <cell r="B6760">
            <v>29.97</v>
          </cell>
          <cell r="C6760">
            <v>58.5</v>
          </cell>
          <cell r="D6760">
            <v>19.36</v>
          </cell>
          <cell r="E6760">
            <v>9.67</v>
          </cell>
          <cell r="H6760">
            <v>45573</v>
          </cell>
          <cell r="I6760">
            <v>0.74444444444444446</v>
          </cell>
          <cell r="J6760">
            <v>28.784444444444446</v>
          </cell>
        </row>
        <row r="6761">
          <cell r="B6761">
            <v>28.92</v>
          </cell>
          <cell r="C6761">
            <v>57.51</v>
          </cell>
          <cell r="D6761">
            <v>20.63</v>
          </cell>
          <cell r="E6761">
            <v>9.5</v>
          </cell>
          <cell r="H6761">
            <v>45573</v>
          </cell>
          <cell r="I6761">
            <v>0.75222222222222235</v>
          </cell>
          <cell r="J6761">
            <v>28.918888888888894</v>
          </cell>
        </row>
        <row r="6762">
          <cell r="B6762">
            <v>29.49</v>
          </cell>
          <cell r="C6762">
            <v>63.17</v>
          </cell>
          <cell r="D6762">
            <v>19.32</v>
          </cell>
          <cell r="E6762">
            <v>8.41</v>
          </cell>
          <cell r="H6762">
            <v>45573</v>
          </cell>
          <cell r="I6762">
            <v>0.75444444444444458</v>
          </cell>
          <cell r="J6762">
            <v>29.301111111111108</v>
          </cell>
        </row>
        <row r="6763">
          <cell r="B6763">
            <v>30.35</v>
          </cell>
          <cell r="C6763">
            <v>59.43</v>
          </cell>
          <cell r="D6763">
            <v>19.149999999999999</v>
          </cell>
          <cell r="E6763">
            <v>9</v>
          </cell>
          <cell r="H6763">
            <v>45573</v>
          </cell>
          <cell r="I6763">
            <v>0.75888888888888895</v>
          </cell>
          <cell r="J6763">
            <v>29.252222222222219</v>
          </cell>
        </row>
        <row r="6764">
          <cell r="B6764">
            <v>31.54</v>
          </cell>
          <cell r="C6764">
            <v>63.24</v>
          </cell>
          <cell r="D6764">
            <v>20.13</v>
          </cell>
          <cell r="E6764">
            <v>9.32</v>
          </cell>
          <cell r="H6764">
            <v>45573</v>
          </cell>
          <cell r="I6764">
            <v>0.77222222222222214</v>
          </cell>
          <cell r="J6764">
            <v>28.755555555555556</v>
          </cell>
        </row>
        <row r="6765">
          <cell r="B6765">
            <v>36.590000000000003</v>
          </cell>
          <cell r="C6765">
            <v>75.19</v>
          </cell>
          <cell r="D6765">
            <v>20.65</v>
          </cell>
          <cell r="E6765">
            <v>9.31</v>
          </cell>
          <cell r="H6765">
            <v>45573</v>
          </cell>
          <cell r="I6765">
            <v>0.78888888888888897</v>
          </cell>
          <cell r="J6765">
            <v>27.994444444444447</v>
          </cell>
        </row>
        <row r="6766">
          <cell r="B6766">
            <v>37.24</v>
          </cell>
          <cell r="C6766">
            <v>76.239999999999995</v>
          </cell>
          <cell r="D6766">
            <v>20.07</v>
          </cell>
          <cell r="E6766">
            <v>9.3000000000000007</v>
          </cell>
          <cell r="H6766">
            <v>45573</v>
          </cell>
          <cell r="I6766">
            <v>0.80777777777777771</v>
          </cell>
          <cell r="J6766">
            <v>27.195555555555558</v>
          </cell>
        </row>
        <row r="6767">
          <cell r="B6767">
            <v>38.33</v>
          </cell>
          <cell r="C6767">
            <v>73.19</v>
          </cell>
          <cell r="D6767">
            <v>19.63</v>
          </cell>
          <cell r="E6767">
            <v>9.17</v>
          </cell>
          <cell r="H6767">
            <v>45573</v>
          </cell>
          <cell r="I6767">
            <v>0.80888888888888877</v>
          </cell>
          <cell r="J6767">
            <v>26.412222222222219</v>
          </cell>
        </row>
        <row r="6768">
          <cell r="B6768">
            <v>37.159999999999997</v>
          </cell>
          <cell r="C6768">
            <v>69.900000000000006</v>
          </cell>
          <cell r="D6768">
            <v>19.13</v>
          </cell>
          <cell r="E6768">
            <v>8.9499999999999993</v>
          </cell>
          <cell r="H6768">
            <v>45573</v>
          </cell>
          <cell r="I6768">
            <v>0.81222222222222218</v>
          </cell>
          <cell r="J6768">
            <v>25.679999999999993</v>
          </cell>
        </row>
        <row r="6769">
          <cell r="B6769">
            <v>34.53</v>
          </cell>
          <cell r="C6769">
            <v>64.08</v>
          </cell>
          <cell r="D6769">
            <v>18.809999999999999</v>
          </cell>
          <cell r="E6769">
            <v>8.89</v>
          </cell>
          <cell r="H6769">
            <v>45573</v>
          </cell>
          <cell r="I6769">
            <v>0.80777777777777782</v>
          </cell>
          <cell r="J6769">
            <v>24.997777777777777</v>
          </cell>
        </row>
        <row r="6770">
          <cell r="B6770">
            <v>35.06</v>
          </cell>
          <cell r="C6770">
            <v>62.26</v>
          </cell>
          <cell r="D6770">
            <v>18.600000000000001</v>
          </cell>
          <cell r="E6770">
            <v>8.1999999999999993</v>
          </cell>
          <cell r="H6770">
            <v>45574</v>
          </cell>
          <cell r="I6770">
            <v>0.7877777777777778</v>
          </cell>
          <cell r="J6770">
            <v>24.793333333333333</v>
          </cell>
        </row>
        <row r="6771">
          <cell r="B6771">
            <v>35.21</v>
          </cell>
          <cell r="C6771">
            <v>57.17</v>
          </cell>
          <cell r="D6771">
            <v>17.989999999999998</v>
          </cell>
          <cell r="E6771">
            <v>8.11</v>
          </cell>
          <cell r="H6771">
            <v>45574</v>
          </cell>
          <cell r="I6771">
            <v>0.77111111111111108</v>
          </cell>
          <cell r="J6771">
            <v>24.424444444444443</v>
          </cell>
        </row>
        <row r="6772">
          <cell r="B6772">
            <v>30.25</v>
          </cell>
          <cell r="C6772">
            <v>50.09</v>
          </cell>
          <cell r="D6772">
            <v>17.62</v>
          </cell>
          <cell r="E6772">
            <v>8.26</v>
          </cell>
          <cell r="H6772">
            <v>45574</v>
          </cell>
          <cell r="I6772">
            <v>0.75</v>
          </cell>
          <cell r="J6772">
            <v>24.194444444444443</v>
          </cell>
        </row>
        <row r="6773">
          <cell r="B6773">
            <v>26.14</v>
          </cell>
          <cell r="C6773">
            <v>46.36</v>
          </cell>
          <cell r="D6773">
            <v>17.559999999999999</v>
          </cell>
          <cell r="E6773">
            <v>8.3800000000000008</v>
          </cell>
          <cell r="H6773">
            <v>45574</v>
          </cell>
          <cell r="I6773">
            <v>0.71444444444444444</v>
          </cell>
          <cell r="J6773">
            <v>24.091111111111111</v>
          </cell>
        </row>
        <row r="6774">
          <cell r="B6774">
            <v>28.98</v>
          </cell>
          <cell r="C6774">
            <v>102.51</v>
          </cell>
          <cell r="D6774">
            <v>18.309999999999999</v>
          </cell>
          <cell r="E6774">
            <v>8.44</v>
          </cell>
          <cell r="H6774">
            <v>45574</v>
          </cell>
          <cell r="I6774">
            <v>0.67555555555555558</v>
          </cell>
          <cell r="J6774">
            <v>24.08</v>
          </cell>
        </row>
        <row r="6775">
          <cell r="B6775">
            <v>26.02</v>
          </cell>
          <cell r="C6775">
            <v>80.87</v>
          </cell>
          <cell r="D6775">
            <v>17.760000000000002</v>
          </cell>
          <cell r="E6775">
            <v>8.4</v>
          </cell>
          <cell r="H6775">
            <v>45574</v>
          </cell>
          <cell r="I6775">
            <v>0.64222222222222225</v>
          </cell>
          <cell r="J6775">
            <v>24.075555555555557</v>
          </cell>
        </row>
        <row r="6776">
          <cell r="B6776">
            <v>25.83</v>
          </cell>
          <cell r="C6776">
            <v>63</v>
          </cell>
          <cell r="D6776">
            <v>18.36</v>
          </cell>
          <cell r="E6776">
            <v>8.32</v>
          </cell>
          <cell r="H6776">
            <v>45574</v>
          </cell>
          <cell r="I6776">
            <v>0.62888888888888883</v>
          </cell>
          <cell r="J6776">
            <v>24.015555555555558</v>
          </cell>
        </row>
        <row r="6777">
          <cell r="B6777">
            <v>27.29</v>
          </cell>
          <cell r="C6777">
            <v>55.14</v>
          </cell>
          <cell r="D6777">
            <v>18.47</v>
          </cell>
          <cell r="E6777">
            <v>8.3800000000000008</v>
          </cell>
          <cell r="H6777">
            <v>45574</v>
          </cell>
          <cell r="I6777">
            <v>0.62666666666666659</v>
          </cell>
          <cell r="J6777">
            <v>23.923333333333332</v>
          </cell>
        </row>
        <row r="6778">
          <cell r="B6778">
            <v>25.23</v>
          </cell>
          <cell r="C6778">
            <v>49.03</v>
          </cell>
          <cell r="D6778">
            <v>18.73</v>
          </cell>
          <cell r="E6778">
            <v>8.5299999999999994</v>
          </cell>
          <cell r="H6778">
            <v>45574</v>
          </cell>
          <cell r="I6778">
            <v>0.63444444444444437</v>
          </cell>
          <cell r="J6778">
            <v>23.87777777777778</v>
          </cell>
        </row>
        <row r="6779">
          <cell r="B6779">
            <v>23.79</v>
          </cell>
          <cell r="C6779">
            <v>45.49</v>
          </cell>
          <cell r="D6779">
            <v>18.64</v>
          </cell>
          <cell r="E6779">
            <v>8.4700000000000006</v>
          </cell>
          <cell r="H6779">
            <v>45574</v>
          </cell>
          <cell r="I6779">
            <v>0.65333333333333321</v>
          </cell>
          <cell r="J6779">
            <v>23.992222222222225</v>
          </cell>
        </row>
        <row r="6780">
          <cell r="B6780">
            <v>24.13</v>
          </cell>
          <cell r="C6780">
            <v>45.72</v>
          </cell>
          <cell r="D6780">
            <v>19.350000000000001</v>
          </cell>
          <cell r="E6780">
            <v>8.59</v>
          </cell>
          <cell r="H6780">
            <v>45574</v>
          </cell>
          <cell r="I6780">
            <v>0.6677777777777778</v>
          </cell>
          <cell r="J6780">
            <v>24.371111111111112</v>
          </cell>
        </row>
        <row r="6781">
          <cell r="B6781">
            <v>25.38</v>
          </cell>
          <cell r="C6781">
            <v>46.63</v>
          </cell>
          <cell r="D6781">
            <v>19.38</v>
          </cell>
          <cell r="E6781">
            <v>8.25</v>
          </cell>
          <cell r="H6781">
            <v>45574</v>
          </cell>
          <cell r="I6781">
            <v>0.67555555555555558</v>
          </cell>
          <cell r="J6781">
            <v>24.72666666666667</v>
          </cell>
        </row>
        <row r="6782">
          <cell r="B6782">
            <v>22.85</v>
          </cell>
          <cell r="C6782">
            <v>47.34</v>
          </cell>
          <cell r="D6782">
            <v>18.93</v>
          </cell>
          <cell r="E6782">
            <v>8.1</v>
          </cell>
          <cell r="H6782">
            <v>45574</v>
          </cell>
          <cell r="I6782">
            <v>0.68222222222222217</v>
          </cell>
          <cell r="J6782">
            <v>25.062222222222225</v>
          </cell>
        </row>
        <row r="6783">
          <cell r="B6783">
            <v>27.01</v>
          </cell>
          <cell r="C6783">
            <v>57.62</v>
          </cell>
          <cell r="D6783">
            <v>19.329999999999998</v>
          </cell>
          <cell r="E6783">
            <v>8.42</v>
          </cell>
          <cell r="H6783">
            <v>45574</v>
          </cell>
          <cell r="I6783">
            <v>0.68555555555555558</v>
          </cell>
          <cell r="J6783">
            <v>25.455555555555559</v>
          </cell>
        </row>
        <row r="6784">
          <cell r="B6784">
            <v>17.52</v>
          </cell>
          <cell r="C6784">
            <v>42.42</v>
          </cell>
          <cell r="D6784">
            <v>19.22</v>
          </cell>
          <cell r="E6784">
            <v>8.4499999999999993</v>
          </cell>
          <cell r="H6784">
            <v>45574</v>
          </cell>
          <cell r="I6784">
            <v>0.69222222222222207</v>
          </cell>
          <cell r="J6784">
            <v>25.90111111111111</v>
          </cell>
        </row>
        <row r="6785">
          <cell r="B6785">
            <v>21.03</v>
          </cell>
          <cell r="C6785">
            <v>45.65</v>
          </cell>
          <cell r="D6785">
            <v>18.670000000000002</v>
          </cell>
          <cell r="E6785">
            <v>8.59</v>
          </cell>
          <cell r="H6785">
            <v>45574</v>
          </cell>
          <cell r="I6785">
            <v>0.69555555555555559</v>
          </cell>
          <cell r="J6785">
            <v>26.395555555555557</v>
          </cell>
        </row>
        <row r="6786">
          <cell r="B6786">
            <v>35.22</v>
          </cell>
          <cell r="C6786">
            <v>58.57</v>
          </cell>
          <cell r="D6786">
            <v>18.96</v>
          </cell>
          <cell r="E6786">
            <v>9.91</v>
          </cell>
          <cell r="H6786">
            <v>45574</v>
          </cell>
          <cell r="I6786">
            <v>0.69777777777777783</v>
          </cell>
          <cell r="J6786">
            <v>26.86333333333333</v>
          </cell>
        </row>
        <row r="6787">
          <cell r="B6787">
            <v>21.52</v>
          </cell>
          <cell r="C6787">
            <v>50.32</v>
          </cell>
          <cell r="D6787">
            <v>19.71</v>
          </cell>
          <cell r="E6787">
            <v>12.53</v>
          </cell>
          <cell r="H6787">
            <v>45574</v>
          </cell>
          <cell r="I6787">
            <v>0.70333333333333337</v>
          </cell>
          <cell r="J6787">
            <v>27</v>
          </cell>
        </row>
        <row r="6788">
          <cell r="B6788">
            <v>24.88</v>
          </cell>
          <cell r="C6788">
            <v>60.84</v>
          </cell>
          <cell r="D6788">
            <v>20.149999999999999</v>
          </cell>
          <cell r="E6788">
            <v>10.08</v>
          </cell>
          <cell r="H6788">
            <v>45574</v>
          </cell>
          <cell r="I6788">
            <v>0.71111111111111114</v>
          </cell>
          <cell r="J6788">
            <v>26.873333333333331</v>
          </cell>
        </row>
        <row r="6789">
          <cell r="B6789">
            <v>28.72</v>
          </cell>
          <cell r="C6789">
            <v>62.12</v>
          </cell>
          <cell r="D6789">
            <v>20.21</v>
          </cell>
          <cell r="E6789">
            <v>10.02</v>
          </cell>
          <cell r="H6789">
            <v>45574</v>
          </cell>
          <cell r="I6789">
            <v>0.73555555555555563</v>
          </cell>
          <cell r="J6789">
            <v>26.384444444444441</v>
          </cell>
        </row>
        <row r="6790">
          <cell r="B6790">
            <v>31.85</v>
          </cell>
          <cell r="C6790">
            <v>68.14</v>
          </cell>
          <cell r="D6790">
            <v>20.83</v>
          </cell>
          <cell r="E6790">
            <v>10.1</v>
          </cell>
          <cell r="H6790">
            <v>45574</v>
          </cell>
          <cell r="I6790">
            <v>0.76444444444444448</v>
          </cell>
          <cell r="J6790">
            <v>25.818888888888889</v>
          </cell>
        </row>
        <row r="6791">
          <cell r="B6791">
            <v>33.43</v>
          </cell>
          <cell r="C6791">
            <v>72.3</v>
          </cell>
          <cell r="D6791">
            <v>20.81</v>
          </cell>
          <cell r="E6791">
            <v>9.86</v>
          </cell>
          <cell r="H6791">
            <v>45574</v>
          </cell>
          <cell r="I6791">
            <v>0.77888888888888896</v>
          </cell>
          <cell r="J6791">
            <v>25.515555555555558</v>
          </cell>
        </row>
        <row r="6792">
          <cell r="B6792">
            <v>32.299999999999997</v>
          </cell>
          <cell r="C6792">
            <v>65.650000000000006</v>
          </cell>
          <cell r="D6792">
            <v>19.95</v>
          </cell>
          <cell r="E6792">
            <v>9.7799999999999994</v>
          </cell>
          <cell r="H6792">
            <v>45574</v>
          </cell>
          <cell r="I6792">
            <v>0.78111111111111109</v>
          </cell>
          <cell r="J6792">
            <v>25.325555555555557</v>
          </cell>
        </row>
        <row r="6793">
          <cell r="B6793">
            <v>29.11</v>
          </cell>
          <cell r="C6793">
            <v>55.73</v>
          </cell>
          <cell r="D6793">
            <v>18.7</v>
          </cell>
          <cell r="E6793">
            <v>9.94</v>
          </cell>
          <cell r="H6793">
            <v>45574</v>
          </cell>
          <cell r="I6793">
            <v>0.76888888888888884</v>
          </cell>
          <cell r="J6793">
            <v>25.08111111111111</v>
          </cell>
        </row>
        <row r="6794">
          <cell r="B6794">
            <v>29.56</v>
          </cell>
          <cell r="C6794">
            <v>55.03</v>
          </cell>
          <cell r="D6794">
            <v>17.559999999999999</v>
          </cell>
          <cell r="E6794">
            <v>8.3800000000000008</v>
          </cell>
          <cell r="H6794">
            <v>45575</v>
          </cell>
          <cell r="I6794">
            <v>0.75888888888888895</v>
          </cell>
          <cell r="J6794">
            <v>24.811111111111114</v>
          </cell>
        </row>
        <row r="6795">
          <cell r="B6795">
            <v>27.08</v>
          </cell>
          <cell r="C6795">
            <v>48.1</v>
          </cell>
          <cell r="D6795">
            <v>17.29</v>
          </cell>
          <cell r="E6795">
            <v>8.44</v>
          </cell>
          <cell r="H6795">
            <v>45575</v>
          </cell>
          <cell r="I6795">
            <v>0.74333333333333329</v>
          </cell>
          <cell r="J6795">
            <v>24.561111111111114</v>
          </cell>
        </row>
        <row r="6796">
          <cell r="B6796">
            <v>27.54</v>
          </cell>
          <cell r="C6796">
            <v>95.58</v>
          </cell>
          <cell r="D6796">
            <v>17.89</v>
          </cell>
          <cell r="E6796">
            <v>8.39</v>
          </cell>
          <cell r="H6796">
            <v>45575</v>
          </cell>
          <cell r="I6796">
            <v>0.72222222222222221</v>
          </cell>
          <cell r="J6796">
            <v>24.465555555555557</v>
          </cell>
        </row>
        <row r="6797">
          <cell r="B6797">
            <v>24.32</v>
          </cell>
          <cell r="C6797">
            <v>77.5</v>
          </cell>
          <cell r="D6797">
            <v>17.66</v>
          </cell>
          <cell r="E6797">
            <v>8.23</v>
          </cell>
          <cell r="H6797">
            <v>45575</v>
          </cell>
          <cell r="I6797">
            <v>0.69666666666666666</v>
          </cell>
          <cell r="J6797">
            <v>24.497777777777777</v>
          </cell>
        </row>
        <row r="6798">
          <cell r="B6798">
            <v>31.71</v>
          </cell>
          <cell r="C6798">
            <v>63.11</v>
          </cell>
          <cell r="D6798">
            <v>17.350000000000001</v>
          </cell>
          <cell r="E6798">
            <v>8.02</v>
          </cell>
          <cell r="H6798">
            <v>45575</v>
          </cell>
          <cell r="I6798">
            <v>0.65666666666666662</v>
          </cell>
          <cell r="J6798">
            <v>24.615555555555559</v>
          </cell>
        </row>
        <row r="6799">
          <cell r="B6799">
            <v>33.08</v>
          </cell>
          <cell r="C6799">
            <v>56.04</v>
          </cell>
          <cell r="D6799">
            <v>17.46</v>
          </cell>
          <cell r="E6799">
            <v>8.18</v>
          </cell>
          <cell r="H6799">
            <v>45575</v>
          </cell>
          <cell r="I6799">
            <v>0.62555555555555542</v>
          </cell>
          <cell r="J6799">
            <v>24.745555555555555</v>
          </cell>
        </row>
        <row r="6800">
          <cell r="B6800">
            <v>27.9</v>
          </cell>
          <cell r="C6800">
            <v>47.66</v>
          </cell>
          <cell r="D6800">
            <v>17.86</v>
          </cell>
          <cell r="E6800">
            <v>8.16</v>
          </cell>
          <cell r="H6800">
            <v>45575</v>
          </cell>
          <cell r="I6800">
            <v>0.61777777777777787</v>
          </cell>
          <cell r="J6800">
            <v>24.633333333333333</v>
          </cell>
        </row>
        <row r="6801">
          <cell r="B6801">
            <v>26.67</v>
          </cell>
          <cell r="C6801">
            <v>44.02</v>
          </cell>
          <cell r="D6801">
            <v>18.399999999999999</v>
          </cell>
          <cell r="E6801">
            <v>7.93</v>
          </cell>
          <cell r="H6801">
            <v>45575</v>
          </cell>
          <cell r="I6801">
            <v>0.62555555555555564</v>
          </cell>
          <cell r="J6801">
            <v>24.423333333333332</v>
          </cell>
        </row>
        <row r="6802">
          <cell r="B6802">
            <v>22.85</v>
          </cell>
          <cell r="C6802">
            <v>40.659999999999997</v>
          </cell>
          <cell r="D6802">
            <v>18.12</v>
          </cell>
          <cell r="E6802">
            <v>7.83</v>
          </cell>
          <cell r="H6802">
            <v>45575</v>
          </cell>
          <cell r="I6802">
            <v>0.64444444444444449</v>
          </cell>
          <cell r="J6802">
            <v>24.34</v>
          </cell>
        </row>
        <row r="6803">
          <cell r="B6803">
            <v>22.07</v>
          </cell>
          <cell r="C6803">
            <v>44.62</v>
          </cell>
          <cell r="D6803">
            <v>17.8</v>
          </cell>
          <cell r="E6803">
            <v>8.1199999999999992</v>
          </cell>
          <cell r="H6803">
            <v>45575</v>
          </cell>
          <cell r="I6803">
            <v>0.66444444444444439</v>
          </cell>
          <cell r="J6803">
            <v>24.341111111111111</v>
          </cell>
        </row>
        <row r="6804">
          <cell r="B6804">
            <v>20.82</v>
          </cell>
          <cell r="C6804">
            <v>44.7</v>
          </cell>
          <cell r="D6804">
            <v>18.78</v>
          </cell>
          <cell r="E6804">
            <v>8.06</v>
          </cell>
          <cell r="H6804">
            <v>45575</v>
          </cell>
          <cell r="I6804">
            <v>0.68</v>
          </cell>
          <cell r="J6804">
            <v>24.574444444444445</v>
          </cell>
        </row>
        <row r="6805">
          <cell r="B6805">
            <v>20.86</v>
          </cell>
          <cell r="C6805">
            <v>45.37</v>
          </cell>
          <cell r="D6805">
            <v>19.11</v>
          </cell>
          <cell r="E6805">
            <v>7.94</v>
          </cell>
          <cell r="H6805">
            <v>45575</v>
          </cell>
          <cell r="I6805">
            <v>0.69222222222222229</v>
          </cell>
          <cell r="J6805">
            <v>25.004444444444445</v>
          </cell>
        </row>
        <row r="6806">
          <cell r="B6806">
            <v>23.66</v>
          </cell>
          <cell r="C6806">
            <v>50.74</v>
          </cell>
          <cell r="D6806">
            <v>19.45</v>
          </cell>
          <cell r="E6806">
            <v>7.34</v>
          </cell>
          <cell r="H6806">
            <v>45575</v>
          </cell>
          <cell r="I6806">
            <v>0.70111111111111102</v>
          </cell>
          <cell r="J6806">
            <v>25.410000000000004</v>
          </cell>
        </row>
        <row r="6807">
          <cell r="B6807">
            <v>23.96</v>
          </cell>
          <cell r="C6807">
            <v>49.22</v>
          </cell>
          <cell r="D6807">
            <v>19.11</v>
          </cell>
          <cell r="E6807">
            <v>7.67</v>
          </cell>
          <cell r="H6807">
            <v>45575</v>
          </cell>
          <cell r="I6807">
            <v>0.7088888888888889</v>
          </cell>
          <cell r="J6807">
            <v>25.742222222222225</v>
          </cell>
        </row>
        <row r="6808">
          <cell r="B6808">
            <v>24.78</v>
          </cell>
          <cell r="C6808">
            <v>49.23</v>
          </cell>
          <cell r="D6808">
            <v>18.75</v>
          </cell>
          <cell r="E6808">
            <v>7.71</v>
          </cell>
          <cell r="H6808">
            <v>45575</v>
          </cell>
          <cell r="I6808">
            <v>0.7088888888888889</v>
          </cell>
          <cell r="J6808">
            <v>26.091111111111118</v>
          </cell>
        </row>
        <row r="6809">
          <cell r="B6809">
            <v>26.25</v>
          </cell>
          <cell r="C6809">
            <v>51.92</v>
          </cell>
          <cell r="D6809">
            <v>18.100000000000001</v>
          </cell>
          <cell r="E6809">
            <v>7.35</v>
          </cell>
          <cell r="H6809">
            <v>45575</v>
          </cell>
          <cell r="I6809">
            <v>0.70555555555555549</v>
          </cell>
          <cell r="J6809">
            <v>26.428888888888892</v>
          </cell>
        </row>
        <row r="6810">
          <cell r="B6810">
            <v>26.27</v>
          </cell>
          <cell r="C6810">
            <v>51.57</v>
          </cell>
          <cell r="D6810">
            <v>18.78</v>
          </cell>
          <cell r="E6810">
            <v>7.4</v>
          </cell>
          <cell r="H6810">
            <v>45575</v>
          </cell>
          <cell r="I6810">
            <v>0.70111111111111113</v>
          </cell>
          <cell r="J6810">
            <v>26.810000000000002</v>
          </cell>
        </row>
        <row r="6811">
          <cell r="B6811">
            <v>29.9</v>
          </cell>
          <cell r="C6811">
            <v>58.52</v>
          </cell>
          <cell r="D6811">
            <v>19.12</v>
          </cell>
          <cell r="E6811">
            <v>7.58</v>
          </cell>
          <cell r="H6811">
            <v>45575</v>
          </cell>
          <cell r="I6811">
            <v>0.7022222222222223</v>
          </cell>
          <cell r="J6811">
            <v>26.957777777777778</v>
          </cell>
        </row>
        <row r="6812">
          <cell r="B6812">
            <v>32.909999999999997</v>
          </cell>
          <cell r="C6812">
            <v>57.36</v>
          </cell>
          <cell r="D6812">
            <v>20.95</v>
          </cell>
          <cell r="E6812">
            <v>7.49</v>
          </cell>
          <cell r="H6812">
            <v>45575</v>
          </cell>
          <cell r="I6812">
            <v>0.71111111111111103</v>
          </cell>
          <cell r="J6812">
            <v>26.801111111111108</v>
          </cell>
        </row>
        <row r="6813">
          <cell r="B6813">
            <v>34.67</v>
          </cell>
          <cell r="C6813">
            <v>62.46</v>
          </cell>
          <cell r="D6813">
            <v>20.38</v>
          </cell>
          <cell r="E6813">
            <v>7.28</v>
          </cell>
          <cell r="H6813">
            <v>45575</v>
          </cell>
          <cell r="I6813">
            <v>0.72666666666666668</v>
          </cell>
          <cell r="J6813">
            <v>26.414444444444445</v>
          </cell>
        </row>
        <row r="6814">
          <cell r="B6814">
            <v>32.11</v>
          </cell>
          <cell r="C6814">
            <v>58.52</v>
          </cell>
          <cell r="D6814">
            <v>20.010000000000002</v>
          </cell>
          <cell r="E6814">
            <v>7.21</v>
          </cell>
          <cell r="H6814">
            <v>45575</v>
          </cell>
          <cell r="I6814">
            <v>0.74222222222222223</v>
          </cell>
          <cell r="J6814">
            <v>25.893333333333331</v>
          </cell>
        </row>
        <row r="6815">
          <cell r="B6815">
            <v>31.45</v>
          </cell>
          <cell r="C6815">
            <v>57.48</v>
          </cell>
          <cell r="D6815">
            <v>19.149999999999999</v>
          </cell>
          <cell r="E6815">
            <v>7.27</v>
          </cell>
          <cell r="H6815">
            <v>45575</v>
          </cell>
          <cell r="I6815">
            <v>0.74222222222222223</v>
          </cell>
          <cell r="J6815">
            <v>25.336666666666662</v>
          </cell>
        </row>
        <row r="6816">
          <cell r="B6816">
            <v>25.62</v>
          </cell>
          <cell r="C6816">
            <v>46.66</v>
          </cell>
          <cell r="D6816">
            <v>18.059999999999999</v>
          </cell>
          <cell r="E6816">
            <v>7.17</v>
          </cell>
          <cell r="H6816">
            <v>45575</v>
          </cell>
          <cell r="I6816">
            <v>0.74222222222222223</v>
          </cell>
          <cell r="J6816">
            <v>24.82</v>
          </cell>
        </row>
        <row r="6817">
          <cell r="B6817">
            <v>19.649999999999999</v>
          </cell>
          <cell r="C6817">
            <v>37.57</v>
          </cell>
          <cell r="D6817">
            <v>17.64</v>
          </cell>
          <cell r="E6817">
            <v>7.7</v>
          </cell>
          <cell r="H6817">
            <v>45575</v>
          </cell>
          <cell r="I6817">
            <v>0.74</v>
          </cell>
          <cell r="J6817">
            <v>24.361111111111111</v>
          </cell>
        </row>
        <row r="6818">
          <cell r="B6818">
            <v>17.989999999999998</v>
          </cell>
          <cell r="C6818">
            <v>32.83</v>
          </cell>
          <cell r="D6818">
            <v>16.82</v>
          </cell>
          <cell r="E6818">
            <v>6.86</v>
          </cell>
          <cell r="H6818">
            <v>45576</v>
          </cell>
          <cell r="I6818">
            <v>0.73555555555555552</v>
          </cell>
          <cell r="J6818">
            <v>24.024444444444445</v>
          </cell>
        </row>
        <row r="6819">
          <cell r="B6819">
            <v>15.82</v>
          </cell>
          <cell r="C6819">
            <v>28.27</v>
          </cell>
          <cell r="D6819">
            <v>17</v>
          </cell>
          <cell r="E6819">
            <v>7.43</v>
          </cell>
          <cell r="H6819">
            <v>45576</v>
          </cell>
          <cell r="I6819">
            <v>0.72888888888888881</v>
          </cell>
          <cell r="J6819">
            <v>23.682222222222222</v>
          </cell>
        </row>
        <row r="6820">
          <cell r="B6820">
            <v>14.54</v>
          </cell>
          <cell r="C6820">
            <v>26.62</v>
          </cell>
          <cell r="D6820">
            <v>16.71</v>
          </cell>
          <cell r="E6820">
            <v>7.38</v>
          </cell>
          <cell r="H6820">
            <v>45576</v>
          </cell>
          <cell r="I6820">
            <v>0.7122222222222222</v>
          </cell>
          <cell r="J6820">
            <v>23.401111111111113</v>
          </cell>
        </row>
        <row r="6821">
          <cell r="B6821">
            <v>15.58</v>
          </cell>
          <cell r="C6821">
            <v>26.5</v>
          </cell>
          <cell r="D6821">
            <v>16.82</v>
          </cell>
          <cell r="E6821">
            <v>7.45</v>
          </cell>
          <cell r="H6821">
            <v>45576</v>
          </cell>
          <cell r="I6821">
            <v>0.68555555555555558</v>
          </cell>
          <cell r="J6821">
            <v>23.324444444444445</v>
          </cell>
        </row>
        <row r="6822">
          <cell r="B6822">
            <v>15.3</v>
          </cell>
          <cell r="C6822">
            <v>26.24</v>
          </cell>
          <cell r="D6822">
            <v>17.5</v>
          </cell>
          <cell r="E6822">
            <v>7.52</v>
          </cell>
          <cell r="H6822">
            <v>45576</v>
          </cell>
          <cell r="I6822">
            <v>0.66000000000000014</v>
          </cell>
          <cell r="J6822">
            <v>23.186666666666664</v>
          </cell>
        </row>
        <row r="6823">
          <cell r="B6823">
            <v>16.260000000000002</v>
          </cell>
          <cell r="C6823">
            <v>27.92</v>
          </cell>
          <cell r="D6823">
            <v>18.440000000000001</v>
          </cell>
          <cell r="E6823">
            <v>7.77</v>
          </cell>
          <cell r="H6823">
            <v>45576</v>
          </cell>
          <cell r="I6823">
            <v>0.64333333333333342</v>
          </cell>
          <cell r="J6823">
            <v>23.051111111111108</v>
          </cell>
        </row>
        <row r="6824">
          <cell r="B6824">
            <v>20.37</v>
          </cell>
          <cell r="C6824">
            <v>33.020000000000003</v>
          </cell>
          <cell r="D6824">
            <v>18.170000000000002</v>
          </cell>
          <cell r="E6824">
            <v>7.64</v>
          </cell>
          <cell r="H6824">
            <v>45576</v>
          </cell>
          <cell r="I6824">
            <v>0.64555555555555555</v>
          </cell>
          <cell r="J6824">
            <v>22.964444444444446</v>
          </cell>
        </row>
        <row r="6825">
          <cell r="B6825">
            <v>22.34</v>
          </cell>
          <cell r="C6825">
            <v>35.93</v>
          </cell>
          <cell r="D6825">
            <v>18.739999999999998</v>
          </cell>
          <cell r="E6825">
            <v>7.1</v>
          </cell>
          <cell r="H6825">
            <v>45576</v>
          </cell>
          <cell r="I6825">
            <v>0.65444444444444438</v>
          </cell>
          <cell r="J6825">
            <v>22.918888888888887</v>
          </cell>
        </row>
        <row r="6826">
          <cell r="B6826">
            <v>28.99</v>
          </cell>
          <cell r="C6826">
            <v>42.74</v>
          </cell>
          <cell r="D6826">
            <v>18.149999999999999</v>
          </cell>
          <cell r="E6826">
            <v>7.22</v>
          </cell>
          <cell r="H6826">
            <v>45576</v>
          </cell>
          <cell r="I6826">
            <v>0.66999999999999993</v>
          </cell>
          <cell r="J6826">
            <v>22.91555555555556</v>
          </cell>
        </row>
        <row r="6827">
          <cell r="B6827">
            <v>33.090000000000003</v>
          </cell>
          <cell r="C6827">
            <v>49.04</v>
          </cell>
          <cell r="D6827">
            <v>18.13</v>
          </cell>
          <cell r="E6827">
            <v>7.34</v>
          </cell>
          <cell r="H6827">
            <v>45576</v>
          </cell>
          <cell r="I6827">
            <v>0.68111111111111111</v>
          </cell>
          <cell r="J6827">
            <v>22.962222222222223</v>
          </cell>
        </row>
        <row r="6828">
          <cell r="B6828">
            <v>32.07</v>
          </cell>
          <cell r="C6828">
            <v>49.31</v>
          </cell>
          <cell r="D6828">
            <v>18.11</v>
          </cell>
          <cell r="E6828">
            <v>7.42</v>
          </cell>
          <cell r="H6828">
            <v>45576</v>
          </cell>
          <cell r="I6828">
            <v>0.68888888888888888</v>
          </cell>
          <cell r="J6828">
            <v>23.207777777777778</v>
          </cell>
        </row>
        <row r="6829">
          <cell r="B6829">
            <v>30.36</v>
          </cell>
          <cell r="C6829">
            <v>48.84</v>
          </cell>
          <cell r="D6829">
            <v>18.329999999999998</v>
          </cell>
          <cell r="E6829">
            <v>7.74</v>
          </cell>
          <cell r="H6829">
            <v>45576</v>
          </cell>
          <cell r="I6829">
            <v>0.69888888888888889</v>
          </cell>
          <cell r="J6829">
            <v>23.562222222222225</v>
          </cell>
        </row>
        <row r="6830">
          <cell r="B6830">
            <v>29.45</v>
          </cell>
          <cell r="C6830">
            <v>52.1</v>
          </cell>
          <cell r="D6830">
            <v>18.940000000000001</v>
          </cell>
          <cell r="E6830">
            <v>7.63</v>
          </cell>
          <cell r="H6830">
            <v>45576</v>
          </cell>
          <cell r="I6830">
            <v>0.7022222222222223</v>
          </cell>
          <cell r="J6830">
            <v>24.065555555555559</v>
          </cell>
        </row>
        <row r="6831">
          <cell r="B6831">
            <v>27.43</v>
          </cell>
          <cell r="C6831">
            <v>50.15</v>
          </cell>
          <cell r="D6831">
            <v>19.09</v>
          </cell>
          <cell r="E6831">
            <v>7.6</v>
          </cell>
          <cell r="H6831">
            <v>45576</v>
          </cell>
          <cell r="I6831">
            <v>0.71</v>
          </cell>
          <cell r="J6831">
            <v>24.698888888888892</v>
          </cell>
        </row>
        <row r="6832">
          <cell r="B6832">
            <v>28.9</v>
          </cell>
          <cell r="C6832">
            <v>53.93</v>
          </cell>
          <cell r="D6832">
            <v>18.8</v>
          </cell>
          <cell r="E6832">
            <v>7.32</v>
          </cell>
          <cell r="H6832">
            <v>45576</v>
          </cell>
          <cell r="I6832">
            <v>0.71555555555555561</v>
          </cell>
          <cell r="J6832">
            <v>25.245555555555555</v>
          </cell>
        </row>
        <row r="6833">
          <cell r="B6833">
            <v>32.92</v>
          </cell>
          <cell r="C6833">
            <v>58.4</v>
          </cell>
          <cell r="D6833">
            <v>18.420000000000002</v>
          </cell>
          <cell r="E6833">
            <v>7.2</v>
          </cell>
          <cell r="H6833">
            <v>45576</v>
          </cell>
          <cell r="I6833">
            <v>0.72333333333333327</v>
          </cell>
          <cell r="J6833">
            <v>25.695555555555554</v>
          </cell>
        </row>
        <row r="6834">
          <cell r="B6834">
            <v>31.48</v>
          </cell>
          <cell r="C6834">
            <v>59.76</v>
          </cell>
          <cell r="D6834">
            <v>18.11</v>
          </cell>
          <cell r="E6834">
            <v>7.38</v>
          </cell>
          <cell r="H6834">
            <v>45576</v>
          </cell>
          <cell r="I6834">
            <v>0.72111111111111104</v>
          </cell>
          <cell r="J6834">
            <v>26.218888888888884</v>
          </cell>
        </row>
        <row r="6835">
          <cell r="B6835">
            <v>30.35</v>
          </cell>
          <cell r="C6835">
            <v>60.54</v>
          </cell>
          <cell r="D6835">
            <v>18.62</v>
          </cell>
          <cell r="E6835">
            <v>7.49</v>
          </cell>
          <cell r="H6835">
            <v>45576</v>
          </cell>
          <cell r="I6835">
            <v>0.72111111111111104</v>
          </cell>
          <cell r="J6835">
            <v>26.59</v>
          </cell>
        </row>
        <row r="6836">
          <cell r="B6836">
            <v>32.39</v>
          </cell>
          <cell r="C6836">
            <v>64.12</v>
          </cell>
          <cell r="D6836">
            <v>19.649999999999999</v>
          </cell>
          <cell r="E6836">
            <v>7.32</v>
          </cell>
          <cell r="H6836">
            <v>45576</v>
          </cell>
          <cell r="I6836">
            <v>0.73111111111111116</v>
          </cell>
          <cell r="J6836">
            <v>26.587777777777774</v>
          </cell>
        </row>
        <row r="6837">
          <cell r="B6837">
            <v>33.42</v>
          </cell>
          <cell r="C6837">
            <v>66.61</v>
          </cell>
          <cell r="D6837">
            <v>18.559999999999999</v>
          </cell>
          <cell r="E6837">
            <v>7.17</v>
          </cell>
          <cell r="H6837">
            <v>45576</v>
          </cell>
          <cell r="I6837">
            <v>0.73888888888888893</v>
          </cell>
          <cell r="J6837">
            <v>26.375555555555557</v>
          </cell>
        </row>
        <row r="6838">
          <cell r="B6838">
            <v>31.34</v>
          </cell>
          <cell r="C6838">
            <v>60.63</v>
          </cell>
          <cell r="D6838">
            <v>19</v>
          </cell>
          <cell r="E6838">
            <v>7.95</v>
          </cell>
          <cell r="H6838">
            <v>45576</v>
          </cell>
          <cell r="I6838">
            <v>0.74555555555555542</v>
          </cell>
          <cell r="J6838">
            <v>26.03222222222222</v>
          </cell>
        </row>
        <row r="6839">
          <cell r="B6839">
            <v>26.26</v>
          </cell>
          <cell r="C6839">
            <v>54.82</v>
          </cell>
          <cell r="D6839">
            <v>19.03</v>
          </cell>
          <cell r="E6839">
            <v>7.97</v>
          </cell>
          <cell r="H6839">
            <v>45576</v>
          </cell>
          <cell r="I6839">
            <v>0.75222222222222213</v>
          </cell>
          <cell r="J6839">
            <v>25.456666666666667</v>
          </cell>
        </row>
        <row r="6840">
          <cell r="B6840">
            <v>21.23</v>
          </cell>
          <cell r="C6840">
            <v>45.63</v>
          </cell>
          <cell r="D6840">
            <v>18.829999999999998</v>
          </cell>
          <cell r="E6840">
            <v>7.78</v>
          </cell>
          <cell r="H6840">
            <v>45576</v>
          </cell>
          <cell r="I6840">
            <v>0.74555555555555553</v>
          </cell>
          <cell r="J6840">
            <v>24.774444444444448</v>
          </cell>
        </row>
        <row r="6841">
          <cell r="B6841">
            <v>18</v>
          </cell>
          <cell r="C6841">
            <v>39.96</v>
          </cell>
          <cell r="D6841">
            <v>17.8</v>
          </cell>
          <cell r="E6841">
            <v>7.97</v>
          </cell>
          <cell r="H6841">
            <v>45576</v>
          </cell>
          <cell r="I6841">
            <v>0.73555555555555552</v>
          </cell>
          <cell r="J6841">
            <v>24.252222222222226</v>
          </cell>
        </row>
        <row r="6842">
          <cell r="B6842">
            <v>16.329999999999998</v>
          </cell>
          <cell r="C6842">
            <v>33.78</v>
          </cell>
          <cell r="D6842">
            <v>17.600000000000001</v>
          </cell>
          <cell r="E6842">
            <v>7.29</v>
          </cell>
          <cell r="H6842">
            <v>45577</v>
          </cell>
          <cell r="I6842">
            <v>0.72111111111111115</v>
          </cell>
          <cell r="J6842">
            <v>23.84</v>
          </cell>
        </row>
        <row r="6843">
          <cell r="B6843">
            <v>14.94</v>
          </cell>
          <cell r="C6843">
            <v>89.58</v>
          </cell>
          <cell r="D6843">
            <v>17.21</v>
          </cell>
          <cell r="E6843">
            <v>7.08</v>
          </cell>
          <cell r="H6843">
            <v>45577</v>
          </cell>
          <cell r="I6843">
            <v>0.70666666666666655</v>
          </cell>
          <cell r="J6843">
            <v>23.414444444444442</v>
          </cell>
        </row>
        <row r="6844">
          <cell r="B6844">
            <v>13.7</v>
          </cell>
          <cell r="C6844">
            <v>65.81</v>
          </cell>
          <cell r="D6844">
            <v>16.89</v>
          </cell>
          <cell r="E6844">
            <v>6.76</v>
          </cell>
          <cell r="H6844">
            <v>45577</v>
          </cell>
          <cell r="I6844">
            <v>0.68555555555555558</v>
          </cell>
          <cell r="J6844">
            <v>23.11</v>
          </cell>
        </row>
        <row r="6845">
          <cell r="B6845">
            <v>13.31</v>
          </cell>
          <cell r="C6845">
            <v>43.12</v>
          </cell>
          <cell r="D6845">
            <v>17.16</v>
          </cell>
          <cell r="E6845">
            <v>6.92</v>
          </cell>
          <cell r="H6845">
            <v>45577</v>
          </cell>
          <cell r="I6845">
            <v>0.65888888888888897</v>
          </cell>
          <cell r="J6845">
            <v>23.13111111111111</v>
          </cell>
        </row>
        <row r="6846">
          <cell r="B6846">
            <v>13.07</v>
          </cell>
          <cell r="C6846">
            <v>31.3</v>
          </cell>
          <cell r="D6846">
            <v>16.98</v>
          </cell>
          <cell r="E6846">
            <v>7</v>
          </cell>
          <cell r="H6846">
            <v>45577</v>
          </cell>
          <cell r="I6846">
            <v>0.63777777777777789</v>
          </cell>
          <cell r="J6846">
            <v>23.126666666666665</v>
          </cell>
        </row>
        <row r="6847">
          <cell r="B6847">
            <v>13.24</v>
          </cell>
          <cell r="C6847">
            <v>28.46</v>
          </cell>
          <cell r="D6847">
            <v>17.579999999999998</v>
          </cell>
          <cell r="E6847">
            <v>7.26</v>
          </cell>
          <cell r="H6847">
            <v>45577</v>
          </cell>
          <cell r="I6847">
            <v>0.62555555555555553</v>
          </cell>
          <cell r="J6847">
            <v>23.134444444444441</v>
          </cell>
        </row>
        <row r="6848">
          <cell r="B6848">
            <v>15.76</v>
          </cell>
          <cell r="C6848">
            <v>30.6</v>
          </cell>
          <cell r="D6848">
            <v>17.809999999999999</v>
          </cell>
          <cell r="E6848">
            <v>7.1</v>
          </cell>
          <cell r="H6848">
            <v>45577</v>
          </cell>
          <cell r="I6848">
            <v>0.61777777777777787</v>
          </cell>
          <cell r="J6848">
            <v>23.154444444444444</v>
          </cell>
        </row>
        <row r="6849">
          <cell r="B6849">
            <v>20.45</v>
          </cell>
          <cell r="C6849">
            <v>37.090000000000003</v>
          </cell>
          <cell r="D6849">
            <v>17.53</v>
          </cell>
          <cell r="E6849">
            <v>7.02</v>
          </cell>
          <cell r="H6849">
            <v>45577</v>
          </cell>
          <cell r="I6849">
            <v>0.62111111111111106</v>
          </cell>
          <cell r="J6849">
            <v>23.213333333333335</v>
          </cell>
        </row>
        <row r="6850">
          <cell r="B6850">
            <v>21.76</v>
          </cell>
          <cell r="C6850">
            <v>39.14</v>
          </cell>
          <cell r="D6850">
            <v>17.63</v>
          </cell>
          <cell r="E6850">
            <v>7.14</v>
          </cell>
          <cell r="H6850">
            <v>45577</v>
          </cell>
          <cell r="I6850">
            <v>0.62222222222222223</v>
          </cell>
          <cell r="J6850">
            <v>23.262222222222224</v>
          </cell>
        </row>
        <row r="6851">
          <cell r="B6851">
            <v>21.06</v>
          </cell>
          <cell r="C6851">
            <v>34.26</v>
          </cell>
          <cell r="D6851">
            <v>17.350000000000001</v>
          </cell>
          <cell r="E6851">
            <v>6.97</v>
          </cell>
          <cell r="H6851">
            <v>45577</v>
          </cell>
          <cell r="I6851">
            <v>0.62777777777777777</v>
          </cell>
          <cell r="J6851">
            <v>23.394444444444446</v>
          </cell>
        </row>
        <row r="6852">
          <cell r="B6852">
            <v>22.71</v>
          </cell>
          <cell r="C6852">
            <v>35.94</v>
          </cell>
          <cell r="D6852">
            <v>17.95</v>
          </cell>
          <cell r="E6852">
            <v>7.03</v>
          </cell>
          <cell r="H6852">
            <v>45577</v>
          </cell>
          <cell r="I6852">
            <v>0.63888888888888873</v>
          </cell>
          <cell r="J6852">
            <v>23.50333333333333</v>
          </cell>
        </row>
        <row r="6853">
          <cell r="B6853">
            <v>20.53</v>
          </cell>
          <cell r="C6853">
            <v>37.25</v>
          </cell>
          <cell r="D6853">
            <v>17.91</v>
          </cell>
          <cell r="E6853">
            <v>7.38</v>
          </cell>
          <cell r="H6853">
            <v>45577</v>
          </cell>
          <cell r="I6853">
            <v>0.64888888888888885</v>
          </cell>
          <cell r="J6853">
            <v>23.568888888888885</v>
          </cell>
        </row>
        <row r="6854">
          <cell r="B6854">
            <v>17.739999999999998</v>
          </cell>
          <cell r="C6854">
            <v>38.26</v>
          </cell>
          <cell r="D6854">
            <v>18.32</v>
          </cell>
          <cell r="E6854">
            <v>7.39</v>
          </cell>
          <cell r="H6854">
            <v>45577</v>
          </cell>
          <cell r="I6854">
            <v>0.65888888888888886</v>
          </cell>
          <cell r="J6854">
            <v>23.619999999999997</v>
          </cell>
        </row>
        <row r="6855">
          <cell r="B6855">
            <v>17.010000000000002</v>
          </cell>
          <cell r="C6855">
            <v>39.130000000000003</v>
          </cell>
          <cell r="D6855">
            <v>18.23</v>
          </cell>
          <cell r="E6855">
            <v>7.45</v>
          </cell>
          <cell r="H6855">
            <v>45577</v>
          </cell>
          <cell r="I6855">
            <v>0.67222222222222217</v>
          </cell>
          <cell r="J6855">
            <v>23.634444444444448</v>
          </cell>
        </row>
        <row r="6856">
          <cell r="B6856">
            <v>18.02</v>
          </cell>
          <cell r="C6856">
            <v>38.299999999999997</v>
          </cell>
          <cell r="D6856">
            <v>17.940000000000001</v>
          </cell>
          <cell r="E6856">
            <v>7.26</v>
          </cell>
          <cell r="H6856">
            <v>45577</v>
          </cell>
          <cell r="I6856">
            <v>0.67555555555555558</v>
          </cell>
          <cell r="J6856">
            <v>23.757777777777775</v>
          </cell>
        </row>
        <row r="6857">
          <cell r="B6857">
            <v>15.18</v>
          </cell>
          <cell r="C6857">
            <v>33.130000000000003</v>
          </cell>
          <cell r="D6857">
            <v>18.34</v>
          </cell>
          <cell r="E6857">
            <v>7.13</v>
          </cell>
          <cell r="H6857">
            <v>45577</v>
          </cell>
          <cell r="I6857">
            <v>0.68222222222222217</v>
          </cell>
          <cell r="J6857">
            <v>23.78777777777778</v>
          </cell>
        </row>
        <row r="6858">
          <cell r="B6858">
            <v>15.23</v>
          </cell>
          <cell r="C6858">
            <v>32.17</v>
          </cell>
          <cell r="D6858">
            <v>18.690000000000001</v>
          </cell>
          <cell r="E6858">
            <v>7.12</v>
          </cell>
          <cell r="H6858">
            <v>45577</v>
          </cell>
          <cell r="I6858">
            <v>0.68666666666666665</v>
          </cell>
          <cell r="J6858">
            <v>23.867777777777782</v>
          </cell>
        </row>
        <row r="6859">
          <cell r="B6859">
            <v>16.170000000000002</v>
          </cell>
          <cell r="C6859">
            <v>32.76</v>
          </cell>
          <cell r="D6859">
            <v>18.5</v>
          </cell>
          <cell r="E6859">
            <v>6.97</v>
          </cell>
          <cell r="H6859">
            <v>45577</v>
          </cell>
          <cell r="I6859">
            <v>0.69666666666666666</v>
          </cell>
          <cell r="J6859">
            <v>23.822222222222219</v>
          </cell>
        </row>
        <row r="6860">
          <cell r="B6860">
            <v>17.010000000000002</v>
          </cell>
          <cell r="C6860">
            <v>33.29</v>
          </cell>
          <cell r="D6860">
            <v>18.52</v>
          </cell>
          <cell r="E6860">
            <v>6.99</v>
          </cell>
          <cell r="H6860">
            <v>45577</v>
          </cell>
          <cell r="I6860">
            <v>0.70666666666666667</v>
          </cell>
          <cell r="J6860">
            <v>23.563333333333333</v>
          </cell>
        </row>
        <row r="6861">
          <cell r="B6861">
            <v>18.2</v>
          </cell>
          <cell r="C6861">
            <v>33.15</v>
          </cell>
          <cell r="D6861">
            <v>19.45</v>
          </cell>
          <cell r="E6861">
            <v>7.18</v>
          </cell>
          <cell r="H6861">
            <v>45577</v>
          </cell>
          <cell r="I6861">
            <v>0.72555555555555573</v>
          </cell>
          <cell r="J6861">
            <v>23.207777777777778</v>
          </cell>
        </row>
        <row r="6862">
          <cell r="B6862">
            <v>20.13</v>
          </cell>
          <cell r="C6862">
            <v>35.130000000000003</v>
          </cell>
          <cell r="D6862">
            <v>19.899999999999999</v>
          </cell>
          <cell r="E6862">
            <v>7.34</v>
          </cell>
          <cell r="H6862">
            <v>45577</v>
          </cell>
          <cell r="I6862">
            <v>0.7400000000000001</v>
          </cell>
          <cell r="J6862">
            <v>22.892222222222227</v>
          </cell>
        </row>
        <row r="6863">
          <cell r="B6863">
            <v>19.600000000000001</v>
          </cell>
          <cell r="C6863">
            <v>34.06</v>
          </cell>
          <cell r="D6863">
            <v>19.010000000000002</v>
          </cell>
          <cell r="E6863">
            <v>7.3</v>
          </cell>
          <cell r="H6863">
            <v>45577</v>
          </cell>
          <cell r="I6863">
            <v>0.75222222222222213</v>
          </cell>
          <cell r="J6863">
            <v>22.605555555555554</v>
          </cell>
        </row>
        <row r="6864">
          <cell r="B6864">
            <v>16.97</v>
          </cell>
          <cell r="C6864">
            <v>33.21</v>
          </cell>
          <cell r="D6864">
            <v>18.61</v>
          </cell>
          <cell r="E6864">
            <v>6.9</v>
          </cell>
          <cell r="H6864">
            <v>45577</v>
          </cell>
          <cell r="I6864">
            <v>0.75111111111111106</v>
          </cell>
          <cell r="J6864">
            <v>22.408888888888889</v>
          </cell>
        </row>
        <row r="6865">
          <cell r="B6865">
            <v>16.2</v>
          </cell>
          <cell r="C6865">
            <v>30.32</v>
          </cell>
          <cell r="D6865">
            <v>18.21</v>
          </cell>
          <cell r="E6865">
            <v>7.02</v>
          </cell>
          <cell r="H6865">
            <v>45577</v>
          </cell>
          <cell r="I6865">
            <v>0.74777777777777765</v>
          </cell>
          <cell r="J6865">
            <v>22.201111111111111</v>
          </cell>
        </row>
        <row r="6866">
          <cell r="B6866">
            <v>15.83</v>
          </cell>
          <cell r="C6866">
            <v>29.39</v>
          </cell>
          <cell r="D6866">
            <v>17.690000000000001</v>
          </cell>
          <cell r="E6866">
            <v>7.07</v>
          </cell>
          <cell r="H6866">
            <v>45578</v>
          </cell>
          <cell r="I6866">
            <v>0.73888888888888882</v>
          </cell>
          <cell r="J6866">
            <v>22.203333333333333</v>
          </cell>
        </row>
        <row r="6867">
          <cell r="B6867">
            <v>14.65</v>
          </cell>
          <cell r="C6867">
            <v>27.69</v>
          </cell>
          <cell r="D6867">
            <v>17.440000000000001</v>
          </cell>
          <cell r="E6867">
            <v>7.24</v>
          </cell>
          <cell r="H6867">
            <v>45578</v>
          </cell>
          <cell r="I6867">
            <v>0.72666666666666679</v>
          </cell>
          <cell r="J6867">
            <v>22.14</v>
          </cell>
        </row>
        <row r="6868">
          <cell r="B6868">
            <v>13.84</v>
          </cell>
          <cell r="C6868">
            <v>25.88</v>
          </cell>
          <cell r="D6868">
            <v>17.37</v>
          </cell>
          <cell r="E6868">
            <v>7.12</v>
          </cell>
          <cell r="H6868">
            <v>45578</v>
          </cell>
          <cell r="I6868">
            <v>0.71111111111111114</v>
          </cell>
          <cell r="J6868">
            <v>22.148888888888891</v>
          </cell>
        </row>
        <row r="6869">
          <cell r="B6869">
            <v>13.24</v>
          </cell>
          <cell r="C6869">
            <v>24.96</v>
          </cell>
          <cell r="D6869">
            <v>16.84</v>
          </cell>
          <cell r="E6869">
            <v>7</v>
          </cell>
          <cell r="H6869">
            <v>45578</v>
          </cell>
          <cell r="I6869">
            <v>0.69</v>
          </cell>
          <cell r="J6869">
            <v>22.231111111111112</v>
          </cell>
        </row>
        <row r="6870">
          <cell r="B6870">
            <v>13.92</v>
          </cell>
          <cell r="C6870">
            <v>24.89</v>
          </cell>
          <cell r="D6870">
            <v>16.940000000000001</v>
          </cell>
          <cell r="E6870">
            <v>6.97</v>
          </cell>
          <cell r="H6870">
            <v>45578</v>
          </cell>
          <cell r="I6870">
            <v>0.66333333333333333</v>
          </cell>
          <cell r="J6870">
            <v>22.306666666666665</v>
          </cell>
        </row>
        <row r="6871">
          <cell r="B6871">
            <v>13.47</v>
          </cell>
          <cell r="C6871">
            <v>24.26</v>
          </cell>
          <cell r="D6871">
            <v>17.32</v>
          </cell>
          <cell r="E6871">
            <v>7.26</v>
          </cell>
          <cell r="H6871">
            <v>45578</v>
          </cell>
          <cell r="I6871">
            <v>0.64666666666666661</v>
          </cell>
          <cell r="J6871">
            <v>22.397777777777783</v>
          </cell>
        </row>
        <row r="6872">
          <cell r="B6872">
            <v>13.71</v>
          </cell>
          <cell r="C6872">
            <v>24.67</v>
          </cell>
          <cell r="D6872">
            <v>17.05</v>
          </cell>
          <cell r="E6872">
            <v>7.21</v>
          </cell>
          <cell r="H6872">
            <v>45578</v>
          </cell>
          <cell r="I6872">
            <v>0.6333333333333333</v>
          </cell>
          <cell r="J6872">
            <v>22.413333333333334</v>
          </cell>
        </row>
        <row r="6873">
          <cell r="B6873">
            <v>14.96</v>
          </cell>
          <cell r="C6873">
            <v>27.18</v>
          </cell>
          <cell r="D6873">
            <v>16.63</v>
          </cell>
          <cell r="E6873">
            <v>6.96</v>
          </cell>
          <cell r="H6873">
            <v>45578</v>
          </cell>
          <cell r="I6873">
            <v>0.62888888888888894</v>
          </cell>
          <cell r="J6873">
            <v>22.415555555555557</v>
          </cell>
        </row>
        <row r="6874">
          <cell r="B6874">
            <v>16.170000000000002</v>
          </cell>
          <cell r="C6874">
            <v>29.73</v>
          </cell>
          <cell r="D6874">
            <v>16.14</v>
          </cell>
          <cell r="E6874">
            <v>6.95</v>
          </cell>
          <cell r="H6874">
            <v>45578</v>
          </cell>
          <cell r="I6874">
            <v>0.63333333333333341</v>
          </cell>
          <cell r="J6874">
            <v>22.41888888888889</v>
          </cell>
        </row>
        <row r="6875">
          <cell r="B6875">
            <v>17.28</v>
          </cell>
          <cell r="C6875">
            <v>30.47</v>
          </cell>
          <cell r="D6875">
            <v>16.13</v>
          </cell>
          <cell r="E6875">
            <v>7.09</v>
          </cell>
          <cell r="H6875">
            <v>45578</v>
          </cell>
          <cell r="I6875">
            <v>0.64222222222222225</v>
          </cell>
          <cell r="J6875">
            <v>22.392222222222223</v>
          </cell>
        </row>
        <row r="6876">
          <cell r="B6876">
            <v>17.350000000000001</v>
          </cell>
          <cell r="C6876">
            <v>30.36</v>
          </cell>
          <cell r="D6876">
            <v>16.579999999999998</v>
          </cell>
          <cell r="E6876">
            <v>7.22</v>
          </cell>
          <cell r="H6876">
            <v>45578</v>
          </cell>
          <cell r="I6876">
            <v>0.64999999999999991</v>
          </cell>
          <cell r="J6876">
            <v>22.412222222222223</v>
          </cell>
        </row>
        <row r="6877">
          <cell r="B6877">
            <v>16.53</v>
          </cell>
          <cell r="C6877">
            <v>33.69</v>
          </cell>
          <cell r="D6877">
            <v>16.34</v>
          </cell>
          <cell r="E6877">
            <v>7.34</v>
          </cell>
          <cell r="H6877">
            <v>45578</v>
          </cell>
          <cell r="I6877">
            <v>0.65777777777777779</v>
          </cell>
          <cell r="J6877">
            <v>22.488888888888887</v>
          </cell>
        </row>
        <row r="6878">
          <cell r="B6878">
            <v>15.71</v>
          </cell>
          <cell r="C6878">
            <v>33.06</v>
          </cell>
          <cell r="D6878">
            <v>16.649999999999999</v>
          </cell>
          <cell r="E6878">
            <v>7.36</v>
          </cell>
          <cell r="H6878">
            <v>45578</v>
          </cell>
          <cell r="I6878">
            <v>0.6644444444444445</v>
          </cell>
          <cell r="J6878">
            <v>22.65</v>
          </cell>
        </row>
        <row r="6879">
          <cell r="B6879">
            <v>16.21</v>
          </cell>
          <cell r="C6879">
            <v>32.93</v>
          </cell>
          <cell r="D6879">
            <v>16.940000000000001</v>
          </cell>
          <cell r="E6879">
            <v>7.44</v>
          </cell>
          <cell r="H6879">
            <v>45578</v>
          </cell>
          <cell r="I6879">
            <v>0.6677777777777778</v>
          </cell>
          <cell r="J6879">
            <v>22.851111111111109</v>
          </cell>
        </row>
        <row r="6880">
          <cell r="B6880">
            <v>15.32</v>
          </cell>
          <cell r="C6880">
            <v>34.93</v>
          </cell>
          <cell r="D6880">
            <v>17.059999999999999</v>
          </cell>
          <cell r="E6880">
            <v>7.56</v>
          </cell>
          <cell r="H6880">
            <v>45578</v>
          </cell>
          <cell r="I6880">
            <v>0.67333333333333334</v>
          </cell>
          <cell r="J6880">
            <v>23.008888888888887</v>
          </cell>
        </row>
        <row r="6881">
          <cell r="B6881">
            <v>14.48</v>
          </cell>
          <cell r="C6881">
            <v>34.130000000000003</v>
          </cell>
          <cell r="D6881">
            <v>16.91</v>
          </cell>
          <cell r="E6881">
            <v>7.14</v>
          </cell>
          <cell r="H6881">
            <v>45578</v>
          </cell>
          <cell r="I6881">
            <v>0.67666666666666664</v>
          </cell>
          <cell r="J6881">
            <v>23.242222222222217</v>
          </cell>
        </row>
        <row r="6882">
          <cell r="B6882">
            <v>13.8</v>
          </cell>
          <cell r="C6882">
            <v>31.8</v>
          </cell>
          <cell r="D6882">
            <v>16.809999999999999</v>
          </cell>
          <cell r="E6882">
            <v>6.97</v>
          </cell>
          <cell r="H6882">
            <v>45578</v>
          </cell>
          <cell r="I6882">
            <v>0.68555555555555558</v>
          </cell>
          <cell r="J6882">
            <v>23.452222222222222</v>
          </cell>
        </row>
        <row r="6883">
          <cell r="B6883">
            <v>13.86</v>
          </cell>
          <cell r="C6883">
            <v>32.74</v>
          </cell>
          <cell r="D6883">
            <v>17.2</v>
          </cell>
          <cell r="E6883">
            <v>6.99</v>
          </cell>
          <cell r="H6883">
            <v>45578</v>
          </cell>
          <cell r="I6883">
            <v>0.69111111111111123</v>
          </cell>
          <cell r="J6883">
            <v>23.512222222222224</v>
          </cell>
        </row>
        <row r="6884">
          <cell r="B6884">
            <v>16.05</v>
          </cell>
          <cell r="C6884">
            <v>37.31</v>
          </cell>
          <cell r="D6884">
            <v>17.86</v>
          </cell>
          <cell r="E6884">
            <v>6.73</v>
          </cell>
          <cell r="H6884">
            <v>45578</v>
          </cell>
          <cell r="I6884">
            <v>0.70444444444444443</v>
          </cell>
          <cell r="J6884">
            <v>23.47</v>
          </cell>
        </row>
        <row r="6885">
          <cell r="B6885">
            <v>18.760000000000002</v>
          </cell>
          <cell r="C6885">
            <v>36.159999999999997</v>
          </cell>
          <cell r="D6885">
            <v>16.63</v>
          </cell>
          <cell r="E6885">
            <v>6.89</v>
          </cell>
          <cell r="H6885">
            <v>45578</v>
          </cell>
          <cell r="I6885">
            <v>0.71000000000000008</v>
          </cell>
          <cell r="J6885">
            <v>23.397777777777776</v>
          </cell>
        </row>
        <row r="6886">
          <cell r="B6886">
            <v>17.760000000000002</v>
          </cell>
          <cell r="C6886">
            <v>34.78</v>
          </cell>
          <cell r="D6886">
            <v>16.579999999999998</v>
          </cell>
          <cell r="E6886">
            <v>6.94</v>
          </cell>
          <cell r="H6886">
            <v>45578</v>
          </cell>
          <cell r="I6886">
            <v>0.71333333333333337</v>
          </cell>
          <cell r="J6886">
            <v>23.285555555555554</v>
          </cell>
        </row>
        <row r="6887">
          <cell r="B6887">
            <v>16.86</v>
          </cell>
          <cell r="C6887">
            <v>32.06</v>
          </cell>
          <cell r="D6887">
            <v>16.600000000000001</v>
          </cell>
          <cell r="E6887">
            <v>6.77</v>
          </cell>
          <cell r="H6887">
            <v>45578</v>
          </cell>
          <cell r="I6887">
            <v>0.72222222222222221</v>
          </cell>
          <cell r="J6887">
            <v>23.094444444444445</v>
          </cell>
        </row>
        <row r="6888">
          <cell r="B6888">
            <v>15.82</v>
          </cell>
          <cell r="C6888">
            <v>30.8</v>
          </cell>
          <cell r="D6888">
            <v>17.03</v>
          </cell>
          <cell r="E6888">
            <v>6.77</v>
          </cell>
          <cell r="H6888">
            <v>45578</v>
          </cell>
          <cell r="I6888">
            <v>0.73111111111111116</v>
          </cell>
          <cell r="J6888">
            <v>22.858888888888892</v>
          </cell>
        </row>
        <row r="6889">
          <cell r="B6889">
            <v>15.85</v>
          </cell>
          <cell r="C6889">
            <v>31.82</v>
          </cell>
          <cell r="D6889">
            <v>16.46</v>
          </cell>
          <cell r="E6889">
            <v>6.78</v>
          </cell>
          <cell r="H6889">
            <v>45578</v>
          </cell>
          <cell r="I6889">
            <v>0.72555555555555562</v>
          </cell>
          <cell r="J6889">
            <v>22.711111111111112</v>
          </cell>
        </row>
        <row r="6890">
          <cell r="B6890">
            <v>14.89</v>
          </cell>
          <cell r="C6890">
            <v>31.11</v>
          </cell>
          <cell r="D6890">
            <v>15.88</v>
          </cell>
          <cell r="E6890">
            <v>6.69</v>
          </cell>
          <cell r="H6890">
            <v>45579</v>
          </cell>
          <cell r="I6890">
            <v>0.71666666666666667</v>
          </cell>
          <cell r="J6890">
            <v>22.565555555555555</v>
          </cell>
        </row>
        <row r="6891">
          <cell r="B6891">
            <v>15.29</v>
          </cell>
          <cell r="C6891">
            <v>30.66</v>
          </cell>
          <cell r="D6891">
            <v>14.96</v>
          </cell>
          <cell r="E6891">
            <v>6.8</v>
          </cell>
          <cell r="H6891">
            <v>45579</v>
          </cell>
          <cell r="I6891">
            <v>0.69888888888888878</v>
          </cell>
          <cell r="J6891">
            <v>22.507777777777775</v>
          </cell>
        </row>
        <row r="6892">
          <cell r="B6892">
            <v>16.54</v>
          </cell>
          <cell r="C6892">
            <v>30.14</v>
          </cell>
          <cell r="D6892">
            <v>15.27</v>
          </cell>
          <cell r="E6892">
            <v>6.99</v>
          </cell>
          <cell r="H6892">
            <v>45579</v>
          </cell>
          <cell r="I6892">
            <v>0.67444444444444451</v>
          </cell>
          <cell r="J6892">
            <v>22.548888888888886</v>
          </cell>
        </row>
        <row r="6893">
          <cell r="B6893">
            <v>14.84</v>
          </cell>
          <cell r="C6893">
            <v>29.03</v>
          </cell>
          <cell r="D6893">
            <v>14.19</v>
          </cell>
          <cell r="E6893">
            <v>5.66</v>
          </cell>
          <cell r="H6893">
            <v>45579</v>
          </cell>
          <cell r="I6893">
            <v>0.64</v>
          </cell>
          <cell r="J6893">
            <v>22.704444444444444</v>
          </cell>
        </row>
        <row r="6894">
          <cell r="B6894">
            <v>12.55</v>
          </cell>
          <cell r="C6894">
            <v>25.63</v>
          </cell>
          <cell r="D6894">
            <v>15.25</v>
          </cell>
          <cell r="E6894">
            <v>6.8</v>
          </cell>
          <cell r="H6894">
            <v>45579</v>
          </cell>
          <cell r="I6894">
            <v>0.61888888888888882</v>
          </cell>
          <cell r="J6894">
            <v>22.89222222222222</v>
          </cell>
        </row>
        <row r="6895">
          <cell r="B6895">
            <v>11.98</v>
          </cell>
          <cell r="C6895">
            <v>24.58</v>
          </cell>
          <cell r="D6895">
            <v>15.47</v>
          </cell>
          <cell r="E6895">
            <v>6.99</v>
          </cell>
          <cell r="H6895">
            <v>45579</v>
          </cell>
          <cell r="I6895">
            <v>0.60333333333333339</v>
          </cell>
          <cell r="J6895">
            <v>22.967777777777783</v>
          </cell>
        </row>
        <row r="6896">
          <cell r="B6896">
            <v>13.25</v>
          </cell>
          <cell r="C6896">
            <v>27.44</v>
          </cell>
          <cell r="D6896">
            <v>15.23</v>
          </cell>
          <cell r="E6896">
            <v>6.86</v>
          </cell>
          <cell r="H6896">
            <v>45579</v>
          </cell>
          <cell r="I6896">
            <v>0.59111111111111114</v>
          </cell>
          <cell r="J6896">
            <v>22.956666666666667</v>
          </cell>
        </row>
        <row r="6897">
          <cell r="B6897">
            <v>16.149999999999999</v>
          </cell>
          <cell r="C6897">
            <v>30.73</v>
          </cell>
          <cell r="D6897">
            <v>16.52</v>
          </cell>
          <cell r="E6897">
            <v>6.96</v>
          </cell>
          <cell r="H6897">
            <v>45579</v>
          </cell>
          <cell r="I6897">
            <v>0.5988888888888888</v>
          </cell>
          <cell r="J6897">
            <v>22.93</v>
          </cell>
        </row>
        <row r="6898">
          <cell r="B6898">
            <v>21.27</v>
          </cell>
          <cell r="C6898">
            <v>34.57</v>
          </cell>
          <cell r="D6898">
            <v>17.05</v>
          </cell>
          <cell r="E6898">
            <v>7.13</v>
          </cell>
          <cell r="H6898">
            <v>45579</v>
          </cell>
          <cell r="I6898">
            <v>0.6333333333333333</v>
          </cell>
          <cell r="J6898">
            <v>22.832222222222224</v>
          </cell>
        </row>
        <row r="6899">
          <cell r="B6899">
            <v>24.25</v>
          </cell>
          <cell r="C6899">
            <v>36.729999999999997</v>
          </cell>
          <cell r="D6899">
            <v>17.55</v>
          </cell>
          <cell r="E6899">
            <v>7.6</v>
          </cell>
          <cell r="H6899">
            <v>45579</v>
          </cell>
          <cell r="I6899">
            <v>0.68111111111111122</v>
          </cell>
          <cell r="J6899">
            <v>22.756666666666668</v>
          </cell>
        </row>
        <row r="6900">
          <cell r="B6900">
            <v>22.62</v>
          </cell>
          <cell r="C6900">
            <v>34.22</v>
          </cell>
          <cell r="D6900">
            <v>17.53</v>
          </cell>
          <cell r="E6900">
            <v>7.66</v>
          </cell>
          <cell r="H6900">
            <v>45579</v>
          </cell>
          <cell r="I6900">
            <v>0.72888888888888892</v>
          </cell>
          <cell r="J6900">
            <v>22.634444444444441</v>
          </cell>
        </row>
        <row r="6901">
          <cell r="B6901">
            <v>20.49</v>
          </cell>
          <cell r="C6901">
            <v>33.840000000000003</v>
          </cell>
          <cell r="D6901">
            <v>16.89</v>
          </cell>
          <cell r="E6901">
            <v>8.01</v>
          </cell>
          <cell r="H6901">
            <v>45579</v>
          </cell>
          <cell r="I6901">
            <v>0.7711111111111113</v>
          </cell>
          <cell r="J6901">
            <v>22.602222222222224</v>
          </cell>
        </row>
        <row r="6902">
          <cell r="B6902">
            <v>15.99</v>
          </cell>
          <cell r="C6902">
            <v>34.369999999999997</v>
          </cell>
          <cell r="D6902">
            <v>16.03</v>
          </cell>
          <cell r="E6902">
            <v>7.92</v>
          </cell>
          <cell r="H6902">
            <v>45579</v>
          </cell>
          <cell r="I6902">
            <v>0.80111111111111122</v>
          </cell>
          <cell r="J6902">
            <v>22.644444444444442</v>
          </cell>
        </row>
        <row r="6903">
          <cell r="B6903">
            <v>15.35</v>
          </cell>
          <cell r="C6903">
            <v>42.01</v>
          </cell>
          <cell r="D6903">
            <v>16.62</v>
          </cell>
          <cell r="E6903">
            <v>7.85</v>
          </cell>
          <cell r="H6903">
            <v>45579</v>
          </cell>
          <cell r="I6903">
            <v>0.83111111111111113</v>
          </cell>
          <cell r="J6903">
            <v>22.595555555555556</v>
          </cell>
        </row>
        <row r="6904">
          <cell r="B6904">
            <v>16.399999999999999</v>
          </cell>
          <cell r="C6904">
            <v>41.45</v>
          </cell>
          <cell r="D6904">
            <v>16.510000000000002</v>
          </cell>
          <cell r="E6904">
            <v>7.84</v>
          </cell>
          <cell r="H6904">
            <v>45579</v>
          </cell>
          <cell r="I6904">
            <v>0.85222222222222233</v>
          </cell>
          <cell r="J6904">
            <v>22.644444444444442</v>
          </cell>
        </row>
        <row r="6905">
          <cell r="B6905">
            <v>17.02</v>
          </cell>
          <cell r="C6905">
            <v>42.79</v>
          </cell>
          <cell r="D6905">
            <v>17.46</v>
          </cell>
          <cell r="E6905">
            <v>7.88</v>
          </cell>
          <cell r="H6905">
            <v>45579</v>
          </cell>
          <cell r="I6905">
            <v>0.86555555555555563</v>
          </cell>
          <cell r="J6905">
            <v>22.795555555555556</v>
          </cell>
        </row>
        <row r="6906">
          <cell r="B6906">
            <v>15.38</v>
          </cell>
          <cell r="C6906">
            <v>40.32</v>
          </cell>
          <cell r="D6906">
            <v>17.350000000000001</v>
          </cell>
          <cell r="E6906">
            <v>7.59</v>
          </cell>
          <cell r="H6906">
            <v>45579</v>
          </cell>
          <cell r="I6906">
            <v>0.86</v>
          </cell>
          <cell r="J6906">
            <v>22.975555555555555</v>
          </cell>
        </row>
        <row r="6907">
          <cell r="B6907">
            <v>15.84</v>
          </cell>
          <cell r="C6907">
            <v>42.71</v>
          </cell>
          <cell r="D6907">
            <v>17.989999999999998</v>
          </cell>
          <cell r="E6907">
            <v>7.54</v>
          </cell>
          <cell r="H6907">
            <v>45579</v>
          </cell>
          <cell r="I6907">
            <v>0.84333333333333327</v>
          </cell>
          <cell r="J6907">
            <v>23.115555555555556</v>
          </cell>
        </row>
        <row r="6908">
          <cell r="B6908">
            <v>15.96</v>
          </cell>
          <cell r="C6908">
            <v>41.1</v>
          </cell>
          <cell r="D6908">
            <v>17.510000000000002</v>
          </cell>
          <cell r="E6908">
            <v>7.36</v>
          </cell>
          <cell r="H6908">
            <v>45579</v>
          </cell>
          <cell r="I6908">
            <v>0.82111111111111112</v>
          </cell>
          <cell r="J6908">
            <v>23.166666666666668</v>
          </cell>
        </row>
        <row r="6909">
          <cell r="B6909">
            <v>17.09</v>
          </cell>
          <cell r="C6909">
            <v>41.66</v>
          </cell>
          <cell r="D6909">
            <v>17.68</v>
          </cell>
          <cell r="E6909">
            <v>7.43</v>
          </cell>
          <cell r="H6909">
            <v>45579</v>
          </cell>
          <cell r="I6909">
            <v>0.80888888888888877</v>
          </cell>
          <cell r="J6909">
            <v>23.137777777777778</v>
          </cell>
        </row>
        <row r="6910">
          <cell r="B6910">
            <v>17.510000000000002</v>
          </cell>
          <cell r="C6910">
            <v>42.49</v>
          </cell>
          <cell r="D6910">
            <v>18.16</v>
          </cell>
          <cell r="E6910">
            <v>7.43</v>
          </cell>
          <cell r="H6910">
            <v>45579</v>
          </cell>
          <cell r="I6910">
            <v>0.80666666666666664</v>
          </cell>
          <cell r="J6910">
            <v>22.944444444444443</v>
          </cell>
        </row>
        <row r="6911">
          <cell r="B6911">
            <v>17.5</v>
          </cell>
          <cell r="C6911">
            <v>42.88</v>
          </cell>
          <cell r="D6911">
            <v>18.27</v>
          </cell>
          <cell r="E6911">
            <v>7.55</v>
          </cell>
          <cell r="H6911">
            <v>45579</v>
          </cell>
          <cell r="I6911">
            <v>0.81222222222222218</v>
          </cell>
          <cell r="J6911">
            <v>22.634444444444444</v>
          </cell>
        </row>
        <row r="6912">
          <cell r="B6912">
            <v>16.149999999999999</v>
          </cell>
          <cell r="C6912">
            <v>36.44</v>
          </cell>
          <cell r="D6912">
            <v>18.05</v>
          </cell>
          <cell r="E6912">
            <v>7.34</v>
          </cell>
          <cell r="H6912">
            <v>45579</v>
          </cell>
          <cell r="I6912">
            <v>0.80888888888888877</v>
          </cell>
          <cell r="J6912">
            <v>22.426666666666662</v>
          </cell>
        </row>
        <row r="6913">
          <cell r="B6913">
            <v>15.82</v>
          </cell>
          <cell r="C6913">
            <v>32.64</v>
          </cell>
          <cell r="D6913">
            <v>18.46</v>
          </cell>
          <cell r="E6913">
            <v>7.28</v>
          </cell>
          <cell r="H6913">
            <v>45579</v>
          </cell>
          <cell r="I6913">
            <v>0.80444444444444441</v>
          </cell>
          <cell r="J6913">
            <v>22.172222222222224</v>
          </cell>
        </row>
        <row r="6914">
          <cell r="B6914">
            <v>14.1</v>
          </cell>
          <cell r="C6914">
            <v>28.33</v>
          </cell>
          <cell r="D6914">
            <v>18.350000000000001</v>
          </cell>
          <cell r="E6914">
            <v>7.08</v>
          </cell>
          <cell r="H6914">
            <v>45580</v>
          </cell>
          <cell r="I6914">
            <v>0.7911111111111111</v>
          </cell>
          <cell r="J6914">
            <v>21.898888888888887</v>
          </cell>
        </row>
        <row r="6915">
          <cell r="B6915">
            <v>13.12</v>
          </cell>
          <cell r="C6915">
            <v>26.54</v>
          </cell>
          <cell r="D6915">
            <v>17.98</v>
          </cell>
          <cell r="E6915">
            <v>6.89</v>
          </cell>
          <cell r="H6915">
            <v>45580</v>
          </cell>
          <cell r="I6915">
            <v>0.77888888888888885</v>
          </cell>
          <cell r="J6915">
            <v>21.724444444444444</v>
          </cell>
        </row>
        <row r="6916">
          <cell r="B6916">
            <v>13.16</v>
          </cell>
          <cell r="C6916">
            <v>26.49</v>
          </cell>
          <cell r="D6916">
            <v>17.96</v>
          </cell>
          <cell r="E6916">
            <v>6.86</v>
          </cell>
          <cell r="H6916">
            <v>45580</v>
          </cell>
          <cell r="I6916">
            <v>0.75888888888888895</v>
          </cell>
          <cell r="J6916">
            <v>21.642222222222227</v>
          </cell>
        </row>
        <row r="6917">
          <cell r="B6917">
            <v>12.3</v>
          </cell>
          <cell r="C6917">
            <v>24.31</v>
          </cell>
          <cell r="D6917">
            <v>17.989999999999998</v>
          </cell>
          <cell r="E6917">
            <v>6.8</v>
          </cell>
          <cell r="H6917">
            <v>45580</v>
          </cell>
          <cell r="I6917">
            <v>0.73555555555555552</v>
          </cell>
          <cell r="J6917">
            <v>21.534444444444446</v>
          </cell>
        </row>
        <row r="6918">
          <cell r="B6918">
            <v>12.64</v>
          </cell>
          <cell r="C6918">
            <v>25.65</v>
          </cell>
          <cell r="D6918">
            <v>17.89</v>
          </cell>
          <cell r="E6918">
            <v>6.77</v>
          </cell>
          <cell r="H6918">
            <v>45580</v>
          </cell>
          <cell r="I6918">
            <v>0.70555555555555549</v>
          </cell>
          <cell r="J6918">
            <v>21.475555555555555</v>
          </cell>
        </row>
        <row r="6919">
          <cell r="B6919">
            <v>12.14</v>
          </cell>
          <cell r="C6919">
            <v>26.55</v>
          </cell>
          <cell r="D6919">
            <v>17.170000000000002</v>
          </cell>
          <cell r="E6919">
            <v>6.79</v>
          </cell>
          <cell r="H6919">
            <v>45580</v>
          </cell>
          <cell r="I6919">
            <v>0.68222222222222217</v>
          </cell>
          <cell r="J6919">
            <v>21.53777777777778</v>
          </cell>
        </row>
        <row r="6920">
          <cell r="B6920">
            <v>14.31</v>
          </cell>
          <cell r="C6920">
            <v>29.81</v>
          </cell>
          <cell r="D6920">
            <v>17.57</v>
          </cell>
          <cell r="E6920">
            <v>7.07</v>
          </cell>
          <cell r="H6920">
            <v>45580</v>
          </cell>
          <cell r="I6920">
            <v>0.66666666666666663</v>
          </cell>
          <cell r="J6920">
            <v>21.598888888888894</v>
          </cell>
        </row>
        <row r="6921">
          <cell r="B6921">
            <v>14.89</v>
          </cell>
          <cell r="C6921">
            <v>33.79</v>
          </cell>
          <cell r="D6921">
            <v>17.75</v>
          </cell>
          <cell r="E6921">
            <v>7.25</v>
          </cell>
          <cell r="H6921">
            <v>45580</v>
          </cell>
          <cell r="I6921">
            <v>0.66666666666666674</v>
          </cell>
          <cell r="J6921">
            <v>21.536666666666672</v>
          </cell>
        </row>
        <row r="6922">
          <cell r="B6922">
            <v>15.14</v>
          </cell>
          <cell r="C6922">
            <v>36.72</v>
          </cell>
          <cell r="D6922">
            <v>18.41</v>
          </cell>
          <cell r="E6922">
            <v>6.88</v>
          </cell>
          <cell r="H6922">
            <v>45580</v>
          </cell>
          <cell r="I6922">
            <v>0.67777777777777781</v>
          </cell>
          <cell r="J6922">
            <v>21.464444444444446</v>
          </cell>
        </row>
        <row r="6923">
          <cell r="B6923">
            <v>14.61</v>
          </cell>
          <cell r="C6923">
            <v>31.14</v>
          </cell>
          <cell r="D6923">
            <v>18.82</v>
          </cell>
          <cell r="E6923">
            <v>7.22</v>
          </cell>
          <cell r="H6923">
            <v>45580</v>
          </cell>
          <cell r="I6923">
            <v>0.698888888888889</v>
          </cell>
          <cell r="J6923">
            <v>21.431111111111115</v>
          </cell>
        </row>
        <row r="6924">
          <cell r="B6924">
            <v>13.78</v>
          </cell>
          <cell r="C6924">
            <v>29.73</v>
          </cell>
          <cell r="D6924">
            <v>18.25</v>
          </cell>
          <cell r="E6924">
            <v>8</v>
          </cell>
          <cell r="H6924">
            <v>45580</v>
          </cell>
          <cell r="I6924">
            <v>0.72222222222222221</v>
          </cell>
          <cell r="J6924">
            <v>21.333333333333332</v>
          </cell>
        </row>
        <row r="6925">
          <cell r="B6925">
            <v>13.2</v>
          </cell>
          <cell r="C6925">
            <v>29.7</v>
          </cell>
          <cell r="D6925">
            <v>17.899999999999999</v>
          </cell>
          <cell r="E6925">
            <v>7.11</v>
          </cell>
          <cell r="H6925">
            <v>45580</v>
          </cell>
          <cell r="I6925">
            <v>0.73333333333333339</v>
          </cell>
          <cell r="J6925">
            <v>20.83</v>
          </cell>
        </row>
        <row r="6926">
          <cell r="B6926">
            <v>11.87</v>
          </cell>
          <cell r="C6926">
            <v>28.33</v>
          </cell>
          <cell r="D6926">
            <v>17.45</v>
          </cell>
          <cell r="E6926">
            <v>7.1</v>
          </cell>
          <cell r="H6926">
            <v>45580</v>
          </cell>
          <cell r="I6926">
            <v>0.73333333333333328</v>
          </cell>
          <cell r="J6926">
            <v>21.459999999999997</v>
          </cell>
        </row>
        <row r="6927">
          <cell r="B6927">
            <v>11.82</v>
          </cell>
          <cell r="C6927">
            <v>21.7</v>
          </cell>
          <cell r="D6927">
            <v>17.14</v>
          </cell>
          <cell r="E6927">
            <v>6.86</v>
          </cell>
          <cell r="H6927">
            <v>45580</v>
          </cell>
          <cell r="I6927">
            <v>0.74111111111111105</v>
          </cell>
          <cell r="J6927">
            <v>21.972222222222221</v>
          </cell>
        </row>
        <row r="6928">
          <cell r="B6928">
            <v>13.3</v>
          </cell>
          <cell r="C6928">
            <v>21.59</v>
          </cell>
          <cell r="D6928">
            <v>18.2</v>
          </cell>
          <cell r="E6928">
            <v>7.45</v>
          </cell>
          <cell r="H6928">
            <v>45580</v>
          </cell>
          <cell r="I6928">
            <v>0.74888888888888894</v>
          </cell>
          <cell r="J6928">
            <v>21.593333333333334</v>
          </cell>
        </row>
        <row r="6929">
          <cell r="B6929">
            <v>15.79</v>
          </cell>
          <cell r="C6929">
            <v>25.37</v>
          </cell>
          <cell r="D6929">
            <v>18.46</v>
          </cell>
          <cell r="E6929">
            <v>7.52</v>
          </cell>
          <cell r="H6929">
            <v>45580</v>
          </cell>
          <cell r="I6929">
            <v>0.75000000000000011</v>
          </cell>
          <cell r="J6929">
            <v>21.177777777777777</v>
          </cell>
        </row>
        <row r="6930">
          <cell r="B6930">
            <v>15.88</v>
          </cell>
          <cell r="C6930">
            <v>28.71</v>
          </cell>
          <cell r="D6930">
            <v>18.059999999999999</v>
          </cell>
          <cell r="E6930">
            <v>7.35</v>
          </cell>
          <cell r="H6930">
            <v>45580</v>
          </cell>
          <cell r="I6930">
            <v>0.74333333333333329</v>
          </cell>
          <cell r="J6930">
            <v>20.824444444444445</v>
          </cell>
        </row>
        <row r="6931">
          <cell r="B6931">
            <v>14.49</v>
          </cell>
          <cell r="C6931">
            <v>30</v>
          </cell>
          <cell r="D6931">
            <v>20.399999999999999</v>
          </cell>
          <cell r="E6931">
            <v>7.03</v>
          </cell>
          <cell r="H6931">
            <v>45580</v>
          </cell>
          <cell r="I6931">
            <v>0.73999999999999988</v>
          </cell>
          <cell r="J6931">
            <v>20.408888888888889</v>
          </cell>
        </row>
        <row r="6932">
          <cell r="B6932">
            <v>15.34</v>
          </cell>
          <cell r="C6932">
            <v>34.659999999999997</v>
          </cell>
          <cell r="D6932">
            <v>18.690000000000001</v>
          </cell>
          <cell r="E6932">
            <v>6.81</v>
          </cell>
          <cell r="H6932">
            <v>45580</v>
          </cell>
          <cell r="I6932">
            <v>0.74555555555555564</v>
          </cell>
          <cell r="J6932">
            <v>19.908888888888889</v>
          </cell>
        </row>
        <row r="6933">
          <cell r="B6933">
            <v>18.010000000000002</v>
          </cell>
          <cell r="C6933">
            <v>35.770000000000003</v>
          </cell>
          <cell r="D6933">
            <v>19.260000000000002</v>
          </cell>
          <cell r="E6933">
            <v>7.04</v>
          </cell>
          <cell r="H6933">
            <v>45580</v>
          </cell>
          <cell r="I6933">
            <v>0.76444444444444437</v>
          </cell>
          <cell r="J6933">
            <v>19.355555555555558</v>
          </cell>
        </row>
        <row r="6934">
          <cell r="B6934">
            <v>21.05</v>
          </cell>
          <cell r="C6934">
            <v>37.200000000000003</v>
          </cell>
          <cell r="D6934">
            <v>20.149999999999999</v>
          </cell>
          <cell r="E6934">
            <v>7.18</v>
          </cell>
          <cell r="H6934">
            <v>45580</v>
          </cell>
          <cell r="I6934">
            <v>0.80555555555555558</v>
          </cell>
          <cell r="J6934">
            <v>19.166666666666668</v>
          </cell>
        </row>
        <row r="6935">
          <cell r="B6935">
            <v>22.01</v>
          </cell>
          <cell r="C6935">
            <v>38.450000000000003</v>
          </cell>
          <cell r="D6935">
            <v>20.29</v>
          </cell>
          <cell r="E6935">
            <v>7.15</v>
          </cell>
          <cell r="H6935">
            <v>45580</v>
          </cell>
          <cell r="I6935">
            <v>0.87444444444444436</v>
          </cell>
          <cell r="J6935">
            <v>17.905555555555555</v>
          </cell>
        </row>
        <row r="6936">
          <cell r="B6936">
            <v>25.42</v>
          </cell>
          <cell r="C6936">
            <v>42.37</v>
          </cell>
          <cell r="D6936">
            <v>21.48</v>
          </cell>
          <cell r="E6936">
            <v>7.43</v>
          </cell>
          <cell r="H6936">
            <v>45580</v>
          </cell>
          <cell r="I6936">
            <v>0.94</v>
          </cell>
          <cell r="J6936">
            <v>16.783333333333335</v>
          </cell>
        </row>
        <row r="6937">
          <cell r="B6937">
            <v>23.71</v>
          </cell>
          <cell r="C6937">
            <v>42.31</v>
          </cell>
          <cell r="D6937">
            <v>21.61</v>
          </cell>
          <cell r="E6937">
            <v>7.23</v>
          </cell>
          <cell r="H6937">
            <v>45580</v>
          </cell>
          <cell r="I6937">
            <v>0.98222222222222222</v>
          </cell>
          <cell r="J6937">
            <v>16.521111111111111</v>
          </cell>
        </row>
        <row r="6938">
          <cell r="B6938">
            <v>22.17</v>
          </cell>
          <cell r="C6938">
            <v>40.82</v>
          </cell>
          <cell r="D6938">
            <v>21.11</v>
          </cell>
          <cell r="E6938">
            <v>7.32</v>
          </cell>
          <cell r="H6938">
            <v>45581</v>
          </cell>
          <cell r="I6938">
            <v>1.01</v>
          </cell>
          <cell r="J6938">
            <v>16.514444444444443</v>
          </cell>
        </row>
        <row r="6939">
          <cell r="B6939">
            <v>22</v>
          </cell>
          <cell r="C6939">
            <v>38.26</v>
          </cell>
          <cell r="D6939">
            <v>21.38</v>
          </cell>
          <cell r="E6939">
            <v>7.03</v>
          </cell>
          <cell r="H6939">
            <v>45581</v>
          </cell>
          <cell r="I6939">
            <v>1.0133333333333332</v>
          </cell>
          <cell r="J6939">
            <v>16.335555555555558</v>
          </cell>
        </row>
        <row r="6940">
          <cell r="B6940">
            <v>17.77</v>
          </cell>
          <cell r="C6940">
            <v>32.15</v>
          </cell>
          <cell r="D6940">
            <v>20.41</v>
          </cell>
          <cell r="E6940">
            <v>6.68</v>
          </cell>
          <cell r="H6940">
            <v>45581</v>
          </cell>
          <cell r="I6940">
            <v>0.99444444444444435</v>
          </cell>
          <cell r="J6940">
            <v>16.327777777777779</v>
          </cell>
        </row>
        <row r="6941">
          <cell r="B6941">
            <v>14.58</v>
          </cell>
          <cell r="C6941">
            <v>30.95</v>
          </cell>
          <cell r="D6941">
            <v>19.78</v>
          </cell>
          <cell r="E6941">
            <v>6.47</v>
          </cell>
          <cell r="H6941">
            <v>45581</v>
          </cell>
          <cell r="I6941">
            <v>0.96888888888888891</v>
          </cell>
          <cell r="J6941">
            <v>16.43888888888889</v>
          </cell>
        </row>
        <row r="6942">
          <cell r="B6942">
            <v>13.51</v>
          </cell>
          <cell r="C6942">
            <v>28.65</v>
          </cell>
          <cell r="D6942">
            <v>19.95</v>
          </cell>
          <cell r="E6942">
            <v>6.49</v>
          </cell>
          <cell r="H6942">
            <v>45581</v>
          </cell>
          <cell r="I6942">
            <v>0.92666666666666664</v>
          </cell>
          <cell r="J6942">
            <v>16.507777777777775</v>
          </cell>
        </row>
        <row r="6943">
          <cell r="B6943">
            <v>14.24</v>
          </cell>
          <cell r="C6943">
            <v>30.53</v>
          </cell>
          <cell r="D6943">
            <v>19.95</v>
          </cell>
          <cell r="E6943">
            <v>6.51</v>
          </cell>
          <cell r="H6943">
            <v>45581</v>
          </cell>
          <cell r="I6943">
            <v>0.87999999999999989</v>
          </cell>
          <cell r="J6943">
            <v>16.568888888888889</v>
          </cell>
        </row>
        <row r="6944">
          <cell r="B6944">
            <v>15.43</v>
          </cell>
          <cell r="C6944">
            <v>30.07</v>
          </cell>
          <cell r="D6944">
            <v>19.77</v>
          </cell>
          <cell r="E6944">
            <v>6.63</v>
          </cell>
          <cell r="H6944">
            <v>45581</v>
          </cell>
          <cell r="I6944">
            <v>0.82444444444444442</v>
          </cell>
          <cell r="J6944">
            <v>16.583333333333332</v>
          </cell>
        </row>
        <row r="6945">
          <cell r="B6945">
            <v>16.260000000000002</v>
          </cell>
          <cell r="C6945">
            <v>31.58</v>
          </cell>
          <cell r="D6945">
            <v>20.3</v>
          </cell>
          <cell r="E6945">
            <v>6.48</v>
          </cell>
          <cell r="H6945">
            <v>45581</v>
          </cell>
          <cell r="I6945">
            <v>0.77555555555555555</v>
          </cell>
          <cell r="J6945">
            <v>16.592222222222222</v>
          </cell>
        </row>
        <row r="6946">
          <cell r="B6946">
            <v>17.3</v>
          </cell>
          <cell r="C6946">
            <v>33.549999999999997</v>
          </cell>
          <cell r="D6946">
            <v>20.58</v>
          </cell>
          <cell r="E6946">
            <v>6.44</v>
          </cell>
          <cell r="H6946">
            <v>45581</v>
          </cell>
          <cell r="I6946">
            <v>0.74888888888888894</v>
          </cell>
          <cell r="J6946">
            <v>16.673333333333332</v>
          </cell>
        </row>
        <row r="6947">
          <cell r="B6947">
            <v>16.95</v>
          </cell>
          <cell r="C6947">
            <v>33.840000000000003</v>
          </cell>
          <cell r="D6947">
            <v>20.079999999999998</v>
          </cell>
          <cell r="E6947">
            <v>6.46</v>
          </cell>
          <cell r="H6947">
            <v>45581</v>
          </cell>
          <cell r="I6947">
            <v>0.74444444444444435</v>
          </cell>
          <cell r="J6947">
            <v>16.563333333333333</v>
          </cell>
        </row>
        <row r="6948">
          <cell r="B6948">
            <v>15.98</v>
          </cell>
          <cell r="C6948">
            <v>33.22</v>
          </cell>
          <cell r="D6948">
            <v>19.59</v>
          </cell>
          <cell r="E6948">
            <v>6.33</v>
          </cell>
          <cell r="H6948">
            <v>45581</v>
          </cell>
          <cell r="I6948">
            <v>0.7566666666666666</v>
          </cell>
          <cell r="J6948">
            <v>16.63666666666667</v>
          </cell>
        </row>
        <row r="6949">
          <cell r="B6949">
            <v>17.100000000000001</v>
          </cell>
          <cell r="C6949">
            <v>31.34</v>
          </cell>
          <cell r="D6949">
            <v>18.579999999999998</v>
          </cell>
          <cell r="E6949">
            <v>7.19</v>
          </cell>
          <cell r="H6949">
            <v>45581</v>
          </cell>
          <cell r="I6949">
            <v>0.79666666666666663</v>
          </cell>
          <cell r="J6949">
            <v>16.772222222222226</v>
          </cell>
        </row>
        <row r="6950">
          <cell r="B6950">
            <v>17.34</v>
          </cell>
          <cell r="C6950">
            <v>32.35</v>
          </cell>
          <cell r="D6950">
            <v>18.420000000000002</v>
          </cell>
          <cell r="E6950">
            <v>7.27</v>
          </cell>
          <cell r="H6950">
            <v>45581</v>
          </cell>
          <cell r="I6950">
            <v>0.81111111111111101</v>
          </cell>
          <cell r="J6950">
            <v>16.922222222222224</v>
          </cell>
        </row>
        <row r="6951">
          <cell r="B6951">
            <v>15.22</v>
          </cell>
          <cell r="C6951">
            <v>30.16</v>
          </cell>
          <cell r="D6951">
            <v>17.84</v>
          </cell>
          <cell r="E6951">
            <v>7.24</v>
          </cell>
          <cell r="H6951">
            <v>45581</v>
          </cell>
          <cell r="I6951">
            <v>0.82333333333333336</v>
          </cell>
          <cell r="J6951">
            <v>17.161111111111111</v>
          </cell>
        </row>
        <row r="6952">
          <cell r="B6952">
            <v>14.12</v>
          </cell>
          <cell r="C6952">
            <v>31.04</v>
          </cell>
          <cell r="D6952">
            <v>18.53</v>
          </cell>
          <cell r="E6952">
            <v>8.2200000000000006</v>
          </cell>
          <cell r="H6952">
            <v>45581</v>
          </cell>
          <cell r="I6952">
            <v>0.82666666666666666</v>
          </cell>
          <cell r="J6952">
            <v>17.427777777777774</v>
          </cell>
        </row>
        <row r="6953">
          <cell r="B6953">
            <v>14.29</v>
          </cell>
          <cell r="C6953">
            <v>34.19</v>
          </cell>
          <cell r="D6953">
            <v>18.61</v>
          </cell>
          <cell r="E6953">
            <v>6.26</v>
          </cell>
          <cell r="H6953">
            <v>45581</v>
          </cell>
          <cell r="I6953">
            <v>0.82444444444444442</v>
          </cell>
          <cell r="J6953">
            <v>18.39222222222222</v>
          </cell>
        </row>
        <row r="6954">
          <cell r="B6954">
            <v>14.87</v>
          </cell>
          <cell r="C6954">
            <v>33.74</v>
          </cell>
          <cell r="D6954">
            <v>17.73</v>
          </cell>
          <cell r="E6954">
            <v>6.32</v>
          </cell>
          <cell r="H6954">
            <v>45581</v>
          </cell>
          <cell r="I6954">
            <v>0.81555555555555559</v>
          </cell>
          <cell r="J6954">
            <v>19.426666666666666</v>
          </cell>
        </row>
        <row r="6955">
          <cell r="B6955">
            <v>15.79</v>
          </cell>
          <cell r="C6955">
            <v>32.64</v>
          </cell>
          <cell r="D6955">
            <v>18.52</v>
          </cell>
          <cell r="E6955">
            <v>6.49</v>
          </cell>
          <cell r="H6955">
            <v>45581</v>
          </cell>
          <cell r="I6955">
            <v>0.81444444444444442</v>
          </cell>
          <cell r="J6955">
            <v>20.064444444444447</v>
          </cell>
        </row>
        <row r="6956">
          <cell r="B6956">
            <v>16.559999999999999</v>
          </cell>
          <cell r="C6956">
            <v>35.03</v>
          </cell>
          <cell r="D6956">
            <v>18.579999999999998</v>
          </cell>
          <cell r="E6956">
            <v>6.19</v>
          </cell>
          <cell r="H6956">
            <v>45581</v>
          </cell>
          <cell r="I6956">
            <v>0.8222222222222223</v>
          </cell>
          <cell r="J6956">
            <v>20.615555555555556</v>
          </cell>
        </row>
        <row r="6957">
          <cell r="B6957">
            <v>17</v>
          </cell>
          <cell r="C6957">
            <v>36.799999999999997</v>
          </cell>
          <cell r="D6957">
            <v>19.09</v>
          </cell>
          <cell r="E6957">
            <v>6.39</v>
          </cell>
          <cell r="H6957">
            <v>45581</v>
          </cell>
          <cell r="I6957">
            <v>0.84888888888888892</v>
          </cell>
          <cell r="J6957">
            <v>21.155555555555555</v>
          </cell>
        </row>
        <row r="6958">
          <cell r="B6958">
            <v>20.239999999999998</v>
          </cell>
          <cell r="C6958">
            <v>41.24</v>
          </cell>
          <cell r="D6958">
            <v>19.34</v>
          </cell>
          <cell r="E6958">
            <v>6.55</v>
          </cell>
          <cell r="H6958">
            <v>45581</v>
          </cell>
          <cell r="I6958">
            <v>0.86777777777777787</v>
          </cell>
          <cell r="J6958">
            <v>21.528888888888886</v>
          </cell>
        </row>
        <row r="6959">
          <cell r="B6959">
            <v>20.79</v>
          </cell>
          <cell r="C6959">
            <v>42.08</v>
          </cell>
          <cell r="D6959">
            <v>19.37</v>
          </cell>
          <cell r="E6959">
            <v>6.39</v>
          </cell>
          <cell r="H6959">
            <v>45581</v>
          </cell>
          <cell r="I6959">
            <v>0.90000000000000013</v>
          </cell>
          <cell r="J6959">
            <v>21.845555555555553</v>
          </cell>
        </row>
        <row r="6960">
          <cell r="B6960">
            <v>21.89</v>
          </cell>
          <cell r="C6960">
            <v>43.3</v>
          </cell>
          <cell r="D6960">
            <v>19.829999999999998</v>
          </cell>
          <cell r="E6960">
            <v>6.38</v>
          </cell>
          <cell r="H6960">
            <v>45581</v>
          </cell>
          <cell r="I6960">
            <v>0.92111111111111121</v>
          </cell>
          <cell r="J6960">
            <v>22.151111111111113</v>
          </cell>
        </row>
        <row r="6961">
          <cell r="B6961">
            <v>21</v>
          </cell>
          <cell r="C6961">
            <v>37.44</v>
          </cell>
          <cell r="D6961">
            <v>19.510000000000002</v>
          </cell>
          <cell r="E6961">
            <v>6.11</v>
          </cell>
          <cell r="H6961">
            <v>45581</v>
          </cell>
          <cell r="I6961">
            <v>0.92222222222222228</v>
          </cell>
          <cell r="J6961">
            <v>22.446666666666665</v>
          </cell>
        </row>
        <row r="6962">
          <cell r="B6962">
            <v>17.170000000000002</v>
          </cell>
          <cell r="C6962">
            <v>32.42</v>
          </cell>
          <cell r="D6962">
            <v>19.04</v>
          </cell>
          <cell r="E6962">
            <v>6.23</v>
          </cell>
          <cell r="H6962">
            <v>45582</v>
          </cell>
          <cell r="I6962">
            <v>0.90666666666666673</v>
          </cell>
          <cell r="J6962">
            <v>22.068888888888889</v>
          </cell>
        </row>
        <row r="6963">
          <cell r="B6963">
            <v>15.79</v>
          </cell>
          <cell r="C6963">
            <v>30.54</v>
          </cell>
          <cell r="D6963">
            <v>19.46</v>
          </cell>
          <cell r="E6963">
            <v>6.24</v>
          </cell>
          <cell r="H6963">
            <v>45582</v>
          </cell>
          <cell r="I6963">
            <v>0.8866666666666666</v>
          </cell>
          <cell r="J6963">
            <v>21.64</v>
          </cell>
        </row>
        <row r="6964">
          <cell r="B6964">
            <v>13.7</v>
          </cell>
          <cell r="C6964">
            <v>25.01</v>
          </cell>
          <cell r="D6964">
            <v>19.45</v>
          </cell>
          <cell r="E6964">
            <v>6.13</v>
          </cell>
          <cell r="H6964">
            <v>45582</v>
          </cell>
          <cell r="I6964">
            <v>0.85111111111111115</v>
          </cell>
          <cell r="J6964">
            <v>21.571111111111112</v>
          </cell>
        </row>
        <row r="6965">
          <cell r="B6965">
            <v>13.38</v>
          </cell>
          <cell r="C6965">
            <v>25.87</v>
          </cell>
          <cell r="D6965">
            <v>18.440000000000001</v>
          </cell>
          <cell r="E6965">
            <v>5.95</v>
          </cell>
          <cell r="H6965">
            <v>45582</v>
          </cell>
          <cell r="I6965">
            <v>0.80444444444444452</v>
          </cell>
          <cell r="J6965">
            <v>21.533333333333331</v>
          </cell>
        </row>
        <row r="6966">
          <cell r="B6966">
            <v>14.25</v>
          </cell>
          <cell r="C6966">
            <v>28.16</v>
          </cell>
          <cell r="D6966">
            <v>19.34</v>
          </cell>
          <cell r="E6966">
            <v>6.01</v>
          </cell>
          <cell r="H6966">
            <v>45582</v>
          </cell>
          <cell r="I6966">
            <v>0.74555555555555553</v>
          </cell>
          <cell r="J6966">
            <v>21.497777777777777</v>
          </cell>
        </row>
        <row r="6967">
          <cell r="B6967">
            <v>17.12</v>
          </cell>
          <cell r="C6967">
            <v>31.77</v>
          </cell>
          <cell r="D6967">
            <v>19.059999999999999</v>
          </cell>
          <cell r="E6967">
            <v>6.1</v>
          </cell>
          <cell r="H6967">
            <v>45582</v>
          </cell>
          <cell r="I6967">
            <v>0.68777777777777782</v>
          </cell>
          <cell r="J6967">
            <v>21.485555555555557</v>
          </cell>
        </row>
        <row r="6968">
          <cell r="B6968">
            <v>18.21</v>
          </cell>
          <cell r="C6968">
            <v>32.54</v>
          </cell>
          <cell r="D6968">
            <v>19.38</v>
          </cell>
          <cell r="E6968">
            <v>6.07</v>
          </cell>
          <cell r="H6968">
            <v>45582</v>
          </cell>
          <cell r="I6968">
            <v>0.64555555555555555</v>
          </cell>
          <cell r="J6968">
            <v>21.507777777777779</v>
          </cell>
        </row>
        <row r="6969">
          <cell r="B6969">
            <v>18.739999999999998</v>
          </cell>
          <cell r="C6969">
            <v>37.65</v>
          </cell>
          <cell r="D6969">
            <v>19.829999999999998</v>
          </cell>
          <cell r="E6969">
            <v>6.46</v>
          </cell>
          <cell r="H6969">
            <v>45582</v>
          </cell>
          <cell r="I6969">
            <v>0.62111111111111106</v>
          </cell>
          <cell r="J6969">
            <v>21.52</v>
          </cell>
        </row>
        <row r="6970">
          <cell r="B6970">
            <v>17.079999999999998</v>
          </cell>
          <cell r="C6970">
            <v>35.76</v>
          </cell>
          <cell r="D6970">
            <v>18.88</v>
          </cell>
          <cell r="E6970">
            <v>6.4</v>
          </cell>
          <cell r="H6970">
            <v>45582</v>
          </cell>
          <cell r="I6970">
            <v>0.62222222222222223</v>
          </cell>
          <cell r="J6970">
            <v>21.340000000000003</v>
          </cell>
        </row>
        <row r="6971">
          <cell r="B6971">
            <v>16.03</v>
          </cell>
          <cell r="C6971">
            <v>34.01</v>
          </cell>
          <cell r="D6971">
            <v>18.88</v>
          </cell>
          <cell r="E6971">
            <v>6.43</v>
          </cell>
          <cell r="H6971">
            <v>45582</v>
          </cell>
          <cell r="I6971">
            <v>0.64222222222222214</v>
          </cell>
          <cell r="J6971">
            <v>21.228888888888889</v>
          </cell>
        </row>
        <row r="6972">
          <cell r="B6972">
            <v>14.72</v>
          </cell>
          <cell r="C6972">
            <v>35.56</v>
          </cell>
          <cell r="D6972">
            <v>17.11</v>
          </cell>
          <cell r="E6972">
            <v>6.52</v>
          </cell>
          <cell r="H6972">
            <v>45582</v>
          </cell>
          <cell r="I6972">
            <v>0.6677777777777778</v>
          </cell>
          <cell r="J6972">
            <v>21.093333333333334</v>
          </cell>
        </row>
        <row r="6973">
          <cell r="B6973">
            <v>15.93</v>
          </cell>
          <cell r="C6973">
            <v>37.83</v>
          </cell>
          <cell r="D6973">
            <v>16.54</v>
          </cell>
          <cell r="E6973">
            <v>6.7</v>
          </cell>
          <cell r="H6973">
            <v>45582</v>
          </cell>
          <cell r="I6973">
            <v>0.68666666666666654</v>
          </cell>
          <cell r="J6973">
            <v>21.027777777777775</v>
          </cell>
        </row>
        <row r="6974">
          <cell r="B6974">
            <v>15.68</v>
          </cell>
          <cell r="C6974">
            <v>37.75</v>
          </cell>
          <cell r="D6974">
            <v>17.78</v>
          </cell>
          <cell r="E6974">
            <v>6.84</v>
          </cell>
          <cell r="H6974">
            <v>45582</v>
          </cell>
          <cell r="I6974">
            <v>0.68999999999999984</v>
          </cell>
          <cell r="J6974">
            <v>21.066666666666666</v>
          </cell>
        </row>
        <row r="6975">
          <cell r="B6975">
            <v>14.65</v>
          </cell>
          <cell r="C6975">
            <v>38.869999999999997</v>
          </cell>
          <cell r="D6975">
            <v>17.53</v>
          </cell>
          <cell r="E6975">
            <v>7.56</v>
          </cell>
          <cell r="H6975">
            <v>45582</v>
          </cell>
          <cell r="I6975">
            <v>0.69111111111111112</v>
          </cell>
          <cell r="J6975">
            <v>21.19222222222222</v>
          </cell>
        </row>
        <row r="6976">
          <cell r="B6976">
            <v>14.28</v>
          </cell>
          <cell r="C6976">
            <v>36.479999999999997</v>
          </cell>
          <cell r="D6976">
            <v>19.25</v>
          </cell>
          <cell r="E6976">
            <v>6.39</v>
          </cell>
          <cell r="H6976">
            <v>45582</v>
          </cell>
          <cell r="I6976">
            <v>0.68333333333333335</v>
          </cell>
          <cell r="J6976">
            <v>21.367777777777778</v>
          </cell>
        </row>
        <row r="6977">
          <cell r="B6977">
            <v>14.61</v>
          </cell>
          <cell r="C6977">
            <v>38.1</v>
          </cell>
          <cell r="D6977">
            <v>19.440000000000001</v>
          </cell>
          <cell r="E6977">
            <v>6.49</v>
          </cell>
          <cell r="H6977">
            <v>45582</v>
          </cell>
          <cell r="I6977">
            <v>0.67222222222222228</v>
          </cell>
          <cell r="J6977">
            <v>21.527777777777779</v>
          </cell>
        </row>
        <row r="6978">
          <cell r="B6978">
            <v>15.55</v>
          </cell>
          <cell r="C6978">
            <v>38.58</v>
          </cell>
          <cell r="D6978">
            <v>18.78</v>
          </cell>
          <cell r="E6978">
            <v>6.69</v>
          </cell>
          <cell r="H6978">
            <v>45582</v>
          </cell>
          <cell r="I6978">
            <v>0.65333333333333332</v>
          </cell>
          <cell r="J6978">
            <v>21.795555555555556</v>
          </cell>
        </row>
        <row r="6979">
          <cell r="B6979">
            <v>14.63</v>
          </cell>
          <cell r="C6979">
            <v>36.78</v>
          </cell>
          <cell r="D6979">
            <v>18.600000000000001</v>
          </cell>
          <cell r="E6979">
            <v>5.93</v>
          </cell>
          <cell r="H6979">
            <v>45582</v>
          </cell>
          <cell r="I6979">
            <v>0.64111111111111119</v>
          </cell>
          <cell r="J6979">
            <v>22.13</v>
          </cell>
        </row>
        <row r="6980">
          <cell r="B6980">
            <v>14.59</v>
          </cell>
          <cell r="C6980">
            <v>42.39</v>
          </cell>
          <cell r="D6980">
            <v>19.32</v>
          </cell>
          <cell r="E6980">
            <v>6.3</v>
          </cell>
          <cell r="H6980">
            <v>45582</v>
          </cell>
          <cell r="I6980">
            <v>0.65555555555555545</v>
          </cell>
          <cell r="J6980">
            <v>22.226666666666667</v>
          </cell>
        </row>
        <row r="6981">
          <cell r="B6981">
            <v>15.9</v>
          </cell>
          <cell r="C6981">
            <v>44.07</v>
          </cell>
          <cell r="D6981">
            <v>19.850000000000001</v>
          </cell>
          <cell r="E6981">
            <v>6.22</v>
          </cell>
          <cell r="H6981">
            <v>45582</v>
          </cell>
          <cell r="I6981">
            <v>0.65444444444444438</v>
          </cell>
          <cell r="J6981">
            <v>22.24</v>
          </cell>
        </row>
        <row r="6982">
          <cell r="B6982">
            <v>16.05</v>
          </cell>
          <cell r="C6982">
            <v>44.32</v>
          </cell>
          <cell r="D6982">
            <v>20.61</v>
          </cell>
          <cell r="E6982">
            <v>6.28</v>
          </cell>
          <cell r="H6982">
            <v>45582</v>
          </cell>
          <cell r="I6982">
            <v>0.65999999999999992</v>
          </cell>
          <cell r="J6982">
            <v>22.156666666666663</v>
          </cell>
        </row>
        <row r="6983">
          <cell r="B6983">
            <v>17.649999999999999</v>
          </cell>
          <cell r="C6983">
            <v>48.08</v>
          </cell>
          <cell r="D6983">
            <v>20.56</v>
          </cell>
          <cell r="E6983">
            <v>6.55</v>
          </cell>
          <cell r="H6983">
            <v>45582</v>
          </cell>
          <cell r="I6983">
            <v>0.66666666666666663</v>
          </cell>
          <cell r="J6983">
            <v>22.031111111111109</v>
          </cell>
        </row>
        <row r="6984">
          <cell r="B6984">
            <v>17.46</v>
          </cell>
          <cell r="C6984">
            <v>45.69</v>
          </cell>
          <cell r="D6984">
            <v>19.45</v>
          </cell>
          <cell r="E6984">
            <v>6.5</v>
          </cell>
          <cell r="H6984">
            <v>45582</v>
          </cell>
          <cell r="I6984">
            <v>0.6677777777777778</v>
          </cell>
          <cell r="J6984">
            <v>21.907777777777774</v>
          </cell>
        </row>
        <row r="6985">
          <cell r="B6985">
            <v>16.38</v>
          </cell>
          <cell r="C6985">
            <v>41.91</v>
          </cell>
          <cell r="D6985">
            <v>19.89</v>
          </cell>
          <cell r="E6985">
            <v>6.31</v>
          </cell>
          <cell r="H6985">
            <v>45582</v>
          </cell>
          <cell r="I6985">
            <v>0.66666666666666652</v>
          </cell>
          <cell r="J6985">
            <v>21.721111111111107</v>
          </cell>
        </row>
        <row r="6986">
          <cell r="B6986">
            <v>15.68</v>
          </cell>
          <cell r="C6986">
            <v>39.840000000000003</v>
          </cell>
          <cell r="D6986">
            <v>19.84</v>
          </cell>
          <cell r="E6986">
            <v>6.26</v>
          </cell>
          <cell r="H6986">
            <v>45583</v>
          </cell>
          <cell r="I6986">
            <v>0.66111111111111098</v>
          </cell>
          <cell r="J6986">
            <v>21.523333333333333</v>
          </cell>
        </row>
        <row r="6987">
          <cell r="B6987">
            <v>14.35</v>
          </cell>
          <cell r="C6987">
            <v>36.21</v>
          </cell>
          <cell r="D6987">
            <v>19.8</v>
          </cell>
          <cell r="E6987">
            <v>6.64</v>
          </cell>
          <cell r="H6987">
            <v>45583</v>
          </cell>
          <cell r="I6987">
            <v>0.66111111111111109</v>
          </cell>
          <cell r="J6987">
            <v>21.235555555555557</v>
          </cell>
        </row>
        <row r="6988">
          <cell r="B6988">
            <v>14.01</v>
          </cell>
          <cell r="C6988">
            <v>34.78</v>
          </cell>
          <cell r="D6988">
            <v>18.899999999999999</v>
          </cell>
          <cell r="E6988">
            <v>6.69</v>
          </cell>
          <cell r="H6988">
            <v>45583</v>
          </cell>
          <cell r="I6988">
            <v>0.65333333333333343</v>
          </cell>
          <cell r="J6988">
            <v>21.076666666666664</v>
          </cell>
        </row>
        <row r="6989">
          <cell r="B6989">
            <v>13.99</v>
          </cell>
          <cell r="C6989">
            <v>33.97</v>
          </cell>
          <cell r="D6989">
            <v>19.77</v>
          </cell>
          <cell r="E6989">
            <v>7.14</v>
          </cell>
          <cell r="H6989">
            <v>45583</v>
          </cell>
          <cell r="I6989">
            <v>0.61555555555555552</v>
          </cell>
          <cell r="J6989">
            <v>21.113333333333333</v>
          </cell>
        </row>
        <row r="6990">
          <cell r="B6990">
            <v>14.75</v>
          </cell>
          <cell r="C6990">
            <v>35.56</v>
          </cell>
          <cell r="D6990">
            <v>19.329999999999998</v>
          </cell>
          <cell r="E6990">
            <v>7.17</v>
          </cell>
          <cell r="H6990">
            <v>45583</v>
          </cell>
          <cell r="I6990">
            <v>0.58555555555555561</v>
          </cell>
          <cell r="J6990">
            <v>21.206666666666667</v>
          </cell>
        </row>
        <row r="6991">
          <cell r="B6991">
            <v>14.12</v>
          </cell>
          <cell r="C6991">
            <v>34.5</v>
          </cell>
          <cell r="D6991">
            <v>19.21</v>
          </cell>
          <cell r="E6991">
            <v>7.18</v>
          </cell>
          <cell r="H6991">
            <v>45583</v>
          </cell>
          <cell r="I6991">
            <v>0.56333333333333335</v>
          </cell>
          <cell r="J6991">
            <v>21.318888888888893</v>
          </cell>
        </row>
        <row r="6992">
          <cell r="B6992">
            <v>15.62</v>
          </cell>
          <cell r="C6992">
            <v>39.76</v>
          </cell>
          <cell r="D6992">
            <v>19.13</v>
          </cell>
          <cell r="E6992">
            <v>7.54</v>
          </cell>
          <cell r="H6992">
            <v>45583</v>
          </cell>
          <cell r="I6992">
            <v>0.55444444444444452</v>
          </cell>
          <cell r="J6992">
            <v>21.32555555555556</v>
          </cell>
        </row>
        <row r="6993">
          <cell r="B6993">
            <v>18.93</v>
          </cell>
          <cell r="C6993">
            <v>47.17</v>
          </cell>
          <cell r="D6993">
            <v>19.66</v>
          </cell>
          <cell r="E6993">
            <v>7.19</v>
          </cell>
          <cell r="H6993">
            <v>45583</v>
          </cell>
          <cell r="I6993">
            <v>0.55555555555555558</v>
          </cell>
          <cell r="J6993">
            <v>21.276666666666667</v>
          </cell>
        </row>
        <row r="6994">
          <cell r="B6994">
            <v>21.08</v>
          </cell>
          <cell r="C6994">
            <v>53.24</v>
          </cell>
          <cell r="D6994">
            <v>19.59</v>
          </cell>
          <cell r="E6994">
            <v>7.07</v>
          </cell>
          <cell r="H6994">
            <v>45583</v>
          </cell>
          <cell r="I6994">
            <v>0.56555555555555559</v>
          </cell>
          <cell r="J6994">
            <v>21.31111111111111</v>
          </cell>
        </row>
        <row r="6995">
          <cell r="B6995">
            <v>19.63</v>
          </cell>
          <cell r="C6995">
            <v>48.58</v>
          </cell>
          <cell r="D6995">
            <v>19.62</v>
          </cell>
          <cell r="E6995">
            <v>6.9</v>
          </cell>
          <cell r="H6995">
            <v>45583</v>
          </cell>
          <cell r="I6995">
            <v>0.58444444444444443</v>
          </cell>
          <cell r="J6995">
            <v>21.424444444444443</v>
          </cell>
        </row>
        <row r="6996">
          <cell r="B6996">
            <v>17.37</v>
          </cell>
          <cell r="C6996">
            <v>44.98</v>
          </cell>
          <cell r="D6996">
            <v>18.440000000000001</v>
          </cell>
          <cell r="E6996">
            <v>7.38</v>
          </cell>
          <cell r="H6996">
            <v>45583</v>
          </cell>
          <cell r="I6996">
            <v>0.59666666666666657</v>
          </cell>
          <cell r="J6996">
            <v>21.695555555555554</v>
          </cell>
        </row>
        <row r="6997">
          <cell r="B6997">
            <v>14.5</v>
          </cell>
          <cell r="C6997">
            <v>43.87</v>
          </cell>
          <cell r="D6997">
            <v>17.66</v>
          </cell>
          <cell r="E6997">
            <v>7.27</v>
          </cell>
          <cell r="H6997">
            <v>45583</v>
          </cell>
          <cell r="I6997">
            <v>0.60888888888888892</v>
          </cell>
          <cell r="J6997">
            <v>21.943333333333335</v>
          </cell>
        </row>
        <row r="6998">
          <cell r="B6998">
            <v>14.81</v>
          </cell>
          <cell r="C6998">
            <v>42.28</v>
          </cell>
          <cell r="D6998">
            <v>18.84</v>
          </cell>
          <cell r="E6998">
            <v>7.5</v>
          </cell>
          <cell r="H6998">
            <v>45583</v>
          </cell>
          <cell r="I6998">
            <v>0.6133333333333334</v>
          </cell>
          <cell r="J6998">
            <v>22.146666666666665</v>
          </cell>
        </row>
        <row r="6999">
          <cell r="B6999">
            <v>15.01</v>
          </cell>
          <cell r="C6999">
            <v>41.91</v>
          </cell>
          <cell r="D6999">
            <v>18.920000000000002</v>
          </cell>
          <cell r="E6999">
            <v>7.42</v>
          </cell>
          <cell r="H6999">
            <v>45583</v>
          </cell>
          <cell r="I6999">
            <v>0.62333333333333341</v>
          </cell>
          <cell r="J6999">
            <v>22.424444444444443</v>
          </cell>
        </row>
        <row r="7000">
          <cell r="B7000">
            <v>14.82</v>
          </cell>
          <cell r="C7000">
            <v>45.11</v>
          </cell>
          <cell r="D7000">
            <v>19.72</v>
          </cell>
          <cell r="E7000">
            <v>7.58</v>
          </cell>
          <cell r="H7000">
            <v>45583</v>
          </cell>
          <cell r="I7000">
            <v>0.63111111111111107</v>
          </cell>
          <cell r="J7000">
            <v>22.633333333333333</v>
          </cell>
        </row>
        <row r="7001">
          <cell r="B7001">
            <v>14.87</v>
          </cell>
          <cell r="C7001">
            <v>46.31</v>
          </cell>
          <cell r="D7001">
            <v>19.63</v>
          </cell>
          <cell r="E7001">
            <v>7.75</v>
          </cell>
          <cell r="H7001">
            <v>45583</v>
          </cell>
          <cell r="I7001">
            <v>0.63555555555555554</v>
          </cell>
          <cell r="J7001">
            <v>23.066666666666666</v>
          </cell>
        </row>
        <row r="7002">
          <cell r="B7002">
            <v>15.92</v>
          </cell>
          <cell r="C7002">
            <v>45.81</v>
          </cell>
          <cell r="D7002">
            <v>19.59</v>
          </cell>
          <cell r="E7002">
            <v>7.19</v>
          </cell>
          <cell r="H7002">
            <v>45583</v>
          </cell>
          <cell r="I7002">
            <v>0.63888888888888884</v>
          </cell>
          <cell r="J7002">
            <v>23.363333333333333</v>
          </cell>
        </row>
        <row r="7003">
          <cell r="B7003">
            <v>16.95</v>
          </cell>
          <cell r="C7003">
            <v>50.65</v>
          </cell>
          <cell r="D7003">
            <v>20.16</v>
          </cell>
          <cell r="E7003">
            <v>7.24</v>
          </cell>
          <cell r="H7003">
            <v>45583</v>
          </cell>
          <cell r="I7003">
            <v>0.64444444444444438</v>
          </cell>
          <cell r="J7003">
            <v>23.517777777777781</v>
          </cell>
        </row>
        <row r="7004">
          <cell r="B7004">
            <v>19.89</v>
          </cell>
          <cell r="C7004">
            <v>54.04</v>
          </cell>
          <cell r="D7004">
            <v>21.05</v>
          </cell>
          <cell r="E7004">
            <v>7.39</v>
          </cell>
          <cell r="H7004">
            <v>45583</v>
          </cell>
          <cell r="I7004">
            <v>0.65888888888888886</v>
          </cell>
          <cell r="J7004">
            <v>23.447777777777777</v>
          </cell>
        </row>
        <row r="7005">
          <cell r="B7005">
            <v>21.12</v>
          </cell>
          <cell r="C7005">
            <v>58.97</v>
          </cell>
          <cell r="D7005">
            <v>21.83</v>
          </cell>
          <cell r="E7005">
            <v>7.22</v>
          </cell>
          <cell r="H7005">
            <v>45583</v>
          </cell>
          <cell r="I7005">
            <v>0.69444444444444442</v>
          </cell>
          <cell r="J7005">
            <v>23.143333333333334</v>
          </cell>
        </row>
        <row r="7006">
          <cell r="B7006">
            <v>25.24</v>
          </cell>
          <cell r="C7006">
            <v>67.069999999999993</v>
          </cell>
          <cell r="D7006">
            <v>22.45</v>
          </cell>
          <cell r="E7006">
            <v>7.69</v>
          </cell>
          <cell r="H7006">
            <v>45583</v>
          </cell>
          <cell r="I7006">
            <v>0.74777777777777776</v>
          </cell>
          <cell r="J7006">
            <v>22.80777777777778</v>
          </cell>
        </row>
        <row r="7007">
          <cell r="B7007">
            <v>29.63</v>
          </cell>
          <cell r="C7007">
            <v>75.040000000000006</v>
          </cell>
          <cell r="D7007">
            <v>22.38</v>
          </cell>
          <cell r="E7007">
            <v>8.25</v>
          </cell>
          <cell r="H7007">
            <v>45583</v>
          </cell>
          <cell r="I7007">
            <v>0.7944444444444444</v>
          </cell>
          <cell r="J7007">
            <v>22.514444444444443</v>
          </cell>
        </row>
        <row r="7008">
          <cell r="B7008">
            <v>28.81</v>
          </cell>
          <cell r="C7008">
            <v>72.040000000000006</v>
          </cell>
          <cell r="D7008">
            <v>22.69</v>
          </cell>
          <cell r="E7008">
            <v>7.79</v>
          </cell>
          <cell r="H7008">
            <v>45583</v>
          </cell>
          <cell r="I7008">
            <v>0.83111111111111102</v>
          </cell>
          <cell r="J7008">
            <v>22.167777777777779</v>
          </cell>
        </row>
        <row r="7009">
          <cell r="B7009">
            <v>28.19</v>
          </cell>
          <cell r="C7009">
            <v>67.239999999999995</v>
          </cell>
          <cell r="D7009">
            <v>22.43</v>
          </cell>
          <cell r="E7009">
            <v>7.88</v>
          </cell>
          <cell r="H7009">
            <v>45583</v>
          </cell>
          <cell r="I7009">
            <v>0.85777777777777775</v>
          </cell>
          <cell r="J7009">
            <v>21.875555555555557</v>
          </cell>
        </row>
        <row r="7010">
          <cell r="B7010">
            <v>28.28</v>
          </cell>
          <cell r="C7010">
            <v>64.36</v>
          </cell>
          <cell r="D7010">
            <v>21.22</v>
          </cell>
          <cell r="E7010">
            <v>7.54</v>
          </cell>
          <cell r="H7010">
            <v>45584</v>
          </cell>
          <cell r="I7010">
            <v>0.87222222222222223</v>
          </cell>
          <cell r="J7010">
            <v>21.483333333333334</v>
          </cell>
        </row>
        <row r="7011">
          <cell r="B7011">
            <v>24.7</v>
          </cell>
          <cell r="C7011">
            <v>55.2</v>
          </cell>
          <cell r="D7011">
            <v>20.93</v>
          </cell>
          <cell r="E7011">
            <v>7.25</v>
          </cell>
          <cell r="H7011">
            <v>45584</v>
          </cell>
          <cell r="I7011">
            <v>0.86222222222222222</v>
          </cell>
          <cell r="J7011">
            <v>21.328888888888891</v>
          </cell>
        </row>
        <row r="7012">
          <cell r="B7012">
            <v>18.87</v>
          </cell>
          <cell r="C7012">
            <v>41.33</v>
          </cell>
          <cell r="D7012">
            <v>20.41</v>
          </cell>
          <cell r="E7012">
            <v>6.84</v>
          </cell>
          <cell r="H7012">
            <v>45584</v>
          </cell>
          <cell r="I7012">
            <v>0.84444444444444444</v>
          </cell>
          <cell r="J7012">
            <v>21.287777777777777</v>
          </cell>
        </row>
        <row r="7013">
          <cell r="B7013">
            <v>15.56</v>
          </cell>
          <cell r="C7013">
            <v>33.17</v>
          </cell>
          <cell r="D7013">
            <v>20.07</v>
          </cell>
          <cell r="E7013">
            <v>6.84</v>
          </cell>
          <cell r="H7013">
            <v>45584</v>
          </cell>
          <cell r="I7013">
            <v>0.81444444444444442</v>
          </cell>
          <cell r="J7013">
            <v>21.327777777777776</v>
          </cell>
        </row>
        <row r="7014">
          <cell r="B7014">
            <v>14.71</v>
          </cell>
          <cell r="C7014">
            <v>32.590000000000003</v>
          </cell>
          <cell r="D7014">
            <v>19.89</v>
          </cell>
          <cell r="E7014">
            <v>7.12</v>
          </cell>
          <cell r="H7014">
            <v>45584</v>
          </cell>
          <cell r="I7014">
            <v>0.76555555555555554</v>
          </cell>
          <cell r="J7014">
            <v>21.448888888888892</v>
          </cell>
        </row>
        <row r="7015">
          <cell r="B7015">
            <v>15.64</v>
          </cell>
          <cell r="C7015">
            <v>34.4</v>
          </cell>
          <cell r="D7015">
            <v>19.329999999999998</v>
          </cell>
          <cell r="E7015">
            <v>7.3</v>
          </cell>
          <cell r="H7015">
            <v>45584</v>
          </cell>
          <cell r="I7015">
            <v>0.70333333333333337</v>
          </cell>
          <cell r="J7015">
            <v>21.518888888888892</v>
          </cell>
        </row>
        <row r="7016">
          <cell r="B7016">
            <v>16.14</v>
          </cell>
          <cell r="C7016">
            <v>36.659999999999997</v>
          </cell>
          <cell r="D7016">
            <v>19.989999999999998</v>
          </cell>
          <cell r="E7016">
            <v>7.53</v>
          </cell>
          <cell r="H7016">
            <v>45584</v>
          </cell>
          <cell r="I7016">
            <v>0.66111111111111109</v>
          </cell>
          <cell r="J7016">
            <v>21.536666666666669</v>
          </cell>
        </row>
        <row r="7017">
          <cell r="B7017">
            <v>17.57</v>
          </cell>
          <cell r="C7017">
            <v>38.49</v>
          </cell>
          <cell r="D7017">
            <v>20.54</v>
          </cell>
          <cell r="E7017">
            <v>7.01</v>
          </cell>
          <cell r="H7017">
            <v>45584</v>
          </cell>
          <cell r="I7017">
            <v>0.62444444444444447</v>
          </cell>
          <cell r="J7017">
            <v>21.537777777777777</v>
          </cell>
        </row>
        <row r="7018">
          <cell r="B7018">
            <v>20.75</v>
          </cell>
          <cell r="C7018">
            <v>43.46</v>
          </cell>
          <cell r="D7018">
            <v>21.21</v>
          </cell>
          <cell r="E7018">
            <v>7.03</v>
          </cell>
          <cell r="H7018">
            <v>45584</v>
          </cell>
          <cell r="I7018">
            <v>0.60555555555555562</v>
          </cell>
          <cell r="J7018">
            <v>21.586666666666666</v>
          </cell>
        </row>
        <row r="7019">
          <cell r="B7019">
            <v>22.76</v>
          </cell>
          <cell r="C7019">
            <v>48.92</v>
          </cell>
          <cell r="D7019">
            <v>20.64</v>
          </cell>
          <cell r="E7019">
            <v>6.96</v>
          </cell>
          <cell r="H7019">
            <v>45584</v>
          </cell>
          <cell r="I7019">
            <v>0.60777777777777764</v>
          </cell>
          <cell r="J7019">
            <v>21.672222222222224</v>
          </cell>
        </row>
        <row r="7020">
          <cell r="B7020">
            <v>22.97</v>
          </cell>
          <cell r="C7020">
            <v>47.68</v>
          </cell>
          <cell r="D7020">
            <v>18.95</v>
          </cell>
          <cell r="E7020">
            <v>6.62</v>
          </cell>
          <cell r="H7020">
            <v>45584</v>
          </cell>
          <cell r="I7020">
            <v>0.62666666666666659</v>
          </cell>
          <cell r="J7020">
            <v>21.824444444444445</v>
          </cell>
        </row>
        <row r="7021">
          <cell r="B7021">
            <v>20.37</v>
          </cell>
          <cell r="C7021">
            <v>42.58</v>
          </cell>
          <cell r="D7021">
            <v>19.21</v>
          </cell>
          <cell r="E7021">
            <v>6.72</v>
          </cell>
          <cell r="H7021">
            <v>45584</v>
          </cell>
          <cell r="I7021">
            <v>0.64000000000000012</v>
          </cell>
          <cell r="J7021">
            <v>21.888888888888889</v>
          </cell>
        </row>
        <row r="7022">
          <cell r="B7022">
            <v>22.92</v>
          </cell>
          <cell r="C7022">
            <v>45.66</v>
          </cell>
          <cell r="D7022">
            <v>19.38</v>
          </cell>
          <cell r="E7022">
            <v>6.82</v>
          </cell>
          <cell r="H7022">
            <v>45584</v>
          </cell>
          <cell r="I7022">
            <v>0.66222222222222227</v>
          </cell>
          <cell r="J7022">
            <v>22.124444444444443</v>
          </cell>
        </row>
        <row r="7023">
          <cell r="B7023">
            <v>22.37</v>
          </cell>
          <cell r="C7023">
            <v>41.58</v>
          </cell>
          <cell r="D7023">
            <v>21.01</v>
          </cell>
          <cell r="E7023">
            <v>6.91</v>
          </cell>
          <cell r="H7023">
            <v>45584</v>
          </cell>
          <cell r="I7023">
            <v>0.69222222222222229</v>
          </cell>
          <cell r="J7023">
            <v>22.361111111111114</v>
          </cell>
        </row>
        <row r="7024">
          <cell r="B7024">
            <v>19.899999999999999</v>
          </cell>
          <cell r="C7024">
            <v>40.26</v>
          </cell>
          <cell r="D7024">
            <v>21.63</v>
          </cell>
          <cell r="E7024">
            <v>6.94</v>
          </cell>
          <cell r="H7024">
            <v>45584</v>
          </cell>
          <cell r="I7024">
            <v>0.71555555555555561</v>
          </cell>
          <cell r="J7024">
            <v>22.942222222222224</v>
          </cell>
        </row>
        <row r="7025">
          <cell r="B7025">
            <v>19.71</v>
          </cell>
          <cell r="C7025">
            <v>42.56</v>
          </cell>
          <cell r="D7025">
            <v>21.22</v>
          </cell>
          <cell r="E7025">
            <v>7.31</v>
          </cell>
          <cell r="H7025">
            <v>45584</v>
          </cell>
          <cell r="I7025">
            <v>0.72333333333333349</v>
          </cell>
          <cell r="J7025">
            <v>23.735555555555557</v>
          </cell>
        </row>
        <row r="7026">
          <cell r="B7026">
            <v>19.66</v>
          </cell>
          <cell r="C7026">
            <v>43.97</v>
          </cell>
          <cell r="D7026">
            <v>20</v>
          </cell>
          <cell r="E7026">
            <v>7.32</v>
          </cell>
          <cell r="H7026">
            <v>45584</v>
          </cell>
          <cell r="I7026">
            <v>0.72888888888888892</v>
          </cell>
          <cell r="J7026">
            <v>24.533333333333335</v>
          </cell>
        </row>
        <row r="7027">
          <cell r="B7027">
            <v>20.88</v>
          </cell>
          <cell r="C7027">
            <v>46.8</v>
          </cell>
          <cell r="D7027">
            <v>29.57</v>
          </cell>
          <cell r="E7027">
            <v>6.86</v>
          </cell>
          <cell r="H7027">
            <v>45584</v>
          </cell>
          <cell r="I7027">
            <v>0.72777777777777786</v>
          </cell>
          <cell r="J7027">
            <v>24.826666666666668</v>
          </cell>
        </row>
        <row r="7028">
          <cell r="B7028">
            <v>20.5</v>
          </cell>
          <cell r="C7028">
            <v>42.04</v>
          </cell>
          <cell r="D7028">
            <v>25.69</v>
          </cell>
          <cell r="E7028">
            <v>6.9</v>
          </cell>
          <cell r="H7028">
            <v>45584</v>
          </cell>
          <cell r="I7028">
            <v>0.75111111111111106</v>
          </cell>
          <cell r="J7028">
            <v>24.767777777777773</v>
          </cell>
        </row>
        <row r="7029">
          <cell r="B7029">
            <v>21.79</v>
          </cell>
          <cell r="C7029">
            <v>42.86</v>
          </cell>
          <cell r="D7029">
            <v>25.74</v>
          </cell>
          <cell r="E7029">
            <v>7.23</v>
          </cell>
          <cell r="H7029">
            <v>45584</v>
          </cell>
          <cell r="I7029">
            <v>0.7844444444444445</v>
          </cell>
          <cell r="J7029">
            <v>24.443333333333332</v>
          </cell>
        </row>
        <row r="7030">
          <cell r="B7030">
            <v>21.11</v>
          </cell>
          <cell r="C7030">
            <v>40.42</v>
          </cell>
          <cell r="D7030">
            <v>24.83</v>
          </cell>
          <cell r="E7030">
            <v>7.33</v>
          </cell>
          <cell r="H7030">
            <v>45584</v>
          </cell>
          <cell r="I7030">
            <v>0.83444444444444443</v>
          </cell>
          <cell r="J7030">
            <v>24.201111111111111</v>
          </cell>
        </row>
        <row r="7031">
          <cell r="B7031">
            <v>22.06</v>
          </cell>
          <cell r="C7031">
            <v>41.65</v>
          </cell>
          <cell r="D7031">
            <v>24.81</v>
          </cell>
          <cell r="E7031">
            <v>7.44</v>
          </cell>
          <cell r="H7031">
            <v>45584</v>
          </cell>
          <cell r="I7031">
            <v>0.87666666666666659</v>
          </cell>
          <cell r="J7031">
            <v>23.823333333333338</v>
          </cell>
        </row>
        <row r="7032">
          <cell r="B7032">
            <v>21.22</v>
          </cell>
          <cell r="C7032">
            <v>42.64</v>
          </cell>
          <cell r="D7032">
            <v>24.77</v>
          </cell>
          <cell r="E7032">
            <v>7.44</v>
          </cell>
          <cell r="H7032">
            <v>45584</v>
          </cell>
          <cell r="I7032">
            <v>0.91111111111111098</v>
          </cell>
          <cell r="J7032">
            <v>23.452222222222222</v>
          </cell>
        </row>
        <row r="7033">
          <cell r="B7033">
            <v>21.8</v>
          </cell>
          <cell r="C7033">
            <v>41.19</v>
          </cell>
          <cell r="D7033">
            <v>24.28</v>
          </cell>
          <cell r="E7033">
            <v>7.96</v>
          </cell>
          <cell r="H7033">
            <v>45584</v>
          </cell>
          <cell r="I7033">
            <v>0.95111111111111113</v>
          </cell>
          <cell r="J7033">
            <v>22.795555555555559</v>
          </cell>
        </row>
        <row r="7034">
          <cell r="B7034">
            <v>23.87</v>
          </cell>
          <cell r="C7034">
            <v>41.46</v>
          </cell>
          <cell r="D7034">
            <v>24.34</v>
          </cell>
          <cell r="E7034">
            <v>7.07</v>
          </cell>
          <cell r="H7034">
            <v>45585</v>
          </cell>
          <cell r="I7034">
            <v>0.98444444444444434</v>
          </cell>
          <cell r="J7034">
            <v>22.001111111111115</v>
          </cell>
        </row>
        <row r="7035">
          <cell r="B7035">
            <v>23.25</v>
          </cell>
          <cell r="C7035">
            <v>41.97</v>
          </cell>
          <cell r="D7035">
            <v>24.66</v>
          </cell>
          <cell r="E7035">
            <v>5.86</v>
          </cell>
          <cell r="H7035">
            <v>45585</v>
          </cell>
          <cell r="I7035">
            <v>1.0055555555555555</v>
          </cell>
          <cell r="J7035">
            <v>21.193333333333335</v>
          </cell>
        </row>
        <row r="7036">
          <cell r="B7036">
            <v>21.24</v>
          </cell>
          <cell r="C7036">
            <v>40.6</v>
          </cell>
          <cell r="D7036">
            <v>24.46</v>
          </cell>
          <cell r="E7036">
            <v>5.52</v>
          </cell>
          <cell r="H7036">
            <v>45585</v>
          </cell>
          <cell r="I7036">
            <v>1.018888888888889</v>
          </cell>
          <cell r="J7036">
            <v>20.866666666666664</v>
          </cell>
        </row>
        <row r="7037">
          <cell r="B7037">
            <v>21.91</v>
          </cell>
          <cell r="C7037">
            <v>40.24</v>
          </cell>
          <cell r="D7037">
            <v>24.46</v>
          </cell>
          <cell r="E7037">
            <v>5.92</v>
          </cell>
          <cell r="H7037">
            <v>45585</v>
          </cell>
          <cell r="I7037">
            <v>0.99222222222222223</v>
          </cell>
          <cell r="J7037">
            <v>20.808888888888887</v>
          </cell>
        </row>
        <row r="7038">
          <cell r="B7038">
            <v>20.190000000000001</v>
          </cell>
          <cell r="C7038">
            <v>38.479999999999997</v>
          </cell>
          <cell r="D7038">
            <v>24.25</v>
          </cell>
          <cell r="E7038">
            <v>5.89</v>
          </cell>
          <cell r="H7038">
            <v>45585</v>
          </cell>
          <cell r="I7038">
            <v>0.94444444444444464</v>
          </cell>
          <cell r="J7038">
            <v>20.855555555555558</v>
          </cell>
        </row>
        <row r="7039">
          <cell r="B7039">
            <v>15.48</v>
          </cell>
          <cell r="C7039">
            <v>33</v>
          </cell>
          <cell r="D7039">
            <v>24.29</v>
          </cell>
          <cell r="E7039">
            <v>5.39</v>
          </cell>
          <cell r="H7039">
            <v>45585</v>
          </cell>
          <cell r="I7039">
            <v>0.88777777777777778</v>
          </cell>
          <cell r="J7039">
            <v>21.142222222222223</v>
          </cell>
        </row>
        <row r="7040">
          <cell r="B7040">
            <v>14.3</v>
          </cell>
          <cell r="C7040">
            <v>31.47</v>
          </cell>
          <cell r="D7040">
            <v>25.61</v>
          </cell>
          <cell r="E7040">
            <v>5.19</v>
          </cell>
          <cell r="H7040">
            <v>45585</v>
          </cell>
          <cell r="I7040">
            <v>0.82777777777777783</v>
          </cell>
          <cell r="J7040">
            <v>21.37777777777778</v>
          </cell>
        </row>
        <row r="7041">
          <cell r="B7041">
            <v>16.12</v>
          </cell>
          <cell r="C7041">
            <v>30.8</v>
          </cell>
          <cell r="D7041">
            <v>24.17</v>
          </cell>
          <cell r="E7041">
            <v>5.23</v>
          </cell>
          <cell r="H7041">
            <v>45585</v>
          </cell>
          <cell r="I7041">
            <v>0.76999999999999991</v>
          </cell>
          <cell r="J7041">
            <v>21.613333333333333</v>
          </cell>
        </row>
        <row r="7042">
          <cell r="B7042">
            <v>17.010000000000002</v>
          </cell>
          <cell r="C7042">
            <v>33.14</v>
          </cell>
          <cell r="D7042">
            <v>22.66</v>
          </cell>
          <cell r="E7042">
            <v>5.1100000000000003</v>
          </cell>
          <cell r="H7042">
            <v>45585</v>
          </cell>
          <cell r="I7042">
            <v>0.71777777777777763</v>
          </cell>
          <cell r="J7042">
            <v>21.85777777777778</v>
          </cell>
        </row>
        <row r="7043">
          <cell r="B7043">
            <v>17.920000000000002</v>
          </cell>
          <cell r="C7043">
            <v>34.880000000000003</v>
          </cell>
          <cell r="D7043">
            <v>22.43</v>
          </cell>
          <cell r="E7043">
            <v>4.67</v>
          </cell>
          <cell r="H7043">
            <v>45585</v>
          </cell>
          <cell r="I7043">
            <v>0.68666666666666654</v>
          </cell>
          <cell r="J7043">
            <v>22.105555555555558</v>
          </cell>
        </row>
        <row r="7044">
          <cell r="B7044">
            <v>19.25</v>
          </cell>
          <cell r="C7044">
            <v>36.68</v>
          </cell>
          <cell r="D7044">
            <v>20.69</v>
          </cell>
          <cell r="E7044">
            <v>4.95</v>
          </cell>
          <cell r="H7044">
            <v>45585</v>
          </cell>
          <cell r="I7044">
            <v>0.6677777777777778</v>
          </cell>
          <cell r="J7044">
            <v>22.656666666666666</v>
          </cell>
        </row>
        <row r="7045">
          <cell r="B7045">
            <v>18.21</v>
          </cell>
          <cell r="C7045">
            <v>36.979999999999997</v>
          </cell>
          <cell r="D7045">
            <v>20.16</v>
          </cell>
          <cell r="E7045">
            <v>5.34</v>
          </cell>
          <cell r="H7045">
            <v>45585</v>
          </cell>
          <cell r="I7045">
            <v>0.65111111111111108</v>
          </cell>
          <cell r="J7045">
            <v>23.522222222222222</v>
          </cell>
        </row>
        <row r="7046">
          <cell r="B7046">
            <v>21.57</v>
          </cell>
          <cell r="C7046">
            <v>40.450000000000003</v>
          </cell>
          <cell r="D7046">
            <v>19.670000000000002</v>
          </cell>
          <cell r="E7046">
            <v>5.54</v>
          </cell>
          <cell r="H7046">
            <v>45585</v>
          </cell>
          <cell r="I7046">
            <v>0.64666666666666661</v>
          </cell>
          <cell r="J7046">
            <v>24.781111111111109</v>
          </cell>
        </row>
        <row r="7047">
          <cell r="B7047">
            <v>25.92</v>
          </cell>
          <cell r="C7047">
            <v>44.89</v>
          </cell>
          <cell r="D7047">
            <v>19.46</v>
          </cell>
          <cell r="E7047">
            <v>5.79</v>
          </cell>
          <cell r="H7047">
            <v>45585</v>
          </cell>
          <cell r="I7047">
            <v>0.65222222222222226</v>
          </cell>
          <cell r="J7047">
            <v>26.388888888888886</v>
          </cell>
        </row>
        <row r="7048">
          <cell r="B7048">
            <v>25.89</v>
          </cell>
          <cell r="C7048">
            <v>46.37</v>
          </cell>
          <cell r="D7048">
            <v>19.22</v>
          </cell>
          <cell r="E7048">
            <v>5.78</v>
          </cell>
          <cell r="H7048">
            <v>45585</v>
          </cell>
          <cell r="I7048">
            <v>0.65888888888888886</v>
          </cell>
          <cell r="J7048">
            <v>27.521111111111111</v>
          </cell>
        </row>
        <row r="7049">
          <cell r="B7049">
            <v>22.2</v>
          </cell>
          <cell r="C7049">
            <v>45.47</v>
          </cell>
          <cell r="D7049">
            <v>19.78</v>
          </cell>
          <cell r="E7049">
            <v>5.53</v>
          </cell>
          <cell r="H7049">
            <v>45585</v>
          </cell>
          <cell r="I7049">
            <v>0.65666666666666673</v>
          </cell>
          <cell r="J7049">
            <v>28.464444444444446</v>
          </cell>
        </row>
        <row r="7050">
          <cell r="B7050">
            <v>19.079999999999998</v>
          </cell>
          <cell r="C7050">
            <v>39.96</v>
          </cell>
          <cell r="D7050">
            <v>20.79</v>
          </cell>
          <cell r="E7050">
            <v>5.35</v>
          </cell>
          <cell r="H7050">
            <v>45585</v>
          </cell>
          <cell r="I7050">
            <v>0.65666666666666673</v>
          </cell>
          <cell r="J7050">
            <v>29.13111111111111</v>
          </cell>
        </row>
        <row r="7051">
          <cell r="B7051">
            <v>21.83</v>
          </cell>
          <cell r="C7051">
            <v>47.12</v>
          </cell>
          <cell r="D7051">
            <v>19.510000000000002</v>
          </cell>
          <cell r="E7051">
            <v>5.66</v>
          </cell>
          <cell r="H7051">
            <v>45585</v>
          </cell>
          <cell r="I7051">
            <v>0.66555555555555557</v>
          </cell>
          <cell r="J7051">
            <v>29.247777777777781</v>
          </cell>
        </row>
        <row r="7052">
          <cell r="B7052">
            <v>24.55</v>
          </cell>
          <cell r="C7052">
            <v>53.08</v>
          </cell>
          <cell r="D7052">
            <v>20.65</v>
          </cell>
          <cell r="E7052">
            <v>5.72</v>
          </cell>
          <cell r="H7052">
            <v>45585</v>
          </cell>
          <cell r="I7052">
            <v>0.67999999999999994</v>
          </cell>
          <cell r="J7052">
            <v>29.112222222222222</v>
          </cell>
        </row>
        <row r="7053">
          <cell r="B7053">
            <v>26.49</v>
          </cell>
          <cell r="C7053">
            <v>61.05</v>
          </cell>
          <cell r="D7053">
            <v>19.850000000000001</v>
          </cell>
          <cell r="E7053">
            <v>5.51</v>
          </cell>
          <cell r="H7053">
            <v>45585</v>
          </cell>
          <cell r="I7053">
            <v>0.68666666666666665</v>
          </cell>
          <cell r="J7053">
            <v>28.846666666666668</v>
          </cell>
        </row>
        <row r="7054">
          <cell r="B7054">
            <v>25.38</v>
          </cell>
          <cell r="C7054">
            <v>74.13</v>
          </cell>
          <cell r="D7054">
            <v>16.88</v>
          </cell>
          <cell r="E7054">
            <v>5.44</v>
          </cell>
          <cell r="H7054">
            <v>45585</v>
          </cell>
          <cell r="I7054">
            <v>0.69666666666666666</v>
          </cell>
          <cell r="J7054">
            <v>28.007777777777775</v>
          </cell>
        </row>
        <row r="7055">
          <cell r="B7055">
            <v>34.049999999999997</v>
          </cell>
          <cell r="C7055">
            <v>71.290000000000006</v>
          </cell>
          <cell r="D7055">
            <v>18.190000000000001</v>
          </cell>
          <cell r="E7055">
            <v>5.91</v>
          </cell>
          <cell r="H7055">
            <v>45585</v>
          </cell>
          <cell r="I7055">
            <v>0.69777777777777772</v>
          </cell>
          <cell r="J7055">
            <v>26.75</v>
          </cell>
        </row>
        <row r="7056">
          <cell r="B7056">
            <v>35.049999999999997</v>
          </cell>
          <cell r="C7056">
            <v>62.75</v>
          </cell>
          <cell r="D7056">
            <v>17.899999999999999</v>
          </cell>
          <cell r="E7056">
            <v>5.91</v>
          </cell>
          <cell r="H7056">
            <v>45585</v>
          </cell>
          <cell r="I7056">
            <v>0.71444444444444444</v>
          </cell>
          <cell r="J7056">
            <v>25.130000000000003</v>
          </cell>
        </row>
        <row r="7057">
          <cell r="B7057">
            <v>25.35</v>
          </cell>
          <cell r="C7057">
            <v>46.68</v>
          </cell>
          <cell r="D7057">
            <v>16.739999999999998</v>
          </cell>
          <cell r="E7057">
            <v>6.01</v>
          </cell>
          <cell r="H7057">
            <v>45585</v>
          </cell>
          <cell r="I7057">
            <v>0.71111111111111114</v>
          </cell>
          <cell r="J7057">
            <v>23.875555555555554</v>
          </cell>
        </row>
        <row r="7058">
          <cell r="B7058">
            <v>36.049999999999997</v>
          </cell>
          <cell r="C7058">
            <v>48.37</v>
          </cell>
          <cell r="D7058">
            <v>16.72</v>
          </cell>
          <cell r="E7058">
            <v>6.18</v>
          </cell>
          <cell r="H7058">
            <v>45586</v>
          </cell>
          <cell r="I7058">
            <v>0.70777777777777784</v>
          </cell>
          <cell r="J7058">
            <v>22.976666666666663</v>
          </cell>
        </row>
        <row r="7059">
          <cell r="B7059">
            <v>24.23</v>
          </cell>
          <cell r="C7059">
            <v>41.15</v>
          </cell>
          <cell r="D7059">
            <v>17.559999999999999</v>
          </cell>
          <cell r="E7059">
            <v>5.98</v>
          </cell>
          <cell r="H7059">
            <v>45586</v>
          </cell>
          <cell r="I7059">
            <v>0.7022222222222223</v>
          </cell>
          <cell r="J7059">
            <v>22.351111111111109</v>
          </cell>
        </row>
        <row r="7060">
          <cell r="B7060">
            <v>29.77</v>
          </cell>
          <cell r="C7060">
            <v>38.979999999999997</v>
          </cell>
          <cell r="D7060">
            <v>15.9</v>
          </cell>
          <cell r="E7060">
            <v>6.28</v>
          </cell>
          <cell r="H7060">
            <v>45586</v>
          </cell>
          <cell r="I7060">
            <v>0.67888888888888888</v>
          </cell>
          <cell r="J7060">
            <v>22.50888888888889</v>
          </cell>
        </row>
        <row r="7061">
          <cell r="B7061">
            <v>22.59</v>
          </cell>
          <cell r="C7061">
            <v>43.09</v>
          </cell>
          <cell r="D7061">
            <v>16.41</v>
          </cell>
          <cell r="E7061">
            <v>6.2</v>
          </cell>
          <cell r="H7061">
            <v>45586</v>
          </cell>
          <cell r="I7061">
            <v>0.64444444444444438</v>
          </cell>
          <cell r="J7061">
            <v>22.792222222222222</v>
          </cell>
        </row>
        <row r="7062">
          <cell r="B7062">
            <v>35.869999999999997</v>
          </cell>
          <cell r="C7062">
            <v>45.13</v>
          </cell>
          <cell r="D7062">
            <v>16.68</v>
          </cell>
          <cell r="E7062">
            <v>6.34</v>
          </cell>
          <cell r="H7062">
            <v>45586</v>
          </cell>
          <cell r="I7062">
            <v>0.62444444444444447</v>
          </cell>
          <cell r="J7062">
            <v>22.876666666666665</v>
          </cell>
        </row>
        <row r="7063">
          <cell r="B7063">
            <v>23.57</v>
          </cell>
          <cell r="C7063">
            <v>44.47</v>
          </cell>
          <cell r="D7063">
            <v>16.78</v>
          </cell>
          <cell r="E7063">
            <v>6.83</v>
          </cell>
          <cell r="H7063">
            <v>45586</v>
          </cell>
          <cell r="I7063">
            <v>0.60666666666666669</v>
          </cell>
          <cell r="J7063">
            <v>23.124444444444446</v>
          </cell>
        </row>
        <row r="7064">
          <cell r="B7064">
            <v>18.13</v>
          </cell>
          <cell r="C7064">
            <v>36.32</v>
          </cell>
          <cell r="D7064">
            <v>16.8</v>
          </cell>
          <cell r="E7064">
            <v>6.83</v>
          </cell>
          <cell r="H7064">
            <v>45586</v>
          </cell>
          <cell r="I7064">
            <v>0.59666666666666668</v>
          </cell>
          <cell r="J7064">
            <v>23.29</v>
          </cell>
        </row>
        <row r="7065">
          <cell r="B7065">
            <v>18.059999999999999</v>
          </cell>
          <cell r="C7065">
            <v>35.33</v>
          </cell>
          <cell r="D7065">
            <v>17.579999999999998</v>
          </cell>
          <cell r="E7065">
            <v>10.61</v>
          </cell>
          <cell r="H7065">
            <v>45586</v>
          </cell>
          <cell r="I7065">
            <v>0.58777777777777773</v>
          </cell>
          <cell r="J7065">
            <v>23.074444444444438</v>
          </cell>
        </row>
        <row r="7066">
          <cell r="B7066">
            <v>23.24</v>
          </cell>
          <cell r="C7066">
            <v>41.08</v>
          </cell>
          <cell r="D7066">
            <v>17.25</v>
          </cell>
          <cell r="E7066">
            <v>6.94</v>
          </cell>
          <cell r="H7066">
            <v>45586</v>
          </cell>
          <cell r="I7066">
            <v>0.60222222222222221</v>
          </cell>
          <cell r="J7066">
            <v>23.427777777777781</v>
          </cell>
        </row>
        <row r="7067">
          <cell r="B7067">
            <v>24.44</v>
          </cell>
          <cell r="C7067">
            <v>43.71</v>
          </cell>
          <cell r="D7067">
            <v>21.41</v>
          </cell>
          <cell r="E7067">
            <v>6.45</v>
          </cell>
          <cell r="H7067">
            <v>45586</v>
          </cell>
          <cell r="I7067">
            <v>0.63222222222222235</v>
          </cell>
          <cell r="J7067">
            <v>23.197777777777773</v>
          </cell>
        </row>
        <row r="7068">
          <cell r="B7068">
            <v>21.44</v>
          </cell>
          <cell r="C7068">
            <v>40.94</v>
          </cell>
          <cell r="D7068">
            <v>18.440000000000001</v>
          </cell>
          <cell r="E7068">
            <v>6.34</v>
          </cell>
          <cell r="H7068">
            <v>45586</v>
          </cell>
          <cell r="I7068">
            <v>0.66</v>
          </cell>
          <cell r="J7068">
            <v>23.101111111111109</v>
          </cell>
        </row>
        <row r="7069">
          <cell r="B7069">
            <v>18.79</v>
          </cell>
          <cell r="C7069">
            <v>34.71</v>
          </cell>
          <cell r="D7069">
            <v>18.59</v>
          </cell>
          <cell r="E7069">
            <v>6.29</v>
          </cell>
          <cell r="H7069">
            <v>45586</v>
          </cell>
          <cell r="I7069">
            <v>0.67666666666666664</v>
          </cell>
          <cell r="J7069">
            <v>23.286666666666665</v>
          </cell>
        </row>
        <row r="7070">
          <cell r="B7070">
            <v>21.18</v>
          </cell>
          <cell r="C7070">
            <v>40.090000000000003</v>
          </cell>
          <cell r="D7070">
            <v>18.7</v>
          </cell>
          <cell r="E7070">
            <v>6.73</v>
          </cell>
          <cell r="H7070">
            <v>45586</v>
          </cell>
          <cell r="I7070">
            <v>0.698888888888889</v>
          </cell>
          <cell r="J7070">
            <v>23.726666666666667</v>
          </cell>
        </row>
        <row r="7071">
          <cell r="B7071">
            <v>23.03</v>
          </cell>
          <cell r="C7071">
            <v>46.56</v>
          </cell>
          <cell r="D7071">
            <v>19.16</v>
          </cell>
          <cell r="E7071">
            <v>7.34</v>
          </cell>
          <cell r="H7071">
            <v>45586</v>
          </cell>
          <cell r="I7071">
            <v>0.70888888888888901</v>
          </cell>
          <cell r="J7071">
            <v>24.374444444444446</v>
          </cell>
        </row>
        <row r="7072">
          <cell r="B7072">
            <v>21.02</v>
          </cell>
          <cell r="C7072">
            <v>47.58</v>
          </cell>
          <cell r="D7072">
            <v>18.78</v>
          </cell>
          <cell r="E7072">
            <v>7.06</v>
          </cell>
          <cell r="H7072">
            <v>45586</v>
          </cell>
          <cell r="I7072">
            <v>0.71333333333333337</v>
          </cell>
          <cell r="J7072">
            <v>25.142222222222223</v>
          </cell>
        </row>
        <row r="7073">
          <cell r="B7073">
            <v>23.06</v>
          </cell>
          <cell r="C7073">
            <v>48.39</v>
          </cell>
          <cell r="D7073">
            <v>19.149999999999999</v>
          </cell>
          <cell r="E7073">
            <v>7.29</v>
          </cell>
          <cell r="H7073">
            <v>45586</v>
          </cell>
          <cell r="I7073">
            <v>0.7155555555555555</v>
          </cell>
          <cell r="J7073">
            <v>25.716666666666665</v>
          </cell>
        </row>
        <row r="7074">
          <cell r="B7074">
            <v>27.41</v>
          </cell>
          <cell r="C7074">
            <v>52.85</v>
          </cell>
          <cell r="D7074">
            <v>18.690000000000001</v>
          </cell>
          <cell r="E7074">
            <v>6.96</v>
          </cell>
          <cell r="H7074">
            <v>45586</v>
          </cell>
          <cell r="I7074">
            <v>0.71444444444444444</v>
          </cell>
          <cell r="J7074">
            <v>26.456666666666667</v>
          </cell>
        </row>
        <row r="7075">
          <cell r="B7075">
            <v>27.04</v>
          </cell>
          <cell r="C7075">
            <v>54.5</v>
          </cell>
          <cell r="D7075">
            <v>17.399999999999999</v>
          </cell>
          <cell r="E7075">
            <v>6.59</v>
          </cell>
          <cell r="H7075">
            <v>45586</v>
          </cell>
          <cell r="I7075">
            <v>0.71666666666666656</v>
          </cell>
          <cell r="J7075">
            <v>26.245555555555555</v>
          </cell>
        </row>
        <row r="7076">
          <cell r="B7076">
            <v>24.23</v>
          </cell>
          <cell r="C7076">
            <v>57.31</v>
          </cell>
          <cell r="D7076">
            <v>18.22</v>
          </cell>
          <cell r="E7076">
            <v>6.95</v>
          </cell>
          <cell r="H7076">
            <v>45586</v>
          </cell>
          <cell r="I7076">
            <v>0.72777777777777786</v>
          </cell>
          <cell r="J7076">
            <v>26.037777777777777</v>
          </cell>
        </row>
        <row r="7077">
          <cell r="B7077">
            <v>32.39</v>
          </cell>
          <cell r="C7077">
            <v>68.33</v>
          </cell>
          <cell r="D7077">
            <v>19.14</v>
          </cell>
          <cell r="E7077">
            <v>7.01</v>
          </cell>
          <cell r="H7077">
            <v>45586</v>
          </cell>
          <cell r="I7077">
            <v>0.75111111111111106</v>
          </cell>
          <cell r="J7077">
            <v>25.625555555555554</v>
          </cell>
        </row>
        <row r="7078">
          <cell r="B7078">
            <v>30.71</v>
          </cell>
          <cell r="C7078">
            <v>62.35</v>
          </cell>
          <cell r="D7078">
            <v>18.78</v>
          </cell>
          <cell r="E7078">
            <v>6.35</v>
          </cell>
          <cell r="H7078">
            <v>45586</v>
          </cell>
          <cell r="I7078">
            <v>0.76555555555555566</v>
          </cell>
          <cell r="J7078">
            <v>24.748888888888889</v>
          </cell>
        </row>
        <row r="7079">
          <cell r="B7079">
            <v>28.31</v>
          </cell>
          <cell r="C7079">
            <v>58.93</v>
          </cell>
          <cell r="D7079">
            <v>19.93</v>
          </cell>
          <cell r="E7079">
            <v>6.37</v>
          </cell>
          <cell r="H7079">
            <v>45586</v>
          </cell>
          <cell r="I7079">
            <v>0.76888888888888884</v>
          </cell>
          <cell r="J7079">
            <v>23.707777777777778</v>
          </cell>
        </row>
        <row r="7080">
          <cell r="B7080">
            <v>27.22</v>
          </cell>
          <cell r="C7080">
            <v>54.58</v>
          </cell>
          <cell r="D7080">
            <v>20.440000000000001</v>
          </cell>
          <cell r="E7080">
            <v>5.88</v>
          </cell>
          <cell r="H7080">
            <v>45586</v>
          </cell>
          <cell r="I7080">
            <v>0.76888888888888884</v>
          </cell>
          <cell r="J7080">
            <v>22.69777777777778</v>
          </cell>
        </row>
        <row r="7081">
          <cell r="B7081">
            <v>19.66</v>
          </cell>
          <cell r="C7081">
            <v>44</v>
          </cell>
          <cell r="D7081">
            <v>18.95</v>
          </cell>
          <cell r="E7081">
            <v>6.47</v>
          </cell>
          <cell r="H7081">
            <v>45586</v>
          </cell>
          <cell r="I7081">
            <v>0.77333333333333343</v>
          </cell>
          <cell r="J7081">
            <v>21.398888888888891</v>
          </cell>
        </row>
        <row r="7082">
          <cell r="B7082">
            <v>17.010000000000002</v>
          </cell>
          <cell r="C7082">
            <v>37.630000000000003</v>
          </cell>
          <cell r="D7082">
            <v>19.21</v>
          </cell>
          <cell r="E7082">
            <v>5.99</v>
          </cell>
          <cell r="H7082">
            <v>45587</v>
          </cell>
          <cell r="I7082">
            <v>0.77666666666666673</v>
          </cell>
          <cell r="J7082">
            <v>20.339999999999996</v>
          </cell>
        </row>
        <row r="7083">
          <cell r="B7083">
            <v>19.239999999999998</v>
          </cell>
          <cell r="C7083">
            <v>34.76</v>
          </cell>
          <cell r="D7083">
            <v>19.02</v>
          </cell>
          <cell r="E7083">
            <v>6.7</v>
          </cell>
          <cell r="H7083">
            <v>45587</v>
          </cell>
          <cell r="I7083">
            <v>0.76666666666666672</v>
          </cell>
          <cell r="J7083">
            <v>19.697777777777777</v>
          </cell>
        </row>
        <row r="7084">
          <cell r="B7084">
            <v>16.46</v>
          </cell>
          <cell r="C7084">
            <v>31.6</v>
          </cell>
          <cell r="D7084">
            <v>18.77</v>
          </cell>
          <cell r="E7084">
            <v>6.68</v>
          </cell>
          <cell r="H7084">
            <v>45587</v>
          </cell>
          <cell r="I7084">
            <v>0.74555555555555553</v>
          </cell>
          <cell r="J7084">
            <v>19.315555555555555</v>
          </cell>
        </row>
        <row r="7085">
          <cell r="B7085">
            <v>12.16</v>
          </cell>
          <cell r="C7085">
            <v>28.83</v>
          </cell>
          <cell r="D7085">
            <v>18.75</v>
          </cell>
          <cell r="E7085">
            <v>6.47</v>
          </cell>
          <cell r="H7085">
            <v>45587</v>
          </cell>
          <cell r="I7085">
            <v>0.71111111111111114</v>
          </cell>
          <cell r="J7085">
            <v>19.395555555555557</v>
          </cell>
        </row>
        <row r="7086">
          <cell r="B7086">
            <v>11.85</v>
          </cell>
          <cell r="C7086">
            <v>28.22</v>
          </cell>
          <cell r="D7086">
            <v>18.84</v>
          </cell>
          <cell r="E7086">
            <v>6.68</v>
          </cell>
          <cell r="H7086">
            <v>45587</v>
          </cell>
          <cell r="I7086">
            <v>0.66555555555555546</v>
          </cell>
          <cell r="J7086">
            <v>19.463333333333335</v>
          </cell>
        </row>
        <row r="7087">
          <cell r="B7087">
            <v>11.33</v>
          </cell>
          <cell r="C7087">
            <v>28.76</v>
          </cell>
          <cell r="D7087">
            <v>19.21</v>
          </cell>
          <cell r="E7087">
            <v>6.17</v>
          </cell>
          <cell r="H7087">
            <v>45587</v>
          </cell>
          <cell r="I7087">
            <v>0.64222222222222225</v>
          </cell>
          <cell r="J7087">
            <v>19.383333333333336</v>
          </cell>
        </row>
        <row r="7088">
          <cell r="B7088">
            <v>12.83</v>
          </cell>
          <cell r="C7088">
            <v>32.729999999999997</v>
          </cell>
          <cell r="D7088">
            <v>19.25</v>
          </cell>
          <cell r="E7088">
            <v>6.35</v>
          </cell>
          <cell r="H7088">
            <v>45587</v>
          </cell>
          <cell r="I7088">
            <v>0.63333333333333341</v>
          </cell>
          <cell r="J7088">
            <v>19.16</v>
          </cell>
        </row>
        <row r="7089">
          <cell r="B7089">
            <v>17.82</v>
          </cell>
          <cell r="C7089">
            <v>39.4</v>
          </cell>
          <cell r="D7089">
            <v>21.34</v>
          </cell>
          <cell r="E7089">
            <v>7</v>
          </cell>
          <cell r="H7089">
            <v>45587</v>
          </cell>
          <cell r="I7089">
            <v>0.64888888888888896</v>
          </cell>
          <cell r="J7089">
            <v>18.83111111111111</v>
          </cell>
        </row>
        <row r="7090">
          <cell r="B7090">
            <v>24.93</v>
          </cell>
          <cell r="C7090">
            <v>48.33</v>
          </cell>
          <cell r="D7090">
            <v>20.64</v>
          </cell>
          <cell r="E7090">
            <v>6.82</v>
          </cell>
          <cell r="H7090">
            <v>45587</v>
          </cell>
          <cell r="I7090">
            <v>0.66777777777777769</v>
          </cell>
          <cell r="J7090">
            <v>18.844444444444445</v>
          </cell>
        </row>
        <row r="7091">
          <cell r="B7091">
            <v>22.89</v>
          </cell>
          <cell r="C7091">
            <v>45.74</v>
          </cell>
          <cell r="D7091">
            <v>19.62</v>
          </cell>
          <cell r="E7091">
            <v>6.16</v>
          </cell>
          <cell r="H7091">
            <v>45587</v>
          </cell>
          <cell r="I7091">
            <v>0.68666666666666665</v>
          </cell>
          <cell r="J7091">
            <v>19.319999999999997</v>
          </cell>
        </row>
        <row r="7092">
          <cell r="B7092">
            <v>22.79</v>
          </cell>
          <cell r="C7092">
            <v>45.18</v>
          </cell>
          <cell r="D7092">
            <v>18.260000000000002</v>
          </cell>
          <cell r="E7092">
            <v>6.1</v>
          </cell>
          <cell r="H7092">
            <v>45587</v>
          </cell>
          <cell r="I7092">
            <v>0.70666666666666655</v>
          </cell>
          <cell r="J7092">
            <v>19.895555555555553</v>
          </cell>
        </row>
        <row r="7093">
          <cell r="B7093">
            <v>24.09</v>
          </cell>
          <cell r="C7093">
            <v>49.21</v>
          </cell>
          <cell r="D7093">
            <v>17.7</v>
          </cell>
          <cell r="E7093">
            <v>6.82</v>
          </cell>
          <cell r="H7093">
            <v>45587</v>
          </cell>
          <cell r="I7093">
            <v>0.73333333333333328</v>
          </cell>
          <cell r="J7093">
            <v>20.59333333333333</v>
          </cell>
        </row>
        <row r="7094">
          <cell r="B7094">
            <v>22.75</v>
          </cell>
          <cell r="C7094">
            <v>49.86</v>
          </cell>
          <cell r="D7094">
            <v>16.72</v>
          </cell>
          <cell r="E7094">
            <v>6.78</v>
          </cell>
          <cell r="H7094">
            <v>45587</v>
          </cell>
          <cell r="I7094">
            <v>0.75000000000000011</v>
          </cell>
          <cell r="J7094">
            <v>21.268888888888888</v>
          </cell>
        </row>
        <row r="7095">
          <cell r="B7095">
            <v>23.32</v>
          </cell>
          <cell r="C7095">
            <v>53.34</v>
          </cell>
          <cell r="D7095">
            <v>18.88</v>
          </cell>
          <cell r="E7095">
            <v>6.28</v>
          </cell>
          <cell r="H7095">
            <v>45587</v>
          </cell>
          <cell r="I7095">
            <v>0.75666666666666671</v>
          </cell>
          <cell r="J7095">
            <v>21.995555555555555</v>
          </cell>
        </row>
        <row r="7096">
          <cell r="B7096">
            <v>24.14</v>
          </cell>
          <cell r="C7096">
            <v>50.69</v>
          </cell>
          <cell r="D7096">
            <v>18.239999999999998</v>
          </cell>
          <cell r="E7096">
            <v>5.65</v>
          </cell>
          <cell r="H7096">
            <v>45587</v>
          </cell>
          <cell r="I7096">
            <v>0.75333333333333341</v>
          </cell>
          <cell r="J7096">
            <v>22.954444444444448</v>
          </cell>
        </row>
        <row r="7097">
          <cell r="B7097">
            <v>24.94</v>
          </cell>
          <cell r="C7097">
            <v>49.43</v>
          </cell>
          <cell r="D7097">
            <v>18.47</v>
          </cell>
          <cell r="E7097">
            <v>5.61</v>
          </cell>
          <cell r="H7097">
            <v>45587</v>
          </cell>
          <cell r="I7097">
            <v>0.74333333333333329</v>
          </cell>
          <cell r="J7097">
            <v>23.712222222222223</v>
          </cell>
        </row>
        <row r="7098">
          <cell r="B7098">
            <v>24.83</v>
          </cell>
          <cell r="C7098">
            <v>50.93</v>
          </cell>
          <cell r="D7098">
            <v>20.49</v>
          </cell>
          <cell r="E7098">
            <v>5.53</v>
          </cell>
          <cell r="H7098">
            <v>45587</v>
          </cell>
          <cell r="I7098">
            <v>0.74666666666666659</v>
          </cell>
          <cell r="J7098">
            <v>24.054444444444446</v>
          </cell>
        </row>
        <row r="7099">
          <cell r="B7099">
            <v>21.84</v>
          </cell>
          <cell r="C7099">
            <v>46.36</v>
          </cell>
          <cell r="D7099">
            <v>20.61</v>
          </cell>
          <cell r="E7099">
            <v>5.0999999999999996</v>
          </cell>
          <cell r="H7099">
            <v>45587</v>
          </cell>
          <cell r="I7099">
            <v>0.75222222222222213</v>
          </cell>
          <cell r="J7099">
            <v>24.310000000000006</v>
          </cell>
        </row>
        <row r="7100">
          <cell r="B7100">
            <v>21</v>
          </cell>
          <cell r="C7100">
            <v>42.16</v>
          </cell>
          <cell r="D7100">
            <v>19.5</v>
          </cell>
          <cell r="E7100">
            <v>5.04</v>
          </cell>
          <cell r="H7100">
            <v>45587</v>
          </cell>
          <cell r="I7100">
            <v>0.76333333333333342</v>
          </cell>
          <cell r="J7100">
            <v>23.966666666666672</v>
          </cell>
        </row>
        <row r="7101">
          <cell r="B7101">
            <v>22.25</v>
          </cell>
          <cell r="C7101">
            <v>42.02</v>
          </cell>
          <cell r="D7101">
            <v>20.32</v>
          </cell>
          <cell r="E7101">
            <v>5.25</v>
          </cell>
          <cell r="H7101">
            <v>45587</v>
          </cell>
          <cell r="I7101">
            <v>0.81333333333333335</v>
          </cell>
          <cell r="J7101">
            <v>23.25222222222223</v>
          </cell>
        </row>
        <row r="7102">
          <cell r="B7102">
            <v>30.23</v>
          </cell>
          <cell r="C7102">
            <v>51.3</v>
          </cell>
          <cell r="D7102">
            <v>20.440000000000001</v>
          </cell>
          <cell r="E7102">
            <v>5.38</v>
          </cell>
          <cell r="H7102">
            <v>45587</v>
          </cell>
          <cell r="I7102">
            <v>0.85111111111111115</v>
          </cell>
          <cell r="J7102">
            <v>22.371111111111112</v>
          </cell>
        </row>
        <row r="7103">
          <cell r="B7103">
            <v>30.68</v>
          </cell>
          <cell r="C7103">
            <v>51.34</v>
          </cell>
          <cell r="D7103">
            <v>21.45</v>
          </cell>
          <cell r="E7103">
            <v>5.68</v>
          </cell>
          <cell r="H7103">
            <v>45587</v>
          </cell>
          <cell r="I7103">
            <v>0.87888888888888894</v>
          </cell>
          <cell r="J7103">
            <v>21.555555555555557</v>
          </cell>
        </row>
        <row r="7104">
          <cell r="B7104">
            <v>25.61</v>
          </cell>
          <cell r="C7104">
            <v>50.27</v>
          </cell>
          <cell r="D7104">
            <v>21.83</v>
          </cell>
          <cell r="E7104">
            <v>5.46</v>
          </cell>
          <cell r="H7104">
            <v>45587</v>
          </cell>
          <cell r="I7104">
            <v>0.90777777777777779</v>
          </cell>
          <cell r="J7104">
            <v>20.755555555555553</v>
          </cell>
        </row>
        <row r="7105">
          <cell r="B7105">
            <v>23.37</v>
          </cell>
          <cell r="C7105">
            <v>48.15</v>
          </cell>
          <cell r="D7105">
            <v>21.23</v>
          </cell>
          <cell r="E7105">
            <v>5.19</v>
          </cell>
          <cell r="H7105">
            <v>45587</v>
          </cell>
          <cell r="I7105">
            <v>0.95000000000000007</v>
          </cell>
          <cell r="J7105">
            <v>19.797777777777775</v>
          </cell>
        </row>
        <row r="7106">
          <cell r="B7106">
            <v>28.19</v>
          </cell>
          <cell r="C7106">
            <v>53.85</v>
          </cell>
          <cell r="D7106">
            <v>20.49</v>
          </cell>
          <cell r="E7106">
            <v>5.77</v>
          </cell>
          <cell r="H7106">
            <v>45588</v>
          </cell>
          <cell r="I7106">
            <v>0.98555555555555563</v>
          </cell>
          <cell r="J7106">
            <v>19.182222222222222</v>
          </cell>
        </row>
        <row r="7107">
          <cell r="B7107">
            <v>29.89</v>
          </cell>
          <cell r="C7107">
            <v>52.26</v>
          </cell>
          <cell r="D7107">
            <v>21.03</v>
          </cell>
          <cell r="E7107">
            <v>5.4</v>
          </cell>
          <cell r="H7107">
            <v>45588</v>
          </cell>
          <cell r="I7107">
            <v>0.99111111111111128</v>
          </cell>
          <cell r="J7107">
            <v>18.901111111111113</v>
          </cell>
        </row>
        <row r="7108">
          <cell r="B7108">
            <v>28.92</v>
          </cell>
          <cell r="C7108">
            <v>52.43</v>
          </cell>
          <cell r="D7108">
            <v>21.59</v>
          </cell>
          <cell r="E7108">
            <v>5.25</v>
          </cell>
          <cell r="H7108">
            <v>45588</v>
          </cell>
          <cell r="I7108">
            <v>0.99222222222222223</v>
          </cell>
          <cell r="J7108">
            <v>18.64</v>
          </cell>
        </row>
        <row r="7109">
          <cell r="B7109">
            <v>30.76</v>
          </cell>
          <cell r="C7109">
            <v>55.17</v>
          </cell>
          <cell r="D7109">
            <v>21.8</v>
          </cell>
          <cell r="E7109">
            <v>5.16</v>
          </cell>
          <cell r="H7109">
            <v>45588</v>
          </cell>
          <cell r="I7109">
            <v>0.97444444444444445</v>
          </cell>
          <cell r="J7109">
            <v>18.615555555555559</v>
          </cell>
        </row>
        <row r="7110">
          <cell r="B7110">
            <v>27.9</v>
          </cell>
          <cell r="C7110">
            <v>51.59</v>
          </cell>
          <cell r="D7110">
            <v>21.45</v>
          </cell>
          <cell r="E7110">
            <v>4.99</v>
          </cell>
          <cell r="H7110">
            <v>45588</v>
          </cell>
          <cell r="I7110">
            <v>0.91666666666666663</v>
          </cell>
          <cell r="J7110">
            <v>18.73</v>
          </cell>
        </row>
        <row r="7111">
          <cell r="B7111">
            <v>31.81</v>
          </cell>
          <cell r="C7111">
            <v>52.82</v>
          </cell>
          <cell r="D7111">
            <v>18.22</v>
          </cell>
          <cell r="E7111">
            <v>4.75</v>
          </cell>
          <cell r="H7111">
            <v>45588</v>
          </cell>
          <cell r="I7111">
            <v>0.86222222222222222</v>
          </cell>
          <cell r="J7111">
            <v>18.952222222222222</v>
          </cell>
        </row>
        <row r="7112">
          <cell r="B7112">
            <v>36.56</v>
          </cell>
          <cell r="C7112">
            <v>58.86</v>
          </cell>
          <cell r="D7112">
            <v>18.12</v>
          </cell>
          <cell r="E7112">
            <v>4.75</v>
          </cell>
          <cell r="H7112">
            <v>45588</v>
          </cell>
          <cell r="I7112">
            <v>0.83</v>
          </cell>
          <cell r="J7112">
            <v>19.051111111111112</v>
          </cell>
        </row>
        <row r="7113">
          <cell r="B7113">
            <v>38.31</v>
          </cell>
          <cell r="C7113">
            <v>64.67</v>
          </cell>
          <cell r="D7113">
            <v>18.05</v>
          </cell>
          <cell r="E7113">
            <v>5.33</v>
          </cell>
          <cell r="H7113">
            <v>45588</v>
          </cell>
          <cell r="I7113">
            <v>0.81666666666666665</v>
          </cell>
          <cell r="J7113">
            <v>19.276666666666664</v>
          </cell>
        </row>
        <row r="7114">
          <cell r="B7114">
            <v>36.36</v>
          </cell>
          <cell r="C7114">
            <v>69.45</v>
          </cell>
          <cell r="D7114">
            <v>17.59</v>
          </cell>
          <cell r="E7114">
            <v>5.8</v>
          </cell>
          <cell r="H7114">
            <v>45588</v>
          </cell>
          <cell r="I7114">
            <v>0.81111111111111112</v>
          </cell>
          <cell r="J7114">
            <v>19.638888888888889</v>
          </cell>
        </row>
        <row r="7115">
          <cell r="B7115">
            <v>36.49</v>
          </cell>
          <cell r="C7115">
            <v>73.33</v>
          </cell>
          <cell r="D7115">
            <v>19.71</v>
          </cell>
          <cell r="E7115">
            <v>5.64</v>
          </cell>
          <cell r="H7115">
            <v>45588</v>
          </cell>
          <cell r="I7115">
            <v>0.81111111111111112</v>
          </cell>
          <cell r="J7115">
            <v>20.183333333333334</v>
          </cell>
        </row>
        <row r="7116">
          <cell r="B7116">
            <v>34.14</v>
          </cell>
          <cell r="C7116">
            <v>70.760000000000005</v>
          </cell>
          <cell r="D7116">
            <v>19.489999999999998</v>
          </cell>
          <cell r="E7116">
            <v>5.27</v>
          </cell>
          <cell r="H7116">
            <v>45588</v>
          </cell>
          <cell r="I7116">
            <v>0.82777777777777783</v>
          </cell>
          <cell r="J7116">
            <v>21.081111111111113</v>
          </cell>
        </row>
        <row r="7117">
          <cell r="B7117">
            <v>26.64</v>
          </cell>
          <cell r="C7117">
            <v>58.22</v>
          </cell>
          <cell r="D7117">
            <v>19.399999999999999</v>
          </cell>
          <cell r="E7117">
            <v>5.56</v>
          </cell>
          <cell r="H7117">
            <v>45588</v>
          </cell>
          <cell r="I7117">
            <v>0.80555555555555558</v>
          </cell>
          <cell r="J7117">
            <v>22.227777777777778</v>
          </cell>
        </row>
        <row r="7118">
          <cell r="B7118">
            <v>28.43</v>
          </cell>
          <cell r="C7118">
            <v>56.46</v>
          </cell>
          <cell r="D7118">
            <v>20.41</v>
          </cell>
          <cell r="E7118">
            <v>5.56</v>
          </cell>
          <cell r="H7118">
            <v>45588</v>
          </cell>
          <cell r="I7118">
            <v>0.79666666666666675</v>
          </cell>
          <cell r="J7118">
            <v>23.801111111111116</v>
          </cell>
        </row>
        <row r="7119">
          <cell r="B7119">
            <v>32.33</v>
          </cell>
          <cell r="C7119">
            <v>65.16</v>
          </cell>
          <cell r="D7119">
            <v>20.36</v>
          </cell>
          <cell r="E7119">
            <v>4.88</v>
          </cell>
          <cell r="H7119">
            <v>45588</v>
          </cell>
          <cell r="I7119">
            <v>0.79222222222222216</v>
          </cell>
          <cell r="J7119">
            <v>25.515555555555558</v>
          </cell>
        </row>
        <row r="7120">
          <cell r="B7120">
            <v>31.63</v>
          </cell>
          <cell r="C7120">
            <v>67.5</v>
          </cell>
          <cell r="D7120">
            <v>20.8</v>
          </cell>
          <cell r="E7120">
            <v>4.75</v>
          </cell>
          <cell r="H7120">
            <v>45588</v>
          </cell>
          <cell r="I7120">
            <v>0.78333333333333333</v>
          </cell>
          <cell r="J7120">
            <v>27.157777777777774</v>
          </cell>
        </row>
        <row r="7121">
          <cell r="B7121">
            <v>29.75</v>
          </cell>
          <cell r="C7121">
            <v>59.18</v>
          </cell>
          <cell r="D7121">
            <v>23.98</v>
          </cell>
          <cell r="E7121">
            <v>5.3</v>
          </cell>
          <cell r="H7121">
            <v>45588</v>
          </cell>
          <cell r="I7121">
            <v>0.77444444444444438</v>
          </cell>
          <cell r="J7121">
            <v>28.491111111111113</v>
          </cell>
        </row>
        <row r="7122">
          <cell r="B7122">
            <v>30.06</v>
          </cell>
          <cell r="C7122">
            <v>56.61</v>
          </cell>
          <cell r="D7122">
            <v>21.76</v>
          </cell>
          <cell r="E7122">
            <v>5.5</v>
          </cell>
          <cell r="H7122">
            <v>45588</v>
          </cell>
          <cell r="I7122">
            <v>0.7566666666666666</v>
          </cell>
          <cell r="J7122">
            <v>29.551111111111108</v>
          </cell>
        </row>
        <row r="7123">
          <cell r="B7123">
            <v>19.510000000000002</v>
          </cell>
          <cell r="C7123">
            <v>41.73</v>
          </cell>
          <cell r="D7123">
            <v>18.72</v>
          </cell>
          <cell r="E7123">
            <v>4.9000000000000004</v>
          </cell>
          <cell r="H7123">
            <v>45588</v>
          </cell>
          <cell r="I7123">
            <v>0.73666666666666658</v>
          </cell>
          <cell r="J7123">
            <v>30.132222222222222</v>
          </cell>
        </row>
        <row r="7124">
          <cell r="B7124">
            <v>22.22</v>
          </cell>
          <cell r="C7124">
            <v>37.450000000000003</v>
          </cell>
          <cell r="D7124">
            <v>20.260000000000002</v>
          </cell>
          <cell r="E7124">
            <v>4.83</v>
          </cell>
          <cell r="H7124">
            <v>45588</v>
          </cell>
          <cell r="I7124">
            <v>0.75222222222222213</v>
          </cell>
          <cell r="J7124">
            <v>30.160000000000007</v>
          </cell>
        </row>
        <row r="7125">
          <cell r="B7125">
            <v>23.72</v>
          </cell>
          <cell r="C7125">
            <v>41.67</v>
          </cell>
          <cell r="D7125">
            <v>20.79</v>
          </cell>
          <cell r="E7125">
            <v>5.55</v>
          </cell>
          <cell r="H7125">
            <v>45588</v>
          </cell>
          <cell r="I7125">
            <v>0.78222222222222226</v>
          </cell>
          <cell r="J7125">
            <v>29.85777777777778</v>
          </cell>
        </row>
        <row r="7126">
          <cell r="B7126">
            <v>26.33</v>
          </cell>
          <cell r="C7126">
            <v>46.73</v>
          </cell>
          <cell r="D7126">
            <v>18.32</v>
          </cell>
          <cell r="E7126">
            <v>5.58</v>
          </cell>
          <cell r="H7126">
            <v>45588</v>
          </cell>
          <cell r="I7126">
            <v>0.83333333333333326</v>
          </cell>
          <cell r="J7126">
            <v>29.232222222222227</v>
          </cell>
        </row>
        <row r="7127">
          <cell r="B7127">
            <v>30.91</v>
          </cell>
          <cell r="C7127">
            <v>53.59</v>
          </cell>
          <cell r="D7127">
            <v>18.12</v>
          </cell>
          <cell r="E7127">
            <v>5.9</v>
          </cell>
          <cell r="H7127">
            <v>45588</v>
          </cell>
          <cell r="I7127">
            <v>0.86444444444444435</v>
          </cell>
          <cell r="J7127">
            <v>28.231111111111112</v>
          </cell>
        </row>
        <row r="7128">
          <cell r="B7128">
            <v>30.68</v>
          </cell>
          <cell r="C7128">
            <v>53.36</v>
          </cell>
          <cell r="D7128">
            <v>18.02</v>
          </cell>
          <cell r="E7128">
            <v>5.71</v>
          </cell>
          <cell r="H7128">
            <v>45588</v>
          </cell>
          <cell r="I7128">
            <v>0.87222222222222223</v>
          </cell>
          <cell r="J7128">
            <v>27.01</v>
          </cell>
        </row>
        <row r="7129">
          <cell r="B7129">
            <v>26.58</v>
          </cell>
          <cell r="C7129">
            <v>46.53</v>
          </cell>
          <cell r="D7129">
            <v>18.46</v>
          </cell>
          <cell r="E7129">
            <v>5.45</v>
          </cell>
          <cell r="H7129">
            <v>45588</v>
          </cell>
          <cell r="I7129">
            <v>0.87666666666666659</v>
          </cell>
          <cell r="J7129">
            <v>25.94</v>
          </cell>
        </row>
        <row r="7130">
          <cell r="B7130">
            <v>21.48</v>
          </cell>
          <cell r="C7130">
            <v>40.19</v>
          </cell>
          <cell r="D7130">
            <v>17.68</v>
          </cell>
          <cell r="E7130">
            <v>5.8</v>
          </cell>
          <cell r="H7130">
            <v>45589</v>
          </cell>
          <cell r="I7130">
            <v>0.87000000000000011</v>
          </cell>
          <cell r="J7130">
            <v>25.233333333333334</v>
          </cell>
        </row>
        <row r="7131">
          <cell r="B7131">
            <v>18.59</v>
          </cell>
          <cell r="C7131">
            <v>36.520000000000003</v>
          </cell>
          <cell r="D7131">
            <v>17.739999999999998</v>
          </cell>
          <cell r="E7131">
            <v>4.7</v>
          </cell>
          <cell r="H7131">
            <v>45589</v>
          </cell>
          <cell r="I7131">
            <v>0.86555555555555552</v>
          </cell>
          <cell r="J7131">
            <v>24.824444444444445</v>
          </cell>
        </row>
        <row r="7132">
          <cell r="B7132">
            <v>20.02</v>
          </cell>
          <cell r="C7132">
            <v>34.799999999999997</v>
          </cell>
          <cell r="D7132">
            <v>17.14</v>
          </cell>
          <cell r="E7132">
            <v>4.57</v>
          </cell>
          <cell r="H7132">
            <v>45589</v>
          </cell>
          <cell r="I7132">
            <v>0.85</v>
          </cell>
          <cell r="J7132">
            <v>24.788888888888891</v>
          </cell>
        </row>
        <row r="7133">
          <cell r="B7133">
            <v>18.39</v>
          </cell>
          <cell r="C7133">
            <v>33.14</v>
          </cell>
          <cell r="D7133">
            <v>16.91</v>
          </cell>
          <cell r="E7133">
            <v>5.43</v>
          </cell>
          <cell r="H7133">
            <v>45589</v>
          </cell>
          <cell r="I7133">
            <v>0.79333333333333322</v>
          </cell>
          <cell r="J7133">
            <v>25.327777777777776</v>
          </cell>
        </row>
        <row r="7134">
          <cell r="B7134">
            <v>13.63</v>
          </cell>
          <cell r="C7134">
            <v>28.78</v>
          </cell>
          <cell r="D7134">
            <v>16.850000000000001</v>
          </cell>
          <cell r="E7134">
            <v>5.55</v>
          </cell>
          <cell r="H7134">
            <v>45589</v>
          </cell>
          <cell r="I7134">
            <v>0.71222222222222209</v>
          </cell>
          <cell r="J7134">
            <v>25.924444444444443</v>
          </cell>
        </row>
        <row r="7135">
          <cell r="B7135">
            <v>13.61</v>
          </cell>
          <cell r="C7135">
            <v>28.79</v>
          </cell>
          <cell r="D7135">
            <v>17.11</v>
          </cell>
          <cell r="E7135">
            <v>5.68</v>
          </cell>
          <cell r="H7135">
            <v>45589</v>
          </cell>
          <cell r="I7135">
            <v>0.65</v>
          </cell>
          <cell r="J7135">
            <v>26.431111111111111</v>
          </cell>
        </row>
        <row r="7136">
          <cell r="B7136">
            <v>17.62</v>
          </cell>
          <cell r="C7136">
            <v>33.9</v>
          </cell>
          <cell r="D7136">
            <v>17.34</v>
          </cell>
          <cell r="E7136">
            <v>5.77</v>
          </cell>
          <cell r="H7136">
            <v>45589</v>
          </cell>
          <cell r="I7136">
            <v>0.61777777777777787</v>
          </cell>
          <cell r="J7136">
            <v>26.632222222222222</v>
          </cell>
        </row>
        <row r="7137">
          <cell r="B7137">
            <v>20.12</v>
          </cell>
          <cell r="C7137">
            <v>36.229999999999997</v>
          </cell>
          <cell r="D7137">
            <v>17.37</v>
          </cell>
          <cell r="E7137">
            <v>5.9</v>
          </cell>
          <cell r="H7137">
            <v>45589</v>
          </cell>
          <cell r="I7137">
            <v>0.61111111111111094</v>
          </cell>
          <cell r="J7137">
            <v>26.638888888888889</v>
          </cell>
        </row>
        <row r="7138">
          <cell r="B7138">
            <v>23.95</v>
          </cell>
          <cell r="C7138">
            <v>41.93</v>
          </cell>
          <cell r="D7138">
            <v>16.690000000000001</v>
          </cell>
          <cell r="E7138">
            <v>5.96</v>
          </cell>
          <cell r="H7138">
            <v>45589</v>
          </cell>
          <cell r="I7138">
            <v>0.62999999999999989</v>
          </cell>
          <cell r="J7138">
            <v>26.001111111111108</v>
          </cell>
        </row>
        <row r="7139">
          <cell r="B7139">
            <v>25.09</v>
          </cell>
          <cell r="C7139">
            <v>45.96</v>
          </cell>
          <cell r="D7139">
            <v>19.36</v>
          </cell>
          <cell r="E7139">
            <v>5.25</v>
          </cell>
          <cell r="H7139">
            <v>45589</v>
          </cell>
          <cell r="I7139">
            <v>0.65333333333333332</v>
          </cell>
          <cell r="J7139">
            <v>25.484444444444442</v>
          </cell>
        </row>
        <row r="7140">
          <cell r="B7140">
            <v>25.71</v>
          </cell>
          <cell r="C7140">
            <v>47.61</v>
          </cell>
          <cell r="D7140">
            <v>20.52</v>
          </cell>
          <cell r="E7140">
            <v>4.84</v>
          </cell>
          <cell r="H7140">
            <v>45589</v>
          </cell>
          <cell r="I7140">
            <v>0.67777777777777781</v>
          </cell>
          <cell r="J7140">
            <v>24.847777777777779</v>
          </cell>
        </row>
        <row r="7141">
          <cell r="B7141">
            <v>25.44</v>
          </cell>
          <cell r="C7141">
            <v>50.52</v>
          </cell>
          <cell r="D7141">
            <v>20.62</v>
          </cell>
          <cell r="E7141">
            <v>5.41</v>
          </cell>
          <cell r="H7141">
            <v>45589</v>
          </cell>
          <cell r="I7141">
            <v>0.69555555555555559</v>
          </cell>
          <cell r="J7141">
            <v>24.275555555555552</v>
          </cell>
        </row>
        <row r="7142">
          <cell r="B7142">
            <v>25.68</v>
          </cell>
          <cell r="C7142">
            <v>51.45</v>
          </cell>
          <cell r="D7142">
            <v>20.079999999999998</v>
          </cell>
          <cell r="E7142">
            <v>6.03</v>
          </cell>
          <cell r="H7142">
            <v>45589</v>
          </cell>
          <cell r="I7142">
            <v>0.72000000000000008</v>
          </cell>
          <cell r="J7142">
            <v>25.051111111111116</v>
          </cell>
        </row>
        <row r="7143">
          <cell r="B7143">
            <v>27.18</v>
          </cell>
          <cell r="C7143">
            <v>52.04</v>
          </cell>
          <cell r="D7143">
            <v>20.3</v>
          </cell>
          <cell r="E7143">
            <v>5.52</v>
          </cell>
          <cell r="H7143">
            <v>45589</v>
          </cell>
          <cell r="I7143">
            <v>0.72777777777777775</v>
          </cell>
          <cell r="J7143">
            <v>25.291111111111114</v>
          </cell>
        </row>
        <row r="7144">
          <cell r="B7144">
            <v>28.49</v>
          </cell>
          <cell r="C7144">
            <v>54.01</v>
          </cell>
          <cell r="D7144">
            <v>20.07</v>
          </cell>
          <cell r="E7144">
            <v>5.79</v>
          </cell>
          <cell r="H7144">
            <v>45589</v>
          </cell>
          <cell r="I7144">
            <v>0.73555555555555541</v>
          </cell>
          <cell r="J7144">
            <v>25.802222222222227</v>
          </cell>
        </row>
        <row r="7145">
          <cell r="B7145">
            <v>31.37</v>
          </cell>
          <cell r="C7145">
            <v>59.93</v>
          </cell>
          <cell r="D7145">
            <v>19.829999999999998</v>
          </cell>
          <cell r="E7145">
            <v>6.45</v>
          </cell>
          <cell r="H7145">
            <v>45589</v>
          </cell>
          <cell r="I7145">
            <v>0.73999999999999977</v>
          </cell>
          <cell r="J7145">
            <v>26.905555555555559</v>
          </cell>
        </row>
        <row r="7146">
          <cell r="B7146">
            <v>34.75</v>
          </cell>
          <cell r="C7146">
            <v>67.44</v>
          </cell>
          <cell r="D7146">
            <v>19.5</v>
          </cell>
          <cell r="E7146">
            <v>6.07</v>
          </cell>
          <cell r="H7146">
            <v>45589</v>
          </cell>
          <cell r="I7146">
            <v>0.75555555555555542</v>
          </cell>
          <cell r="J7146">
            <v>27.31111111111111</v>
          </cell>
        </row>
        <row r="7147">
          <cell r="B7147">
            <v>35.1</v>
          </cell>
          <cell r="C7147">
            <v>76.069999999999993</v>
          </cell>
          <cell r="D7147">
            <v>20.02</v>
          </cell>
          <cell r="E7147">
            <v>6.46</v>
          </cell>
          <cell r="H7147">
            <v>45589</v>
          </cell>
          <cell r="I7147">
            <v>0.77444444444444438</v>
          </cell>
          <cell r="J7147">
            <v>27.763333333333335</v>
          </cell>
        </row>
        <row r="7148">
          <cell r="B7148">
            <v>41.22</v>
          </cell>
          <cell r="C7148">
            <v>90.49</v>
          </cell>
          <cell r="D7148">
            <v>18.91</v>
          </cell>
          <cell r="E7148">
            <v>6.4</v>
          </cell>
          <cell r="H7148">
            <v>45589</v>
          </cell>
          <cell r="I7148">
            <v>0.81</v>
          </cell>
          <cell r="J7148">
            <v>27.721111111111114</v>
          </cell>
        </row>
        <row r="7149">
          <cell r="B7149">
            <v>49.31</v>
          </cell>
          <cell r="C7149">
            <v>109.62</v>
          </cell>
          <cell r="D7149">
            <v>21.91</v>
          </cell>
          <cell r="E7149">
            <v>8.19</v>
          </cell>
          <cell r="H7149">
            <v>45589</v>
          </cell>
          <cell r="I7149">
            <v>0.87555555555555564</v>
          </cell>
          <cell r="J7149">
            <v>27.655555555555555</v>
          </cell>
        </row>
        <row r="7150">
          <cell r="B7150">
            <v>67.61</v>
          </cell>
          <cell r="C7150">
            <v>157.84</v>
          </cell>
          <cell r="D7150">
            <v>23.81</v>
          </cell>
          <cell r="E7150">
            <v>9.77</v>
          </cell>
          <cell r="H7150">
            <v>45589</v>
          </cell>
          <cell r="I7150">
            <v>0.96444444444444466</v>
          </cell>
          <cell r="J7150">
            <v>27.747777777777777</v>
          </cell>
        </row>
        <row r="7151">
          <cell r="B7151">
            <v>75.430000000000007</v>
          </cell>
          <cell r="C7151">
            <v>171.2</v>
          </cell>
          <cell r="D7151">
            <v>25.62</v>
          </cell>
          <cell r="E7151">
            <v>9.8000000000000007</v>
          </cell>
          <cell r="H7151">
            <v>45589</v>
          </cell>
          <cell r="I7151">
            <v>1.0355555555555553</v>
          </cell>
          <cell r="J7151">
            <v>26.068888888888889</v>
          </cell>
        </row>
        <row r="7152">
          <cell r="B7152">
            <v>73.5</v>
          </cell>
          <cell r="C7152">
            <v>149.78</v>
          </cell>
          <cell r="D7152">
            <v>23.71</v>
          </cell>
          <cell r="E7152">
            <v>9.0399999999999991</v>
          </cell>
          <cell r="H7152">
            <v>45589</v>
          </cell>
          <cell r="I7152">
            <v>1.0811111111111111</v>
          </cell>
          <cell r="J7152">
            <v>24.862222222222222</v>
          </cell>
        </row>
        <row r="7153">
          <cell r="B7153">
            <v>58.85</v>
          </cell>
          <cell r="C7153">
            <v>115.73</v>
          </cell>
          <cell r="D7153">
            <v>20.41</v>
          </cell>
          <cell r="E7153">
            <v>7.56</v>
          </cell>
          <cell r="H7153">
            <v>45589</v>
          </cell>
          <cell r="I7153">
            <v>1.088888888888889</v>
          </cell>
          <cell r="J7153">
            <v>23.657777777777781</v>
          </cell>
        </row>
        <row r="7154">
          <cell r="B7154">
            <v>38.54</v>
          </cell>
          <cell r="C7154">
            <v>76.53</v>
          </cell>
          <cell r="D7154">
            <v>20.45</v>
          </cell>
          <cell r="E7154">
            <v>6.69</v>
          </cell>
          <cell r="H7154">
            <v>45590</v>
          </cell>
          <cell r="I7154">
            <v>1.0855555555555556</v>
          </cell>
          <cell r="J7154">
            <v>22.10777777777778</v>
          </cell>
        </row>
        <row r="7155">
          <cell r="B7155">
            <v>33.24</v>
          </cell>
          <cell r="C7155">
            <v>60.49</v>
          </cell>
          <cell r="D7155">
            <v>18.86</v>
          </cell>
          <cell r="E7155">
            <v>5.52</v>
          </cell>
          <cell r="H7155">
            <v>45590</v>
          </cell>
          <cell r="I7155">
            <v>1.0666666666666667</v>
          </cell>
          <cell r="J7155">
            <v>21.533333333333331</v>
          </cell>
        </row>
        <row r="7156">
          <cell r="B7156">
            <v>29.6</v>
          </cell>
          <cell r="C7156">
            <v>57.42</v>
          </cell>
          <cell r="D7156">
            <v>18.489999999999998</v>
          </cell>
          <cell r="E7156">
            <v>5.64</v>
          </cell>
          <cell r="H7156">
            <v>45590</v>
          </cell>
          <cell r="I7156">
            <v>1.028888888888889</v>
          </cell>
          <cell r="J7156">
            <v>21.352222222222224</v>
          </cell>
        </row>
        <row r="7157">
          <cell r="B7157">
            <v>30.86</v>
          </cell>
          <cell r="C7157">
            <v>61.76</v>
          </cell>
          <cell r="D7157">
            <v>18.260000000000002</v>
          </cell>
          <cell r="E7157">
            <v>6.04</v>
          </cell>
          <cell r="H7157">
            <v>45590</v>
          </cell>
          <cell r="I7157">
            <v>0.98111111111111116</v>
          </cell>
          <cell r="J7157">
            <v>21.674444444444443</v>
          </cell>
        </row>
        <row r="7158">
          <cell r="B7158">
            <v>38.36</v>
          </cell>
          <cell r="C7158">
            <v>76.78</v>
          </cell>
          <cell r="D7158">
            <v>18.07</v>
          </cell>
          <cell r="E7158">
            <v>6.68</v>
          </cell>
          <cell r="H7158">
            <v>45590</v>
          </cell>
          <cell r="I7158">
            <v>0.89444444444444449</v>
          </cell>
          <cell r="J7158">
            <v>22.021111111111111</v>
          </cell>
        </row>
        <row r="7159">
          <cell r="B7159">
            <v>30.01</v>
          </cell>
          <cell r="C7159">
            <v>56.84</v>
          </cell>
          <cell r="D7159">
            <v>18.079999999999998</v>
          </cell>
          <cell r="E7159">
            <v>6.17</v>
          </cell>
          <cell r="H7159">
            <v>45590</v>
          </cell>
          <cell r="I7159">
            <v>0.79333333333333333</v>
          </cell>
          <cell r="J7159">
            <v>22.092222222222222</v>
          </cell>
        </row>
        <row r="7160">
          <cell r="B7160">
            <v>32.020000000000003</v>
          </cell>
          <cell r="C7160">
            <v>55.95</v>
          </cell>
          <cell r="D7160">
            <v>18.25</v>
          </cell>
          <cell r="E7160">
            <v>6.11</v>
          </cell>
          <cell r="H7160">
            <v>45590</v>
          </cell>
          <cell r="I7160">
            <v>0.71111111111111103</v>
          </cell>
          <cell r="J7160">
            <v>22.254444444444445</v>
          </cell>
        </row>
        <row r="7161">
          <cell r="B7161">
            <v>32.409999999999997</v>
          </cell>
          <cell r="C7161">
            <v>64.36</v>
          </cell>
          <cell r="D7161">
            <v>19.3</v>
          </cell>
          <cell r="E7161">
            <v>6.03</v>
          </cell>
          <cell r="H7161">
            <v>45590</v>
          </cell>
          <cell r="I7161">
            <v>0.67333333333333334</v>
          </cell>
          <cell r="J7161">
            <v>22.387777777777778</v>
          </cell>
        </row>
        <row r="7162">
          <cell r="B7162">
            <v>37.520000000000003</v>
          </cell>
          <cell r="C7162">
            <v>80.27</v>
          </cell>
          <cell r="D7162">
            <v>19.11</v>
          </cell>
          <cell r="E7162">
            <v>5.93</v>
          </cell>
          <cell r="H7162">
            <v>45590</v>
          </cell>
          <cell r="I7162">
            <v>0.67666666666666664</v>
          </cell>
          <cell r="J7162">
            <v>22.562222222222221</v>
          </cell>
        </row>
        <row r="7163">
          <cell r="B7163">
            <v>41.35</v>
          </cell>
          <cell r="C7163">
            <v>79.989999999999995</v>
          </cell>
          <cell r="D7163">
            <v>19.010000000000002</v>
          </cell>
          <cell r="E7163">
            <v>5.27</v>
          </cell>
          <cell r="H7163">
            <v>45590</v>
          </cell>
          <cell r="I7163">
            <v>0.68666666666666665</v>
          </cell>
          <cell r="J7163">
            <v>22.977777777777778</v>
          </cell>
        </row>
        <row r="7164">
          <cell r="B7164">
            <v>40.799999999999997</v>
          </cell>
          <cell r="C7164">
            <v>83.36</v>
          </cell>
          <cell r="D7164">
            <v>18.920000000000002</v>
          </cell>
          <cell r="E7164">
            <v>5.44</v>
          </cell>
          <cell r="H7164">
            <v>45590</v>
          </cell>
          <cell r="I7164">
            <v>0.7022222222222223</v>
          </cell>
          <cell r="J7164">
            <v>23.753333333333334</v>
          </cell>
        </row>
        <row r="7165">
          <cell r="B7165">
            <v>41.83</v>
          </cell>
          <cell r="C7165">
            <v>87.99</v>
          </cell>
          <cell r="D7165">
            <v>17.09</v>
          </cell>
          <cell r="E7165">
            <v>5.78</v>
          </cell>
          <cell r="H7165">
            <v>45590</v>
          </cell>
          <cell r="I7165">
            <v>0.71111111111111103</v>
          </cell>
          <cell r="J7165">
            <v>24.975555555555552</v>
          </cell>
        </row>
        <row r="7166">
          <cell r="B7166">
            <v>39.5</v>
          </cell>
          <cell r="C7166">
            <v>82.48</v>
          </cell>
          <cell r="D7166">
            <v>17.11</v>
          </cell>
          <cell r="E7166">
            <v>5.87</v>
          </cell>
          <cell r="H7166">
            <v>45590</v>
          </cell>
          <cell r="I7166">
            <v>0.71111111111111103</v>
          </cell>
          <cell r="J7166">
            <v>25.956666666666663</v>
          </cell>
        </row>
        <row r="7167">
          <cell r="B7167">
            <v>38.409999999999997</v>
          </cell>
          <cell r="C7167">
            <v>80.98</v>
          </cell>
          <cell r="D7167">
            <v>17.27</v>
          </cell>
          <cell r="E7167">
            <v>6.2</v>
          </cell>
          <cell r="H7167">
            <v>45590</v>
          </cell>
          <cell r="I7167">
            <v>0.71</v>
          </cell>
          <cell r="J7167">
            <v>26.78555555555555</v>
          </cell>
        </row>
        <row r="7168">
          <cell r="B7168">
            <v>39.69</v>
          </cell>
          <cell r="C7168">
            <v>78.83</v>
          </cell>
          <cell r="D7168">
            <v>18.03</v>
          </cell>
          <cell r="E7168">
            <v>6.62</v>
          </cell>
          <cell r="H7168">
            <v>45590</v>
          </cell>
          <cell r="I7168">
            <v>0.70555555555555549</v>
          </cell>
          <cell r="J7168">
            <v>27.597777777777779</v>
          </cell>
        </row>
        <row r="7169">
          <cell r="B7169">
            <v>41.28</v>
          </cell>
          <cell r="C7169">
            <v>78.17</v>
          </cell>
          <cell r="D7169">
            <v>17.28</v>
          </cell>
          <cell r="E7169">
            <v>6.66</v>
          </cell>
          <cell r="H7169">
            <v>45590</v>
          </cell>
          <cell r="I7169">
            <v>0.70111111111111102</v>
          </cell>
          <cell r="J7169">
            <v>28.373333333333335</v>
          </cell>
        </row>
        <row r="7170">
          <cell r="B7170">
            <v>48.25</v>
          </cell>
          <cell r="C7170">
            <v>94.66</v>
          </cell>
          <cell r="D7170">
            <v>18.23</v>
          </cell>
          <cell r="E7170">
            <v>6.74</v>
          </cell>
          <cell r="H7170">
            <v>45590</v>
          </cell>
          <cell r="I7170">
            <v>0.69333333333333325</v>
          </cell>
          <cell r="J7170">
            <v>29.102222222222224</v>
          </cell>
        </row>
        <row r="7171">
          <cell r="B7171">
            <v>50.3</v>
          </cell>
          <cell r="C7171">
            <v>104.08</v>
          </cell>
          <cell r="D7171">
            <v>19.2</v>
          </cell>
          <cell r="E7171">
            <v>6.45</v>
          </cell>
          <cell r="H7171">
            <v>45590</v>
          </cell>
          <cell r="I7171">
            <v>0.69222222222222207</v>
          </cell>
          <cell r="J7171">
            <v>29.284444444444446</v>
          </cell>
        </row>
        <row r="7172">
          <cell r="B7172">
            <v>55.47</v>
          </cell>
          <cell r="C7172">
            <v>123.79</v>
          </cell>
          <cell r="D7172">
            <v>19.87</v>
          </cell>
          <cell r="E7172">
            <v>6.92</v>
          </cell>
          <cell r="H7172">
            <v>45590</v>
          </cell>
          <cell r="I7172">
            <v>0.72666666666666657</v>
          </cell>
          <cell r="J7172">
            <v>28.892222222222227</v>
          </cell>
        </row>
        <row r="7173">
          <cell r="B7173">
            <v>90.15</v>
          </cell>
          <cell r="C7173">
            <v>179.92</v>
          </cell>
          <cell r="D7173">
            <v>23.5</v>
          </cell>
          <cell r="E7173">
            <v>9.35</v>
          </cell>
          <cell r="H7173">
            <v>45590</v>
          </cell>
          <cell r="I7173">
            <v>0.82111111111111112</v>
          </cell>
          <cell r="J7173">
            <v>27.862222222222222</v>
          </cell>
        </row>
        <row r="7174">
          <cell r="B7174">
            <v>112.16</v>
          </cell>
          <cell r="C7174">
            <v>223.5</v>
          </cell>
          <cell r="D7174">
            <v>25.4</v>
          </cell>
          <cell r="E7174">
            <v>11.17</v>
          </cell>
          <cell r="H7174">
            <v>45590</v>
          </cell>
          <cell r="I7174">
            <v>0.95777777777777773</v>
          </cell>
          <cell r="J7174">
            <v>26.436666666666664</v>
          </cell>
        </row>
        <row r="7175">
          <cell r="B7175">
            <v>108.31</v>
          </cell>
          <cell r="C7175">
            <v>267.2</v>
          </cell>
          <cell r="D7175">
            <v>26.31</v>
          </cell>
          <cell r="E7175">
            <v>11.84</v>
          </cell>
          <cell r="H7175">
            <v>45590</v>
          </cell>
          <cell r="I7175">
            <v>1.0944444444444443</v>
          </cell>
          <cell r="J7175">
            <v>25.17</v>
          </cell>
        </row>
        <row r="7176">
          <cell r="B7176">
            <v>97.1</v>
          </cell>
          <cell r="C7176">
            <v>243.33</v>
          </cell>
          <cell r="D7176">
            <v>26.88</v>
          </cell>
          <cell r="E7176">
            <v>11.22</v>
          </cell>
          <cell r="H7176">
            <v>45590</v>
          </cell>
          <cell r="I7176">
            <v>1.2055555555555557</v>
          </cell>
          <cell r="J7176">
            <v>24.04666666666667</v>
          </cell>
        </row>
        <row r="7177">
          <cell r="B7177">
            <v>98.76</v>
          </cell>
          <cell r="C7177">
            <v>228.74</v>
          </cell>
          <cell r="D7177">
            <v>25.45</v>
          </cell>
          <cell r="E7177">
            <v>10.17</v>
          </cell>
          <cell r="H7177">
            <v>45590</v>
          </cell>
          <cell r="I7177">
            <v>1.2888888888888888</v>
          </cell>
          <cell r="J7177">
            <v>22.955555555555559</v>
          </cell>
        </row>
        <row r="7178">
          <cell r="B7178">
            <v>99.13</v>
          </cell>
          <cell r="C7178">
            <v>186.03</v>
          </cell>
          <cell r="D7178">
            <v>24.24</v>
          </cell>
          <cell r="E7178">
            <v>8.35</v>
          </cell>
          <cell r="H7178">
            <v>45591</v>
          </cell>
          <cell r="I7178">
            <v>1.3277777777777779</v>
          </cell>
          <cell r="J7178">
            <v>22.026666666666667</v>
          </cell>
        </row>
        <row r="7179">
          <cell r="B7179">
            <v>88.06</v>
          </cell>
          <cell r="C7179">
            <v>152.88999999999999</v>
          </cell>
          <cell r="D7179">
            <v>22.91</v>
          </cell>
          <cell r="E7179">
            <v>6.5</v>
          </cell>
          <cell r="H7179">
            <v>45591</v>
          </cell>
          <cell r="I7179">
            <v>1.3544444444444446</v>
          </cell>
          <cell r="J7179">
            <v>21.245555555555555</v>
          </cell>
        </row>
        <row r="7180">
          <cell r="B7180">
            <v>79.92</v>
          </cell>
          <cell r="C7180">
            <v>141.97999999999999</v>
          </cell>
          <cell r="D7180">
            <v>21.79</v>
          </cell>
          <cell r="E7180">
            <v>6.27</v>
          </cell>
          <cell r="H7180">
            <v>45591</v>
          </cell>
          <cell r="I7180">
            <v>1.3544444444444446</v>
          </cell>
          <cell r="J7180">
            <v>20.924444444444447</v>
          </cell>
        </row>
        <row r="7181">
          <cell r="B7181">
            <v>77.19</v>
          </cell>
          <cell r="C7181">
            <v>129.36000000000001</v>
          </cell>
          <cell r="D7181">
            <v>20.49</v>
          </cell>
          <cell r="E7181">
            <v>5.92</v>
          </cell>
          <cell r="H7181">
            <v>45591</v>
          </cell>
          <cell r="I7181">
            <v>1.3122222222222224</v>
          </cell>
          <cell r="J7181">
            <v>21.09</v>
          </cell>
        </row>
        <row r="7182">
          <cell r="B7182">
            <v>73.599999999999994</v>
          </cell>
          <cell r="C7182">
            <v>120.28</v>
          </cell>
          <cell r="D7182">
            <v>20.170000000000002</v>
          </cell>
          <cell r="E7182">
            <v>5.92</v>
          </cell>
          <cell r="H7182">
            <v>45591</v>
          </cell>
          <cell r="I7182">
            <v>1.2077777777777778</v>
          </cell>
          <cell r="J7182">
            <v>21.378888888888888</v>
          </cell>
        </row>
        <row r="7183">
          <cell r="B7183">
            <v>73.540000000000006</v>
          </cell>
          <cell r="C7183">
            <v>124.2</v>
          </cell>
          <cell r="D7183">
            <v>19.940000000000001</v>
          </cell>
          <cell r="E7183">
            <v>5.54</v>
          </cell>
          <cell r="H7183">
            <v>45591</v>
          </cell>
          <cell r="I7183">
            <v>1.0677777777777777</v>
          </cell>
          <cell r="J7183">
            <v>21.477777777777774</v>
          </cell>
        </row>
        <row r="7184">
          <cell r="B7184">
            <v>74.67</v>
          </cell>
          <cell r="C7184">
            <v>125.67</v>
          </cell>
          <cell r="D7184">
            <v>19.66</v>
          </cell>
          <cell r="E7184">
            <v>6.23</v>
          </cell>
          <cell r="H7184">
            <v>45591</v>
          </cell>
          <cell r="I7184">
            <v>0.94111111111111101</v>
          </cell>
          <cell r="J7184">
            <v>21.62222222222222</v>
          </cell>
        </row>
        <row r="7185">
          <cell r="B7185">
            <v>78.489999999999995</v>
          </cell>
          <cell r="C7185">
            <v>135.53</v>
          </cell>
          <cell r="D7185">
            <v>19.86</v>
          </cell>
          <cell r="E7185">
            <v>7.12</v>
          </cell>
          <cell r="H7185">
            <v>45591</v>
          </cell>
          <cell r="I7185">
            <v>0.83777777777777773</v>
          </cell>
          <cell r="J7185">
            <v>21.619999999999997</v>
          </cell>
        </row>
        <row r="7186">
          <cell r="B7186">
            <v>72.5</v>
          </cell>
          <cell r="C7186">
            <v>139.15</v>
          </cell>
          <cell r="D7186">
            <v>19.36</v>
          </cell>
          <cell r="E7186">
            <v>6.26</v>
          </cell>
          <cell r="H7186">
            <v>45591</v>
          </cell>
          <cell r="I7186">
            <v>0.76888888888888884</v>
          </cell>
          <cell r="J7186">
            <v>21.835555555555555</v>
          </cell>
        </row>
        <row r="7187">
          <cell r="B7187">
            <v>55.46</v>
          </cell>
          <cell r="C7187">
            <v>117.96</v>
          </cell>
          <cell r="D7187">
            <v>19.28</v>
          </cell>
          <cell r="E7187">
            <v>6.07</v>
          </cell>
          <cell r="H7187">
            <v>45591</v>
          </cell>
          <cell r="I7187">
            <v>0.74222222222222234</v>
          </cell>
          <cell r="J7187">
            <v>22.275555555555556</v>
          </cell>
        </row>
        <row r="7188">
          <cell r="B7188">
            <v>51.69</v>
          </cell>
          <cell r="C7188">
            <v>106.96</v>
          </cell>
          <cell r="D7188">
            <v>17.91</v>
          </cell>
          <cell r="E7188">
            <v>6.35</v>
          </cell>
          <cell r="H7188">
            <v>45591</v>
          </cell>
          <cell r="I7188">
            <v>0.72555555555555573</v>
          </cell>
          <cell r="J7188">
            <v>23.240000000000002</v>
          </cell>
        </row>
        <row r="7189">
          <cell r="B7189">
            <v>49.7</v>
          </cell>
          <cell r="C7189">
            <v>105.84</v>
          </cell>
          <cell r="D7189">
            <v>17.37</v>
          </cell>
          <cell r="E7189">
            <v>6.76</v>
          </cell>
          <cell r="H7189">
            <v>45591</v>
          </cell>
          <cell r="I7189">
            <v>0.71777777777777774</v>
          </cell>
          <cell r="J7189">
            <v>24.136666666666667</v>
          </cell>
        </row>
        <row r="7190">
          <cell r="B7190">
            <v>51.41</v>
          </cell>
          <cell r="C7190">
            <v>98.92</v>
          </cell>
          <cell r="D7190">
            <v>17.32</v>
          </cell>
          <cell r="E7190">
            <v>5.75</v>
          </cell>
          <cell r="H7190">
            <v>45591</v>
          </cell>
          <cell r="I7190">
            <v>0.71333333333333337</v>
          </cell>
          <cell r="J7190">
            <v>24.914444444444442</v>
          </cell>
        </row>
        <row r="7191">
          <cell r="B7191">
            <v>50.08</v>
          </cell>
          <cell r="C7191">
            <v>95.45</v>
          </cell>
          <cell r="D7191">
            <v>18.23</v>
          </cell>
          <cell r="E7191">
            <v>6.23</v>
          </cell>
          <cell r="H7191">
            <v>45591</v>
          </cell>
          <cell r="I7191">
            <v>0.7088888888888889</v>
          </cell>
          <cell r="J7191">
            <v>25.756666666666668</v>
          </cell>
        </row>
        <row r="7192">
          <cell r="B7192">
            <v>48.87</v>
          </cell>
          <cell r="C7192">
            <v>99.25</v>
          </cell>
          <cell r="D7192">
            <v>18.14</v>
          </cell>
          <cell r="E7192">
            <v>6.23</v>
          </cell>
          <cell r="H7192">
            <v>45591</v>
          </cell>
          <cell r="I7192">
            <v>0.70555555555555549</v>
          </cell>
          <cell r="J7192">
            <v>26.611111111111111</v>
          </cell>
        </row>
        <row r="7193">
          <cell r="B7193">
            <v>54.66</v>
          </cell>
          <cell r="C7193">
            <v>105.89</v>
          </cell>
          <cell r="D7193">
            <v>18.71</v>
          </cell>
          <cell r="E7193">
            <v>5.76</v>
          </cell>
          <cell r="H7193">
            <v>45591</v>
          </cell>
          <cell r="I7193">
            <v>0.69555555555555548</v>
          </cell>
          <cell r="J7193">
            <v>27.397777777777783</v>
          </cell>
        </row>
        <row r="7194">
          <cell r="B7194">
            <v>57.05</v>
          </cell>
          <cell r="C7194">
            <v>110.31</v>
          </cell>
          <cell r="D7194">
            <v>17.38</v>
          </cell>
          <cell r="E7194">
            <v>5.74</v>
          </cell>
          <cell r="H7194">
            <v>45591</v>
          </cell>
          <cell r="I7194">
            <v>0.68888888888888899</v>
          </cell>
          <cell r="J7194">
            <v>28.287777777777777</v>
          </cell>
        </row>
        <row r="7195">
          <cell r="B7195">
            <v>58.77</v>
          </cell>
          <cell r="C7195">
            <v>117.51</v>
          </cell>
          <cell r="D7195">
            <v>18.22</v>
          </cell>
          <cell r="E7195">
            <v>5.96</v>
          </cell>
          <cell r="H7195">
            <v>45591</v>
          </cell>
          <cell r="I7195">
            <v>0.69111111111111112</v>
          </cell>
          <cell r="J7195">
            <v>28.934444444444448</v>
          </cell>
        </row>
        <row r="7196">
          <cell r="B7196">
            <v>66.489999999999995</v>
          </cell>
          <cell r="C7196">
            <v>131.94999999999999</v>
          </cell>
          <cell r="D7196">
            <v>18.75</v>
          </cell>
          <cell r="E7196">
            <v>6.46</v>
          </cell>
          <cell r="H7196">
            <v>45591</v>
          </cell>
          <cell r="I7196">
            <v>0.7088888888888889</v>
          </cell>
          <cell r="J7196">
            <v>29.024444444444448</v>
          </cell>
        </row>
        <row r="7197">
          <cell r="B7197">
            <v>80.86</v>
          </cell>
          <cell r="C7197">
            <v>165.2</v>
          </cell>
          <cell r="D7197">
            <v>20.47</v>
          </cell>
          <cell r="E7197">
            <v>6.99</v>
          </cell>
          <cell r="H7197">
            <v>45591</v>
          </cell>
          <cell r="I7197">
            <v>0.76555555555555566</v>
          </cell>
          <cell r="J7197">
            <v>28.08111111111111</v>
          </cell>
        </row>
        <row r="7198">
          <cell r="B7198">
            <v>93.77</v>
          </cell>
          <cell r="C7198">
            <v>192.37</v>
          </cell>
          <cell r="D7198">
            <v>21.59</v>
          </cell>
          <cell r="E7198">
            <v>7.29</v>
          </cell>
          <cell r="H7198">
            <v>45591</v>
          </cell>
          <cell r="I7198">
            <v>0.84000000000000008</v>
          </cell>
          <cell r="J7198">
            <v>26.992222222222225</v>
          </cell>
        </row>
        <row r="7199">
          <cell r="B7199">
            <v>93.22</v>
          </cell>
          <cell r="C7199">
            <v>192.82</v>
          </cell>
          <cell r="D7199">
            <v>23.04</v>
          </cell>
          <cell r="E7199">
            <v>7.29</v>
          </cell>
          <cell r="H7199">
            <v>45591</v>
          </cell>
          <cell r="I7199">
            <v>0.91777777777777791</v>
          </cell>
          <cell r="J7199">
            <v>25.799999999999997</v>
          </cell>
        </row>
        <row r="7200">
          <cell r="B7200">
            <v>92.33</v>
          </cell>
          <cell r="C7200">
            <v>192.78</v>
          </cell>
          <cell r="D7200">
            <v>23.52</v>
          </cell>
          <cell r="E7200">
            <v>6.82</v>
          </cell>
          <cell r="H7200">
            <v>45591</v>
          </cell>
          <cell r="I7200">
            <v>0.99111111111111105</v>
          </cell>
          <cell r="J7200">
            <v>24.600000000000005</v>
          </cell>
        </row>
        <row r="7201">
          <cell r="B7201">
            <v>89.01</v>
          </cell>
          <cell r="C7201">
            <v>182.25</v>
          </cell>
          <cell r="D7201">
            <v>23.49</v>
          </cell>
          <cell r="E7201">
            <v>6.36</v>
          </cell>
          <cell r="H7201">
            <v>45591</v>
          </cell>
          <cell r="I7201">
            <v>1.0588888888888888</v>
          </cell>
          <cell r="J7201">
            <v>23.533333333333335</v>
          </cell>
        </row>
        <row r="7202">
          <cell r="B7202">
            <v>90.97</v>
          </cell>
          <cell r="C7202">
            <v>193.03</v>
          </cell>
          <cell r="D7202">
            <v>23.57</v>
          </cell>
          <cell r="E7202">
            <v>6.38</v>
          </cell>
          <cell r="H7202">
            <v>45592</v>
          </cell>
          <cell r="I7202">
            <v>1.1144444444444443</v>
          </cell>
          <cell r="J7202">
            <v>22.487777777777779</v>
          </cell>
        </row>
        <row r="7203">
          <cell r="B7203">
            <v>93.61</v>
          </cell>
          <cell r="C7203">
            <v>197.63</v>
          </cell>
          <cell r="D7203">
            <v>22.65</v>
          </cell>
          <cell r="E7203">
            <v>6.07</v>
          </cell>
          <cell r="H7203">
            <v>45592</v>
          </cell>
          <cell r="I7203">
            <v>1.1711111111111112</v>
          </cell>
          <cell r="J7203">
            <v>21.527777777777779</v>
          </cell>
        </row>
        <row r="7204">
          <cell r="B7204">
            <v>95.89</v>
          </cell>
          <cell r="C7204">
            <v>189.76</v>
          </cell>
          <cell r="D7204">
            <v>21.93</v>
          </cell>
          <cell r="E7204">
            <v>5.85</v>
          </cell>
          <cell r="H7204">
            <v>45592</v>
          </cell>
          <cell r="I7204">
            <v>1.1922222222222223</v>
          </cell>
          <cell r="J7204">
            <v>20.63111111111111</v>
          </cell>
        </row>
        <row r="7205">
          <cell r="B7205">
            <v>94.29</v>
          </cell>
          <cell r="C7205">
            <v>168.21</v>
          </cell>
          <cell r="D7205">
            <v>19.75</v>
          </cell>
          <cell r="E7205">
            <v>6.4</v>
          </cell>
          <cell r="H7205">
            <v>45592</v>
          </cell>
          <cell r="I7205">
            <v>1.1822222222222223</v>
          </cell>
          <cell r="J7205">
            <v>20.148888888888887</v>
          </cell>
        </row>
        <row r="7206">
          <cell r="B7206">
            <v>84.19</v>
          </cell>
          <cell r="C7206">
            <v>146.07</v>
          </cell>
          <cell r="D7206">
            <v>19.53</v>
          </cell>
          <cell r="E7206">
            <v>6.25</v>
          </cell>
          <cell r="H7206">
            <v>45592</v>
          </cell>
          <cell r="I7206">
            <v>1.1233333333333333</v>
          </cell>
          <cell r="J7206">
            <v>20.11</v>
          </cell>
        </row>
        <row r="7207">
          <cell r="B7207">
            <v>68.63</v>
          </cell>
          <cell r="C7207">
            <v>129.86000000000001</v>
          </cell>
          <cell r="D7207">
            <v>19.13</v>
          </cell>
          <cell r="E7207">
            <v>5.7</v>
          </cell>
          <cell r="H7207">
            <v>45592</v>
          </cell>
          <cell r="I7207">
            <v>1.0611111111111109</v>
          </cell>
          <cell r="J7207">
            <v>20.176666666666666</v>
          </cell>
        </row>
        <row r="7208">
          <cell r="B7208">
            <v>70.5</v>
          </cell>
          <cell r="C7208">
            <v>129.85</v>
          </cell>
          <cell r="D7208">
            <v>18.920000000000002</v>
          </cell>
          <cell r="E7208">
            <v>5.84</v>
          </cell>
          <cell r="H7208">
            <v>45592</v>
          </cell>
          <cell r="I7208">
            <v>0.9966666666666667</v>
          </cell>
          <cell r="J7208">
            <v>20.239999999999998</v>
          </cell>
        </row>
        <row r="7209">
          <cell r="B7209">
            <v>66.540000000000006</v>
          </cell>
          <cell r="C7209">
            <v>128.56</v>
          </cell>
          <cell r="D7209">
            <v>18.95</v>
          </cell>
          <cell r="E7209">
            <v>6.03</v>
          </cell>
          <cell r="H7209">
            <v>45592</v>
          </cell>
          <cell r="I7209">
            <v>0.93555555555555558</v>
          </cell>
          <cell r="J7209">
            <v>20.432222222222222</v>
          </cell>
        </row>
        <row r="7210">
          <cell r="B7210">
            <v>64.27</v>
          </cell>
          <cell r="C7210">
            <v>124.51</v>
          </cell>
          <cell r="D7210">
            <v>18.91</v>
          </cell>
          <cell r="E7210">
            <v>6.04</v>
          </cell>
          <cell r="H7210">
            <v>45592</v>
          </cell>
          <cell r="I7210">
            <v>0.8833333333333333</v>
          </cell>
          <cell r="J7210">
            <v>20.846666666666668</v>
          </cell>
        </row>
        <row r="7211">
          <cell r="B7211">
            <v>47.81</v>
          </cell>
          <cell r="C7211">
            <v>101.32</v>
          </cell>
          <cell r="D7211">
            <v>18.510000000000002</v>
          </cell>
          <cell r="E7211">
            <v>5.85</v>
          </cell>
          <cell r="H7211">
            <v>45592</v>
          </cell>
          <cell r="I7211">
            <v>0.83333333333333337</v>
          </cell>
          <cell r="J7211">
            <v>21.581111111111113</v>
          </cell>
        </row>
        <row r="7212">
          <cell r="B7212">
            <v>41.58</v>
          </cell>
          <cell r="C7212">
            <v>93.54</v>
          </cell>
          <cell r="D7212">
            <v>16.75</v>
          </cell>
          <cell r="E7212">
            <v>6.65</v>
          </cell>
          <cell r="H7212">
            <v>45592</v>
          </cell>
          <cell r="I7212">
            <v>0.78333333333333344</v>
          </cell>
          <cell r="J7212">
            <v>22.655555555555551</v>
          </cell>
        </row>
        <row r="7213">
          <cell r="B7213">
            <v>40.78</v>
          </cell>
          <cell r="C7213">
            <v>85.93</v>
          </cell>
          <cell r="D7213">
            <v>17.5</v>
          </cell>
          <cell r="E7213">
            <v>6.15</v>
          </cell>
          <cell r="H7213">
            <v>45592</v>
          </cell>
          <cell r="I7213">
            <v>0.75888888888888884</v>
          </cell>
          <cell r="J7213">
            <v>23.817777777777778</v>
          </cell>
        </row>
        <row r="7214">
          <cell r="B7214">
            <v>46.11</v>
          </cell>
          <cell r="C7214">
            <v>93.78</v>
          </cell>
          <cell r="D7214">
            <v>17.34</v>
          </cell>
          <cell r="E7214">
            <v>6.29</v>
          </cell>
          <cell r="H7214">
            <v>45592</v>
          </cell>
          <cell r="I7214">
            <v>0.74888888888888894</v>
          </cell>
          <cell r="J7214">
            <v>24.795555555555552</v>
          </cell>
        </row>
        <row r="7215">
          <cell r="B7215">
            <v>46.3</v>
          </cell>
          <cell r="C7215">
            <v>95.09</v>
          </cell>
          <cell r="D7215">
            <v>18.13</v>
          </cell>
          <cell r="E7215">
            <v>7.07</v>
          </cell>
          <cell r="H7215">
            <v>45592</v>
          </cell>
          <cell r="I7215">
            <v>0.75444444444444436</v>
          </cell>
          <cell r="J7215">
            <v>25.453333333333333</v>
          </cell>
        </row>
        <row r="7216">
          <cell r="B7216">
            <v>46.13</v>
          </cell>
          <cell r="C7216">
            <v>93.14</v>
          </cell>
          <cell r="D7216">
            <v>18.329999999999998</v>
          </cell>
          <cell r="E7216">
            <v>7.07</v>
          </cell>
          <cell r="H7216">
            <v>45592</v>
          </cell>
          <cell r="I7216">
            <v>0.74777777777777776</v>
          </cell>
          <cell r="J7216">
            <v>26.135555555555555</v>
          </cell>
        </row>
        <row r="7217">
          <cell r="B7217">
            <v>44.94</v>
          </cell>
          <cell r="C7217">
            <v>97.11</v>
          </cell>
          <cell r="D7217">
            <v>18.36</v>
          </cell>
          <cell r="E7217">
            <v>6.64</v>
          </cell>
          <cell r="H7217">
            <v>45592</v>
          </cell>
          <cell r="I7217">
            <v>0.73333333333333328</v>
          </cell>
          <cell r="J7217">
            <v>26.985555555555557</v>
          </cell>
        </row>
        <row r="7218">
          <cell r="B7218">
            <v>42.84</v>
          </cell>
          <cell r="C7218">
            <v>83.96</v>
          </cell>
          <cell r="D7218">
            <v>18.09</v>
          </cell>
          <cell r="E7218">
            <v>6.72</v>
          </cell>
          <cell r="H7218">
            <v>45592</v>
          </cell>
          <cell r="I7218">
            <v>0.72333333333333327</v>
          </cell>
          <cell r="J7218">
            <v>27.583333333333332</v>
          </cell>
        </row>
        <row r="7219">
          <cell r="B7219">
            <v>43</v>
          </cell>
          <cell r="C7219">
            <v>90.16</v>
          </cell>
          <cell r="D7219">
            <v>23.16</v>
          </cell>
          <cell r="E7219">
            <v>6.96</v>
          </cell>
          <cell r="H7219">
            <v>45592</v>
          </cell>
          <cell r="I7219">
            <v>0.7188888888888888</v>
          </cell>
          <cell r="J7219">
            <v>27.742222222222221</v>
          </cell>
        </row>
        <row r="7220">
          <cell r="B7220">
            <v>47.59</v>
          </cell>
          <cell r="C7220">
            <v>96.29</v>
          </cell>
          <cell r="D7220">
            <v>23.71</v>
          </cell>
          <cell r="E7220">
            <v>7.15</v>
          </cell>
          <cell r="H7220">
            <v>45592</v>
          </cell>
          <cell r="I7220">
            <v>0.74222222222222223</v>
          </cell>
          <cell r="J7220">
            <v>27.29</v>
          </cell>
        </row>
        <row r="7221">
          <cell r="B7221">
            <v>66.19</v>
          </cell>
          <cell r="C7221">
            <v>132.97</v>
          </cell>
          <cell r="D7221">
            <v>26.02</v>
          </cell>
          <cell r="E7221">
            <v>7.15</v>
          </cell>
          <cell r="H7221">
            <v>45592</v>
          </cell>
          <cell r="I7221">
            <v>0.79333333333333345</v>
          </cell>
          <cell r="J7221">
            <v>26.242222222222217</v>
          </cell>
        </row>
        <row r="7222">
          <cell r="B7222">
            <v>73.27</v>
          </cell>
          <cell r="C7222">
            <v>144.55000000000001</v>
          </cell>
          <cell r="D7222">
            <v>20.74</v>
          </cell>
          <cell r="E7222">
            <v>7.11</v>
          </cell>
          <cell r="H7222">
            <v>45592</v>
          </cell>
          <cell r="I7222">
            <v>0.8666666666666667</v>
          </cell>
          <cell r="J7222">
            <v>25.082222222222221</v>
          </cell>
        </row>
        <row r="7223">
          <cell r="B7223">
            <v>79.739999999999995</v>
          </cell>
          <cell r="C7223">
            <v>164.1</v>
          </cell>
          <cell r="D7223">
            <v>21.37</v>
          </cell>
          <cell r="E7223">
            <v>7.4</v>
          </cell>
          <cell r="H7223">
            <v>45592</v>
          </cell>
          <cell r="I7223">
            <v>0.95777777777777773</v>
          </cell>
          <cell r="J7223">
            <v>24.012222222222221</v>
          </cell>
        </row>
        <row r="7224">
          <cell r="B7224">
            <v>88.59</v>
          </cell>
          <cell r="C7224">
            <v>188.9</v>
          </cell>
          <cell r="D7224">
            <v>21.3</v>
          </cell>
          <cell r="E7224">
            <v>7.71</v>
          </cell>
          <cell r="H7224">
            <v>45592</v>
          </cell>
          <cell r="I7224">
            <v>1.0533333333333335</v>
          </cell>
          <cell r="J7224">
            <v>23.44777777777778</v>
          </cell>
        </row>
        <row r="7225">
          <cell r="B7225">
            <v>88.81</v>
          </cell>
          <cell r="C7225">
            <v>180.64</v>
          </cell>
          <cell r="D7225">
            <v>21.11</v>
          </cell>
          <cell r="E7225">
            <v>7.09</v>
          </cell>
          <cell r="H7225">
            <v>45592</v>
          </cell>
          <cell r="I7225">
            <v>1.1433333333333335</v>
          </cell>
          <cell r="J7225">
            <v>22.673333333333332</v>
          </cell>
        </row>
        <row r="7226">
          <cell r="B7226">
            <v>84.21</v>
          </cell>
          <cell r="C7226">
            <v>166.08</v>
          </cell>
          <cell r="D7226">
            <v>18.87</v>
          </cell>
          <cell r="E7226">
            <v>6.59</v>
          </cell>
          <cell r="H7226">
            <v>45593</v>
          </cell>
          <cell r="I7226">
            <v>1.2377777777777779</v>
          </cell>
          <cell r="J7226">
            <v>21.782222222222224</v>
          </cell>
        </row>
        <row r="7227">
          <cell r="B7227">
            <v>85.88</v>
          </cell>
          <cell r="C7227">
            <v>167.13</v>
          </cell>
          <cell r="D7227">
            <v>19.059999999999999</v>
          </cell>
          <cell r="E7227">
            <v>6.29</v>
          </cell>
          <cell r="H7227">
            <v>45593</v>
          </cell>
          <cell r="I7227">
            <v>1.3366666666666667</v>
          </cell>
          <cell r="J7227">
            <v>21.062222222222221</v>
          </cell>
        </row>
        <row r="7228">
          <cell r="B7228">
            <v>82.51</v>
          </cell>
          <cell r="C7228">
            <v>154.46</v>
          </cell>
          <cell r="D7228">
            <v>18.399999999999999</v>
          </cell>
          <cell r="E7228">
            <v>6.19</v>
          </cell>
          <cell r="H7228">
            <v>45593</v>
          </cell>
          <cell r="I7228">
            <v>1.3866666666666665</v>
          </cell>
          <cell r="J7228">
            <v>20.582222222222221</v>
          </cell>
        </row>
        <row r="7229">
          <cell r="B7229">
            <v>80.25</v>
          </cell>
          <cell r="C7229">
            <v>144.38</v>
          </cell>
          <cell r="D7229">
            <v>16.47</v>
          </cell>
          <cell r="E7229">
            <v>5.74</v>
          </cell>
          <cell r="H7229">
            <v>45593</v>
          </cell>
          <cell r="I7229">
            <v>1.3655555555555554</v>
          </cell>
          <cell r="J7229">
            <v>20.431111111111111</v>
          </cell>
        </row>
        <row r="7230">
          <cell r="B7230">
            <v>71.77</v>
          </cell>
          <cell r="C7230">
            <v>123.02</v>
          </cell>
          <cell r="D7230">
            <v>15.03</v>
          </cell>
          <cell r="E7230">
            <v>5.3</v>
          </cell>
          <cell r="H7230">
            <v>45593</v>
          </cell>
          <cell r="I7230">
            <v>1.322222222222222</v>
          </cell>
          <cell r="J7230">
            <v>20.564444444444447</v>
          </cell>
        </row>
        <row r="7231">
          <cell r="B7231">
            <v>64.92</v>
          </cell>
          <cell r="C7231">
            <v>110.78</v>
          </cell>
          <cell r="D7231">
            <v>14.91</v>
          </cell>
          <cell r="E7231">
            <v>5.32</v>
          </cell>
          <cell r="H7231">
            <v>45593</v>
          </cell>
          <cell r="I7231">
            <v>1.2555555555555555</v>
          </cell>
          <cell r="J7231">
            <v>20.694444444444443</v>
          </cell>
        </row>
        <row r="7232">
          <cell r="B7232">
            <v>63.13</v>
          </cell>
          <cell r="C7232">
            <v>112.39</v>
          </cell>
          <cell r="D7232">
            <v>15.21</v>
          </cell>
          <cell r="E7232">
            <v>5.68</v>
          </cell>
          <cell r="H7232">
            <v>45593</v>
          </cell>
          <cell r="I7232">
            <v>1.17</v>
          </cell>
          <cell r="J7232">
            <v>20.78777777777778</v>
          </cell>
        </row>
        <row r="7233">
          <cell r="B7233">
            <v>67.98</v>
          </cell>
          <cell r="C7233">
            <v>123.29</v>
          </cell>
          <cell r="D7233">
            <v>15.3</v>
          </cell>
          <cell r="E7233">
            <v>5.36</v>
          </cell>
          <cell r="H7233">
            <v>45593</v>
          </cell>
          <cell r="I7233">
            <v>1.0777777777777777</v>
          </cell>
          <cell r="J7233">
            <v>20.718888888888891</v>
          </cell>
        </row>
        <row r="7234">
          <cell r="B7234">
            <v>62.77</v>
          </cell>
          <cell r="C7234">
            <v>114.66</v>
          </cell>
          <cell r="D7234">
            <v>15.73</v>
          </cell>
          <cell r="E7234">
            <v>5.24</v>
          </cell>
          <cell r="H7234">
            <v>45593</v>
          </cell>
          <cell r="I7234">
            <v>0.99444444444444458</v>
          </cell>
          <cell r="J7234">
            <v>21.016666666666666</v>
          </cell>
        </row>
        <row r="7235">
          <cell r="B7235">
            <v>48.56</v>
          </cell>
          <cell r="C7235">
            <v>101.23</v>
          </cell>
          <cell r="D7235">
            <v>14.86</v>
          </cell>
          <cell r="E7235">
            <v>5.82</v>
          </cell>
          <cell r="H7235">
            <v>45593</v>
          </cell>
          <cell r="I7235">
            <v>0.9144444444444445</v>
          </cell>
          <cell r="J7235">
            <v>21.488888888888887</v>
          </cell>
        </row>
        <row r="7236">
          <cell r="B7236">
            <v>44.99</v>
          </cell>
          <cell r="C7236">
            <v>95.49</v>
          </cell>
          <cell r="D7236">
            <v>15.74</v>
          </cell>
          <cell r="E7236">
            <v>5.89</v>
          </cell>
          <cell r="H7236">
            <v>45593</v>
          </cell>
          <cell r="I7236">
            <v>0.82333333333333325</v>
          </cell>
          <cell r="J7236">
            <v>22.36333333333333</v>
          </cell>
        </row>
        <row r="7237">
          <cell r="B7237">
            <v>40.74</v>
          </cell>
          <cell r="C7237">
            <v>84.58</v>
          </cell>
          <cell r="D7237">
            <v>16.559999999999999</v>
          </cell>
          <cell r="E7237">
            <v>5.83</v>
          </cell>
          <cell r="H7237">
            <v>45593</v>
          </cell>
          <cell r="I7237">
            <v>0.76333333333333331</v>
          </cell>
          <cell r="J7237">
            <v>23.608888888888888</v>
          </cell>
        </row>
        <row r="7238">
          <cell r="B7238">
            <v>39.020000000000003</v>
          </cell>
          <cell r="C7238">
            <v>85.07</v>
          </cell>
          <cell r="D7238">
            <v>17.260000000000002</v>
          </cell>
          <cell r="E7238">
            <v>5.87</v>
          </cell>
          <cell r="H7238">
            <v>45593</v>
          </cell>
          <cell r="I7238">
            <v>0.7566666666666666</v>
          </cell>
          <cell r="J7238">
            <v>25.315555555555555</v>
          </cell>
        </row>
        <row r="7239">
          <cell r="B7239">
            <v>37.01</v>
          </cell>
          <cell r="C7239">
            <v>86.71</v>
          </cell>
          <cell r="D7239">
            <v>17.96</v>
          </cell>
          <cell r="E7239">
            <v>6.85</v>
          </cell>
          <cell r="H7239">
            <v>45593</v>
          </cell>
          <cell r="I7239">
            <v>0.73222222222222222</v>
          </cell>
          <cell r="J7239">
            <v>27.264444444444443</v>
          </cell>
        </row>
        <row r="7240">
          <cell r="B7240">
            <v>34.549999999999997</v>
          </cell>
          <cell r="C7240">
            <v>97.63</v>
          </cell>
          <cell r="D7240">
            <v>18</v>
          </cell>
          <cell r="E7240">
            <v>5.99</v>
          </cell>
          <cell r="H7240">
            <v>45593</v>
          </cell>
          <cell r="I7240">
            <v>0.7088888888888889</v>
          </cell>
          <cell r="J7240">
            <v>28.91333333333333</v>
          </cell>
        </row>
        <row r="7241">
          <cell r="B7241">
            <v>35.450000000000003</v>
          </cell>
          <cell r="C7241">
            <v>94.92</v>
          </cell>
          <cell r="D7241">
            <v>18.920000000000002</v>
          </cell>
          <cell r="E7241">
            <v>6.43</v>
          </cell>
          <cell r="H7241">
            <v>45593</v>
          </cell>
          <cell r="I7241">
            <v>0.68777777777777782</v>
          </cell>
          <cell r="J7241">
            <v>30.515555555555554</v>
          </cell>
        </row>
        <row r="7242">
          <cell r="B7242">
            <v>37.770000000000003</v>
          </cell>
          <cell r="C7242">
            <v>89.12</v>
          </cell>
          <cell r="D7242">
            <v>19.350000000000001</v>
          </cell>
          <cell r="E7242">
            <v>6.22</v>
          </cell>
          <cell r="H7242">
            <v>45593</v>
          </cell>
          <cell r="I7242">
            <v>0.67</v>
          </cell>
          <cell r="J7242">
            <v>31.85777777777778</v>
          </cell>
        </row>
        <row r="7243">
          <cell r="B7243">
            <v>40.71</v>
          </cell>
          <cell r="C7243">
            <v>93.18</v>
          </cell>
          <cell r="D7243">
            <v>20.74</v>
          </cell>
          <cell r="E7243">
            <v>6.21</v>
          </cell>
          <cell r="H7243">
            <v>45593</v>
          </cell>
          <cell r="I7243">
            <v>0.66333333333333344</v>
          </cell>
          <cell r="J7243">
            <v>32.574444444444445</v>
          </cell>
        </row>
        <row r="7244">
          <cell r="B7244">
            <v>45.87</v>
          </cell>
          <cell r="C7244">
            <v>104.49</v>
          </cell>
          <cell r="D7244">
            <v>20.85</v>
          </cell>
          <cell r="E7244">
            <v>6.77</v>
          </cell>
          <cell r="H7244">
            <v>45593</v>
          </cell>
          <cell r="I7244">
            <v>0.68222222222222217</v>
          </cell>
          <cell r="J7244">
            <v>32.644444444444446</v>
          </cell>
        </row>
        <row r="7245">
          <cell r="B7245">
            <v>64.14</v>
          </cell>
          <cell r="C7245">
            <v>141.04</v>
          </cell>
          <cell r="D7245">
            <v>24.8</v>
          </cell>
          <cell r="E7245">
            <v>7.78</v>
          </cell>
          <cell r="H7245">
            <v>45593</v>
          </cell>
          <cell r="I7245">
            <v>0.73888888888888893</v>
          </cell>
          <cell r="J7245">
            <v>31.756666666666668</v>
          </cell>
        </row>
        <row r="7246">
          <cell r="B7246">
            <v>69.88</v>
          </cell>
          <cell r="C7246">
            <v>158.12</v>
          </cell>
          <cell r="D7246">
            <v>24.29</v>
          </cell>
          <cell r="E7246">
            <v>8.14</v>
          </cell>
          <cell r="H7246">
            <v>45593</v>
          </cell>
          <cell r="I7246">
            <v>0.81222222222222229</v>
          </cell>
          <cell r="J7246">
            <v>30.472222222222214</v>
          </cell>
        </row>
        <row r="7247">
          <cell r="B7247">
            <v>71.72</v>
          </cell>
          <cell r="C7247">
            <v>154.37</v>
          </cell>
          <cell r="D7247">
            <v>20.76</v>
          </cell>
          <cell r="E7247">
            <v>7.57</v>
          </cell>
          <cell r="H7247">
            <v>45593</v>
          </cell>
          <cell r="I7247">
            <v>0.84333333333333338</v>
          </cell>
          <cell r="J7247">
            <v>28.656666666666663</v>
          </cell>
        </row>
        <row r="7248">
          <cell r="B7248">
            <v>66.37</v>
          </cell>
          <cell r="C7248">
            <v>140.37</v>
          </cell>
          <cell r="D7248">
            <v>19.5</v>
          </cell>
          <cell r="E7248">
            <v>8</v>
          </cell>
          <cell r="H7248">
            <v>45593</v>
          </cell>
          <cell r="I7248">
            <v>0.87444444444444447</v>
          </cell>
          <cell r="J7248">
            <v>26.7</v>
          </cell>
        </row>
        <row r="7249">
          <cell r="B7249">
            <v>60.85</v>
          </cell>
          <cell r="C7249">
            <v>124.72</v>
          </cell>
          <cell r="D7249">
            <v>19.010000000000002</v>
          </cell>
          <cell r="E7249">
            <v>6.29</v>
          </cell>
          <cell r="H7249">
            <v>45593</v>
          </cell>
          <cell r="I7249">
            <v>0.88111111111111107</v>
          </cell>
          <cell r="J7249">
            <v>25.27</v>
          </cell>
        </row>
        <row r="7250">
          <cell r="B7250">
            <v>57.96</v>
          </cell>
          <cell r="C7250">
            <v>114.34</v>
          </cell>
          <cell r="D7250">
            <v>18.71</v>
          </cell>
          <cell r="E7250">
            <v>6.62</v>
          </cell>
          <cell r="H7250">
            <v>45594</v>
          </cell>
          <cell r="I7250">
            <v>0.89222222222222214</v>
          </cell>
          <cell r="J7250">
            <v>23.991111111111113</v>
          </cell>
        </row>
        <row r="7251">
          <cell r="B7251">
            <v>56.78</v>
          </cell>
          <cell r="C7251">
            <v>108.25</v>
          </cell>
          <cell r="D7251">
            <v>17.079999999999998</v>
          </cell>
          <cell r="E7251">
            <v>7</v>
          </cell>
          <cell r="H7251">
            <v>45594</v>
          </cell>
          <cell r="I7251">
            <v>0.89222222222222236</v>
          </cell>
          <cell r="J7251">
            <v>23.023333333333337</v>
          </cell>
        </row>
        <row r="7252">
          <cell r="B7252">
            <v>54.59</v>
          </cell>
          <cell r="C7252">
            <v>102.85</v>
          </cell>
          <cell r="D7252">
            <v>16.989999999999998</v>
          </cell>
          <cell r="E7252">
            <v>7.19</v>
          </cell>
          <cell r="H7252">
            <v>45594</v>
          </cell>
          <cell r="I7252">
            <v>0.87888888888888894</v>
          </cell>
          <cell r="J7252">
            <v>22.384444444444448</v>
          </cell>
        </row>
        <row r="7253">
          <cell r="B7253">
            <v>56.28</v>
          </cell>
          <cell r="C7253">
            <v>102</v>
          </cell>
          <cell r="D7253">
            <v>17.600000000000001</v>
          </cell>
          <cell r="E7253">
            <v>7.3</v>
          </cell>
          <cell r="H7253">
            <v>45594</v>
          </cell>
          <cell r="I7253">
            <v>0.84</v>
          </cell>
          <cell r="J7253">
            <v>22.176666666666666</v>
          </cell>
        </row>
        <row r="7254">
          <cell r="B7254">
            <v>55.86</v>
          </cell>
          <cell r="C7254">
            <v>100.7</v>
          </cell>
          <cell r="D7254">
            <v>17.37</v>
          </cell>
          <cell r="E7254">
            <v>7.4</v>
          </cell>
          <cell r="H7254">
            <v>45594</v>
          </cell>
          <cell r="I7254">
            <v>0.77222222222222225</v>
          </cell>
          <cell r="J7254">
            <v>22.454444444444444</v>
          </cell>
        </row>
        <row r="7255">
          <cell r="B7255">
            <v>57.57</v>
          </cell>
          <cell r="C7255">
            <v>101.26</v>
          </cell>
          <cell r="D7255">
            <v>18.059999999999999</v>
          </cell>
          <cell r="E7255">
            <v>7.16</v>
          </cell>
          <cell r="H7255">
            <v>45594</v>
          </cell>
          <cell r="I7255">
            <v>0.70666666666666655</v>
          </cell>
          <cell r="J7255">
            <v>22.774444444444441</v>
          </cell>
        </row>
        <row r="7256">
          <cell r="B7256">
            <v>56.86</v>
          </cell>
          <cell r="C7256">
            <v>101.02</v>
          </cell>
          <cell r="D7256">
            <v>18.72</v>
          </cell>
          <cell r="E7256">
            <v>8.1</v>
          </cell>
          <cell r="H7256">
            <v>45594</v>
          </cell>
          <cell r="I7256">
            <v>0.68111111111111122</v>
          </cell>
          <cell r="J7256">
            <v>23.042222222222218</v>
          </cell>
        </row>
        <row r="7257">
          <cell r="B7257">
            <v>55.32</v>
          </cell>
          <cell r="C7257">
            <v>116.79</v>
          </cell>
          <cell r="D7257">
            <v>19.989999999999998</v>
          </cell>
          <cell r="E7257">
            <v>7.22</v>
          </cell>
          <cell r="H7257">
            <v>45594</v>
          </cell>
          <cell r="I7257">
            <v>0.67222222222222228</v>
          </cell>
          <cell r="J7257">
            <v>23.293333333333333</v>
          </cell>
        </row>
        <row r="7258">
          <cell r="B7258">
            <v>53.24</v>
          </cell>
          <cell r="C7258">
            <v>131.76</v>
          </cell>
          <cell r="D7258">
            <v>18.63</v>
          </cell>
          <cell r="E7258">
            <v>6.48</v>
          </cell>
          <cell r="H7258">
            <v>45594</v>
          </cell>
          <cell r="I7258">
            <v>0.68555555555555558</v>
          </cell>
          <cell r="J7258">
            <v>23.553333333333327</v>
          </cell>
        </row>
        <row r="7259">
          <cell r="B7259">
            <v>43.22</v>
          </cell>
          <cell r="C7259">
            <v>96.01</v>
          </cell>
          <cell r="D7259">
            <v>18.46</v>
          </cell>
          <cell r="E7259">
            <v>6.81</v>
          </cell>
          <cell r="H7259">
            <v>45594</v>
          </cell>
          <cell r="I7259">
            <v>0.69111111111111123</v>
          </cell>
          <cell r="J7259">
            <v>24.015555555555551</v>
          </cell>
        </row>
        <row r="7260">
          <cell r="B7260">
            <v>40.44</v>
          </cell>
          <cell r="C7260">
            <v>93.82</v>
          </cell>
          <cell r="D7260">
            <v>16.55</v>
          </cell>
          <cell r="E7260">
            <v>7.33</v>
          </cell>
          <cell r="H7260">
            <v>45594</v>
          </cell>
          <cell r="I7260">
            <v>0.69111111111111112</v>
          </cell>
          <cell r="J7260">
            <v>24.997777777777774</v>
          </cell>
        </row>
        <row r="7261">
          <cell r="B7261">
            <v>37.450000000000003</v>
          </cell>
          <cell r="C7261">
            <v>88.28</v>
          </cell>
          <cell r="D7261">
            <v>16.920000000000002</v>
          </cell>
          <cell r="E7261">
            <v>7.74</v>
          </cell>
          <cell r="H7261">
            <v>45594</v>
          </cell>
          <cell r="I7261">
            <v>0.69666666666666655</v>
          </cell>
          <cell r="J7261">
            <v>26.004444444444445</v>
          </cell>
        </row>
        <row r="7262">
          <cell r="B7262">
            <v>31.14</v>
          </cell>
          <cell r="C7262">
            <v>76.010000000000005</v>
          </cell>
          <cell r="D7262">
            <v>17.21</v>
          </cell>
          <cell r="E7262">
            <v>7.84</v>
          </cell>
          <cell r="H7262">
            <v>45594</v>
          </cell>
          <cell r="I7262">
            <v>0.7</v>
          </cell>
          <cell r="J7262">
            <v>26.735555555555557</v>
          </cell>
        </row>
        <row r="7263">
          <cell r="B7263">
            <v>29.35</v>
          </cell>
          <cell r="C7263">
            <v>71.09</v>
          </cell>
          <cell r="D7263">
            <v>17.48</v>
          </cell>
          <cell r="E7263">
            <v>7.07</v>
          </cell>
          <cell r="H7263">
            <v>45594</v>
          </cell>
          <cell r="I7263">
            <v>0.69666666666666677</v>
          </cell>
          <cell r="J7263">
            <v>27.376666666666669</v>
          </cell>
        </row>
        <row r="7264">
          <cell r="B7264">
            <v>31.39</v>
          </cell>
          <cell r="C7264">
            <v>71.349999999999994</v>
          </cell>
          <cell r="D7264">
            <v>16.489999999999998</v>
          </cell>
          <cell r="E7264">
            <v>7.22</v>
          </cell>
          <cell r="H7264">
            <v>45594</v>
          </cell>
          <cell r="I7264">
            <v>0.68777777777777782</v>
          </cell>
          <cell r="J7264">
            <v>28.014444444444447</v>
          </cell>
        </row>
        <row r="7265">
          <cell r="B7265">
            <v>32.369999999999997</v>
          </cell>
          <cell r="C7265">
            <v>72.78</v>
          </cell>
          <cell r="D7265">
            <v>16.79</v>
          </cell>
          <cell r="E7265">
            <v>7.07</v>
          </cell>
          <cell r="H7265">
            <v>45594</v>
          </cell>
          <cell r="I7265">
            <v>0.68</v>
          </cell>
          <cell r="J7265">
            <v>28.698888888888892</v>
          </cell>
        </row>
        <row r="7266">
          <cell r="B7266">
            <v>36.909999999999997</v>
          </cell>
          <cell r="C7266">
            <v>85.8</v>
          </cell>
          <cell r="D7266">
            <v>16.45</v>
          </cell>
          <cell r="E7266">
            <v>6.91</v>
          </cell>
          <cell r="H7266">
            <v>45594</v>
          </cell>
          <cell r="I7266">
            <v>0.6644444444444445</v>
          </cell>
          <cell r="J7266">
            <v>29.173333333333332</v>
          </cell>
        </row>
        <row r="7267">
          <cell r="B7267">
            <v>35.58</v>
          </cell>
          <cell r="C7267">
            <v>82.5</v>
          </cell>
          <cell r="D7267">
            <v>16.940000000000001</v>
          </cell>
          <cell r="E7267">
            <v>7.6</v>
          </cell>
          <cell r="H7267">
            <v>45594</v>
          </cell>
          <cell r="I7267">
            <v>0.65888888888888886</v>
          </cell>
          <cell r="J7267">
            <v>29.205555555555559</v>
          </cell>
        </row>
        <row r="7268">
          <cell r="B7268">
            <v>43.81</v>
          </cell>
          <cell r="C7268">
            <v>98.54</v>
          </cell>
          <cell r="D7268">
            <v>18.28</v>
          </cell>
          <cell r="E7268">
            <v>7.77</v>
          </cell>
          <cell r="H7268">
            <v>45594</v>
          </cell>
          <cell r="I7268">
            <v>0.6711111111111111</v>
          </cell>
          <cell r="J7268">
            <v>28.704444444444448</v>
          </cell>
        </row>
        <row r="7269">
          <cell r="B7269">
            <v>65.099999999999994</v>
          </cell>
          <cell r="C7269">
            <v>147.28</v>
          </cell>
          <cell r="D7269">
            <v>19.100000000000001</v>
          </cell>
          <cell r="E7269">
            <v>8.14</v>
          </cell>
          <cell r="H7269">
            <v>45594</v>
          </cell>
          <cell r="I7269">
            <v>0.72333333333333327</v>
          </cell>
          <cell r="J7269">
            <v>27.266666666666669</v>
          </cell>
        </row>
        <row r="7270">
          <cell r="B7270">
            <v>82.79</v>
          </cell>
          <cell r="C7270">
            <v>173.08</v>
          </cell>
          <cell r="D7270">
            <v>21.75</v>
          </cell>
          <cell r="E7270">
            <v>8.9700000000000006</v>
          </cell>
          <cell r="H7270">
            <v>45594</v>
          </cell>
          <cell r="I7270">
            <v>0.82111111111111112</v>
          </cell>
          <cell r="J7270">
            <v>25.715555555555557</v>
          </cell>
        </row>
        <row r="7271">
          <cell r="B7271">
            <v>76.2</v>
          </cell>
          <cell r="C7271">
            <v>172.74</v>
          </cell>
          <cell r="D7271">
            <v>21.74</v>
          </cell>
          <cell r="E7271">
            <v>8.6999999999999993</v>
          </cell>
          <cell r="H7271">
            <v>45594</v>
          </cell>
          <cell r="I7271">
            <v>0.93222222222222229</v>
          </cell>
          <cell r="J7271">
            <v>24.684444444444448</v>
          </cell>
        </row>
        <row r="7272">
          <cell r="B7272">
            <v>86.15</v>
          </cell>
          <cell r="C7272">
            <v>191.84</v>
          </cell>
          <cell r="D7272">
            <v>20.03</v>
          </cell>
          <cell r="E7272">
            <v>7.6</v>
          </cell>
          <cell r="H7272">
            <v>45594</v>
          </cell>
          <cell r="I7272">
            <v>1.0133333333333334</v>
          </cell>
          <cell r="J7272">
            <v>23.523333333333337</v>
          </cell>
        </row>
        <row r="7273">
          <cell r="B7273">
            <v>78.709999999999994</v>
          </cell>
          <cell r="C7273">
            <v>165.59</v>
          </cell>
          <cell r="D7273">
            <v>19.420000000000002</v>
          </cell>
          <cell r="E7273">
            <v>7.71</v>
          </cell>
          <cell r="H7273">
            <v>45594</v>
          </cell>
          <cell r="I7273">
            <v>1.0566666666666664</v>
          </cell>
          <cell r="J7273">
            <v>22.361111111111111</v>
          </cell>
        </row>
        <row r="7274">
          <cell r="B7274">
            <v>72.349999999999994</v>
          </cell>
          <cell r="C7274">
            <v>156.37</v>
          </cell>
          <cell r="D7274">
            <v>19.63</v>
          </cell>
          <cell r="E7274">
            <v>7.54</v>
          </cell>
          <cell r="H7274">
            <v>45595</v>
          </cell>
          <cell r="I7274">
            <v>1.0833333333333333</v>
          </cell>
          <cell r="J7274">
            <v>21.148888888888887</v>
          </cell>
        </row>
        <row r="7275">
          <cell r="B7275">
            <v>64.81</v>
          </cell>
          <cell r="C7275">
            <v>145.31</v>
          </cell>
          <cell r="D7275">
            <v>18.739999999999998</v>
          </cell>
          <cell r="E7275">
            <v>7.76</v>
          </cell>
          <cell r="H7275">
            <v>45595</v>
          </cell>
          <cell r="I7275">
            <v>1.1122222222222222</v>
          </cell>
          <cell r="J7275">
            <v>20.356666666666669</v>
          </cell>
        </row>
        <row r="7276">
          <cell r="B7276">
            <v>58.93</v>
          </cell>
          <cell r="C7276">
            <v>136.35</v>
          </cell>
          <cell r="D7276">
            <v>17.16</v>
          </cell>
          <cell r="E7276">
            <v>7.6</v>
          </cell>
          <cell r="H7276">
            <v>45595</v>
          </cell>
          <cell r="I7276">
            <v>1.1222222222222225</v>
          </cell>
          <cell r="J7276">
            <v>19.86333333333333</v>
          </cell>
        </row>
        <row r="7277">
          <cell r="B7277">
            <v>53.49</v>
          </cell>
          <cell r="C7277">
            <v>112.18</v>
          </cell>
          <cell r="D7277">
            <v>16.809999999999999</v>
          </cell>
          <cell r="E7277">
            <v>7.63</v>
          </cell>
          <cell r="H7277">
            <v>45595</v>
          </cell>
          <cell r="I7277">
            <v>1.1011111111111114</v>
          </cell>
          <cell r="J7277">
            <v>19.36</v>
          </cell>
        </row>
        <row r="7278">
          <cell r="B7278">
            <v>51.17</v>
          </cell>
          <cell r="C7278">
            <v>103.99</v>
          </cell>
          <cell r="D7278">
            <v>16.899999999999999</v>
          </cell>
          <cell r="E7278">
            <v>7.39</v>
          </cell>
          <cell r="H7278">
            <v>45595</v>
          </cell>
          <cell r="I7278">
            <v>1.0522222222222224</v>
          </cell>
          <cell r="J7278">
            <v>19.181111111111115</v>
          </cell>
        </row>
        <row r="7279">
          <cell r="B7279">
            <v>54.11</v>
          </cell>
          <cell r="C7279">
            <v>92.08</v>
          </cell>
          <cell r="D7279">
            <v>16.95</v>
          </cell>
          <cell r="E7279">
            <v>6.98</v>
          </cell>
          <cell r="H7279">
            <v>45595</v>
          </cell>
          <cell r="I7279">
            <v>0.95666666666666678</v>
          </cell>
          <cell r="J7279">
            <v>19.130000000000003</v>
          </cell>
        </row>
        <row r="7280">
          <cell r="B7280">
            <v>56.01</v>
          </cell>
          <cell r="C7280">
            <v>100.4</v>
          </cell>
          <cell r="D7280">
            <v>17.190000000000001</v>
          </cell>
          <cell r="E7280">
            <v>7.58</v>
          </cell>
          <cell r="H7280">
            <v>45595</v>
          </cell>
          <cell r="I7280">
            <v>0.85777777777777786</v>
          </cell>
          <cell r="J7280">
            <v>18.808888888888887</v>
          </cell>
        </row>
        <row r="7281">
          <cell r="B7281">
            <v>57.34</v>
          </cell>
          <cell r="C7281">
            <v>105.7</v>
          </cell>
          <cell r="D7281">
            <v>17.47</v>
          </cell>
          <cell r="E7281">
            <v>6.96</v>
          </cell>
          <cell r="H7281">
            <v>45595</v>
          </cell>
          <cell r="I7281">
            <v>0.79555555555555557</v>
          </cell>
          <cell r="J7281">
            <v>18.714444444444442</v>
          </cell>
        </row>
        <row r="7282">
          <cell r="B7282">
            <v>61.61</v>
          </cell>
          <cell r="C7282">
            <v>115.48</v>
          </cell>
          <cell r="D7282">
            <v>17.84</v>
          </cell>
          <cell r="E7282">
            <v>6.87</v>
          </cell>
          <cell r="H7282">
            <v>45595</v>
          </cell>
          <cell r="I7282">
            <v>0.77222222222222214</v>
          </cell>
          <cell r="J7282">
            <v>18.731111111111112</v>
          </cell>
        </row>
        <row r="7283">
          <cell r="B7283">
            <v>64.459999999999994</v>
          </cell>
          <cell r="C7283">
            <v>123.1</v>
          </cell>
          <cell r="D7283">
            <v>17.920000000000002</v>
          </cell>
          <cell r="E7283">
            <v>7.39</v>
          </cell>
          <cell r="H7283">
            <v>45595</v>
          </cell>
          <cell r="I7283">
            <v>0.77</v>
          </cell>
          <cell r="J7283">
            <v>19.121111111111116</v>
          </cell>
        </row>
        <row r="7284">
          <cell r="B7284">
            <v>66.03</v>
          </cell>
          <cell r="C7284">
            <v>133.07</v>
          </cell>
          <cell r="D7284">
            <v>17</v>
          </cell>
          <cell r="E7284">
            <v>7.34</v>
          </cell>
          <cell r="H7284">
            <v>45595</v>
          </cell>
          <cell r="I7284">
            <v>0.77888888888888885</v>
          </cell>
          <cell r="J7284">
            <v>20.322222222222226</v>
          </cell>
        </row>
        <row r="7285">
          <cell r="B7285">
            <v>58.28</v>
          </cell>
          <cell r="C7285">
            <v>122.58</v>
          </cell>
          <cell r="D7285">
            <v>16.12</v>
          </cell>
          <cell r="E7285">
            <v>7.55</v>
          </cell>
          <cell r="H7285">
            <v>45595</v>
          </cell>
          <cell r="I7285">
            <v>0.7799999999999998</v>
          </cell>
          <cell r="J7285">
            <v>21.620000000000005</v>
          </cell>
        </row>
        <row r="7286">
          <cell r="B7286">
            <v>51.18</v>
          </cell>
          <cell r="C7286">
            <v>115.56</v>
          </cell>
          <cell r="D7286">
            <v>15.91</v>
          </cell>
          <cell r="E7286">
            <v>7.39</v>
          </cell>
          <cell r="H7286">
            <v>45595</v>
          </cell>
          <cell r="I7286">
            <v>0.80222222222222217</v>
          </cell>
          <cell r="J7286">
            <v>23.063333333333336</v>
          </cell>
        </row>
        <row r="7287">
          <cell r="B7287">
            <v>54.16</v>
          </cell>
          <cell r="C7287">
            <v>133.82</v>
          </cell>
          <cell r="D7287">
            <v>15.72</v>
          </cell>
          <cell r="E7287">
            <v>6.57</v>
          </cell>
          <cell r="H7287">
            <v>45595</v>
          </cell>
          <cell r="I7287">
            <v>0.81777777777777771</v>
          </cell>
          <cell r="J7287">
            <v>24.95</v>
          </cell>
        </row>
        <row r="7288">
          <cell r="B7288">
            <v>52.95</v>
          </cell>
          <cell r="C7288">
            <v>112.26</v>
          </cell>
          <cell r="D7288">
            <v>14.55</v>
          </cell>
          <cell r="E7288">
            <v>6.35</v>
          </cell>
          <cell r="H7288">
            <v>45595</v>
          </cell>
          <cell r="I7288">
            <v>0.82333333333333325</v>
          </cell>
          <cell r="J7288">
            <v>26.64222222222222</v>
          </cell>
        </row>
        <row r="7289">
          <cell r="B7289">
            <v>49.07</v>
          </cell>
          <cell r="C7289">
            <v>96.28</v>
          </cell>
          <cell r="D7289">
            <v>13.8</v>
          </cell>
          <cell r="E7289">
            <v>6.87</v>
          </cell>
          <cell r="H7289">
            <v>45595</v>
          </cell>
          <cell r="I7289">
            <v>0.82777777777777772</v>
          </cell>
          <cell r="J7289">
            <v>27.898888888888887</v>
          </cell>
        </row>
        <row r="7290">
          <cell r="B7290">
            <v>43.34</v>
          </cell>
          <cell r="C7290">
            <v>75.569999999999993</v>
          </cell>
          <cell r="D7290">
            <v>17.77</v>
          </cell>
          <cell r="E7290">
            <v>7.16</v>
          </cell>
          <cell r="H7290">
            <v>45595</v>
          </cell>
          <cell r="I7290">
            <v>0.85222222222222221</v>
          </cell>
          <cell r="J7290">
            <v>29.328888888888887</v>
          </cell>
        </row>
        <row r="7291">
          <cell r="B7291">
            <v>42.7</v>
          </cell>
          <cell r="C7291">
            <v>88.71</v>
          </cell>
          <cell r="D7291">
            <v>18.48</v>
          </cell>
          <cell r="E7291">
            <v>7.87</v>
          </cell>
          <cell r="H7291">
            <v>45595</v>
          </cell>
          <cell r="I7291">
            <v>0.90999999999999992</v>
          </cell>
          <cell r="J7291">
            <v>30.022222222222222</v>
          </cell>
        </row>
        <row r="7292">
          <cell r="B7292">
            <v>61.06</v>
          </cell>
          <cell r="C7292">
            <v>128.27000000000001</v>
          </cell>
          <cell r="D7292">
            <v>19.68</v>
          </cell>
          <cell r="E7292">
            <v>8.8800000000000008</v>
          </cell>
          <cell r="H7292">
            <v>45595</v>
          </cell>
          <cell r="I7292">
            <v>0.96444444444444444</v>
          </cell>
          <cell r="J7292">
            <v>30.012222222222217</v>
          </cell>
        </row>
        <row r="7293">
          <cell r="B7293">
            <v>57.9</v>
          </cell>
          <cell r="C7293">
            <v>137.36000000000001</v>
          </cell>
          <cell r="D7293">
            <v>19.399999999999999</v>
          </cell>
          <cell r="E7293">
            <v>8.9600000000000009</v>
          </cell>
          <cell r="H7293">
            <v>45595</v>
          </cell>
          <cell r="I7293">
            <v>1.0066666666666666</v>
          </cell>
          <cell r="J7293">
            <v>28.776666666666667</v>
          </cell>
        </row>
        <row r="7294">
          <cell r="B7294">
            <v>55.73</v>
          </cell>
          <cell r="C7294">
            <v>138.83000000000001</v>
          </cell>
          <cell r="D7294">
            <v>19.38</v>
          </cell>
          <cell r="E7294">
            <v>8.91</v>
          </cell>
          <cell r="H7294">
            <v>45595</v>
          </cell>
          <cell r="I7294">
            <v>1.0511111111111111</v>
          </cell>
          <cell r="J7294">
            <v>27.314444444444444</v>
          </cell>
        </row>
        <row r="7295">
          <cell r="B7295">
            <v>65.08</v>
          </cell>
          <cell r="C7295">
            <v>152.57</v>
          </cell>
          <cell r="D7295">
            <v>18.559999999999999</v>
          </cell>
          <cell r="E7295">
            <v>8.3000000000000007</v>
          </cell>
          <cell r="H7295">
            <v>45595</v>
          </cell>
          <cell r="I7295">
            <v>1.087777777777778</v>
          </cell>
          <cell r="J7295">
            <v>26.034444444444446</v>
          </cell>
        </row>
        <row r="7296">
          <cell r="B7296">
            <v>67.61</v>
          </cell>
          <cell r="C7296">
            <v>143.03</v>
          </cell>
          <cell r="D7296">
            <v>19.78</v>
          </cell>
          <cell r="E7296">
            <v>7.68</v>
          </cell>
          <cell r="H7296">
            <v>45595</v>
          </cell>
          <cell r="I7296">
            <v>1.1111111111111114</v>
          </cell>
          <cell r="J7296">
            <v>24.38111111111111</v>
          </cell>
        </row>
        <row r="7297">
          <cell r="B7297">
            <v>64.150000000000006</v>
          </cell>
          <cell r="C7297">
            <v>130.61000000000001</v>
          </cell>
          <cell r="D7297">
            <v>18.809999999999999</v>
          </cell>
          <cell r="E7297">
            <v>6.83</v>
          </cell>
          <cell r="H7297">
            <v>45595</v>
          </cell>
          <cell r="I7297">
            <v>1.1188888888888888</v>
          </cell>
          <cell r="J7297">
            <v>23.155555555555555</v>
          </cell>
        </row>
        <row r="7298">
          <cell r="B7298">
            <v>49.5</v>
          </cell>
          <cell r="C7298">
            <v>101.13</v>
          </cell>
          <cell r="D7298">
            <v>17.579999999999998</v>
          </cell>
          <cell r="E7298">
            <v>7.14</v>
          </cell>
          <cell r="H7298">
            <v>45596</v>
          </cell>
          <cell r="I7298">
            <v>1.1066666666666667</v>
          </cell>
          <cell r="J7298">
            <v>22.606666666666666</v>
          </cell>
        </row>
        <row r="7299">
          <cell r="B7299">
            <v>48.37</v>
          </cell>
          <cell r="C7299">
            <v>100.65</v>
          </cell>
          <cell r="D7299">
            <v>17.559999999999999</v>
          </cell>
          <cell r="E7299">
            <v>8.31</v>
          </cell>
          <cell r="H7299">
            <v>45596</v>
          </cell>
          <cell r="I7299">
            <v>1.0711111111111109</v>
          </cell>
          <cell r="J7299">
            <v>21.853333333333332</v>
          </cell>
        </row>
        <row r="7300">
          <cell r="B7300">
            <v>46.22</v>
          </cell>
          <cell r="C7300">
            <v>90.64</v>
          </cell>
          <cell r="D7300">
            <v>17.97</v>
          </cell>
          <cell r="E7300">
            <v>8.3000000000000007</v>
          </cell>
          <cell r="H7300">
            <v>45596</v>
          </cell>
          <cell r="I7300">
            <v>0.99888888888888872</v>
          </cell>
          <cell r="J7300">
            <v>21.693333333333335</v>
          </cell>
        </row>
        <row r="7301">
          <cell r="B7301">
            <v>43.37</v>
          </cell>
          <cell r="C7301">
            <v>90.89</v>
          </cell>
          <cell r="D7301">
            <v>17.32</v>
          </cell>
          <cell r="E7301">
            <v>8.48</v>
          </cell>
          <cell r="H7301">
            <v>45596</v>
          </cell>
          <cell r="I7301">
            <v>0.92111111111111121</v>
          </cell>
          <cell r="J7301">
            <v>21.894444444444446</v>
          </cell>
        </row>
        <row r="7302">
          <cell r="B7302">
            <v>42.37</v>
          </cell>
          <cell r="C7302">
            <v>77.900000000000006</v>
          </cell>
          <cell r="D7302">
            <v>17.16</v>
          </cell>
          <cell r="E7302">
            <v>8.49</v>
          </cell>
          <cell r="H7302">
            <v>45596</v>
          </cell>
          <cell r="I7302">
            <v>0.85444444444444445</v>
          </cell>
          <cell r="J7302">
            <v>22.175555555555555</v>
          </cell>
        </row>
        <row r="7303">
          <cell r="B7303">
            <v>44.45</v>
          </cell>
          <cell r="C7303">
            <v>77.89</v>
          </cell>
          <cell r="D7303">
            <v>17.23</v>
          </cell>
          <cell r="E7303">
            <v>7.89</v>
          </cell>
          <cell r="H7303">
            <v>45596</v>
          </cell>
          <cell r="I7303">
            <v>0.80333333333333323</v>
          </cell>
          <cell r="J7303">
            <v>22.561111111111114</v>
          </cell>
        </row>
        <row r="7304">
          <cell r="B7304">
            <v>42.41</v>
          </cell>
          <cell r="C7304">
            <v>87.73</v>
          </cell>
          <cell r="D7304">
            <v>17.37</v>
          </cell>
          <cell r="E7304">
            <v>8.1199999999999992</v>
          </cell>
          <cell r="H7304">
            <v>45596</v>
          </cell>
          <cell r="I7304">
            <v>0.7566666666666666</v>
          </cell>
          <cell r="J7304">
            <v>22.975555555555559</v>
          </cell>
        </row>
        <row r="7305">
          <cell r="B7305">
            <v>47.68</v>
          </cell>
          <cell r="C7305">
            <v>157.08000000000001</v>
          </cell>
          <cell r="D7305">
            <v>17.09</v>
          </cell>
          <cell r="E7305">
            <v>7.36</v>
          </cell>
          <cell r="H7305">
            <v>45596</v>
          </cell>
          <cell r="I7305">
            <v>0.74444444444444446</v>
          </cell>
          <cell r="J7305">
            <v>23.342222222222222</v>
          </cell>
        </row>
        <row r="7306">
          <cell r="B7306">
            <v>48.71</v>
          </cell>
          <cell r="C7306">
            <v>136.84</v>
          </cell>
          <cell r="D7306">
            <v>16.97</v>
          </cell>
          <cell r="E7306">
            <v>7.84</v>
          </cell>
          <cell r="H7306">
            <v>45596</v>
          </cell>
          <cell r="I7306">
            <v>0.74222222222222223</v>
          </cell>
          <cell r="J7306">
            <v>23.724444444444448</v>
          </cell>
        </row>
        <row r="7307">
          <cell r="B7307">
            <v>52.83</v>
          </cell>
          <cell r="C7307">
            <v>120.93</v>
          </cell>
          <cell r="D7307">
            <v>16.8</v>
          </cell>
          <cell r="E7307">
            <v>9.1</v>
          </cell>
          <cell r="H7307">
            <v>45596</v>
          </cell>
          <cell r="I7307">
            <v>0.74888888888888894</v>
          </cell>
          <cell r="J7307">
            <v>24.288888888888888</v>
          </cell>
        </row>
        <row r="7308">
          <cell r="B7308">
            <v>56.48</v>
          </cell>
          <cell r="C7308">
            <v>113.03</v>
          </cell>
          <cell r="D7308">
            <v>16.27</v>
          </cell>
          <cell r="E7308">
            <v>9.25</v>
          </cell>
          <cell r="H7308">
            <v>45596</v>
          </cell>
          <cell r="I7308">
            <v>0.75666666666666671</v>
          </cell>
          <cell r="J7308">
            <v>24.771111111111111</v>
          </cell>
        </row>
        <row r="7309">
          <cell r="B7309">
            <v>47.88</v>
          </cell>
          <cell r="C7309">
            <v>91.79</v>
          </cell>
          <cell r="D7309">
            <v>15.31</v>
          </cell>
          <cell r="E7309">
            <v>9.41</v>
          </cell>
          <cell r="H7309">
            <v>45596</v>
          </cell>
          <cell r="I7309">
            <v>0.7633333333333332</v>
          </cell>
          <cell r="J7309">
            <v>25.595555555555553</v>
          </cell>
        </row>
        <row r="7310">
          <cell r="B7310">
            <v>48.89</v>
          </cell>
          <cell r="C7310">
            <v>91.02</v>
          </cell>
          <cell r="D7310">
            <v>15.54</v>
          </cell>
          <cell r="E7310">
            <v>8.9</v>
          </cell>
          <cell r="H7310">
            <v>45596</v>
          </cell>
          <cell r="I7310">
            <v>0.77222222222222214</v>
          </cell>
          <cell r="J7310">
            <v>25.988888888888891</v>
          </cell>
        </row>
        <row r="7311">
          <cell r="B7311">
            <v>49.07</v>
          </cell>
          <cell r="C7311">
            <v>90.55</v>
          </cell>
          <cell r="D7311">
            <v>17.32</v>
          </cell>
          <cell r="E7311">
            <v>8.7799999999999994</v>
          </cell>
          <cell r="H7311">
            <v>45596</v>
          </cell>
          <cell r="I7311">
            <v>0.77</v>
          </cell>
          <cell r="J7311">
            <v>26.974444444444444</v>
          </cell>
        </row>
        <row r="7312">
          <cell r="B7312">
            <v>53.02</v>
          </cell>
          <cell r="C7312">
            <v>99.55</v>
          </cell>
          <cell r="D7312">
            <v>18.329999999999998</v>
          </cell>
          <cell r="E7312">
            <v>7.92</v>
          </cell>
          <cell r="H7312">
            <v>45596</v>
          </cell>
          <cell r="I7312">
            <v>0.77444444444444449</v>
          </cell>
          <cell r="J7312">
            <v>28.091111111111111</v>
          </cell>
        </row>
        <row r="7313">
          <cell r="B7313">
            <v>50.66</v>
          </cell>
          <cell r="C7313">
            <v>99.63</v>
          </cell>
          <cell r="D7313">
            <v>18.03</v>
          </cell>
          <cell r="E7313">
            <v>8.92</v>
          </cell>
          <cell r="H7313">
            <v>45596</v>
          </cell>
          <cell r="I7313">
            <v>0.78666666666666674</v>
          </cell>
          <cell r="J7313">
            <v>28.559999999999995</v>
          </cell>
        </row>
        <row r="7314">
          <cell r="B7314">
            <v>45.14</v>
          </cell>
          <cell r="C7314">
            <v>92.65</v>
          </cell>
          <cell r="D7314">
            <v>17.89</v>
          </cell>
          <cell r="E7314">
            <v>9.6300000000000008</v>
          </cell>
          <cell r="H7314">
            <v>45596</v>
          </cell>
          <cell r="I7314">
            <v>0.7777777777777779</v>
          </cell>
          <cell r="J7314">
            <v>28.925555555555555</v>
          </cell>
        </row>
        <row r="7315">
          <cell r="B7315">
            <v>53.04</v>
          </cell>
          <cell r="C7315">
            <v>112.78</v>
          </cell>
          <cell r="D7315">
            <v>18.03</v>
          </cell>
          <cell r="E7315">
            <v>9.69</v>
          </cell>
          <cell r="H7315">
            <v>45596</v>
          </cell>
          <cell r="I7315">
            <v>0.78444444444444461</v>
          </cell>
          <cell r="J7315">
            <v>29.148888888888887</v>
          </cell>
        </row>
        <row r="7316">
          <cell r="B7316">
            <v>61.78</v>
          </cell>
          <cell r="C7316">
            <v>120.81</v>
          </cell>
          <cell r="D7316">
            <v>18.2</v>
          </cell>
          <cell r="E7316">
            <v>10.88</v>
          </cell>
          <cell r="H7316">
            <v>45596</v>
          </cell>
          <cell r="I7316">
            <v>0.79333333333333345</v>
          </cell>
          <cell r="J7316">
            <v>28.775555555555556</v>
          </cell>
        </row>
        <row r="7317">
          <cell r="B7317">
            <v>76.84</v>
          </cell>
          <cell r="C7317">
            <v>146.53</v>
          </cell>
          <cell r="D7317">
            <v>20.89</v>
          </cell>
          <cell r="E7317">
            <v>11.11</v>
          </cell>
          <cell r="H7317">
            <v>45596</v>
          </cell>
          <cell r="I7317">
            <v>0.81444444444444453</v>
          </cell>
          <cell r="J7317">
            <v>28.606666666666666</v>
          </cell>
        </row>
        <row r="7318">
          <cell r="B7318">
            <v>114.59</v>
          </cell>
          <cell r="C7318">
            <v>190.65</v>
          </cell>
          <cell r="D7318">
            <v>21.4</v>
          </cell>
          <cell r="E7318">
            <v>11.32</v>
          </cell>
          <cell r="H7318">
            <v>45596</v>
          </cell>
          <cell r="I7318">
            <v>0.87444444444444447</v>
          </cell>
          <cell r="J7318">
            <v>27.658888888888889</v>
          </cell>
        </row>
        <row r="7319">
          <cell r="B7319">
            <v>169.66</v>
          </cell>
          <cell r="C7319">
            <v>315.27</v>
          </cell>
          <cell r="D7319">
            <v>24.23</v>
          </cell>
          <cell r="E7319">
            <v>12.87</v>
          </cell>
          <cell r="H7319">
            <v>45596</v>
          </cell>
          <cell r="I7319">
            <v>0.97333333333333327</v>
          </cell>
          <cell r="J7319">
            <v>27.152222222222221</v>
          </cell>
        </row>
        <row r="7320">
          <cell r="B7320">
            <v>183.07</v>
          </cell>
          <cell r="C7320">
            <v>300.52999999999997</v>
          </cell>
          <cell r="D7320">
            <v>27.31</v>
          </cell>
          <cell r="E7320">
            <v>12.35</v>
          </cell>
          <cell r="H7320">
            <v>45596</v>
          </cell>
          <cell r="I7320">
            <v>1.1099999999999999</v>
          </cell>
          <cell r="J7320">
            <v>26.076666666666668</v>
          </cell>
        </row>
        <row r="7321">
          <cell r="B7321">
            <v>146.47</v>
          </cell>
          <cell r="C7321">
            <v>249.06</v>
          </cell>
          <cell r="D7321">
            <v>26.35</v>
          </cell>
          <cell r="E7321">
            <v>11.69</v>
          </cell>
          <cell r="H7321">
            <v>45596</v>
          </cell>
          <cell r="I7321">
            <v>1.2377777777777776</v>
          </cell>
          <cell r="J7321">
            <v>24.834444444444443</v>
          </cell>
        </row>
        <row r="7322">
          <cell r="B7322">
            <v>99.88</v>
          </cell>
          <cell r="C7322">
            <v>178.78</v>
          </cell>
          <cell r="D7322">
            <v>25.66</v>
          </cell>
          <cell r="E7322">
            <v>14.19</v>
          </cell>
          <cell r="H7322">
            <v>45597</v>
          </cell>
          <cell r="I7322">
            <v>1.3655555555555554</v>
          </cell>
          <cell r="J7322">
            <v>24.144444444444442</v>
          </cell>
        </row>
        <row r="7323">
          <cell r="B7323">
            <v>68.42</v>
          </cell>
          <cell r="C7323">
            <v>123.38</v>
          </cell>
          <cell r="D7323">
            <v>25.44</v>
          </cell>
          <cell r="E7323">
            <v>13.46</v>
          </cell>
          <cell r="H7323">
            <v>45597</v>
          </cell>
          <cell r="I7323">
            <v>1.4799999999999998</v>
          </cell>
          <cell r="J7323">
            <v>23.535555555555554</v>
          </cell>
        </row>
        <row r="7324">
          <cell r="B7324">
            <v>78.06</v>
          </cell>
          <cell r="C7324">
            <v>134.4</v>
          </cell>
          <cell r="D7324">
            <v>27.86</v>
          </cell>
          <cell r="E7324">
            <v>12.94</v>
          </cell>
          <cell r="H7324">
            <v>45597</v>
          </cell>
          <cell r="I7324">
            <v>1.5855555555555556</v>
          </cell>
          <cell r="J7324">
            <v>22.887777777777774</v>
          </cell>
        </row>
        <row r="7325">
          <cell r="B7325">
            <v>73.38</v>
          </cell>
          <cell r="C7325">
            <v>113.71</v>
          </cell>
          <cell r="D7325">
            <v>25.71</v>
          </cell>
          <cell r="E7325">
            <v>13.18</v>
          </cell>
          <cell r="H7325">
            <v>45597</v>
          </cell>
          <cell r="I7325">
            <v>1.6933333333333334</v>
          </cell>
          <cell r="J7325">
            <v>22.41</v>
          </cell>
        </row>
        <row r="7326">
          <cell r="B7326">
            <v>52.22</v>
          </cell>
          <cell r="C7326">
            <v>83.79</v>
          </cell>
          <cell r="D7326">
            <v>23.98</v>
          </cell>
          <cell r="E7326">
            <v>11.73</v>
          </cell>
          <cell r="H7326">
            <v>45597</v>
          </cell>
          <cell r="I7326">
            <v>1.7466666666666668</v>
          </cell>
          <cell r="J7326">
            <v>21.934444444444445</v>
          </cell>
        </row>
        <row r="7327">
          <cell r="B7327">
            <v>42.54</v>
          </cell>
          <cell r="C7327">
            <v>75.650000000000006</v>
          </cell>
          <cell r="D7327">
            <v>20.27</v>
          </cell>
          <cell r="E7327">
            <v>9.48</v>
          </cell>
          <cell r="H7327">
            <v>45597</v>
          </cell>
          <cell r="I7327">
            <v>1.71</v>
          </cell>
          <cell r="J7327">
            <v>21.689999999999998</v>
          </cell>
        </row>
        <row r="7328">
          <cell r="B7328">
            <v>55.48</v>
          </cell>
          <cell r="C7328">
            <v>90.11</v>
          </cell>
          <cell r="D7328">
            <v>21.18</v>
          </cell>
          <cell r="E7328">
            <v>9.35</v>
          </cell>
          <cell r="H7328">
            <v>45597</v>
          </cell>
          <cell r="I7328">
            <v>1.6311111111111112</v>
          </cell>
          <cell r="J7328">
            <v>21.55</v>
          </cell>
        </row>
        <row r="7329">
          <cell r="B7329">
            <v>49.05</v>
          </cell>
          <cell r="C7329">
            <v>80.569999999999993</v>
          </cell>
          <cell r="D7329">
            <v>20.97</v>
          </cell>
          <cell r="E7329">
            <v>9.61</v>
          </cell>
          <cell r="H7329">
            <v>45597</v>
          </cell>
          <cell r="I7329">
            <v>1.5255555555555558</v>
          </cell>
          <cell r="J7329">
            <v>21.341111111111111</v>
          </cell>
        </row>
        <row r="7330">
          <cell r="B7330">
            <v>46.03</v>
          </cell>
          <cell r="C7330">
            <v>77.11</v>
          </cell>
          <cell r="D7330">
            <v>20.440000000000001</v>
          </cell>
          <cell r="E7330">
            <v>9.8000000000000007</v>
          </cell>
          <cell r="H7330">
            <v>45597</v>
          </cell>
          <cell r="I7330">
            <v>1.4211111111111112</v>
          </cell>
          <cell r="J7330">
            <v>21.150000000000002</v>
          </cell>
        </row>
        <row r="7331">
          <cell r="B7331">
            <v>59.99</v>
          </cell>
          <cell r="C7331">
            <v>101.85</v>
          </cell>
          <cell r="D7331">
            <v>20.82</v>
          </cell>
          <cell r="E7331">
            <v>9.7899999999999991</v>
          </cell>
          <cell r="H7331">
            <v>45597</v>
          </cell>
          <cell r="I7331">
            <v>1.3077777777777779</v>
          </cell>
          <cell r="J7331">
            <v>21.155555555555551</v>
          </cell>
        </row>
        <row r="7332">
          <cell r="B7332">
            <v>46.41</v>
          </cell>
          <cell r="C7332">
            <v>81.84</v>
          </cell>
          <cell r="D7332">
            <v>20.14</v>
          </cell>
          <cell r="E7332">
            <v>9.76</v>
          </cell>
          <cell r="H7332">
            <v>45597</v>
          </cell>
          <cell r="I7332">
            <v>1.2111111111111112</v>
          </cell>
          <cell r="J7332">
            <v>21.423333333333336</v>
          </cell>
        </row>
        <row r="7333">
          <cell r="B7333">
            <v>34.299999999999997</v>
          </cell>
          <cell r="C7333">
            <v>63.94</v>
          </cell>
          <cell r="D7333">
            <v>18.25</v>
          </cell>
          <cell r="E7333">
            <v>10.27</v>
          </cell>
          <cell r="H7333">
            <v>45597</v>
          </cell>
          <cell r="I7333">
            <v>1.1155555555555554</v>
          </cell>
          <cell r="J7333">
            <v>21.971111111111114</v>
          </cell>
        </row>
        <row r="7334">
          <cell r="B7334">
            <v>32.270000000000003</v>
          </cell>
          <cell r="C7334">
            <v>63.24</v>
          </cell>
          <cell r="D7334">
            <v>18.63</v>
          </cell>
          <cell r="E7334">
            <v>9.56</v>
          </cell>
          <cell r="H7334">
            <v>45597</v>
          </cell>
          <cell r="I7334">
            <v>1.02</v>
          </cell>
          <cell r="J7334">
            <v>22.572222222222223</v>
          </cell>
        </row>
        <row r="7335">
          <cell r="B7335">
            <v>33.450000000000003</v>
          </cell>
          <cell r="C7335">
            <v>68.09</v>
          </cell>
          <cell r="D7335">
            <v>18.98</v>
          </cell>
          <cell r="E7335">
            <v>9.65</v>
          </cell>
          <cell r="H7335">
            <v>45597</v>
          </cell>
          <cell r="I7335">
            <v>0.9655555555555555</v>
          </cell>
          <cell r="J7335">
            <v>23.035555555555558</v>
          </cell>
        </row>
        <row r="7336">
          <cell r="B7336">
            <v>36.479999999999997</v>
          </cell>
          <cell r="C7336">
            <v>71.459999999999994</v>
          </cell>
          <cell r="D7336">
            <v>18.59</v>
          </cell>
          <cell r="E7336">
            <v>10.220000000000001</v>
          </cell>
          <cell r="H7336">
            <v>45597</v>
          </cell>
          <cell r="I7336">
            <v>0.9600000000000003</v>
          </cell>
          <cell r="J7336">
            <v>23.954444444444444</v>
          </cell>
        </row>
        <row r="7337">
          <cell r="B7337">
            <v>39.020000000000003</v>
          </cell>
          <cell r="C7337">
            <v>79.430000000000007</v>
          </cell>
          <cell r="D7337">
            <v>18.5</v>
          </cell>
          <cell r="E7337">
            <v>9.58</v>
          </cell>
          <cell r="H7337">
            <v>45597</v>
          </cell>
          <cell r="I7337">
            <v>0.95888888888888901</v>
          </cell>
          <cell r="J7337">
            <v>24.43</v>
          </cell>
        </row>
        <row r="7338">
          <cell r="B7338">
            <v>39.229999999999997</v>
          </cell>
          <cell r="C7338">
            <v>85.21</v>
          </cell>
          <cell r="D7338">
            <v>25.01</v>
          </cell>
          <cell r="E7338">
            <v>10.38</v>
          </cell>
          <cell r="H7338">
            <v>45597</v>
          </cell>
          <cell r="I7338">
            <v>0.95777777777777773</v>
          </cell>
          <cell r="J7338">
            <v>25.132222222222225</v>
          </cell>
        </row>
        <row r="7339">
          <cell r="B7339">
            <v>44.89</v>
          </cell>
          <cell r="C7339">
            <v>90.84</v>
          </cell>
          <cell r="D7339">
            <v>23.7</v>
          </cell>
          <cell r="E7339">
            <v>10.83</v>
          </cell>
          <cell r="H7339">
            <v>45597</v>
          </cell>
          <cell r="I7339">
            <v>0.94888888888888878</v>
          </cell>
          <cell r="J7339">
            <v>25.252222222222223</v>
          </cell>
        </row>
        <row r="7340">
          <cell r="B7340">
            <v>47.15</v>
          </cell>
          <cell r="C7340">
            <v>100.2</v>
          </cell>
          <cell r="D7340">
            <v>22.7</v>
          </cell>
          <cell r="E7340">
            <v>11.39</v>
          </cell>
          <cell r="H7340">
            <v>45597</v>
          </cell>
          <cell r="I7340">
            <v>0.98</v>
          </cell>
          <cell r="J7340">
            <v>25.145555555555557</v>
          </cell>
        </row>
        <row r="7341">
          <cell r="B7341">
            <v>89.68</v>
          </cell>
          <cell r="C7341">
            <v>178.64</v>
          </cell>
          <cell r="D7341">
            <v>23.37</v>
          </cell>
          <cell r="E7341">
            <v>12.87</v>
          </cell>
          <cell r="H7341">
            <v>45597</v>
          </cell>
          <cell r="I7341">
            <v>1.0444444444444445</v>
          </cell>
          <cell r="J7341">
            <v>24.566666666666666</v>
          </cell>
        </row>
        <row r="7342">
          <cell r="B7342">
            <v>142.06</v>
          </cell>
          <cell r="C7342">
            <v>233.7</v>
          </cell>
          <cell r="D7342">
            <v>25.19</v>
          </cell>
          <cell r="E7342">
            <v>13.85</v>
          </cell>
          <cell r="H7342">
            <v>45597</v>
          </cell>
          <cell r="I7342">
            <v>1.1211111111111114</v>
          </cell>
          <cell r="J7342">
            <v>23.605555555555554</v>
          </cell>
        </row>
        <row r="7343">
          <cell r="B7343">
            <v>167.16</v>
          </cell>
          <cell r="C7343">
            <v>268.22000000000003</v>
          </cell>
          <cell r="D7343">
            <v>24.6</v>
          </cell>
          <cell r="E7343">
            <v>13.57</v>
          </cell>
          <cell r="H7343">
            <v>45597</v>
          </cell>
          <cell r="I7343">
            <v>1.1911111111111112</v>
          </cell>
          <cell r="J7343">
            <v>22.761111111111109</v>
          </cell>
        </row>
        <row r="7344">
          <cell r="B7344">
            <v>133.77000000000001</v>
          </cell>
          <cell r="C7344">
            <v>220.84</v>
          </cell>
          <cell r="D7344">
            <v>24.06</v>
          </cell>
          <cell r="E7344">
            <v>12.38</v>
          </cell>
          <cell r="H7344">
            <v>45597</v>
          </cell>
          <cell r="I7344">
            <v>1.2611111111111113</v>
          </cell>
          <cell r="J7344">
            <v>22.653333333333332</v>
          </cell>
        </row>
        <row r="7345">
          <cell r="B7345">
            <v>88.29</v>
          </cell>
          <cell r="C7345">
            <v>165.06</v>
          </cell>
          <cell r="D7345">
            <v>24.9</v>
          </cell>
          <cell r="E7345">
            <v>12.58</v>
          </cell>
          <cell r="H7345">
            <v>45597</v>
          </cell>
          <cell r="I7345">
            <v>1.3577777777777778</v>
          </cell>
          <cell r="J7345">
            <v>22.524444444444445</v>
          </cell>
        </row>
        <row r="7346">
          <cell r="B7346">
            <v>67.17</v>
          </cell>
          <cell r="C7346">
            <v>122.9</v>
          </cell>
          <cell r="D7346">
            <v>21.45</v>
          </cell>
          <cell r="E7346">
            <v>11.78</v>
          </cell>
          <cell r="H7346">
            <v>45598</v>
          </cell>
          <cell r="I7346">
            <v>1.4411111111111112</v>
          </cell>
          <cell r="J7346">
            <v>23.127777777777776</v>
          </cell>
        </row>
        <row r="7347">
          <cell r="B7347">
            <v>57.99</v>
          </cell>
          <cell r="C7347">
            <v>98.47</v>
          </cell>
          <cell r="D7347">
            <v>20.2</v>
          </cell>
          <cell r="E7347">
            <v>12.21</v>
          </cell>
          <cell r="H7347">
            <v>45598</v>
          </cell>
          <cell r="I7347">
            <v>1.4955555555555553</v>
          </cell>
          <cell r="J7347">
            <v>23.701111111111111</v>
          </cell>
        </row>
        <row r="7348">
          <cell r="B7348">
            <v>62.48</v>
          </cell>
          <cell r="C7348">
            <v>96.36</v>
          </cell>
          <cell r="D7348">
            <v>19.3</v>
          </cell>
          <cell r="E7348">
            <v>12.11</v>
          </cell>
          <cell r="H7348">
            <v>45598</v>
          </cell>
          <cell r="I7348">
            <v>1.5533333333333335</v>
          </cell>
          <cell r="J7348">
            <v>25.012222222222224</v>
          </cell>
        </row>
        <row r="7349">
          <cell r="B7349">
            <v>54.45</v>
          </cell>
          <cell r="C7349">
            <v>88.27</v>
          </cell>
          <cell r="D7349">
            <v>19.170000000000002</v>
          </cell>
          <cell r="E7349">
            <v>11.99</v>
          </cell>
          <cell r="H7349">
            <v>45598</v>
          </cell>
          <cell r="I7349">
            <v>1.5666666666666667</v>
          </cell>
          <cell r="J7349">
            <v>26.231111111111108</v>
          </cell>
        </row>
        <row r="7350">
          <cell r="B7350">
            <v>56.32</v>
          </cell>
          <cell r="C7350">
            <v>89.96</v>
          </cell>
          <cell r="D7350">
            <v>19.7</v>
          </cell>
          <cell r="E7350">
            <v>12.1</v>
          </cell>
          <cell r="H7350">
            <v>45598</v>
          </cell>
          <cell r="I7350">
            <v>1.5533333333333335</v>
          </cell>
          <cell r="J7350">
            <v>27.480000000000004</v>
          </cell>
        </row>
        <row r="7351">
          <cell r="B7351">
            <v>59.32</v>
          </cell>
          <cell r="C7351">
            <v>90.97</v>
          </cell>
          <cell r="D7351">
            <v>19.760000000000002</v>
          </cell>
          <cell r="E7351">
            <v>12.21</v>
          </cell>
          <cell r="H7351">
            <v>45598</v>
          </cell>
          <cell r="I7351">
            <v>1.5433333333333334</v>
          </cell>
          <cell r="J7351">
            <v>28.638888888888889</v>
          </cell>
        </row>
        <row r="7352">
          <cell r="B7352">
            <v>54.11</v>
          </cell>
          <cell r="C7352">
            <v>85.54</v>
          </cell>
          <cell r="D7352">
            <v>19.25</v>
          </cell>
          <cell r="E7352">
            <v>11.41</v>
          </cell>
          <cell r="H7352">
            <v>45598</v>
          </cell>
          <cell r="I7352">
            <v>1.5211111111111113</v>
          </cell>
          <cell r="J7352">
            <v>29.444444444444443</v>
          </cell>
        </row>
        <row r="7353">
          <cell r="B7353">
            <v>49.58</v>
          </cell>
          <cell r="C7353">
            <v>89.77</v>
          </cell>
          <cell r="D7353">
            <v>18.59</v>
          </cell>
          <cell r="E7353">
            <v>11.64</v>
          </cell>
          <cell r="H7353">
            <v>45598</v>
          </cell>
          <cell r="I7353">
            <v>1.4688888888888887</v>
          </cell>
          <cell r="J7353">
            <v>29.59</v>
          </cell>
        </row>
        <row r="7354">
          <cell r="B7354">
            <v>54.17</v>
          </cell>
          <cell r="C7354">
            <v>95.97</v>
          </cell>
          <cell r="D7354">
            <v>18.54</v>
          </cell>
          <cell r="E7354">
            <v>12.14</v>
          </cell>
          <cell r="H7354">
            <v>45598</v>
          </cell>
          <cell r="I7354">
            <v>1.3888888888888888</v>
          </cell>
          <cell r="J7354">
            <v>29.793333333333337</v>
          </cell>
        </row>
        <row r="7355">
          <cell r="B7355">
            <v>49.68</v>
          </cell>
          <cell r="C7355">
            <v>93.53</v>
          </cell>
          <cell r="D7355">
            <v>18.25</v>
          </cell>
          <cell r="E7355">
            <v>11.92</v>
          </cell>
          <cell r="H7355">
            <v>45598</v>
          </cell>
          <cell r="I7355">
            <v>1.3133333333333332</v>
          </cell>
          <cell r="J7355">
            <v>30.111111111111118</v>
          </cell>
        </row>
        <row r="7356">
          <cell r="B7356">
            <v>34.229999999999997</v>
          </cell>
          <cell r="C7356">
            <v>69.599999999999994</v>
          </cell>
          <cell r="D7356">
            <v>17.399999999999999</v>
          </cell>
          <cell r="E7356">
            <v>11.86</v>
          </cell>
          <cell r="H7356">
            <v>45598</v>
          </cell>
          <cell r="I7356">
            <v>1.2666666666666666</v>
          </cell>
          <cell r="J7356">
            <v>30.60111111111112</v>
          </cell>
        </row>
        <row r="7357">
          <cell r="B7357">
            <v>31.66</v>
          </cell>
          <cell r="C7357">
            <v>65.709999999999994</v>
          </cell>
          <cell r="D7357">
            <v>17.91</v>
          </cell>
          <cell r="E7357">
            <v>11.54</v>
          </cell>
          <cell r="H7357">
            <v>45598</v>
          </cell>
          <cell r="I7357">
            <v>1.2288888888888887</v>
          </cell>
          <cell r="J7357">
            <v>30.946666666666665</v>
          </cell>
        </row>
        <row r="7358">
          <cell r="B7358">
            <v>27.61</v>
          </cell>
          <cell r="C7358">
            <v>60.35</v>
          </cell>
          <cell r="D7358">
            <v>18.53</v>
          </cell>
          <cell r="E7358">
            <v>10.72</v>
          </cell>
          <cell r="H7358">
            <v>45598</v>
          </cell>
          <cell r="I7358">
            <v>1.1922222222222223</v>
          </cell>
          <cell r="J7358">
            <v>31.426666666666669</v>
          </cell>
        </row>
        <row r="7359">
          <cell r="B7359">
            <v>30.11</v>
          </cell>
          <cell r="C7359">
            <v>63.23</v>
          </cell>
          <cell r="D7359">
            <v>17.600000000000001</v>
          </cell>
          <cell r="E7359">
            <v>10.91</v>
          </cell>
          <cell r="H7359">
            <v>45598</v>
          </cell>
          <cell r="I7359">
            <v>1.1433333333333335</v>
          </cell>
          <cell r="J7359">
            <v>32.191111111111113</v>
          </cell>
        </row>
        <row r="7360">
          <cell r="B7360">
            <v>34.83</v>
          </cell>
          <cell r="C7360">
            <v>65.08</v>
          </cell>
          <cell r="D7360">
            <v>18.36</v>
          </cell>
          <cell r="E7360">
            <v>10.79</v>
          </cell>
          <cell r="H7360">
            <v>45598</v>
          </cell>
          <cell r="I7360">
            <v>1.0855555555555556</v>
          </cell>
          <cell r="J7360">
            <v>33.244444444444447</v>
          </cell>
        </row>
        <row r="7361">
          <cell r="B7361">
            <v>32.340000000000003</v>
          </cell>
          <cell r="C7361">
            <v>62.78</v>
          </cell>
          <cell r="D7361">
            <v>17.829999999999998</v>
          </cell>
          <cell r="E7361">
            <v>10.64</v>
          </cell>
          <cell r="H7361">
            <v>45598</v>
          </cell>
          <cell r="I7361">
            <v>1.0388888888888888</v>
          </cell>
          <cell r="J7361">
            <v>34.454444444444448</v>
          </cell>
        </row>
        <row r="7362">
          <cell r="B7362">
            <v>33.14</v>
          </cell>
          <cell r="C7362">
            <v>69.97</v>
          </cell>
          <cell r="D7362">
            <v>18.59</v>
          </cell>
          <cell r="E7362">
            <v>10.69</v>
          </cell>
          <cell r="H7362">
            <v>45598</v>
          </cell>
          <cell r="I7362">
            <v>1.0244444444444445</v>
          </cell>
          <cell r="J7362">
            <v>35.550000000000004</v>
          </cell>
        </row>
        <row r="7363">
          <cell r="B7363">
            <v>32.08</v>
          </cell>
          <cell r="C7363">
            <v>72.31</v>
          </cell>
          <cell r="D7363">
            <v>19.02</v>
          </cell>
          <cell r="E7363">
            <v>11.14</v>
          </cell>
          <cell r="H7363">
            <v>45598</v>
          </cell>
          <cell r="I7363">
            <v>1.0222222222222224</v>
          </cell>
          <cell r="J7363">
            <v>35.865555555555552</v>
          </cell>
        </row>
        <row r="7364">
          <cell r="B7364">
            <v>33.85</v>
          </cell>
          <cell r="C7364">
            <v>73.41</v>
          </cell>
          <cell r="D7364">
            <v>19.66</v>
          </cell>
          <cell r="E7364">
            <v>11.26</v>
          </cell>
          <cell r="H7364">
            <v>45598</v>
          </cell>
          <cell r="I7364">
            <v>1.038888888888889</v>
          </cell>
          <cell r="J7364">
            <v>35.345555555555556</v>
          </cell>
        </row>
        <row r="7365">
          <cell r="B7365">
            <v>47.92</v>
          </cell>
          <cell r="C7365">
            <v>104.28</v>
          </cell>
          <cell r="D7365">
            <v>19.09</v>
          </cell>
          <cell r="E7365">
            <v>10.77</v>
          </cell>
          <cell r="H7365">
            <v>45598</v>
          </cell>
          <cell r="I7365">
            <v>1.0411111111111113</v>
          </cell>
          <cell r="J7365">
            <v>34.382222222222225</v>
          </cell>
        </row>
        <row r="7366">
          <cell r="B7366">
            <v>59.73</v>
          </cell>
          <cell r="C7366">
            <v>114.96</v>
          </cell>
          <cell r="D7366">
            <v>18.940000000000001</v>
          </cell>
          <cell r="E7366">
            <v>10.17</v>
          </cell>
          <cell r="H7366">
            <v>45598</v>
          </cell>
          <cell r="I7366">
            <v>1.0300000000000002</v>
          </cell>
          <cell r="J7366">
            <v>33.407777777777781</v>
          </cell>
        </row>
        <row r="7367">
          <cell r="B7367">
            <v>56.16</v>
          </cell>
          <cell r="C7367">
            <v>88.61</v>
          </cell>
          <cell r="D7367">
            <v>18.73</v>
          </cell>
          <cell r="E7367">
            <v>10.96</v>
          </cell>
          <cell r="H7367">
            <v>45598</v>
          </cell>
          <cell r="I7367">
            <v>1.0344444444444445</v>
          </cell>
          <cell r="J7367">
            <v>32.44</v>
          </cell>
        </row>
        <row r="7368">
          <cell r="B7368">
            <v>63.54</v>
          </cell>
          <cell r="C7368">
            <v>89.99</v>
          </cell>
          <cell r="D7368">
            <v>20.11</v>
          </cell>
          <cell r="E7368">
            <v>10.37</v>
          </cell>
          <cell r="H7368">
            <v>45598</v>
          </cell>
          <cell r="I7368">
            <v>1.0411111111111111</v>
          </cell>
          <cell r="J7368">
            <v>31.361111111111111</v>
          </cell>
        </row>
        <row r="7369">
          <cell r="B7369">
            <v>59.05</v>
          </cell>
          <cell r="C7369">
            <v>85.42</v>
          </cell>
          <cell r="D7369">
            <v>18.829999999999998</v>
          </cell>
          <cell r="E7369">
            <v>10.33</v>
          </cell>
          <cell r="H7369">
            <v>45598</v>
          </cell>
          <cell r="I7369">
            <v>1.04</v>
          </cell>
          <cell r="J7369">
            <v>30.228888888888889</v>
          </cell>
        </row>
        <row r="7370">
          <cell r="B7370">
            <v>44.92</v>
          </cell>
          <cell r="C7370">
            <v>72.5</v>
          </cell>
          <cell r="D7370">
            <v>18.600000000000001</v>
          </cell>
          <cell r="E7370">
            <v>10.42</v>
          </cell>
          <cell r="H7370">
            <v>45599</v>
          </cell>
          <cell r="I7370">
            <v>1.0444444444444445</v>
          </cell>
          <cell r="J7370">
            <v>29.104444444444443</v>
          </cell>
        </row>
        <row r="7371">
          <cell r="B7371">
            <v>36.71</v>
          </cell>
          <cell r="C7371">
            <v>60.68</v>
          </cell>
          <cell r="D7371">
            <v>18.64</v>
          </cell>
          <cell r="E7371">
            <v>10.69</v>
          </cell>
          <cell r="H7371">
            <v>45599</v>
          </cell>
          <cell r="I7371">
            <v>1.0366666666666666</v>
          </cell>
          <cell r="J7371">
            <v>28.175555555555555</v>
          </cell>
        </row>
        <row r="7372">
          <cell r="B7372">
            <v>33.07</v>
          </cell>
          <cell r="C7372">
            <v>59.58</v>
          </cell>
          <cell r="D7372">
            <v>19.07</v>
          </cell>
          <cell r="E7372">
            <v>10.54</v>
          </cell>
          <cell r="H7372">
            <v>45599</v>
          </cell>
          <cell r="I7372">
            <v>1.0222222222222224</v>
          </cell>
          <cell r="J7372">
            <v>27.66</v>
          </cell>
        </row>
        <row r="7373">
          <cell r="B7373">
            <v>33.35</v>
          </cell>
          <cell r="C7373">
            <v>60.48</v>
          </cell>
          <cell r="D7373">
            <v>18.7</v>
          </cell>
          <cell r="E7373">
            <v>10.26</v>
          </cell>
          <cell r="H7373">
            <v>45599</v>
          </cell>
          <cell r="I7373">
            <v>0.9966666666666667</v>
          </cell>
          <cell r="J7373">
            <v>27.25888888888889</v>
          </cell>
        </row>
        <row r="7374">
          <cell r="B7374">
            <v>29.36</v>
          </cell>
          <cell r="C7374">
            <v>55.3</v>
          </cell>
          <cell r="D7374">
            <v>18.79</v>
          </cell>
          <cell r="E7374">
            <v>10.74</v>
          </cell>
          <cell r="H7374">
            <v>45599</v>
          </cell>
          <cell r="I7374">
            <v>0.98444444444444434</v>
          </cell>
          <cell r="J7374">
            <v>27.055555555555557</v>
          </cell>
        </row>
        <row r="7375">
          <cell r="B7375">
            <v>28.68</v>
          </cell>
          <cell r="C7375">
            <v>51.96</v>
          </cell>
          <cell r="D7375">
            <v>19.239999999999998</v>
          </cell>
          <cell r="E7375">
            <v>11.03</v>
          </cell>
          <cell r="H7375">
            <v>45599</v>
          </cell>
          <cell r="I7375">
            <v>0.98777777777777787</v>
          </cell>
          <cell r="J7375">
            <v>26.701111111111111</v>
          </cell>
        </row>
        <row r="7376">
          <cell r="B7376">
            <v>31.99</v>
          </cell>
          <cell r="C7376">
            <v>54.93</v>
          </cell>
          <cell r="D7376">
            <v>19.43</v>
          </cell>
          <cell r="E7376">
            <v>10.87</v>
          </cell>
          <cell r="H7376">
            <v>45599</v>
          </cell>
          <cell r="I7376">
            <v>0.98</v>
          </cell>
          <cell r="J7376">
            <v>26.29111111111111</v>
          </cell>
        </row>
        <row r="7377">
          <cell r="B7377">
            <v>33.36</v>
          </cell>
          <cell r="C7377">
            <v>58.42</v>
          </cell>
          <cell r="D7377">
            <v>19.3</v>
          </cell>
          <cell r="E7377">
            <v>10.81</v>
          </cell>
          <cell r="H7377">
            <v>45599</v>
          </cell>
          <cell r="I7377">
            <v>0.97444444444444456</v>
          </cell>
          <cell r="J7377">
            <v>25.87</v>
          </cell>
        </row>
        <row r="7378">
          <cell r="B7378">
            <v>28.87</v>
          </cell>
          <cell r="C7378">
            <v>59.09</v>
          </cell>
          <cell r="D7378">
            <v>19.21</v>
          </cell>
          <cell r="E7378">
            <v>10.79</v>
          </cell>
          <cell r="H7378">
            <v>45599</v>
          </cell>
          <cell r="I7378">
            <v>0.96999999999999986</v>
          </cell>
          <cell r="J7378">
            <v>25.67</v>
          </cell>
        </row>
        <row r="7379">
          <cell r="B7379">
            <v>28.5</v>
          </cell>
          <cell r="C7379">
            <v>56.66</v>
          </cell>
          <cell r="D7379">
            <v>18.64</v>
          </cell>
          <cell r="E7379">
            <v>10.78</v>
          </cell>
          <cell r="H7379">
            <v>45599</v>
          </cell>
          <cell r="I7379">
            <v>0.97111111111111115</v>
          </cell>
          <cell r="J7379">
            <v>25.532222222222224</v>
          </cell>
        </row>
        <row r="7380">
          <cell r="B7380">
            <v>26.29</v>
          </cell>
          <cell r="C7380">
            <v>54.95</v>
          </cell>
          <cell r="D7380">
            <v>17.32</v>
          </cell>
          <cell r="E7380">
            <v>10.46</v>
          </cell>
          <cell r="H7380">
            <v>45599</v>
          </cell>
          <cell r="I7380">
            <v>0.97333333333333327</v>
          </cell>
          <cell r="J7380">
            <v>25.403333333333332</v>
          </cell>
        </row>
        <row r="7381">
          <cell r="B7381">
            <v>22.53</v>
          </cell>
          <cell r="C7381">
            <v>48.03</v>
          </cell>
          <cell r="D7381">
            <v>17.55</v>
          </cell>
          <cell r="E7381">
            <v>10.3</v>
          </cell>
          <cell r="H7381">
            <v>45599</v>
          </cell>
          <cell r="I7381">
            <v>0.97777777777777786</v>
          </cell>
          <cell r="J7381">
            <v>25.373333333333331</v>
          </cell>
        </row>
        <row r="7382">
          <cell r="B7382">
            <v>22.68</v>
          </cell>
          <cell r="C7382">
            <v>48.37</v>
          </cell>
          <cell r="D7382">
            <v>17.329999999999998</v>
          </cell>
          <cell r="E7382">
            <v>9.8000000000000007</v>
          </cell>
          <cell r="H7382">
            <v>45599</v>
          </cell>
          <cell r="I7382">
            <v>0.98111111111111116</v>
          </cell>
          <cell r="J7382">
            <v>25.619999999999997</v>
          </cell>
        </row>
        <row r="7383">
          <cell r="B7383">
            <v>23.86</v>
          </cell>
          <cell r="C7383">
            <v>51.23</v>
          </cell>
          <cell r="D7383">
            <v>17.91</v>
          </cell>
          <cell r="E7383">
            <v>10.57</v>
          </cell>
          <cell r="H7383">
            <v>45599</v>
          </cell>
          <cell r="I7383">
            <v>0.98</v>
          </cell>
          <cell r="J7383">
            <v>25.788888888888891</v>
          </cell>
        </row>
        <row r="7384">
          <cell r="B7384">
            <v>26.12</v>
          </cell>
          <cell r="C7384">
            <v>56.84</v>
          </cell>
          <cell r="D7384">
            <v>18.02</v>
          </cell>
          <cell r="E7384">
            <v>10.14</v>
          </cell>
          <cell r="H7384">
            <v>45599</v>
          </cell>
          <cell r="I7384">
            <v>0.97999999999999987</v>
          </cell>
          <cell r="J7384">
            <v>26.037777777777777</v>
          </cell>
        </row>
        <row r="7385">
          <cell r="B7385">
            <v>23.22</v>
          </cell>
          <cell r="C7385">
            <v>50.75</v>
          </cell>
          <cell r="D7385">
            <v>17.89</v>
          </cell>
          <cell r="E7385">
            <v>10.49</v>
          </cell>
          <cell r="H7385">
            <v>45599</v>
          </cell>
          <cell r="I7385">
            <v>0.96999999999999986</v>
          </cell>
          <cell r="J7385">
            <v>26.398888888888891</v>
          </cell>
        </row>
        <row r="7386">
          <cell r="B7386">
            <v>23.61</v>
          </cell>
          <cell r="C7386">
            <v>50.25</v>
          </cell>
          <cell r="D7386">
            <v>17.45</v>
          </cell>
          <cell r="E7386">
            <v>10.62</v>
          </cell>
          <cell r="H7386">
            <v>45599</v>
          </cell>
          <cell r="I7386">
            <v>0.9655555555555555</v>
          </cell>
          <cell r="J7386">
            <v>26.781111111111116</v>
          </cell>
        </row>
        <row r="7387">
          <cell r="B7387">
            <v>25.92</v>
          </cell>
          <cell r="C7387">
            <v>56.34</v>
          </cell>
          <cell r="D7387">
            <v>17.71</v>
          </cell>
          <cell r="E7387">
            <v>10.34</v>
          </cell>
          <cell r="H7387">
            <v>45599</v>
          </cell>
          <cell r="I7387">
            <v>0.96666666666666656</v>
          </cell>
          <cell r="J7387">
            <v>26.87</v>
          </cell>
        </row>
        <row r="7388">
          <cell r="B7388">
            <v>25.06</v>
          </cell>
          <cell r="C7388">
            <v>54.16</v>
          </cell>
          <cell r="D7388">
            <v>18.559999999999999</v>
          </cell>
          <cell r="E7388">
            <v>9.83</v>
          </cell>
          <cell r="H7388">
            <v>45599</v>
          </cell>
          <cell r="I7388">
            <v>0.96777777777777785</v>
          </cell>
          <cell r="J7388">
            <v>26.827777777777776</v>
          </cell>
        </row>
        <row r="7389">
          <cell r="B7389">
            <v>30.47</v>
          </cell>
          <cell r="C7389">
            <v>64.42</v>
          </cell>
          <cell r="D7389">
            <v>18.760000000000002</v>
          </cell>
          <cell r="E7389">
            <v>9.5500000000000007</v>
          </cell>
          <cell r="H7389">
            <v>45599</v>
          </cell>
          <cell r="I7389">
            <v>0.97555555555555551</v>
          </cell>
          <cell r="J7389">
            <v>26.175555555555555</v>
          </cell>
        </row>
        <row r="7390">
          <cell r="B7390">
            <v>46.39</v>
          </cell>
          <cell r="C7390">
            <v>85.63</v>
          </cell>
          <cell r="D7390">
            <v>18.61</v>
          </cell>
          <cell r="E7390">
            <v>9.44</v>
          </cell>
          <cell r="H7390">
            <v>45599</v>
          </cell>
          <cell r="I7390">
            <v>0.97777777777777763</v>
          </cell>
          <cell r="J7390">
            <v>25.426666666666666</v>
          </cell>
        </row>
        <row r="7391">
          <cell r="B7391">
            <v>51.93</v>
          </cell>
          <cell r="C7391">
            <v>96.52</v>
          </cell>
          <cell r="D7391">
            <v>18.48</v>
          </cell>
          <cell r="E7391">
            <v>9.4700000000000006</v>
          </cell>
          <cell r="H7391">
            <v>45599</v>
          </cell>
          <cell r="I7391">
            <v>0.97333333333333327</v>
          </cell>
          <cell r="J7391">
            <v>24.65111111111111</v>
          </cell>
        </row>
        <row r="7392">
          <cell r="B7392">
            <v>44.12</v>
          </cell>
          <cell r="C7392">
            <v>76.819999999999993</v>
          </cell>
          <cell r="D7392">
            <v>17.84</v>
          </cell>
          <cell r="E7392">
            <v>9.0500000000000007</v>
          </cell>
          <cell r="H7392">
            <v>45599</v>
          </cell>
          <cell r="I7392">
            <v>0.96111111111111114</v>
          </cell>
          <cell r="J7392">
            <v>23.986666666666665</v>
          </cell>
        </row>
        <row r="7393">
          <cell r="B7393">
            <v>40.14</v>
          </cell>
          <cell r="C7393">
            <v>73.180000000000007</v>
          </cell>
          <cell r="D7393">
            <v>17.97</v>
          </cell>
          <cell r="E7393">
            <v>9.19</v>
          </cell>
          <cell r="H7393">
            <v>45599</v>
          </cell>
          <cell r="I7393">
            <v>0.93777777777777793</v>
          </cell>
          <cell r="J7393">
            <v>23.278888888888886</v>
          </cell>
        </row>
        <row r="7394">
          <cell r="B7394">
            <v>39.11</v>
          </cell>
          <cell r="C7394">
            <v>69.61</v>
          </cell>
          <cell r="D7394">
            <v>17.29</v>
          </cell>
          <cell r="E7394">
            <v>9.0399999999999991</v>
          </cell>
          <cell r="H7394">
            <v>45600</v>
          </cell>
          <cell r="I7394">
            <v>0.91555555555555557</v>
          </cell>
          <cell r="J7394">
            <v>22.74111111111111</v>
          </cell>
        </row>
        <row r="7395">
          <cell r="B7395">
            <v>34.21</v>
          </cell>
          <cell r="C7395">
            <v>56.35</v>
          </cell>
          <cell r="D7395">
            <v>17.71</v>
          </cell>
          <cell r="E7395">
            <v>9.23</v>
          </cell>
          <cell r="H7395">
            <v>45600</v>
          </cell>
          <cell r="I7395">
            <v>0.8933333333333332</v>
          </cell>
          <cell r="J7395">
            <v>22.175555555555555</v>
          </cell>
        </row>
        <row r="7396">
          <cell r="B7396">
            <v>34.01</v>
          </cell>
          <cell r="C7396">
            <v>53.49</v>
          </cell>
          <cell r="D7396">
            <v>16.809999999999999</v>
          </cell>
          <cell r="E7396">
            <v>8.8699999999999992</v>
          </cell>
          <cell r="H7396">
            <v>45600</v>
          </cell>
          <cell r="I7396">
            <v>0.86666666666666659</v>
          </cell>
          <cell r="J7396">
            <v>21.68333333333333</v>
          </cell>
        </row>
        <row r="7397">
          <cell r="B7397">
            <v>31.48</v>
          </cell>
          <cell r="C7397">
            <v>50.32</v>
          </cell>
          <cell r="D7397">
            <v>17.350000000000001</v>
          </cell>
          <cell r="E7397">
            <v>8.68</v>
          </cell>
          <cell r="H7397">
            <v>45600</v>
          </cell>
          <cell r="I7397">
            <v>0.83777777777777773</v>
          </cell>
          <cell r="J7397">
            <v>21.283333333333331</v>
          </cell>
        </row>
        <row r="7398">
          <cell r="B7398">
            <v>30.73</v>
          </cell>
          <cell r="C7398">
            <v>48.09</v>
          </cell>
          <cell r="D7398">
            <v>17.670000000000002</v>
          </cell>
          <cell r="E7398">
            <v>8.56</v>
          </cell>
          <cell r="H7398">
            <v>45600</v>
          </cell>
          <cell r="I7398">
            <v>0.81333333333333324</v>
          </cell>
          <cell r="J7398">
            <v>21.288888888888888</v>
          </cell>
        </row>
        <row r="7399">
          <cell r="B7399">
            <v>29.84</v>
          </cell>
          <cell r="C7399">
            <v>47.55</v>
          </cell>
          <cell r="D7399">
            <v>17.510000000000002</v>
          </cell>
          <cell r="E7399">
            <v>9.4</v>
          </cell>
          <cell r="H7399">
            <v>45600</v>
          </cell>
          <cell r="I7399">
            <v>0.79888888888888898</v>
          </cell>
          <cell r="J7399">
            <v>21.358888888888888</v>
          </cell>
        </row>
        <row r="7400">
          <cell r="B7400">
            <v>27.78</v>
          </cell>
          <cell r="C7400">
            <v>50.25</v>
          </cell>
          <cell r="D7400">
            <v>18.059999999999999</v>
          </cell>
          <cell r="E7400">
            <v>9.0299999999999994</v>
          </cell>
          <cell r="H7400">
            <v>45600</v>
          </cell>
          <cell r="I7400">
            <v>0.79888888888888898</v>
          </cell>
          <cell r="J7400">
            <v>21.29111111111111</v>
          </cell>
        </row>
        <row r="7401">
          <cell r="B7401">
            <v>33.82</v>
          </cell>
          <cell r="C7401">
            <v>61.85</v>
          </cell>
          <cell r="D7401">
            <v>17.38</v>
          </cell>
          <cell r="E7401">
            <v>9.3800000000000008</v>
          </cell>
          <cell r="H7401">
            <v>45600</v>
          </cell>
          <cell r="I7401">
            <v>0.81333333333333335</v>
          </cell>
          <cell r="J7401">
            <v>21.115555555555559</v>
          </cell>
        </row>
        <row r="7402">
          <cell r="B7402">
            <v>34.64</v>
          </cell>
          <cell r="C7402">
            <v>66.489999999999995</v>
          </cell>
          <cell r="D7402">
            <v>17.899999999999999</v>
          </cell>
          <cell r="E7402">
            <v>9.36</v>
          </cell>
          <cell r="H7402">
            <v>45600</v>
          </cell>
          <cell r="I7402">
            <v>0.8322222222222222</v>
          </cell>
          <cell r="J7402">
            <v>20.97666666666667</v>
          </cell>
        </row>
        <row r="7403">
          <cell r="B7403">
            <v>31.93</v>
          </cell>
          <cell r="C7403">
            <v>66.75</v>
          </cell>
          <cell r="D7403">
            <v>17.350000000000001</v>
          </cell>
          <cell r="E7403">
            <v>9.51</v>
          </cell>
          <cell r="H7403">
            <v>45600</v>
          </cell>
          <cell r="I7403">
            <v>0.86555555555555552</v>
          </cell>
          <cell r="J7403">
            <v>20.660000000000004</v>
          </cell>
        </row>
        <row r="7404">
          <cell r="B7404">
            <v>29.47</v>
          </cell>
          <cell r="C7404">
            <v>66.03</v>
          </cell>
          <cell r="D7404">
            <v>16.600000000000001</v>
          </cell>
          <cell r="E7404">
            <v>9.0399999999999991</v>
          </cell>
          <cell r="H7404">
            <v>45600</v>
          </cell>
          <cell r="I7404">
            <v>0.89222222222222236</v>
          </cell>
          <cell r="J7404">
            <v>20.466666666666665</v>
          </cell>
        </row>
        <row r="7405">
          <cell r="B7405">
            <v>26.74</v>
          </cell>
          <cell r="C7405">
            <v>59.02</v>
          </cell>
          <cell r="D7405">
            <v>18.11</v>
          </cell>
          <cell r="E7405">
            <v>8.56</v>
          </cell>
          <cell r="H7405">
            <v>45600</v>
          </cell>
          <cell r="I7405">
            <v>0.91666666666666663</v>
          </cell>
          <cell r="J7405">
            <v>20.465555555555554</v>
          </cell>
        </row>
        <row r="7406">
          <cell r="B7406">
            <v>22.85</v>
          </cell>
          <cell r="C7406">
            <v>54.72</v>
          </cell>
          <cell r="D7406">
            <v>19.68</v>
          </cell>
          <cell r="E7406">
            <v>8.65</v>
          </cell>
          <cell r="H7406">
            <v>45600</v>
          </cell>
          <cell r="I7406">
            <v>0.93888888888888877</v>
          </cell>
          <cell r="J7406">
            <v>20.771111111111107</v>
          </cell>
        </row>
        <row r="7407">
          <cell r="B7407">
            <v>23.54</v>
          </cell>
          <cell r="C7407">
            <v>58.51</v>
          </cell>
          <cell r="D7407">
            <v>19.27</v>
          </cell>
          <cell r="E7407">
            <v>8.6199999999999992</v>
          </cell>
          <cell r="H7407">
            <v>45600</v>
          </cell>
          <cell r="I7407">
            <v>0.95777777777777773</v>
          </cell>
          <cell r="J7407">
            <v>21.074444444444445</v>
          </cell>
        </row>
        <row r="7408">
          <cell r="B7408">
            <v>27.71</v>
          </cell>
          <cell r="C7408">
            <v>73.22</v>
          </cell>
          <cell r="D7408">
            <v>19.41</v>
          </cell>
          <cell r="E7408">
            <v>8.39</v>
          </cell>
          <cell r="H7408">
            <v>45600</v>
          </cell>
          <cell r="I7408">
            <v>0.95666666666666655</v>
          </cell>
          <cell r="J7408">
            <v>21.732222222222223</v>
          </cell>
        </row>
        <row r="7409">
          <cell r="B7409">
            <v>24.51</v>
          </cell>
          <cell r="C7409">
            <v>70.3</v>
          </cell>
          <cell r="D7409">
            <v>19.52</v>
          </cell>
          <cell r="E7409">
            <v>8.83</v>
          </cell>
          <cell r="H7409">
            <v>45600</v>
          </cell>
          <cell r="I7409">
            <v>0.9522222222222223</v>
          </cell>
          <cell r="J7409">
            <v>22.575555555555557</v>
          </cell>
        </row>
        <row r="7410">
          <cell r="B7410">
            <v>24.36</v>
          </cell>
          <cell r="C7410">
            <v>73.900000000000006</v>
          </cell>
          <cell r="D7410">
            <v>18.96</v>
          </cell>
          <cell r="E7410">
            <v>8.8800000000000008</v>
          </cell>
          <cell r="H7410">
            <v>45600</v>
          </cell>
          <cell r="I7410">
            <v>0.95444444444444443</v>
          </cell>
          <cell r="J7410">
            <v>22.846666666666668</v>
          </cell>
        </row>
        <row r="7411">
          <cell r="B7411">
            <v>25.47</v>
          </cell>
          <cell r="C7411">
            <v>75.03</v>
          </cell>
          <cell r="D7411">
            <v>20.239999999999998</v>
          </cell>
          <cell r="E7411">
            <v>9.0399999999999991</v>
          </cell>
          <cell r="H7411">
            <v>45600</v>
          </cell>
          <cell r="I7411">
            <v>0.96333333333333349</v>
          </cell>
          <cell r="J7411">
            <v>23.062222222222221</v>
          </cell>
        </row>
        <row r="7412">
          <cell r="B7412">
            <v>28.23</v>
          </cell>
          <cell r="C7412">
            <v>71.25</v>
          </cell>
          <cell r="D7412">
            <v>21.06</v>
          </cell>
          <cell r="E7412">
            <v>8.56</v>
          </cell>
          <cell r="H7412">
            <v>45600</v>
          </cell>
          <cell r="I7412">
            <v>0.98111111111111127</v>
          </cell>
          <cell r="J7412">
            <v>23.122222222222224</v>
          </cell>
        </row>
        <row r="7413">
          <cell r="B7413">
            <v>29.68</v>
          </cell>
          <cell r="C7413">
            <v>72.099999999999994</v>
          </cell>
          <cell r="D7413">
            <v>19.760000000000002</v>
          </cell>
          <cell r="E7413">
            <v>8.64</v>
          </cell>
          <cell r="H7413">
            <v>45600</v>
          </cell>
          <cell r="I7413">
            <v>0.99333333333333351</v>
          </cell>
          <cell r="J7413">
            <v>23.237777777777779</v>
          </cell>
        </row>
        <row r="7414">
          <cell r="B7414">
            <v>30.5</v>
          </cell>
          <cell r="C7414">
            <v>72.459999999999994</v>
          </cell>
          <cell r="D7414">
            <v>20.350000000000001</v>
          </cell>
          <cell r="E7414">
            <v>8.4499999999999993</v>
          </cell>
          <cell r="H7414">
            <v>45600</v>
          </cell>
          <cell r="I7414">
            <v>0.99777777777777787</v>
          </cell>
          <cell r="J7414">
            <v>23.101111111111113</v>
          </cell>
        </row>
        <row r="7415">
          <cell r="B7415">
            <v>31.94</v>
          </cell>
          <cell r="C7415">
            <v>70.63</v>
          </cell>
          <cell r="D7415">
            <v>19.5</v>
          </cell>
          <cell r="E7415">
            <v>8.5399999999999991</v>
          </cell>
          <cell r="H7415">
            <v>45600</v>
          </cell>
          <cell r="I7415">
            <v>1.0022222222222221</v>
          </cell>
          <cell r="J7415">
            <v>22.703333333333337</v>
          </cell>
        </row>
        <row r="7416">
          <cell r="B7416">
            <v>31.31</v>
          </cell>
          <cell r="C7416">
            <v>67.27</v>
          </cell>
          <cell r="D7416">
            <v>19.73</v>
          </cell>
          <cell r="E7416">
            <v>8.35</v>
          </cell>
          <cell r="H7416">
            <v>45600</v>
          </cell>
          <cell r="I7416">
            <v>0.99888888888888872</v>
          </cell>
          <cell r="J7416">
            <v>22.396666666666668</v>
          </cell>
        </row>
        <row r="7417">
          <cell r="B7417">
            <v>30.36</v>
          </cell>
          <cell r="C7417">
            <v>65.989999999999995</v>
          </cell>
          <cell r="D7417">
            <v>19.22</v>
          </cell>
          <cell r="E7417">
            <v>8.4700000000000006</v>
          </cell>
          <cell r="H7417">
            <v>45600</v>
          </cell>
          <cell r="I7417">
            <v>0.9966666666666667</v>
          </cell>
          <cell r="J7417">
            <v>21.959999999999997</v>
          </cell>
        </row>
        <row r="7418">
          <cell r="B7418">
            <v>31.5</v>
          </cell>
          <cell r="C7418">
            <v>65.709999999999994</v>
          </cell>
          <cell r="D7418">
            <v>18.64</v>
          </cell>
          <cell r="E7418">
            <v>8.74</v>
          </cell>
          <cell r="H7418">
            <v>45601</v>
          </cell>
          <cell r="I7418">
            <v>0.99111111111111105</v>
          </cell>
          <cell r="J7418">
            <v>21.324444444444445</v>
          </cell>
        </row>
        <row r="7419">
          <cell r="B7419">
            <v>30.64</v>
          </cell>
          <cell r="C7419">
            <v>62</v>
          </cell>
          <cell r="D7419">
            <v>18.7</v>
          </cell>
          <cell r="E7419">
            <v>8.89</v>
          </cell>
          <cell r="H7419">
            <v>45601</v>
          </cell>
          <cell r="I7419">
            <v>0.97222222222222243</v>
          </cell>
          <cell r="J7419">
            <v>21.19</v>
          </cell>
        </row>
        <row r="7420">
          <cell r="B7420">
            <v>29.02</v>
          </cell>
          <cell r="C7420">
            <v>56.85</v>
          </cell>
          <cell r="D7420">
            <v>18.96</v>
          </cell>
          <cell r="E7420">
            <v>8.41</v>
          </cell>
          <cell r="H7420">
            <v>45601</v>
          </cell>
          <cell r="I7420">
            <v>0.94666666666666677</v>
          </cell>
          <cell r="J7420">
            <v>21.166666666666668</v>
          </cell>
        </row>
        <row r="7421">
          <cell r="B7421">
            <v>29.02</v>
          </cell>
          <cell r="C7421">
            <v>53.87</v>
          </cell>
          <cell r="D7421">
            <v>18.37</v>
          </cell>
          <cell r="E7421">
            <v>8.17</v>
          </cell>
          <cell r="H7421">
            <v>45601</v>
          </cell>
          <cell r="I7421">
            <v>0.9011111111111112</v>
          </cell>
          <cell r="J7421">
            <v>21.392222222222223</v>
          </cell>
        </row>
        <row r="7422">
          <cell r="B7422">
            <v>27.93</v>
          </cell>
          <cell r="C7422">
            <v>52.74</v>
          </cell>
          <cell r="D7422">
            <v>19.079999999999998</v>
          </cell>
          <cell r="E7422">
            <v>8.3000000000000007</v>
          </cell>
          <cell r="H7422">
            <v>45601</v>
          </cell>
          <cell r="I7422">
            <v>0.86999999999999988</v>
          </cell>
          <cell r="J7422">
            <v>21.365555555555556</v>
          </cell>
        </row>
        <row r="7423">
          <cell r="B7423">
            <v>29.56</v>
          </cell>
          <cell r="C7423">
            <v>57.94</v>
          </cell>
          <cell r="D7423">
            <v>18.84</v>
          </cell>
          <cell r="E7423">
            <v>8.49</v>
          </cell>
          <cell r="H7423">
            <v>45601</v>
          </cell>
          <cell r="I7423">
            <v>0.85666666666666658</v>
          </cell>
          <cell r="J7423">
            <v>21.355555555555554</v>
          </cell>
        </row>
        <row r="7424">
          <cell r="B7424">
            <v>31.82</v>
          </cell>
          <cell r="C7424">
            <v>64.88</v>
          </cell>
          <cell r="D7424">
            <v>18.66</v>
          </cell>
          <cell r="E7424">
            <v>8.89</v>
          </cell>
          <cell r="H7424">
            <v>45601</v>
          </cell>
          <cell r="I7424">
            <v>0.8488888888888888</v>
          </cell>
          <cell r="J7424">
            <v>21.312222222222221</v>
          </cell>
        </row>
        <row r="7425">
          <cell r="B7425">
            <v>34.79</v>
          </cell>
          <cell r="C7425">
            <v>72.77</v>
          </cell>
          <cell r="D7425">
            <v>19.12</v>
          </cell>
          <cell r="E7425">
            <v>9.06</v>
          </cell>
          <cell r="H7425">
            <v>45601</v>
          </cell>
          <cell r="I7425">
            <v>0.85555555555555551</v>
          </cell>
          <cell r="J7425">
            <v>21.337777777777777</v>
          </cell>
        </row>
        <row r="7426">
          <cell r="B7426">
            <v>36.590000000000003</v>
          </cell>
          <cell r="C7426">
            <v>80.099999999999994</v>
          </cell>
          <cell r="D7426">
            <v>19.38</v>
          </cell>
          <cell r="E7426">
            <v>9.27</v>
          </cell>
          <cell r="H7426">
            <v>45601</v>
          </cell>
          <cell r="I7426">
            <v>0.87555555555555542</v>
          </cell>
          <cell r="J7426">
            <v>21.374444444444446</v>
          </cell>
        </row>
        <row r="7427">
          <cell r="B7427">
            <v>38.119999999999997</v>
          </cell>
          <cell r="C7427">
            <v>86.05</v>
          </cell>
          <cell r="D7427">
            <v>18.850000000000001</v>
          </cell>
          <cell r="E7427">
            <v>9.32</v>
          </cell>
          <cell r="H7427">
            <v>45601</v>
          </cell>
          <cell r="I7427">
            <v>0.90555555555555556</v>
          </cell>
          <cell r="J7427">
            <v>21.774444444444445</v>
          </cell>
        </row>
        <row r="7428">
          <cell r="B7428">
            <v>36.44</v>
          </cell>
          <cell r="C7428">
            <v>86.89</v>
          </cell>
          <cell r="D7428">
            <v>18.48</v>
          </cell>
          <cell r="E7428">
            <v>8.9700000000000006</v>
          </cell>
          <cell r="H7428">
            <v>45601</v>
          </cell>
          <cell r="I7428">
            <v>0.92999999999999994</v>
          </cell>
          <cell r="J7428">
            <v>22.301111111111112</v>
          </cell>
        </row>
        <row r="7429">
          <cell r="B7429">
            <v>34.880000000000003</v>
          </cell>
          <cell r="C7429">
            <v>84.77</v>
          </cell>
          <cell r="D7429">
            <v>18.809999999999999</v>
          </cell>
          <cell r="E7429">
            <v>9.08</v>
          </cell>
          <cell r="H7429">
            <v>45601</v>
          </cell>
          <cell r="I7429">
            <v>0.94888888888888878</v>
          </cell>
          <cell r="J7429">
            <v>22.847777777777779</v>
          </cell>
        </row>
        <row r="7430">
          <cell r="B7430">
            <v>33.21</v>
          </cell>
          <cell r="C7430">
            <v>80.44</v>
          </cell>
          <cell r="D7430">
            <v>18.829999999999998</v>
          </cell>
          <cell r="E7430">
            <v>8.85</v>
          </cell>
          <cell r="H7430">
            <v>45601</v>
          </cell>
          <cell r="I7430">
            <v>0.95888888888888901</v>
          </cell>
          <cell r="J7430">
            <v>23.446666666666669</v>
          </cell>
        </row>
        <row r="7431">
          <cell r="B7431">
            <v>33.76</v>
          </cell>
          <cell r="C7431">
            <v>77.209999999999994</v>
          </cell>
          <cell r="D7431">
            <v>19.28</v>
          </cell>
          <cell r="E7431">
            <v>8.76</v>
          </cell>
          <cell r="H7431">
            <v>45601</v>
          </cell>
          <cell r="I7431">
            <v>0.95777777777777773</v>
          </cell>
          <cell r="J7431">
            <v>24.262222222222224</v>
          </cell>
        </row>
        <row r="7432">
          <cell r="B7432">
            <v>36.22</v>
          </cell>
          <cell r="C7432">
            <v>80.44</v>
          </cell>
          <cell r="D7432">
            <v>19.11</v>
          </cell>
          <cell r="E7432">
            <v>9.0500000000000007</v>
          </cell>
          <cell r="H7432">
            <v>45601</v>
          </cell>
          <cell r="I7432">
            <v>0.95111111111111102</v>
          </cell>
          <cell r="J7432">
            <v>25.034444444444446</v>
          </cell>
        </row>
        <row r="7433">
          <cell r="B7433">
            <v>37.119999999999997</v>
          </cell>
          <cell r="C7433">
            <v>76.81</v>
          </cell>
          <cell r="D7433">
            <v>20.02</v>
          </cell>
          <cell r="E7433">
            <v>9.43</v>
          </cell>
          <cell r="H7433">
            <v>45601</v>
          </cell>
          <cell r="I7433">
            <v>0.94444444444444442</v>
          </cell>
          <cell r="J7433">
            <v>25.763333333333335</v>
          </cell>
        </row>
        <row r="7434">
          <cell r="B7434">
            <v>35.94</v>
          </cell>
          <cell r="C7434">
            <v>80.760000000000005</v>
          </cell>
          <cell r="D7434">
            <v>20.11</v>
          </cell>
          <cell r="E7434">
            <v>9.32</v>
          </cell>
          <cell r="H7434">
            <v>45601</v>
          </cell>
          <cell r="I7434">
            <v>0.94444444444444442</v>
          </cell>
          <cell r="J7434">
            <v>26.405555555555555</v>
          </cell>
        </row>
        <row r="7435">
          <cell r="B7435">
            <v>37.11</v>
          </cell>
          <cell r="C7435">
            <v>87.22</v>
          </cell>
          <cell r="D7435">
            <v>20.7</v>
          </cell>
          <cell r="E7435">
            <v>9.41</v>
          </cell>
          <cell r="H7435">
            <v>45601</v>
          </cell>
          <cell r="I7435">
            <v>0.95000000000000007</v>
          </cell>
          <cell r="J7435">
            <v>26.5</v>
          </cell>
        </row>
        <row r="7436">
          <cell r="B7436">
            <v>40.049999999999997</v>
          </cell>
          <cell r="C7436">
            <v>100.98</v>
          </cell>
          <cell r="D7436">
            <v>22.41</v>
          </cell>
          <cell r="E7436">
            <v>9.11</v>
          </cell>
          <cell r="H7436">
            <v>45601</v>
          </cell>
          <cell r="I7436">
            <v>0.98</v>
          </cell>
          <cell r="J7436">
            <v>25.955555555555556</v>
          </cell>
        </row>
        <row r="7437">
          <cell r="B7437">
            <v>45.03</v>
          </cell>
          <cell r="C7437">
            <v>118.42</v>
          </cell>
          <cell r="D7437">
            <v>23.09</v>
          </cell>
          <cell r="E7437">
            <v>9.6999999999999993</v>
          </cell>
          <cell r="H7437">
            <v>45601</v>
          </cell>
          <cell r="I7437">
            <v>1.0366666666666668</v>
          </cell>
          <cell r="J7437">
            <v>25.26</v>
          </cell>
        </row>
        <row r="7438">
          <cell r="B7438">
            <v>49.97</v>
          </cell>
          <cell r="C7438">
            <v>173.23</v>
          </cell>
          <cell r="D7438">
            <v>23.11</v>
          </cell>
          <cell r="E7438">
            <v>9.7799999999999994</v>
          </cell>
          <cell r="H7438">
            <v>45601</v>
          </cell>
          <cell r="I7438">
            <v>1.082222222222222</v>
          </cell>
          <cell r="J7438">
            <v>24.566666666666663</v>
          </cell>
        </row>
        <row r="7439">
          <cell r="B7439">
            <v>53</v>
          </cell>
          <cell r="C7439">
            <v>155.51</v>
          </cell>
          <cell r="D7439">
            <v>21.75</v>
          </cell>
          <cell r="E7439">
            <v>9.26</v>
          </cell>
          <cell r="H7439">
            <v>45601</v>
          </cell>
          <cell r="I7439">
            <v>1.1100000000000001</v>
          </cell>
          <cell r="J7439">
            <v>23.898888888888887</v>
          </cell>
        </row>
        <row r="7440">
          <cell r="B7440">
            <v>53.35</v>
          </cell>
          <cell r="C7440">
            <v>130.61000000000001</v>
          </cell>
          <cell r="D7440">
            <v>21.35</v>
          </cell>
          <cell r="E7440">
            <v>9.64</v>
          </cell>
          <cell r="H7440">
            <v>45601</v>
          </cell>
          <cell r="I7440">
            <v>1.1288888888888888</v>
          </cell>
          <cell r="J7440">
            <v>23.096666666666664</v>
          </cell>
        </row>
        <row r="7441">
          <cell r="B7441">
            <v>52.54</v>
          </cell>
          <cell r="C7441">
            <v>120.31</v>
          </cell>
          <cell r="D7441">
            <v>20.6</v>
          </cell>
          <cell r="E7441">
            <v>9.77</v>
          </cell>
          <cell r="H7441">
            <v>45601</v>
          </cell>
          <cell r="I7441">
            <v>1.1388888888888888</v>
          </cell>
          <cell r="J7441">
            <v>22.571111111111112</v>
          </cell>
        </row>
        <row r="7442">
          <cell r="B7442">
            <v>53.36</v>
          </cell>
          <cell r="C7442">
            <v>113.71</v>
          </cell>
          <cell r="D7442">
            <v>20.22</v>
          </cell>
          <cell r="E7442">
            <v>9.09</v>
          </cell>
          <cell r="H7442">
            <v>45602</v>
          </cell>
          <cell r="I7442">
            <v>1.1422222222222222</v>
          </cell>
          <cell r="J7442">
            <v>21.971111111111114</v>
          </cell>
        </row>
        <row r="7443">
          <cell r="B7443">
            <v>54.02</v>
          </cell>
          <cell r="C7443">
            <v>109.52</v>
          </cell>
          <cell r="D7443">
            <v>20.329999999999998</v>
          </cell>
          <cell r="E7443">
            <v>9</v>
          </cell>
          <cell r="H7443">
            <v>45602</v>
          </cell>
          <cell r="I7443">
            <v>1.1322222222222225</v>
          </cell>
          <cell r="J7443">
            <v>21.432222222222222</v>
          </cell>
        </row>
        <row r="7444">
          <cell r="B7444">
            <v>57.26</v>
          </cell>
          <cell r="C7444">
            <v>110.72</v>
          </cell>
          <cell r="D7444">
            <v>21.21</v>
          </cell>
          <cell r="E7444">
            <v>9.18</v>
          </cell>
          <cell r="H7444">
            <v>45602</v>
          </cell>
          <cell r="I7444">
            <v>1.1100000000000001</v>
          </cell>
          <cell r="J7444">
            <v>21.231111111111112</v>
          </cell>
        </row>
        <row r="7445">
          <cell r="B7445">
            <v>56.71</v>
          </cell>
          <cell r="C7445">
            <v>106.53</v>
          </cell>
          <cell r="D7445">
            <v>21.52</v>
          </cell>
          <cell r="E7445">
            <v>8.9600000000000009</v>
          </cell>
          <cell r="H7445">
            <v>45602</v>
          </cell>
          <cell r="I7445">
            <v>1.0511111111111111</v>
          </cell>
          <cell r="J7445">
            <v>21.462222222222223</v>
          </cell>
        </row>
        <row r="7446">
          <cell r="B7446">
            <v>54.39</v>
          </cell>
          <cell r="C7446">
            <v>101.5</v>
          </cell>
          <cell r="D7446">
            <v>20.38</v>
          </cell>
          <cell r="E7446">
            <v>8.81</v>
          </cell>
          <cell r="H7446">
            <v>45602</v>
          </cell>
          <cell r="I7446">
            <v>0.97777777777777763</v>
          </cell>
          <cell r="J7446">
            <v>21.714444444444442</v>
          </cell>
        </row>
        <row r="7447">
          <cell r="B7447">
            <v>53.88</v>
          </cell>
          <cell r="C7447">
            <v>104.99</v>
          </cell>
          <cell r="D7447">
            <v>20.76</v>
          </cell>
          <cell r="E7447">
            <v>8.8800000000000008</v>
          </cell>
          <cell r="H7447">
            <v>45602</v>
          </cell>
          <cell r="I7447">
            <v>0.931111111111111</v>
          </cell>
          <cell r="J7447">
            <v>21.91888888888889</v>
          </cell>
        </row>
        <row r="7448">
          <cell r="B7448">
            <v>56.16</v>
          </cell>
          <cell r="C7448">
            <v>111.39</v>
          </cell>
          <cell r="D7448">
            <v>21.2</v>
          </cell>
          <cell r="E7448">
            <v>8.9700000000000006</v>
          </cell>
          <cell r="H7448">
            <v>45602</v>
          </cell>
          <cell r="I7448">
            <v>0.91888888888888887</v>
          </cell>
          <cell r="J7448">
            <v>21.905555555555555</v>
          </cell>
        </row>
        <row r="7449">
          <cell r="B7449">
            <v>58.74</v>
          </cell>
          <cell r="C7449">
            <v>139.05000000000001</v>
          </cell>
          <cell r="D7449">
            <v>22.04</v>
          </cell>
          <cell r="E7449">
            <v>9.59</v>
          </cell>
          <cell r="H7449">
            <v>45602</v>
          </cell>
          <cell r="I7449">
            <v>0.92888888888888899</v>
          </cell>
          <cell r="J7449">
            <v>21.934444444444445</v>
          </cell>
        </row>
        <row r="7450">
          <cell r="B7450">
            <v>54.72</v>
          </cell>
          <cell r="C7450">
            <v>135.19</v>
          </cell>
          <cell r="D7450">
            <v>20.59</v>
          </cell>
          <cell r="E7450">
            <v>9.36</v>
          </cell>
          <cell r="H7450">
            <v>45602</v>
          </cell>
          <cell r="I7450">
            <v>0.95444444444444443</v>
          </cell>
          <cell r="J7450">
            <v>21.888888888888889</v>
          </cell>
        </row>
        <row r="7451">
          <cell r="B7451">
            <v>48.07</v>
          </cell>
          <cell r="C7451">
            <v>113.27</v>
          </cell>
          <cell r="D7451">
            <v>18.84</v>
          </cell>
          <cell r="E7451">
            <v>8.82</v>
          </cell>
          <cell r="H7451">
            <v>45602</v>
          </cell>
          <cell r="I7451">
            <v>0.98888888888888871</v>
          </cell>
          <cell r="J7451">
            <v>22.56666666666667</v>
          </cell>
        </row>
        <row r="7452">
          <cell r="B7452">
            <v>50.59</v>
          </cell>
          <cell r="C7452">
            <v>116.33</v>
          </cell>
          <cell r="D7452">
            <v>19.78</v>
          </cell>
          <cell r="E7452">
            <v>8.7100000000000009</v>
          </cell>
          <cell r="H7452">
            <v>45602</v>
          </cell>
          <cell r="I7452">
            <v>1.0122222222222221</v>
          </cell>
          <cell r="J7452">
            <v>23.301111111111108</v>
          </cell>
        </row>
        <row r="7453">
          <cell r="B7453">
            <v>49.83</v>
          </cell>
          <cell r="C7453">
            <v>112.86</v>
          </cell>
          <cell r="D7453">
            <v>18.95</v>
          </cell>
          <cell r="E7453">
            <v>9.4</v>
          </cell>
          <cell r="H7453">
            <v>45602</v>
          </cell>
          <cell r="I7453">
            <v>1.0333333333333334</v>
          </cell>
          <cell r="J7453">
            <v>24.169999999999998</v>
          </cell>
        </row>
        <row r="7454">
          <cell r="B7454">
            <v>44.22</v>
          </cell>
          <cell r="C7454">
            <v>99.55</v>
          </cell>
          <cell r="D7454">
            <v>19.010000000000002</v>
          </cell>
          <cell r="E7454">
            <v>10.72</v>
          </cell>
          <cell r="H7454">
            <v>45602</v>
          </cell>
          <cell r="I7454">
            <v>1.0388888888888888</v>
          </cell>
          <cell r="J7454">
            <v>25.218888888888888</v>
          </cell>
        </row>
        <row r="7455">
          <cell r="B7455">
            <v>45.81</v>
          </cell>
          <cell r="C7455">
            <v>95.79</v>
          </cell>
          <cell r="D7455">
            <v>18.48</v>
          </cell>
          <cell r="E7455">
            <v>11.18</v>
          </cell>
          <cell r="H7455">
            <v>45602</v>
          </cell>
          <cell r="I7455">
            <v>1.0411111111111113</v>
          </cell>
          <cell r="J7455">
            <v>26.426666666666669</v>
          </cell>
        </row>
        <row r="7456">
          <cell r="B7456">
            <v>44.94</v>
          </cell>
          <cell r="C7456">
            <v>94.54</v>
          </cell>
          <cell r="D7456">
            <v>18.97</v>
          </cell>
          <cell r="E7456">
            <v>11.3</v>
          </cell>
          <cell r="H7456">
            <v>45602</v>
          </cell>
          <cell r="I7456">
            <v>1.0355555555555556</v>
          </cell>
          <cell r="J7456">
            <v>27.425555555555558</v>
          </cell>
        </row>
        <row r="7457">
          <cell r="B7457">
            <v>43.86</v>
          </cell>
          <cell r="C7457">
            <v>93.66</v>
          </cell>
          <cell r="D7457">
            <v>19.73</v>
          </cell>
          <cell r="E7457">
            <v>11.32</v>
          </cell>
          <cell r="H7457">
            <v>45602</v>
          </cell>
          <cell r="I7457">
            <v>1.0255555555555556</v>
          </cell>
          <cell r="J7457">
            <v>28.294444444444444</v>
          </cell>
        </row>
        <row r="7458">
          <cell r="B7458">
            <v>41.91</v>
          </cell>
          <cell r="C7458">
            <v>95.6</v>
          </cell>
          <cell r="D7458">
            <v>19.510000000000002</v>
          </cell>
          <cell r="E7458">
            <v>10.91</v>
          </cell>
          <cell r="H7458">
            <v>45602</v>
          </cell>
          <cell r="I7458">
            <v>1.0144444444444445</v>
          </cell>
          <cell r="J7458">
            <v>29.029999999999998</v>
          </cell>
        </row>
        <row r="7459">
          <cell r="B7459">
            <v>42.21</v>
          </cell>
          <cell r="C7459">
            <v>107.52</v>
          </cell>
          <cell r="D7459">
            <v>20.58</v>
          </cell>
          <cell r="E7459">
            <v>11.26</v>
          </cell>
          <cell r="H7459">
            <v>45602</v>
          </cell>
          <cell r="I7459">
            <v>1.0166666666666666</v>
          </cell>
          <cell r="J7459">
            <v>29.452222222222222</v>
          </cell>
        </row>
        <row r="7460">
          <cell r="B7460">
            <v>46.94</v>
          </cell>
          <cell r="C7460">
            <v>121.64</v>
          </cell>
          <cell r="D7460">
            <v>21.9</v>
          </cell>
          <cell r="E7460">
            <v>9.35</v>
          </cell>
          <cell r="H7460">
            <v>45602</v>
          </cell>
          <cell r="I7460">
            <v>1.03</v>
          </cell>
          <cell r="J7460">
            <v>28.981111111111108</v>
          </cell>
        </row>
        <row r="7461">
          <cell r="B7461">
            <v>48.73</v>
          </cell>
          <cell r="C7461">
            <v>122.49</v>
          </cell>
          <cell r="D7461">
            <v>21.11</v>
          </cell>
          <cell r="E7461">
            <v>10.02</v>
          </cell>
          <cell r="H7461">
            <v>45602</v>
          </cell>
          <cell r="I7461">
            <v>1.0577777777777777</v>
          </cell>
          <cell r="J7461">
            <v>28.468888888888891</v>
          </cell>
        </row>
        <row r="7462">
          <cell r="B7462">
            <v>51.35</v>
          </cell>
          <cell r="C7462">
            <v>123.5</v>
          </cell>
          <cell r="D7462">
            <v>21.18</v>
          </cell>
          <cell r="E7462">
            <v>9.8000000000000007</v>
          </cell>
          <cell r="H7462">
            <v>45602</v>
          </cell>
          <cell r="I7462">
            <v>1.0722222222222222</v>
          </cell>
          <cell r="J7462">
            <v>27.88000000000001</v>
          </cell>
        </row>
        <row r="7463">
          <cell r="B7463">
            <v>47.33</v>
          </cell>
          <cell r="C7463">
            <v>113.79</v>
          </cell>
          <cell r="D7463">
            <v>20.85</v>
          </cell>
          <cell r="E7463">
            <v>11.13</v>
          </cell>
          <cell r="H7463">
            <v>45602</v>
          </cell>
          <cell r="I7463">
            <v>1.0933333333333333</v>
          </cell>
          <cell r="J7463">
            <v>27.070000000000007</v>
          </cell>
        </row>
        <row r="7464">
          <cell r="B7464">
            <v>44.49</v>
          </cell>
          <cell r="C7464">
            <v>107.95</v>
          </cell>
          <cell r="D7464">
            <v>20.88</v>
          </cell>
          <cell r="E7464">
            <v>11.58</v>
          </cell>
          <cell r="H7464">
            <v>45602</v>
          </cell>
          <cell r="I7464">
            <v>1.1066666666666667</v>
          </cell>
          <cell r="J7464">
            <v>26.12777777777778</v>
          </cell>
        </row>
        <row r="7465">
          <cell r="B7465">
            <v>44.52</v>
          </cell>
          <cell r="C7465">
            <v>102.17</v>
          </cell>
          <cell r="D7465">
            <v>20</v>
          </cell>
          <cell r="E7465">
            <v>11.62</v>
          </cell>
          <cell r="H7465">
            <v>45602</v>
          </cell>
          <cell r="I7465">
            <v>1.1155555555555554</v>
          </cell>
          <cell r="J7465">
            <v>25.490000000000006</v>
          </cell>
        </row>
        <row r="7466">
          <cell r="B7466">
            <v>46.14</v>
          </cell>
          <cell r="C7466">
            <v>101.38</v>
          </cell>
          <cell r="D7466">
            <v>19.79</v>
          </cell>
          <cell r="E7466">
            <v>9.5299999999999994</v>
          </cell>
          <cell r="H7466">
            <v>45603</v>
          </cell>
          <cell r="I7466">
            <v>1.108888888888889</v>
          </cell>
          <cell r="J7466">
            <v>25.117777777777778</v>
          </cell>
        </row>
        <row r="7467">
          <cell r="B7467">
            <v>48.3</v>
          </cell>
          <cell r="C7467">
            <v>99.45</v>
          </cell>
          <cell r="D7467">
            <v>19.52</v>
          </cell>
          <cell r="E7467">
            <v>8.83</v>
          </cell>
          <cell r="H7467">
            <v>45603</v>
          </cell>
          <cell r="I7467">
            <v>1.0911111111111111</v>
          </cell>
          <cell r="J7467">
            <v>24.867777777777778</v>
          </cell>
        </row>
        <row r="7468">
          <cell r="B7468">
            <v>51.02</v>
          </cell>
          <cell r="C7468">
            <v>99.92</v>
          </cell>
          <cell r="D7468">
            <v>19.88</v>
          </cell>
          <cell r="E7468">
            <v>8.68</v>
          </cell>
          <cell r="H7468">
            <v>45603</v>
          </cell>
          <cell r="I7468">
            <v>1.0544444444444443</v>
          </cell>
          <cell r="J7468">
            <v>24.714444444444442</v>
          </cell>
        </row>
        <row r="7469">
          <cell r="B7469">
            <v>47.23</v>
          </cell>
          <cell r="C7469">
            <v>94.06</v>
          </cell>
          <cell r="D7469">
            <v>20.21</v>
          </cell>
          <cell r="E7469">
            <v>8.83</v>
          </cell>
          <cell r="H7469">
            <v>45603</v>
          </cell>
          <cell r="I7469">
            <v>1.0077777777777779</v>
          </cell>
          <cell r="J7469">
            <v>24.873333333333335</v>
          </cell>
        </row>
        <row r="7470">
          <cell r="B7470">
            <v>45.15</v>
          </cell>
          <cell r="C7470">
            <v>88.47</v>
          </cell>
          <cell r="D7470">
            <v>19.93</v>
          </cell>
          <cell r="E7470">
            <v>8.8699999999999992</v>
          </cell>
          <cell r="H7470">
            <v>45603</v>
          </cell>
          <cell r="I7470">
            <v>0.95555555555555549</v>
          </cell>
          <cell r="J7470">
            <v>25.102222222222217</v>
          </cell>
        </row>
        <row r="7471">
          <cell r="B7471">
            <v>46.37</v>
          </cell>
          <cell r="C7471">
            <v>89.76</v>
          </cell>
          <cell r="D7471">
            <v>20.62</v>
          </cell>
          <cell r="E7471">
            <v>10.87</v>
          </cell>
          <cell r="H7471">
            <v>45603</v>
          </cell>
          <cell r="I7471">
            <v>0.92555555555555558</v>
          </cell>
          <cell r="J7471">
            <v>25.275555555555552</v>
          </cell>
        </row>
        <row r="7472">
          <cell r="B7472">
            <v>48.85</v>
          </cell>
          <cell r="C7472">
            <v>94.84</v>
          </cell>
          <cell r="D7472">
            <v>20.6</v>
          </cell>
          <cell r="E7472">
            <v>10.93</v>
          </cell>
          <cell r="H7472">
            <v>45603</v>
          </cell>
          <cell r="I7472">
            <v>0.91333333333333344</v>
          </cell>
          <cell r="J7472">
            <v>25.262222222222224</v>
          </cell>
        </row>
        <row r="7473">
          <cell r="B7473">
            <v>48.02</v>
          </cell>
          <cell r="C7473">
            <v>146.91999999999999</v>
          </cell>
          <cell r="D7473">
            <v>20.51</v>
          </cell>
          <cell r="E7473">
            <v>10.72</v>
          </cell>
          <cell r="H7473">
            <v>45603</v>
          </cell>
          <cell r="I7473">
            <v>0.91555555555555557</v>
          </cell>
          <cell r="J7473">
            <v>25.395555555555557</v>
          </cell>
        </row>
        <row r="7474">
          <cell r="B7474">
            <v>45.61</v>
          </cell>
          <cell r="C7474">
            <v>138.18</v>
          </cell>
          <cell r="D7474">
            <v>19.829999999999998</v>
          </cell>
          <cell r="E7474">
            <v>9.14</v>
          </cell>
          <cell r="H7474">
            <v>45603</v>
          </cell>
          <cell r="I7474">
            <v>0.92777777777777792</v>
          </cell>
          <cell r="J7474">
            <v>25.621111111111112</v>
          </cell>
        </row>
        <row r="7475">
          <cell r="B7475">
            <v>46.83</v>
          </cell>
          <cell r="C7475">
            <v>113.81</v>
          </cell>
          <cell r="D7475">
            <v>19.420000000000002</v>
          </cell>
          <cell r="E7475">
            <v>9.07</v>
          </cell>
          <cell r="H7475">
            <v>45603</v>
          </cell>
          <cell r="I7475">
            <v>0.95666666666666655</v>
          </cell>
          <cell r="J7475">
            <v>25.875555555555554</v>
          </cell>
        </row>
        <row r="7476">
          <cell r="B7476">
            <v>42.03</v>
          </cell>
          <cell r="C7476">
            <v>97.73</v>
          </cell>
          <cell r="D7476">
            <v>18.47</v>
          </cell>
          <cell r="E7476">
            <v>9.35</v>
          </cell>
          <cell r="H7476">
            <v>45603</v>
          </cell>
          <cell r="I7476">
            <v>0.97777777777777763</v>
          </cell>
          <cell r="J7476">
            <v>26.233333333333334</v>
          </cell>
        </row>
        <row r="7477">
          <cell r="B7477">
            <v>38.44</v>
          </cell>
          <cell r="C7477">
            <v>83.86</v>
          </cell>
          <cell r="D7477">
            <v>19.71</v>
          </cell>
          <cell r="E7477">
            <v>10.36</v>
          </cell>
          <cell r="H7477">
            <v>45603</v>
          </cell>
          <cell r="I7477">
            <v>0.99333333333333329</v>
          </cell>
          <cell r="J7477">
            <v>26.59333333333333</v>
          </cell>
        </row>
        <row r="7478">
          <cell r="B7478">
            <v>36.47</v>
          </cell>
          <cell r="C7478">
            <v>77.569999999999993</v>
          </cell>
          <cell r="D7478">
            <v>19.68</v>
          </cell>
          <cell r="E7478">
            <v>10.02</v>
          </cell>
          <cell r="H7478">
            <v>45603</v>
          </cell>
          <cell r="I7478">
            <v>1.0055555555555555</v>
          </cell>
          <cell r="J7478">
            <v>26.912222222222219</v>
          </cell>
        </row>
        <row r="7479">
          <cell r="B7479">
            <v>35.979999999999997</v>
          </cell>
          <cell r="C7479">
            <v>79.709999999999994</v>
          </cell>
          <cell r="D7479">
            <v>19.690000000000001</v>
          </cell>
          <cell r="E7479">
            <v>11.82</v>
          </cell>
          <cell r="H7479">
            <v>45603</v>
          </cell>
          <cell r="I7479">
            <v>1.0211111111111111</v>
          </cell>
          <cell r="J7479">
            <v>27.11888888888889</v>
          </cell>
        </row>
        <row r="7480">
          <cell r="B7480">
            <v>37</v>
          </cell>
          <cell r="C7480">
            <v>83.36</v>
          </cell>
          <cell r="D7480">
            <v>19.690000000000001</v>
          </cell>
          <cell r="E7480">
            <v>12.39</v>
          </cell>
          <cell r="H7480">
            <v>45603</v>
          </cell>
          <cell r="I7480">
            <v>1.03</v>
          </cell>
          <cell r="J7480">
            <v>27.223333333333333</v>
          </cell>
        </row>
        <row r="7481">
          <cell r="B7481">
            <v>35.380000000000003</v>
          </cell>
          <cell r="C7481">
            <v>82.99</v>
          </cell>
          <cell r="D7481">
            <v>20.170000000000002</v>
          </cell>
          <cell r="E7481">
            <v>12.44</v>
          </cell>
          <cell r="H7481">
            <v>45603</v>
          </cell>
          <cell r="I7481">
            <v>1.0344444444444445</v>
          </cell>
          <cell r="J7481">
            <v>27.407777777777778</v>
          </cell>
        </row>
        <row r="7482">
          <cell r="B7482">
            <v>36.58</v>
          </cell>
          <cell r="C7482">
            <v>84.28</v>
          </cell>
          <cell r="D7482">
            <v>19.78</v>
          </cell>
          <cell r="E7482">
            <v>10.56</v>
          </cell>
          <cell r="H7482">
            <v>45603</v>
          </cell>
          <cell r="I7482">
            <v>1.0355555555555556</v>
          </cell>
          <cell r="J7482">
            <v>27.36</v>
          </cell>
        </row>
        <row r="7483">
          <cell r="B7483">
            <v>33.5</v>
          </cell>
          <cell r="C7483">
            <v>83.84</v>
          </cell>
          <cell r="D7483">
            <v>20.65</v>
          </cell>
          <cell r="E7483">
            <v>9.7899999999999991</v>
          </cell>
          <cell r="H7483">
            <v>45603</v>
          </cell>
          <cell r="I7483">
            <v>1.0344444444444447</v>
          </cell>
          <cell r="J7483">
            <v>26.837777777777781</v>
          </cell>
        </row>
        <row r="7484">
          <cell r="B7484">
            <v>39.14</v>
          </cell>
          <cell r="C7484">
            <v>89.4</v>
          </cell>
          <cell r="D7484">
            <v>21.09</v>
          </cell>
          <cell r="E7484">
            <v>10.14</v>
          </cell>
          <cell r="H7484">
            <v>45603</v>
          </cell>
          <cell r="I7484">
            <v>1.0411111111111111</v>
          </cell>
          <cell r="J7484">
            <v>26.134444444444444</v>
          </cell>
        </row>
        <row r="7485">
          <cell r="B7485">
            <v>41.99</v>
          </cell>
          <cell r="C7485">
            <v>93.21</v>
          </cell>
          <cell r="D7485">
            <v>21.23</v>
          </cell>
          <cell r="E7485">
            <v>10.08</v>
          </cell>
          <cell r="H7485">
            <v>45603</v>
          </cell>
          <cell r="I7485">
            <v>1.0722222222222222</v>
          </cell>
          <cell r="J7485">
            <v>25.28</v>
          </cell>
        </row>
        <row r="7486">
          <cell r="B7486">
            <v>40.229999999999997</v>
          </cell>
          <cell r="C7486">
            <v>92.87</v>
          </cell>
          <cell r="D7486">
            <v>21.04</v>
          </cell>
          <cell r="E7486">
            <v>9.92</v>
          </cell>
          <cell r="H7486">
            <v>45603</v>
          </cell>
          <cell r="I7486">
            <v>1.0966666666666667</v>
          </cell>
          <cell r="J7486">
            <v>24.421111111111113</v>
          </cell>
        </row>
        <row r="7487">
          <cell r="B7487">
            <v>36.07</v>
          </cell>
          <cell r="C7487">
            <v>82.56</v>
          </cell>
          <cell r="D7487">
            <v>21.26</v>
          </cell>
          <cell r="E7487">
            <v>10.34</v>
          </cell>
          <cell r="H7487">
            <v>45603</v>
          </cell>
          <cell r="I7487">
            <v>1.0933333333333333</v>
          </cell>
          <cell r="J7487">
            <v>23.74</v>
          </cell>
        </row>
        <row r="7488">
          <cell r="B7488">
            <v>31.31</v>
          </cell>
          <cell r="C7488">
            <v>68.290000000000006</v>
          </cell>
          <cell r="D7488">
            <v>20.149999999999999</v>
          </cell>
          <cell r="E7488">
            <v>11.6</v>
          </cell>
          <cell r="H7488">
            <v>45603</v>
          </cell>
          <cell r="I7488">
            <v>1.078888888888889</v>
          </cell>
          <cell r="J7488">
            <v>23.043333333333337</v>
          </cell>
        </row>
        <row r="7489">
          <cell r="B7489">
            <v>29.37</v>
          </cell>
          <cell r="C7489">
            <v>62.41</v>
          </cell>
          <cell r="D7489">
            <v>19.91</v>
          </cell>
          <cell r="E7489">
            <v>11.91</v>
          </cell>
          <cell r="H7489">
            <v>45603</v>
          </cell>
          <cell r="I7489">
            <v>1.0577777777777777</v>
          </cell>
          <cell r="J7489">
            <v>22.412222222222219</v>
          </cell>
        </row>
        <row r="7490">
          <cell r="B7490">
            <v>28.25</v>
          </cell>
          <cell r="C7490">
            <v>57.7</v>
          </cell>
          <cell r="D7490">
            <v>19.73</v>
          </cell>
          <cell r="E7490">
            <v>10.52</v>
          </cell>
          <cell r="H7490">
            <v>45604</v>
          </cell>
          <cell r="I7490">
            <v>1.0344444444444443</v>
          </cell>
          <cell r="J7490">
            <v>21.925555555555555</v>
          </cell>
        </row>
        <row r="7491">
          <cell r="B7491">
            <v>27.08</v>
          </cell>
          <cell r="C7491">
            <v>54.58</v>
          </cell>
          <cell r="D7491">
            <v>19.84</v>
          </cell>
          <cell r="E7491">
            <v>9.82</v>
          </cell>
          <cell r="H7491">
            <v>45604</v>
          </cell>
          <cell r="I7491">
            <v>1.0022222222222221</v>
          </cell>
          <cell r="J7491">
            <v>21.493333333333332</v>
          </cell>
        </row>
        <row r="7492">
          <cell r="B7492">
            <v>28.03</v>
          </cell>
          <cell r="C7492">
            <v>53.47</v>
          </cell>
          <cell r="D7492">
            <v>19.23</v>
          </cell>
          <cell r="E7492">
            <v>10.14</v>
          </cell>
          <cell r="H7492">
            <v>45604</v>
          </cell>
          <cell r="I7492">
            <v>0.9688888888888888</v>
          </cell>
          <cell r="J7492">
            <v>21.466666666666665</v>
          </cell>
        </row>
        <row r="7493">
          <cell r="B7493">
            <v>27.26</v>
          </cell>
          <cell r="C7493">
            <v>50.34</v>
          </cell>
          <cell r="D7493">
            <v>19.170000000000002</v>
          </cell>
          <cell r="E7493">
            <v>9.93</v>
          </cell>
          <cell r="H7493">
            <v>45604</v>
          </cell>
          <cell r="I7493">
            <v>0.92444444444444451</v>
          </cell>
          <cell r="J7493">
            <v>21.407777777777778</v>
          </cell>
        </row>
        <row r="7494">
          <cell r="B7494">
            <v>26.64</v>
          </cell>
          <cell r="C7494">
            <v>49.11</v>
          </cell>
          <cell r="D7494">
            <v>19.16</v>
          </cell>
          <cell r="E7494">
            <v>9.74</v>
          </cell>
          <cell r="H7494">
            <v>45604</v>
          </cell>
          <cell r="I7494">
            <v>0.87333333333333329</v>
          </cell>
          <cell r="J7494">
            <v>21.341111111111111</v>
          </cell>
        </row>
        <row r="7495">
          <cell r="B7495">
            <v>27.32</v>
          </cell>
          <cell r="C7495">
            <v>54.11</v>
          </cell>
          <cell r="D7495">
            <v>17.899999999999999</v>
          </cell>
          <cell r="E7495">
            <v>11.66</v>
          </cell>
          <cell r="H7495">
            <v>45604</v>
          </cell>
          <cell r="I7495">
            <v>0.8322222222222222</v>
          </cell>
          <cell r="J7495">
            <v>21.395555555555557</v>
          </cell>
        </row>
        <row r="7496">
          <cell r="B7496">
            <v>26.27</v>
          </cell>
          <cell r="C7496">
            <v>56.57</v>
          </cell>
          <cell r="D7496">
            <v>18.149999999999999</v>
          </cell>
          <cell r="E7496">
            <v>11.73</v>
          </cell>
          <cell r="H7496">
            <v>45604</v>
          </cell>
          <cell r="I7496">
            <v>0.82333333333333336</v>
          </cell>
          <cell r="J7496">
            <v>21.155555555555551</v>
          </cell>
        </row>
        <row r="7497">
          <cell r="B7497">
            <v>28.8</v>
          </cell>
          <cell r="C7497">
            <v>75.13</v>
          </cell>
          <cell r="D7497">
            <v>18.36</v>
          </cell>
          <cell r="E7497">
            <v>11.66</v>
          </cell>
          <cell r="H7497">
            <v>45604</v>
          </cell>
          <cell r="I7497">
            <v>0.83555555555555561</v>
          </cell>
          <cell r="J7497">
            <v>20.905555555555551</v>
          </cell>
        </row>
        <row r="7498">
          <cell r="B7498">
            <v>31.41</v>
          </cell>
          <cell r="C7498">
            <v>83.47</v>
          </cell>
          <cell r="D7498">
            <v>18.329999999999998</v>
          </cell>
          <cell r="E7498">
            <v>10</v>
          </cell>
          <cell r="H7498">
            <v>45604</v>
          </cell>
          <cell r="I7498">
            <v>0.86111111111111116</v>
          </cell>
          <cell r="J7498">
            <v>20.954444444444441</v>
          </cell>
        </row>
        <row r="7499">
          <cell r="B7499">
            <v>27.1</v>
          </cell>
          <cell r="C7499">
            <v>63.35</v>
          </cell>
          <cell r="D7499">
            <v>17.75</v>
          </cell>
          <cell r="E7499">
            <v>10.02</v>
          </cell>
          <cell r="H7499">
            <v>45604</v>
          </cell>
          <cell r="I7499">
            <v>0.89666666666666672</v>
          </cell>
          <cell r="J7499">
            <v>21.139999999999997</v>
          </cell>
        </row>
        <row r="7500">
          <cell r="B7500">
            <v>26.71</v>
          </cell>
          <cell r="C7500">
            <v>67.89</v>
          </cell>
          <cell r="D7500">
            <v>19.62</v>
          </cell>
          <cell r="E7500">
            <v>9.9</v>
          </cell>
          <cell r="H7500">
            <v>45604</v>
          </cell>
          <cell r="I7500">
            <v>0.93555555555555558</v>
          </cell>
          <cell r="J7500">
            <v>21.576666666666668</v>
          </cell>
        </row>
        <row r="7501">
          <cell r="B7501">
            <v>25.47</v>
          </cell>
          <cell r="C7501">
            <v>63.73</v>
          </cell>
          <cell r="D7501">
            <v>19.75</v>
          </cell>
          <cell r="E7501">
            <v>10.47</v>
          </cell>
          <cell r="H7501">
            <v>45604</v>
          </cell>
          <cell r="I7501">
            <v>0.95888888888888901</v>
          </cell>
          <cell r="J7501">
            <v>22.11</v>
          </cell>
        </row>
        <row r="7502">
          <cell r="B7502">
            <v>23.75</v>
          </cell>
          <cell r="C7502">
            <v>61.24</v>
          </cell>
          <cell r="D7502">
            <v>19.71</v>
          </cell>
          <cell r="E7502">
            <v>10.78</v>
          </cell>
          <cell r="H7502">
            <v>45604</v>
          </cell>
          <cell r="I7502">
            <v>0.96777777777777785</v>
          </cell>
          <cell r="J7502">
            <v>22.806666666666665</v>
          </cell>
        </row>
        <row r="7503">
          <cell r="B7503">
            <v>23.47</v>
          </cell>
          <cell r="C7503">
            <v>57.68</v>
          </cell>
          <cell r="D7503">
            <v>19.12</v>
          </cell>
          <cell r="E7503">
            <v>11.99</v>
          </cell>
          <cell r="H7503">
            <v>45604</v>
          </cell>
          <cell r="I7503">
            <v>0.97000000000000008</v>
          </cell>
          <cell r="J7503">
            <v>23.556666666666672</v>
          </cell>
        </row>
        <row r="7504">
          <cell r="B7504">
            <v>24.8</v>
          </cell>
          <cell r="C7504">
            <v>58.03</v>
          </cell>
          <cell r="D7504">
            <v>19.53</v>
          </cell>
          <cell r="E7504">
            <v>12.18</v>
          </cell>
          <cell r="H7504">
            <v>45604</v>
          </cell>
          <cell r="I7504">
            <v>0.97111111111111115</v>
          </cell>
          <cell r="J7504">
            <v>24.201111111111114</v>
          </cell>
        </row>
        <row r="7505">
          <cell r="B7505">
            <v>25.95</v>
          </cell>
          <cell r="C7505">
            <v>59.81</v>
          </cell>
          <cell r="D7505">
            <v>18.75</v>
          </cell>
          <cell r="E7505">
            <v>12.08</v>
          </cell>
          <cell r="H7505">
            <v>45604</v>
          </cell>
          <cell r="I7505">
            <v>0.97000000000000008</v>
          </cell>
          <cell r="J7505">
            <v>24.912222222222223</v>
          </cell>
        </row>
        <row r="7506">
          <cell r="B7506">
            <v>25.33</v>
          </cell>
          <cell r="C7506">
            <v>64.37</v>
          </cell>
          <cell r="D7506">
            <v>18.940000000000001</v>
          </cell>
          <cell r="E7506">
            <v>11.11</v>
          </cell>
          <cell r="H7506">
            <v>45604</v>
          </cell>
          <cell r="I7506">
            <v>0.98888888888888893</v>
          </cell>
          <cell r="J7506">
            <v>25.473333333333336</v>
          </cell>
        </row>
        <row r="7507">
          <cell r="B7507">
            <v>28.98</v>
          </cell>
          <cell r="C7507">
            <v>64.349999999999994</v>
          </cell>
          <cell r="D7507">
            <v>19.93</v>
          </cell>
          <cell r="E7507">
            <v>10.55</v>
          </cell>
          <cell r="H7507">
            <v>45604</v>
          </cell>
          <cell r="I7507">
            <v>1.0055555555555555</v>
          </cell>
          <cell r="J7507">
            <v>25.454444444444444</v>
          </cell>
        </row>
        <row r="7508">
          <cell r="B7508">
            <v>30.63</v>
          </cell>
          <cell r="C7508">
            <v>72.91</v>
          </cell>
          <cell r="D7508">
            <v>20.09</v>
          </cell>
          <cell r="E7508">
            <v>10.119999999999999</v>
          </cell>
          <cell r="H7508">
            <v>45604</v>
          </cell>
          <cell r="I7508">
            <v>1.0055555555555555</v>
          </cell>
          <cell r="J7508">
            <v>25.200000000000003</v>
          </cell>
        </row>
        <row r="7509">
          <cell r="B7509">
            <v>33.61</v>
          </cell>
          <cell r="C7509">
            <v>79.63</v>
          </cell>
          <cell r="D7509">
            <v>20.43</v>
          </cell>
          <cell r="E7509">
            <v>10.16</v>
          </cell>
          <cell r="H7509">
            <v>45604</v>
          </cell>
          <cell r="I7509">
            <v>1.0177777777777779</v>
          </cell>
          <cell r="J7509">
            <v>24.757777777777779</v>
          </cell>
        </row>
        <row r="7510">
          <cell r="B7510">
            <v>38.22</v>
          </cell>
          <cell r="C7510">
            <v>81.680000000000007</v>
          </cell>
          <cell r="D7510">
            <v>20.55</v>
          </cell>
          <cell r="E7510">
            <v>12</v>
          </cell>
          <cell r="H7510">
            <v>45604</v>
          </cell>
          <cell r="I7510">
            <v>1.0233333333333334</v>
          </cell>
          <cell r="J7510">
            <v>24.045555555555556</v>
          </cell>
        </row>
        <row r="7511">
          <cell r="B7511">
            <v>39.159999999999997</v>
          </cell>
          <cell r="C7511">
            <v>80.19</v>
          </cell>
          <cell r="D7511">
            <v>19.96</v>
          </cell>
          <cell r="E7511">
            <v>11.94</v>
          </cell>
          <cell r="H7511">
            <v>45604</v>
          </cell>
          <cell r="I7511">
            <v>1.0333333333333332</v>
          </cell>
          <cell r="J7511">
            <v>23.209999999999997</v>
          </cell>
        </row>
        <row r="7512">
          <cell r="B7512">
            <v>33.97</v>
          </cell>
          <cell r="C7512">
            <v>68.47</v>
          </cell>
          <cell r="D7512">
            <v>19.829999999999998</v>
          </cell>
          <cell r="E7512">
            <v>11.69</v>
          </cell>
          <cell r="H7512">
            <v>45604</v>
          </cell>
          <cell r="I7512">
            <v>1.0355555555555556</v>
          </cell>
          <cell r="J7512">
            <v>22.417777777777776</v>
          </cell>
        </row>
        <row r="7513">
          <cell r="B7513">
            <v>30.88</v>
          </cell>
          <cell r="C7513">
            <v>59.24</v>
          </cell>
          <cell r="D7513">
            <v>19.11</v>
          </cell>
          <cell r="E7513">
            <v>12.15</v>
          </cell>
          <cell r="H7513">
            <v>45604</v>
          </cell>
          <cell r="I7513">
            <v>1.0344444444444445</v>
          </cell>
          <cell r="J7513">
            <v>21.724444444444444</v>
          </cell>
        </row>
        <row r="7514">
          <cell r="B7514">
            <v>29.61</v>
          </cell>
          <cell r="C7514">
            <v>55.23</v>
          </cell>
          <cell r="D7514">
            <v>19.3</v>
          </cell>
          <cell r="E7514">
            <v>10.09</v>
          </cell>
          <cell r="H7514">
            <v>45605</v>
          </cell>
          <cell r="I7514">
            <v>1.0211111111111111</v>
          </cell>
          <cell r="J7514">
            <v>21.076666666666668</v>
          </cell>
        </row>
        <row r="7515">
          <cell r="B7515">
            <v>26.82</v>
          </cell>
          <cell r="C7515">
            <v>48.87</v>
          </cell>
          <cell r="D7515">
            <v>19.100000000000001</v>
          </cell>
          <cell r="E7515">
            <v>9.7799999999999994</v>
          </cell>
          <cell r="H7515">
            <v>45605</v>
          </cell>
          <cell r="I7515">
            <v>0.97777777777777763</v>
          </cell>
          <cell r="J7515">
            <v>20.77333333333333</v>
          </cell>
        </row>
        <row r="7516">
          <cell r="B7516">
            <v>25.86</v>
          </cell>
          <cell r="C7516">
            <v>45.72</v>
          </cell>
          <cell r="D7516">
            <v>18.75</v>
          </cell>
          <cell r="E7516">
            <v>9.52</v>
          </cell>
          <cell r="H7516">
            <v>45605</v>
          </cell>
          <cell r="I7516">
            <v>0.93333333333333335</v>
          </cell>
          <cell r="J7516">
            <v>20.817777777777778</v>
          </cell>
        </row>
        <row r="7517">
          <cell r="B7517">
            <v>23.99</v>
          </cell>
          <cell r="C7517">
            <v>42.66</v>
          </cell>
          <cell r="D7517">
            <v>18.579999999999998</v>
          </cell>
          <cell r="E7517">
            <v>9.31</v>
          </cell>
          <cell r="H7517">
            <v>45605</v>
          </cell>
          <cell r="I7517">
            <v>0.89444444444444449</v>
          </cell>
          <cell r="J7517">
            <v>20.947777777777777</v>
          </cell>
        </row>
        <row r="7518">
          <cell r="B7518">
            <v>23.43</v>
          </cell>
          <cell r="C7518">
            <v>40.909999999999997</v>
          </cell>
          <cell r="D7518">
            <v>18.84</v>
          </cell>
          <cell r="E7518">
            <v>10.53</v>
          </cell>
          <cell r="H7518">
            <v>45605</v>
          </cell>
          <cell r="I7518">
            <v>0.85000000000000009</v>
          </cell>
          <cell r="J7518">
            <v>21.113333333333333</v>
          </cell>
        </row>
        <row r="7519">
          <cell r="B7519">
            <v>22.83</v>
          </cell>
          <cell r="C7519">
            <v>41.38</v>
          </cell>
          <cell r="D7519">
            <v>19.07</v>
          </cell>
          <cell r="E7519">
            <v>11.04</v>
          </cell>
          <cell r="H7519">
            <v>45605</v>
          </cell>
          <cell r="I7519">
            <v>0.8222222222222223</v>
          </cell>
          <cell r="J7519">
            <v>21.196666666666665</v>
          </cell>
        </row>
        <row r="7520">
          <cell r="B7520">
            <v>25.73</v>
          </cell>
          <cell r="C7520">
            <v>48.37</v>
          </cell>
          <cell r="D7520">
            <v>19.39</v>
          </cell>
          <cell r="E7520">
            <v>11.41</v>
          </cell>
          <cell r="H7520">
            <v>45605</v>
          </cell>
          <cell r="I7520">
            <v>0.82222222222222219</v>
          </cell>
          <cell r="J7520">
            <v>21.159999999999997</v>
          </cell>
        </row>
        <row r="7521">
          <cell r="B7521">
            <v>28.54</v>
          </cell>
          <cell r="C7521">
            <v>58.06</v>
          </cell>
          <cell r="D7521">
            <v>19.670000000000002</v>
          </cell>
          <cell r="E7521">
            <v>11.76</v>
          </cell>
          <cell r="H7521">
            <v>45605</v>
          </cell>
          <cell r="I7521">
            <v>0.8355555555555555</v>
          </cell>
          <cell r="J7521">
            <v>21.12555555555555</v>
          </cell>
        </row>
        <row r="7522">
          <cell r="B7522">
            <v>29.11</v>
          </cell>
          <cell r="C7522">
            <v>59.55</v>
          </cell>
          <cell r="D7522">
            <v>19.559999999999999</v>
          </cell>
          <cell r="E7522">
            <v>9.67</v>
          </cell>
          <cell r="H7522">
            <v>45605</v>
          </cell>
          <cell r="I7522">
            <v>0.85444444444444434</v>
          </cell>
          <cell r="J7522">
            <v>21.247777777777774</v>
          </cell>
        </row>
        <row r="7523">
          <cell r="B7523">
            <v>27.98</v>
          </cell>
          <cell r="C7523">
            <v>58.79</v>
          </cell>
          <cell r="D7523">
            <v>19.760000000000002</v>
          </cell>
          <cell r="E7523">
            <v>9.7899999999999991</v>
          </cell>
          <cell r="H7523">
            <v>45605</v>
          </cell>
          <cell r="I7523">
            <v>0.87888888888888894</v>
          </cell>
          <cell r="J7523">
            <v>21.72</v>
          </cell>
        </row>
        <row r="7524">
          <cell r="B7524">
            <v>28.3</v>
          </cell>
          <cell r="C7524">
            <v>55.89</v>
          </cell>
          <cell r="D7524">
            <v>18.7</v>
          </cell>
          <cell r="E7524">
            <v>9.67</v>
          </cell>
          <cell r="H7524">
            <v>45605</v>
          </cell>
          <cell r="I7524">
            <v>0.90111111111111108</v>
          </cell>
          <cell r="J7524">
            <v>22.222222222222218</v>
          </cell>
        </row>
        <row r="7525">
          <cell r="B7525">
            <v>26.81</v>
          </cell>
          <cell r="C7525">
            <v>50.77</v>
          </cell>
          <cell r="D7525">
            <v>19.07</v>
          </cell>
          <cell r="E7525">
            <v>9.4600000000000009</v>
          </cell>
          <cell r="H7525">
            <v>45605</v>
          </cell>
          <cell r="I7525">
            <v>0.91888888888888887</v>
          </cell>
          <cell r="J7525">
            <v>22.728888888888889</v>
          </cell>
        </row>
        <row r="7526">
          <cell r="B7526">
            <v>25.2</v>
          </cell>
          <cell r="C7526">
            <v>48.06</v>
          </cell>
          <cell r="D7526">
            <v>19.77</v>
          </cell>
          <cell r="E7526">
            <v>10.64</v>
          </cell>
          <cell r="H7526">
            <v>45605</v>
          </cell>
          <cell r="I7526">
            <v>0.93555555555555558</v>
          </cell>
          <cell r="J7526">
            <v>23.298888888888889</v>
          </cell>
        </row>
        <row r="7527">
          <cell r="B7527">
            <v>24.13</v>
          </cell>
          <cell r="C7527">
            <v>45.3</v>
          </cell>
          <cell r="D7527">
            <v>19.079999999999998</v>
          </cell>
          <cell r="E7527">
            <v>11.52</v>
          </cell>
          <cell r="H7527">
            <v>45605</v>
          </cell>
          <cell r="I7527">
            <v>0.94444444444444442</v>
          </cell>
          <cell r="J7527">
            <v>23.887777777777778</v>
          </cell>
        </row>
        <row r="7528">
          <cell r="B7528">
            <v>24.32</v>
          </cell>
          <cell r="C7528">
            <v>48.84</v>
          </cell>
          <cell r="D7528">
            <v>19.190000000000001</v>
          </cell>
          <cell r="E7528">
            <v>11.64</v>
          </cell>
          <cell r="H7528">
            <v>45605</v>
          </cell>
          <cell r="I7528">
            <v>0.95666666666666655</v>
          </cell>
          <cell r="J7528">
            <v>24.644444444444442</v>
          </cell>
        </row>
        <row r="7529">
          <cell r="B7529">
            <v>26.46</v>
          </cell>
          <cell r="C7529">
            <v>52.78</v>
          </cell>
          <cell r="D7529">
            <v>19.11</v>
          </cell>
          <cell r="E7529">
            <v>11.5</v>
          </cell>
          <cell r="H7529">
            <v>45605</v>
          </cell>
          <cell r="I7529">
            <v>0.95333333333333337</v>
          </cell>
          <cell r="J7529">
            <v>25.471111111111107</v>
          </cell>
        </row>
        <row r="7530">
          <cell r="B7530">
            <v>26.99</v>
          </cell>
          <cell r="C7530">
            <v>56.91</v>
          </cell>
          <cell r="D7530">
            <v>20.420000000000002</v>
          </cell>
          <cell r="E7530">
            <v>9.73</v>
          </cell>
          <cell r="H7530">
            <v>45605</v>
          </cell>
          <cell r="I7530">
            <v>0.95333333333333337</v>
          </cell>
          <cell r="J7530">
            <v>26.086666666666666</v>
          </cell>
        </row>
        <row r="7531">
          <cell r="B7531">
            <v>28.56</v>
          </cell>
          <cell r="C7531">
            <v>59.03</v>
          </cell>
          <cell r="D7531">
            <v>20.149999999999999</v>
          </cell>
          <cell r="E7531">
            <v>10.1</v>
          </cell>
          <cell r="H7531">
            <v>45605</v>
          </cell>
          <cell r="I7531">
            <v>0.96777777777777785</v>
          </cell>
          <cell r="J7531">
            <v>26.238888888888891</v>
          </cell>
        </row>
        <row r="7532">
          <cell r="B7532">
            <v>28.17</v>
          </cell>
          <cell r="C7532">
            <v>68.05</v>
          </cell>
          <cell r="D7532">
            <v>21.23</v>
          </cell>
          <cell r="E7532">
            <v>10.119999999999999</v>
          </cell>
          <cell r="H7532">
            <v>45605</v>
          </cell>
          <cell r="I7532">
            <v>0.99666666666666659</v>
          </cell>
          <cell r="J7532">
            <v>25.848888888888887</v>
          </cell>
        </row>
        <row r="7533">
          <cell r="B7533">
            <v>30.55</v>
          </cell>
          <cell r="C7533">
            <v>78.84</v>
          </cell>
          <cell r="D7533">
            <v>21.59</v>
          </cell>
          <cell r="E7533">
            <v>10.3</v>
          </cell>
          <cell r="H7533">
            <v>45605</v>
          </cell>
          <cell r="I7533">
            <v>1.0344444444444443</v>
          </cell>
          <cell r="J7533">
            <v>25.195555555555554</v>
          </cell>
        </row>
        <row r="7534">
          <cell r="B7534">
            <v>34.479999999999997</v>
          </cell>
          <cell r="C7534">
            <v>86.05</v>
          </cell>
          <cell r="D7534">
            <v>21.45</v>
          </cell>
          <cell r="E7534">
            <v>10.4</v>
          </cell>
          <cell r="H7534">
            <v>45605</v>
          </cell>
          <cell r="I7534">
            <v>1.0788888888888888</v>
          </cell>
          <cell r="J7534">
            <v>24.51</v>
          </cell>
        </row>
        <row r="7535">
          <cell r="B7535">
            <v>34.020000000000003</v>
          </cell>
          <cell r="C7535">
            <v>86.44</v>
          </cell>
          <cell r="D7535">
            <v>21.85</v>
          </cell>
          <cell r="E7535">
            <v>10.77</v>
          </cell>
          <cell r="H7535">
            <v>45605</v>
          </cell>
          <cell r="I7535">
            <v>1.1033333333333333</v>
          </cell>
          <cell r="J7535">
            <v>23.755555555555553</v>
          </cell>
        </row>
        <row r="7536">
          <cell r="B7536">
            <v>33.729999999999997</v>
          </cell>
          <cell r="C7536">
            <v>80.66</v>
          </cell>
          <cell r="D7536">
            <v>21.75</v>
          </cell>
          <cell r="E7536">
            <v>10.64</v>
          </cell>
          <cell r="H7536">
            <v>45605</v>
          </cell>
          <cell r="I7536">
            <v>1.1166666666666667</v>
          </cell>
          <cell r="J7536">
            <v>22.953333333333333</v>
          </cell>
        </row>
        <row r="7537">
          <cell r="B7537">
            <v>34.07</v>
          </cell>
          <cell r="C7537">
            <v>76.64</v>
          </cell>
          <cell r="D7537">
            <v>21.06</v>
          </cell>
          <cell r="E7537">
            <v>10.77</v>
          </cell>
          <cell r="H7537">
            <v>45605</v>
          </cell>
          <cell r="I7537">
            <v>1.1088888888888888</v>
          </cell>
          <cell r="J7537">
            <v>22.114444444444445</v>
          </cell>
        </row>
        <row r="7538">
          <cell r="B7538">
            <v>36.68</v>
          </cell>
          <cell r="C7538">
            <v>74.64</v>
          </cell>
          <cell r="D7538">
            <v>20.38</v>
          </cell>
          <cell r="E7538">
            <v>9.39</v>
          </cell>
          <cell r="H7538">
            <v>45606</v>
          </cell>
          <cell r="I7538">
            <v>1.1022222222222222</v>
          </cell>
          <cell r="J7538">
            <v>21.41333333333333</v>
          </cell>
        </row>
        <row r="7539">
          <cell r="B7539">
            <v>34.909999999999997</v>
          </cell>
          <cell r="C7539">
            <v>68.040000000000006</v>
          </cell>
          <cell r="D7539">
            <v>20.29</v>
          </cell>
          <cell r="E7539">
            <v>8.85</v>
          </cell>
          <cell r="H7539">
            <v>45606</v>
          </cell>
          <cell r="I7539">
            <v>1.0822222222222222</v>
          </cell>
          <cell r="J7539">
            <v>21.008888888888887</v>
          </cell>
        </row>
        <row r="7540">
          <cell r="B7540">
            <v>37.18</v>
          </cell>
          <cell r="C7540">
            <v>69.81</v>
          </cell>
          <cell r="D7540">
            <v>19.48</v>
          </cell>
          <cell r="E7540">
            <v>9.41</v>
          </cell>
          <cell r="H7540">
            <v>45606</v>
          </cell>
          <cell r="I7540">
            <v>1.0466666666666669</v>
          </cell>
          <cell r="J7540">
            <v>20.841111111111111</v>
          </cell>
        </row>
        <row r="7541">
          <cell r="B7541">
            <v>34.68</v>
          </cell>
          <cell r="C7541">
            <v>65.3</v>
          </cell>
          <cell r="D7541">
            <v>18.84</v>
          </cell>
          <cell r="E7541">
            <v>9.25</v>
          </cell>
          <cell r="H7541">
            <v>45606</v>
          </cell>
          <cell r="I7541">
            <v>0.99222222222222234</v>
          </cell>
          <cell r="J7541">
            <v>21.047777777777778</v>
          </cell>
        </row>
        <row r="7542">
          <cell r="B7542">
            <v>32.56</v>
          </cell>
          <cell r="C7542">
            <v>61.18</v>
          </cell>
          <cell r="D7542">
            <v>19.059999999999999</v>
          </cell>
          <cell r="E7542">
            <v>10.210000000000001</v>
          </cell>
          <cell r="H7542">
            <v>45606</v>
          </cell>
          <cell r="I7542">
            <v>0.93444444444444441</v>
          </cell>
          <cell r="J7542">
            <v>21.39777777777778</v>
          </cell>
        </row>
        <row r="7543">
          <cell r="B7543">
            <v>33.85</v>
          </cell>
          <cell r="C7543">
            <v>58.77</v>
          </cell>
          <cell r="D7543">
            <v>19.510000000000002</v>
          </cell>
          <cell r="E7543">
            <v>10.26</v>
          </cell>
          <cell r="H7543">
            <v>45606</v>
          </cell>
          <cell r="I7543">
            <v>0.88444444444444437</v>
          </cell>
          <cell r="J7543">
            <v>21.466666666666669</v>
          </cell>
        </row>
        <row r="7544">
          <cell r="B7544">
            <v>37.409999999999997</v>
          </cell>
          <cell r="C7544">
            <v>68.75</v>
          </cell>
          <cell r="D7544">
            <v>19.89</v>
          </cell>
          <cell r="E7544">
            <v>10.220000000000001</v>
          </cell>
          <cell r="H7544">
            <v>45606</v>
          </cell>
          <cell r="I7544">
            <v>0.87555555555555553</v>
          </cell>
          <cell r="J7544">
            <v>21.462222222222223</v>
          </cell>
        </row>
        <row r="7545">
          <cell r="B7545">
            <v>40.770000000000003</v>
          </cell>
          <cell r="C7545">
            <v>77.98</v>
          </cell>
          <cell r="D7545">
            <v>20.07</v>
          </cell>
          <cell r="E7545">
            <v>10.31</v>
          </cell>
          <cell r="H7545">
            <v>45606</v>
          </cell>
          <cell r="I7545">
            <v>0.87555555555555542</v>
          </cell>
          <cell r="J7545">
            <v>21.435555555555556</v>
          </cell>
        </row>
        <row r="7546">
          <cell r="B7546">
            <v>41.27</v>
          </cell>
          <cell r="C7546">
            <v>83.15</v>
          </cell>
          <cell r="D7546">
            <v>19.43</v>
          </cell>
          <cell r="E7546">
            <v>9.77</v>
          </cell>
          <cell r="H7546">
            <v>45606</v>
          </cell>
          <cell r="I7546">
            <v>0.88444444444444448</v>
          </cell>
          <cell r="J7546">
            <v>21.735555555555557</v>
          </cell>
        </row>
        <row r="7547">
          <cell r="B7547">
            <v>38.6</v>
          </cell>
          <cell r="C7547">
            <v>74.430000000000007</v>
          </cell>
          <cell r="D7547">
            <v>19.21</v>
          </cell>
          <cell r="E7547">
            <v>9.4700000000000006</v>
          </cell>
          <cell r="H7547">
            <v>45606</v>
          </cell>
          <cell r="I7547">
            <v>0.8933333333333332</v>
          </cell>
          <cell r="J7547">
            <v>22.286666666666669</v>
          </cell>
        </row>
        <row r="7548">
          <cell r="B7548">
            <v>35.020000000000003</v>
          </cell>
          <cell r="C7548">
            <v>70.2</v>
          </cell>
          <cell r="D7548">
            <v>18.8</v>
          </cell>
          <cell r="E7548">
            <v>9.35</v>
          </cell>
          <cell r="H7548">
            <v>45606</v>
          </cell>
          <cell r="I7548">
            <v>0.90222222222222237</v>
          </cell>
          <cell r="J7548">
            <v>22.814444444444444</v>
          </cell>
        </row>
        <row r="7549">
          <cell r="B7549">
            <v>33.409999999999997</v>
          </cell>
          <cell r="C7549">
            <v>67.42</v>
          </cell>
          <cell r="D7549">
            <v>18.579999999999998</v>
          </cell>
          <cell r="E7549">
            <v>9.59</v>
          </cell>
          <cell r="H7549">
            <v>45606</v>
          </cell>
          <cell r="I7549">
            <v>0.9111111111111112</v>
          </cell>
          <cell r="J7549">
            <v>23.528888888888886</v>
          </cell>
        </row>
        <row r="7550">
          <cell r="B7550">
            <v>31.4</v>
          </cell>
          <cell r="C7550">
            <v>60.29</v>
          </cell>
          <cell r="D7550">
            <v>19.100000000000001</v>
          </cell>
          <cell r="E7550">
            <v>10.029999999999999</v>
          </cell>
          <cell r="H7550">
            <v>45606</v>
          </cell>
          <cell r="I7550">
            <v>0.92444444444444451</v>
          </cell>
          <cell r="J7550">
            <v>24.12</v>
          </cell>
        </row>
        <row r="7551">
          <cell r="B7551">
            <v>29.49</v>
          </cell>
          <cell r="C7551">
            <v>57.08</v>
          </cell>
          <cell r="D7551">
            <v>18.010000000000002</v>
          </cell>
          <cell r="E7551">
            <v>10.07</v>
          </cell>
          <cell r="H7551">
            <v>45606</v>
          </cell>
          <cell r="I7551">
            <v>0.93666666666666665</v>
          </cell>
          <cell r="J7551">
            <v>24.682222222222226</v>
          </cell>
        </row>
        <row r="7552">
          <cell r="B7552">
            <v>29.79</v>
          </cell>
          <cell r="C7552">
            <v>60.62</v>
          </cell>
          <cell r="D7552">
            <v>19.170000000000002</v>
          </cell>
          <cell r="E7552">
            <v>9.8699999999999992</v>
          </cell>
          <cell r="H7552">
            <v>45606</v>
          </cell>
          <cell r="I7552">
            <v>0.94222222222222229</v>
          </cell>
          <cell r="J7552">
            <v>25.463333333333335</v>
          </cell>
        </row>
        <row r="7553">
          <cell r="B7553">
            <v>31.31</v>
          </cell>
          <cell r="C7553">
            <v>59.83</v>
          </cell>
          <cell r="D7553">
            <v>19.3</v>
          </cell>
          <cell r="E7553">
            <v>9.56</v>
          </cell>
          <cell r="H7553">
            <v>45606</v>
          </cell>
          <cell r="I7553">
            <v>0.931111111111111</v>
          </cell>
          <cell r="J7553">
            <v>26.261111111111113</v>
          </cell>
        </row>
        <row r="7554">
          <cell r="B7554">
            <v>32.46</v>
          </cell>
          <cell r="C7554">
            <v>61.2</v>
          </cell>
          <cell r="D7554">
            <v>18.63</v>
          </cell>
          <cell r="E7554">
            <v>9.16</v>
          </cell>
          <cell r="H7554">
            <v>45606</v>
          </cell>
          <cell r="I7554">
            <v>0.92555555555555558</v>
          </cell>
          <cell r="J7554">
            <v>26.989999999999995</v>
          </cell>
        </row>
        <row r="7555">
          <cell r="B7555">
            <v>33.090000000000003</v>
          </cell>
          <cell r="C7555">
            <v>65.38</v>
          </cell>
          <cell r="D7555">
            <v>19.39</v>
          </cell>
          <cell r="E7555">
            <v>9.25</v>
          </cell>
          <cell r="H7555">
            <v>45606</v>
          </cell>
          <cell r="I7555">
            <v>0.92222222222222228</v>
          </cell>
          <cell r="J7555">
            <v>27.188888888888886</v>
          </cell>
        </row>
        <row r="7556">
          <cell r="B7556">
            <v>38.229999999999997</v>
          </cell>
          <cell r="C7556">
            <v>72.55</v>
          </cell>
          <cell r="D7556">
            <v>20.86</v>
          </cell>
          <cell r="E7556">
            <v>8.92</v>
          </cell>
          <cell r="H7556">
            <v>45606</v>
          </cell>
          <cell r="I7556">
            <v>0.93666666666666665</v>
          </cell>
          <cell r="J7556">
            <v>26.772222222222219</v>
          </cell>
        </row>
        <row r="7557">
          <cell r="B7557">
            <v>41.26</v>
          </cell>
          <cell r="C7557">
            <v>85.65</v>
          </cell>
          <cell r="D7557">
            <v>21.36</v>
          </cell>
          <cell r="E7557">
            <v>9.67</v>
          </cell>
          <cell r="H7557">
            <v>45606</v>
          </cell>
          <cell r="I7557">
            <v>0.97333333333333327</v>
          </cell>
          <cell r="J7557">
            <v>26.025555555555552</v>
          </cell>
        </row>
        <row r="7558">
          <cell r="B7558">
            <v>44.25</v>
          </cell>
          <cell r="C7558">
            <v>90.44</v>
          </cell>
          <cell r="D7558">
            <v>21.47</v>
          </cell>
          <cell r="E7558">
            <v>10.07</v>
          </cell>
          <cell r="H7558">
            <v>45606</v>
          </cell>
          <cell r="I7558">
            <v>1.0011111111111111</v>
          </cell>
          <cell r="J7558">
            <v>25.142222222222216</v>
          </cell>
        </row>
        <row r="7559">
          <cell r="B7559">
            <v>45.37</v>
          </cell>
          <cell r="C7559">
            <v>91.94</v>
          </cell>
          <cell r="D7559">
            <v>20.66</v>
          </cell>
          <cell r="E7559">
            <v>10.09</v>
          </cell>
          <cell r="H7559">
            <v>45606</v>
          </cell>
          <cell r="I7559">
            <v>1.0211111111111113</v>
          </cell>
          <cell r="J7559">
            <v>24.326666666666664</v>
          </cell>
        </row>
        <row r="7560">
          <cell r="B7560">
            <v>43.24</v>
          </cell>
          <cell r="C7560">
            <v>91.14</v>
          </cell>
          <cell r="D7560">
            <v>20.59</v>
          </cell>
          <cell r="E7560">
            <v>10.11</v>
          </cell>
          <cell r="H7560">
            <v>45606</v>
          </cell>
          <cell r="I7560">
            <v>1.0344444444444443</v>
          </cell>
          <cell r="J7560">
            <v>23.28222222222222</v>
          </cell>
        </row>
        <row r="7561">
          <cell r="B7561">
            <v>46.96</v>
          </cell>
          <cell r="C7561">
            <v>92.35</v>
          </cell>
          <cell r="D7561">
            <v>20.27</v>
          </cell>
          <cell r="E7561">
            <v>10.08</v>
          </cell>
          <cell r="H7561">
            <v>45606</v>
          </cell>
          <cell r="I7561">
            <v>1.04</v>
          </cell>
          <cell r="J7561">
            <v>22.302222222222227</v>
          </cell>
        </row>
        <row r="7562">
          <cell r="B7562">
            <v>45.67</v>
          </cell>
          <cell r="C7562">
            <v>85.23</v>
          </cell>
          <cell r="D7562">
            <v>19.23</v>
          </cell>
          <cell r="E7562">
            <v>9.56</v>
          </cell>
          <cell r="H7562">
            <v>45607</v>
          </cell>
          <cell r="I7562">
            <v>1.0322222222222222</v>
          </cell>
          <cell r="J7562">
            <v>21.462222222222223</v>
          </cell>
        </row>
        <row r="7563">
          <cell r="B7563">
            <v>45.29</v>
          </cell>
          <cell r="C7563">
            <v>78.55</v>
          </cell>
          <cell r="D7563">
            <v>19.02</v>
          </cell>
          <cell r="E7563">
            <v>9.66</v>
          </cell>
          <cell r="H7563">
            <v>45607</v>
          </cell>
          <cell r="I7563">
            <v>1.0144444444444443</v>
          </cell>
          <cell r="J7563">
            <v>20.856666666666669</v>
          </cell>
        </row>
        <row r="7564">
          <cell r="B7564">
            <v>44.67</v>
          </cell>
          <cell r="C7564">
            <v>78.38</v>
          </cell>
          <cell r="D7564">
            <v>18.96</v>
          </cell>
          <cell r="E7564">
            <v>8.94</v>
          </cell>
          <cell r="H7564">
            <v>45607</v>
          </cell>
          <cell r="I7564">
            <v>1.0022222222222221</v>
          </cell>
          <cell r="J7564">
            <v>20.504444444444445</v>
          </cell>
        </row>
        <row r="7565">
          <cell r="B7565">
            <v>40.840000000000003</v>
          </cell>
          <cell r="C7565">
            <v>72.05</v>
          </cell>
          <cell r="D7565">
            <v>18.940000000000001</v>
          </cell>
          <cell r="E7565">
            <v>9.99</v>
          </cell>
          <cell r="H7565">
            <v>45607</v>
          </cell>
          <cell r="I7565">
            <v>0.97222222222222221</v>
          </cell>
          <cell r="J7565">
            <v>20.545555555555556</v>
          </cell>
        </row>
        <row r="7566">
          <cell r="B7566">
            <v>39.590000000000003</v>
          </cell>
          <cell r="C7566">
            <v>71.92</v>
          </cell>
          <cell r="D7566">
            <v>18.59</v>
          </cell>
          <cell r="E7566">
            <v>9.56</v>
          </cell>
          <cell r="H7566">
            <v>45607</v>
          </cell>
          <cell r="I7566">
            <v>0.93000000000000016</v>
          </cell>
          <cell r="J7566">
            <v>20.75333333333333</v>
          </cell>
        </row>
        <row r="7567">
          <cell r="B7567">
            <v>40.35</v>
          </cell>
          <cell r="C7567">
            <v>73.849999999999994</v>
          </cell>
          <cell r="D7567">
            <v>18.91</v>
          </cell>
          <cell r="E7567">
            <v>9.5299999999999994</v>
          </cell>
          <cell r="H7567">
            <v>45607</v>
          </cell>
          <cell r="I7567">
            <v>0.91000000000000014</v>
          </cell>
          <cell r="J7567">
            <v>20.801111111111108</v>
          </cell>
        </row>
        <row r="7568">
          <cell r="B7568">
            <v>47.48</v>
          </cell>
          <cell r="C7568">
            <v>81.08</v>
          </cell>
          <cell r="D7568">
            <v>19.34</v>
          </cell>
          <cell r="E7568">
            <v>9.4600000000000009</v>
          </cell>
          <cell r="H7568">
            <v>45607</v>
          </cell>
          <cell r="I7568">
            <v>0.90555555555555556</v>
          </cell>
          <cell r="J7568">
            <v>20.71222222222222</v>
          </cell>
        </row>
        <row r="7569">
          <cell r="B7569">
            <v>54.89</v>
          </cell>
          <cell r="C7569">
            <v>111.05</v>
          </cell>
          <cell r="D7569">
            <v>19.77</v>
          </cell>
          <cell r="E7569">
            <v>9.36</v>
          </cell>
          <cell r="H7569">
            <v>45607</v>
          </cell>
          <cell r="I7569">
            <v>0.91111111111111098</v>
          </cell>
          <cell r="J7569">
            <v>20.826666666666668</v>
          </cell>
        </row>
        <row r="7570">
          <cell r="B7570">
            <v>56.38</v>
          </cell>
          <cell r="C7570">
            <v>123.79</v>
          </cell>
          <cell r="D7570">
            <v>19.600000000000001</v>
          </cell>
          <cell r="E7570">
            <v>9.2100000000000009</v>
          </cell>
          <cell r="H7570">
            <v>45607</v>
          </cell>
          <cell r="I7570">
            <v>0.92666666666666664</v>
          </cell>
          <cell r="J7570">
            <v>21.226666666666667</v>
          </cell>
        </row>
        <row r="7571">
          <cell r="B7571">
            <v>48.74</v>
          </cell>
          <cell r="C7571">
            <v>101.71</v>
          </cell>
          <cell r="D7571">
            <v>18.97</v>
          </cell>
          <cell r="E7571">
            <v>9.48</v>
          </cell>
          <cell r="H7571">
            <v>45607</v>
          </cell>
          <cell r="I7571">
            <v>0.95777777777777773</v>
          </cell>
          <cell r="J7571">
            <v>21.669999999999998</v>
          </cell>
        </row>
        <row r="7572">
          <cell r="B7572">
            <v>51.02</v>
          </cell>
          <cell r="C7572">
            <v>95.97</v>
          </cell>
          <cell r="D7572">
            <v>19.45</v>
          </cell>
          <cell r="E7572">
            <v>9.34</v>
          </cell>
          <cell r="H7572">
            <v>45607</v>
          </cell>
          <cell r="I7572">
            <v>0.99333333333333351</v>
          </cell>
          <cell r="J7572">
            <v>22.043333333333333</v>
          </cell>
        </row>
        <row r="7573">
          <cell r="B7573">
            <v>53.32</v>
          </cell>
          <cell r="C7573">
            <v>95.87</v>
          </cell>
          <cell r="D7573">
            <v>20</v>
          </cell>
          <cell r="E7573">
            <v>10.83</v>
          </cell>
          <cell r="H7573">
            <v>45607</v>
          </cell>
          <cell r="I7573">
            <v>1.0188888888888887</v>
          </cell>
          <cell r="J7573">
            <v>22.722222222222221</v>
          </cell>
        </row>
        <row r="7574">
          <cell r="B7574">
            <v>48.22</v>
          </cell>
          <cell r="C7574">
            <v>87.31</v>
          </cell>
          <cell r="D7574">
            <v>22.96</v>
          </cell>
          <cell r="E7574">
            <v>10.34</v>
          </cell>
          <cell r="H7574">
            <v>45607</v>
          </cell>
          <cell r="I7574">
            <v>1.028888888888889</v>
          </cell>
          <cell r="J7574">
            <v>23.215555555555557</v>
          </cell>
        </row>
        <row r="7575">
          <cell r="B7575">
            <v>42.18</v>
          </cell>
          <cell r="C7575">
            <v>79.2</v>
          </cell>
          <cell r="D7575">
            <v>19.3</v>
          </cell>
          <cell r="E7575">
            <v>9.9600000000000009</v>
          </cell>
          <cell r="H7575">
            <v>45607</v>
          </cell>
          <cell r="I7575">
            <v>1.0322222222222224</v>
          </cell>
          <cell r="J7575">
            <v>23.946666666666669</v>
          </cell>
        </row>
        <row r="7576">
          <cell r="B7576">
            <v>40.31</v>
          </cell>
          <cell r="C7576">
            <v>78.37</v>
          </cell>
          <cell r="D7576">
            <v>20.47</v>
          </cell>
          <cell r="E7576">
            <v>9.94</v>
          </cell>
          <cell r="H7576">
            <v>45607</v>
          </cell>
          <cell r="I7576">
            <v>1.0222222222222221</v>
          </cell>
          <cell r="J7576">
            <v>24.797777777777775</v>
          </cell>
        </row>
        <row r="7577">
          <cell r="B7577">
            <v>40.200000000000003</v>
          </cell>
          <cell r="C7577">
            <v>81.48</v>
          </cell>
          <cell r="D7577">
            <v>19.55</v>
          </cell>
          <cell r="E7577">
            <v>9.98</v>
          </cell>
          <cell r="H7577">
            <v>45607</v>
          </cell>
          <cell r="I7577">
            <v>1.0088888888888889</v>
          </cell>
          <cell r="J7577">
            <v>25.704444444444441</v>
          </cell>
        </row>
        <row r="7578">
          <cell r="B7578">
            <v>43.71</v>
          </cell>
          <cell r="C7578">
            <v>89.18</v>
          </cell>
          <cell r="D7578">
            <v>19.14</v>
          </cell>
          <cell r="E7578">
            <v>10.02</v>
          </cell>
          <cell r="H7578">
            <v>45607</v>
          </cell>
          <cell r="I7578">
            <v>0.99222222222222223</v>
          </cell>
          <cell r="J7578">
            <v>26.465555555555554</v>
          </cell>
        </row>
        <row r="7579">
          <cell r="B7579">
            <v>45.66</v>
          </cell>
          <cell r="C7579">
            <v>94.46</v>
          </cell>
          <cell r="D7579">
            <v>19.59</v>
          </cell>
          <cell r="E7579">
            <v>9.9700000000000006</v>
          </cell>
          <cell r="H7579">
            <v>45607</v>
          </cell>
          <cell r="I7579">
            <v>0.98777777777777787</v>
          </cell>
          <cell r="J7579">
            <v>27.065555555555555</v>
          </cell>
        </row>
        <row r="7580">
          <cell r="B7580">
            <v>46.56</v>
          </cell>
          <cell r="C7580">
            <v>104.31</v>
          </cell>
          <cell r="D7580">
            <v>20.87</v>
          </cell>
          <cell r="E7580">
            <v>9.69</v>
          </cell>
          <cell r="H7580">
            <v>45607</v>
          </cell>
          <cell r="I7580">
            <v>1.0088888888888889</v>
          </cell>
          <cell r="J7580">
            <v>27.20888888888889</v>
          </cell>
        </row>
        <row r="7581">
          <cell r="B7581">
            <v>51.08</v>
          </cell>
          <cell r="C7581">
            <v>113.52</v>
          </cell>
          <cell r="D7581">
            <v>22.55</v>
          </cell>
          <cell r="E7581">
            <v>11.41</v>
          </cell>
          <cell r="H7581">
            <v>45607</v>
          </cell>
          <cell r="I7581">
            <v>1.0511111111111111</v>
          </cell>
          <cell r="J7581">
            <v>27.067777777777778</v>
          </cell>
        </row>
        <row r="7582">
          <cell r="B7582">
            <v>54.43</v>
          </cell>
          <cell r="C7582">
            <v>126.16</v>
          </cell>
          <cell r="D7582">
            <v>22.13</v>
          </cell>
          <cell r="E7582">
            <v>10.220000000000001</v>
          </cell>
          <cell r="H7582">
            <v>45607</v>
          </cell>
          <cell r="I7582">
            <v>1.0722222222222222</v>
          </cell>
          <cell r="J7582">
            <v>26.477777777777778</v>
          </cell>
        </row>
        <row r="7583">
          <cell r="B7583">
            <v>52.62</v>
          </cell>
          <cell r="C7583">
            <v>115.93</v>
          </cell>
          <cell r="D7583">
            <v>21.2</v>
          </cell>
          <cell r="E7583">
            <v>10.41</v>
          </cell>
          <cell r="H7583">
            <v>45607</v>
          </cell>
          <cell r="I7583">
            <v>1.0933333333333333</v>
          </cell>
          <cell r="J7583">
            <v>25.99111111111111</v>
          </cell>
        </row>
        <row r="7584">
          <cell r="B7584">
            <v>52.29</v>
          </cell>
          <cell r="C7584">
            <v>110.24</v>
          </cell>
          <cell r="D7584">
            <v>21.16</v>
          </cell>
          <cell r="E7584">
            <v>10.06</v>
          </cell>
          <cell r="H7584">
            <v>45607</v>
          </cell>
          <cell r="I7584">
            <v>1.1088888888888888</v>
          </cell>
          <cell r="J7584">
            <v>25.286666666666665</v>
          </cell>
        </row>
        <row r="7585">
          <cell r="B7585">
            <v>51.73</v>
          </cell>
          <cell r="C7585">
            <v>99.48</v>
          </cell>
          <cell r="D7585">
            <v>21.27</v>
          </cell>
          <cell r="E7585">
            <v>9.5399999999999991</v>
          </cell>
          <cell r="H7585">
            <v>45607</v>
          </cell>
          <cell r="I7585">
            <v>1.1088888888888888</v>
          </cell>
          <cell r="J7585">
            <v>24.684444444444445</v>
          </cell>
        </row>
        <row r="7586">
          <cell r="B7586">
            <v>48.13</v>
          </cell>
          <cell r="C7586">
            <v>94.78</v>
          </cell>
          <cell r="D7586">
            <v>20.309999999999999</v>
          </cell>
          <cell r="E7586">
            <v>9.25</v>
          </cell>
          <cell r="H7586">
            <v>45608</v>
          </cell>
          <cell r="I7586">
            <v>1.0966666666666665</v>
          </cell>
          <cell r="J7586">
            <v>24.058888888888887</v>
          </cell>
        </row>
        <row r="7587">
          <cell r="B7587">
            <v>46.98</v>
          </cell>
          <cell r="C7587">
            <v>89.32</v>
          </cell>
          <cell r="D7587">
            <v>19.78</v>
          </cell>
          <cell r="E7587">
            <v>8.7100000000000009</v>
          </cell>
          <cell r="H7587">
            <v>45608</v>
          </cell>
          <cell r="I7587">
            <v>1.082222222222222</v>
          </cell>
          <cell r="J7587">
            <v>23.649999999999995</v>
          </cell>
        </row>
        <row r="7588">
          <cell r="B7588">
            <v>46.76</v>
          </cell>
          <cell r="C7588">
            <v>86.14</v>
          </cell>
          <cell r="D7588">
            <v>19.75</v>
          </cell>
          <cell r="E7588">
            <v>8.9</v>
          </cell>
          <cell r="H7588">
            <v>45608</v>
          </cell>
          <cell r="I7588">
            <v>1.0488888888888888</v>
          </cell>
          <cell r="J7588">
            <v>23.197777777777773</v>
          </cell>
        </row>
        <row r="7589">
          <cell r="B7589">
            <v>46.65</v>
          </cell>
          <cell r="C7589">
            <v>83.9</v>
          </cell>
          <cell r="D7589">
            <v>19.68</v>
          </cell>
          <cell r="E7589">
            <v>10.61</v>
          </cell>
          <cell r="H7589">
            <v>45608</v>
          </cell>
          <cell r="I7589">
            <v>0.98666666666666658</v>
          </cell>
          <cell r="J7589">
            <v>23.275555555555556</v>
          </cell>
        </row>
        <row r="7590">
          <cell r="B7590">
            <v>47.89</v>
          </cell>
          <cell r="C7590">
            <v>86.43</v>
          </cell>
          <cell r="D7590">
            <v>19.75</v>
          </cell>
          <cell r="E7590">
            <v>9.69</v>
          </cell>
          <cell r="H7590">
            <v>45608</v>
          </cell>
          <cell r="I7590">
            <v>0.90555555555555556</v>
          </cell>
          <cell r="J7590">
            <v>23.504444444444442</v>
          </cell>
        </row>
        <row r="7591">
          <cell r="B7591">
            <v>49.45</v>
          </cell>
          <cell r="C7591">
            <v>92.26</v>
          </cell>
          <cell r="D7591">
            <v>17.54</v>
          </cell>
          <cell r="E7591">
            <v>9.66</v>
          </cell>
          <cell r="H7591">
            <v>45608</v>
          </cell>
          <cell r="I7591">
            <v>0.8600000000000001</v>
          </cell>
          <cell r="J7591">
            <v>23.798888888888889</v>
          </cell>
        </row>
        <row r="7592">
          <cell r="B7592">
            <v>52.54</v>
          </cell>
          <cell r="C7592">
            <v>94.46</v>
          </cell>
          <cell r="D7592">
            <v>17.77</v>
          </cell>
          <cell r="E7592">
            <v>9.3699999999999992</v>
          </cell>
          <cell r="H7592">
            <v>45608</v>
          </cell>
          <cell r="I7592">
            <v>0.83333333333333348</v>
          </cell>
          <cell r="J7592">
            <v>24.05777777777778</v>
          </cell>
        </row>
        <row r="7593">
          <cell r="B7593">
            <v>56</v>
          </cell>
          <cell r="C7593">
            <v>104.94</v>
          </cell>
          <cell r="D7593">
            <v>18.64</v>
          </cell>
          <cell r="E7593">
            <v>8.84</v>
          </cell>
          <cell r="H7593">
            <v>45608</v>
          </cell>
          <cell r="I7593">
            <v>0.83000000000000018</v>
          </cell>
          <cell r="J7593">
            <v>24.257777777777775</v>
          </cell>
        </row>
        <row r="7594">
          <cell r="B7594">
            <v>59.04</v>
          </cell>
          <cell r="C7594">
            <v>116.45</v>
          </cell>
          <cell r="D7594">
            <v>18.690000000000001</v>
          </cell>
          <cell r="E7594">
            <v>9.23</v>
          </cell>
          <cell r="H7594">
            <v>45608</v>
          </cell>
          <cell r="I7594">
            <v>0.85888888888888903</v>
          </cell>
          <cell r="J7594">
            <v>24.353333333333335</v>
          </cell>
        </row>
        <row r="7595">
          <cell r="B7595">
            <v>58.04</v>
          </cell>
          <cell r="C7595">
            <v>114.96</v>
          </cell>
          <cell r="D7595">
            <v>19.850000000000001</v>
          </cell>
          <cell r="E7595">
            <v>9.86</v>
          </cell>
          <cell r="H7595">
            <v>45608</v>
          </cell>
          <cell r="I7595">
            <v>0.90333333333333343</v>
          </cell>
          <cell r="J7595">
            <v>24.607777777777773</v>
          </cell>
        </row>
        <row r="7596">
          <cell r="B7596">
            <v>54.64</v>
          </cell>
          <cell r="C7596">
            <v>114.76</v>
          </cell>
          <cell r="D7596">
            <v>19.96</v>
          </cell>
          <cell r="E7596">
            <v>10.49</v>
          </cell>
          <cell r="H7596">
            <v>45608</v>
          </cell>
          <cell r="I7596">
            <v>0.94111111111111123</v>
          </cell>
          <cell r="J7596">
            <v>24.687777777777775</v>
          </cell>
        </row>
        <row r="7597">
          <cell r="B7597">
            <v>55.37</v>
          </cell>
          <cell r="C7597">
            <v>123.5</v>
          </cell>
          <cell r="D7597">
            <v>19.809999999999999</v>
          </cell>
          <cell r="E7597">
            <v>11.4</v>
          </cell>
          <cell r="H7597">
            <v>45608</v>
          </cell>
          <cell r="I7597">
            <v>0.9688888888888888</v>
          </cell>
          <cell r="J7597">
            <v>24.707777777777775</v>
          </cell>
        </row>
        <row r="7598">
          <cell r="B7598">
            <v>53.45</v>
          </cell>
          <cell r="C7598">
            <v>115.48</v>
          </cell>
          <cell r="D7598">
            <v>18.600000000000001</v>
          </cell>
          <cell r="E7598">
            <v>10.130000000000001</v>
          </cell>
          <cell r="H7598">
            <v>45608</v>
          </cell>
          <cell r="I7598">
            <v>0.99111111111111105</v>
          </cell>
          <cell r="J7598">
            <v>24.497777777777781</v>
          </cell>
        </row>
        <row r="7599">
          <cell r="B7599">
            <v>46.33</v>
          </cell>
          <cell r="C7599">
            <v>95.92</v>
          </cell>
          <cell r="D7599">
            <v>20.440000000000001</v>
          </cell>
          <cell r="E7599">
            <v>10.4</v>
          </cell>
          <cell r="H7599">
            <v>45608</v>
          </cell>
          <cell r="I7599">
            <v>1.0111111111111113</v>
          </cell>
          <cell r="J7599">
            <v>24.371111111111109</v>
          </cell>
        </row>
        <row r="7600">
          <cell r="B7600">
            <v>41.01</v>
          </cell>
          <cell r="C7600">
            <v>86.76</v>
          </cell>
          <cell r="D7600">
            <v>21.83</v>
          </cell>
          <cell r="E7600">
            <v>10.43</v>
          </cell>
          <cell r="H7600">
            <v>45608</v>
          </cell>
          <cell r="I7600">
            <v>1.0300000000000002</v>
          </cell>
          <cell r="J7600">
            <v>24.291111111111107</v>
          </cell>
        </row>
        <row r="7601">
          <cell r="B7601">
            <v>37.5</v>
          </cell>
          <cell r="C7601">
            <v>84.31</v>
          </cell>
          <cell r="D7601">
            <v>21.79</v>
          </cell>
          <cell r="E7601">
            <v>9.99</v>
          </cell>
          <cell r="H7601">
            <v>45608</v>
          </cell>
          <cell r="I7601">
            <v>1.0411111111111113</v>
          </cell>
          <cell r="J7601">
            <v>24.134444444444441</v>
          </cell>
        </row>
        <row r="7602">
          <cell r="B7602">
            <v>38.090000000000003</v>
          </cell>
          <cell r="C7602">
            <v>83.86</v>
          </cell>
          <cell r="D7602">
            <v>21.46</v>
          </cell>
          <cell r="E7602">
            <v>10.06</v>
          </cell>
          <cell r="H7602">
            <v>45608</v>
          </cell>
          <cell r="I7602">
            <v>1.0466666666666669</v>
          </cell>
          <cell r="J7602">
            <v>24.078888888888887</v>
          </cell>
        </row>
        <row r="7603">
          <cell r="B7603">
            <v>38.93</v>
          </cell>
          <cell r="C7603">
            <v>89.54</v>
          </cell>
          <cell r="D7603">
            <v>21.45</v>
          </cell>
          <cell r="E7603">
            <v>9.93</v>
          </cell>
          <cell r="H7603">
            <v>45608</v>
          </cell>
          <cell r="I7603">
            <v>1.0411111111111111</v>
          </cell>
          <cell r="J7603">
            <v>23.90111111111111</v>
          </cell>
        </row>
        <row r="7604">
          <cell r="B7604">
            <v>38.99</v>
          </cell>
          <cell r="C7604">
            <v>92.39</v>
          </cell>
          <cell r="D7604">
            <v>21.19</v>
          </cell>
          <cell r="E7604">
            <v>10.039999999999999</v>
          </cell>
          <cell r="H7604">
            <v>45608</v>
          </cell>
          <cell r="I7604">
            <v>1.0388888888888888</v>
          </cell>
          <cell r="J7604">
            <v>23.415555555555557</v>
          </cell>
        </row>
        <row r="7605">
          <cell r="B7605">
            <v>40.380000000000003</v>
          </cell>
          <cell r="C7605">
            <v>93.12</v>
          </cell>
          <cell r="D7605">
            <v>21.75</v>
          </cell>
          <cell r="E7605">
            <v>11.13</v>
          </cell>
          <cell r="H7605">
            <v>45608</v>
          </cell>
          <cell r="I7605">
            <v>1.0444444444444445</v>
          </cell>
          <cell r="J7605">
            <v>22.937777777777779</v>
          </cell>
        </row>
        <row r="7606">
          <cell r="B7606">
            <v>41.62</v>
          </cell>
          <cell r="C7606">
            <v>89.66</v>
          </cell>
          <cell r="D7606">
            <v>21.29</v>
          </cell>
          <cell r="E7606">
            <v>10.17</v>
          </cell>
          <cell r="H7606">
            <v>45608</v>
          </cell>
          <cell r="I7606">
            <v>1.0488888888888888</v>
          </cell>
          <cell r="J7606">
            <v>22.547777777777782</v>
          </cell>
        </row>
        <row r="7607">
          <cell r="B7607">
            <v>38.04</v>
          </cell>
          <cell r="C7607">
            <v>78.87</v>
          </cell>
          <cell r="D7607">
            <v>20.9</v>
          </cell>
          <cell r="E7607">
            <v>9.98</v>
          </cell>
          <cell r="H7607">
            <v>45608</v>
          </cell>
          <cell r="I7607">
            <v>1.0511111111111111</v>
          </cell>
          <cell r="J7607">
            <v>22.092222222222222</v>
          </cell>
        </row>
        <row r="7608">
          <cell r="B7608">
            <v>35.979999999999997</v>
          </cell>
          <cell r="C7608">
            <v>69.25</v>
          </cell>
          <cell r="D7608">
            <v>20.83</v>
          </cell>
          <cell r="E7608">
            <v>9.7100000000000009</v>
          </cell>
          <cell r="H7608">
            <v>45608</v>
          </cell>
          <cell r="I7608">
            <v>1.0455555555555556</v>
          </cell>
          <cell r="J7608">
            <v>21.619999999999997</v>
          </cell>
        </row>
        <row r="7609">
          <cell r="B7609">
            <v>34.119999999999997</v>
          </cell>
          <cell r="C7609">
            <v>64.66</v>
          </cell>
          <cell r="D7609">
            <v>20.03</v>
          </cell>
          <cell r="E7609">
            <v>8.9499999999999993</v>
          </cell>
          <cell r="H7609">
            <v>45608</v>
          </cell>
          <cell r="I7609">
            <v>1.0233333333333334</v>
          </cell>
          <cell r="J7609">
            <v>21.134444444444441</v>
          </cell>
        </row>
        <row r="7610">
          <cell r="B7610">
            <v>30.82</v>
          </cell>
          <cell r="C7610">
            <v>59.07</v>
          </cell>
          <cell r="D7610">
            <v>19.12</v>
          </cell>
          <cell r="E7610">
            <v>9.0399999999999991</v>
          </cell>
          <cell r="H7610">
            <v>45609</v>
          </cell>
          <cell r="I7610">
            <v>1</v>
          </cell>
          <cell r="J7610">
            <v>20.722222222222221</v>
          </cell>
        </row>
        <row r="7611">
          <cell r="B7611">
            <v>19.71</v>
          </cell>
          <cell r="C7611">
            <v>43.87</v>
          </cell>
          <cell r="D7611">
            <v>19.239999999999998</v>
          </cell>
          <cell r="E7611">
            <v>9.66</v>
          </cell>
          <cell r="H7611">
            <v>45609</v>
          </cell>
          <cell r="I7611">
            <v>0.96888888888888891</v>
          </cell>
          <cell r="J7611">
            <v>20.283333333333335</v>
          </cell>
        </row>
        <row r="7612">
          <cell r="B7612">
            <v>20.78</v>
          </cell>
          <cell r="C7612">
            <v>39.69</v>
          </cell>
          <cell r="D7612">
            <v>18.899999999999999</v>
          </cell>
          <cell r="E7612">
            <v>10.39</v>
          </cell>
          <cell r="H7612">
            <v>45609</v>
          </cell>
          <cell r="I7612">
            <v>0.93222222222222229</v>
          </cell>
          <cell r="J7612">
            <v>20.023333333333333</v>
          </cell>
        </row>
        <row r="7613">
          <cell r="B7613">
            <v>21.29</v>
          </cell>
          <cell r="C7613">
            <v>35.85</v>
          </cell>
          <cell r="D7613">
            <v>19.14</v>
          </cell>
          <cell r="E7613">
            <v>10.91</v>
          </cell>
          <cell r="H7613">
            <v>45609</v>
          </cell>
          <cell r="I7613">
            <v>0.8833333333333333</v>
          </cell>
          <cell r="J7613">
            <v>19.983333333333331</v>
          </cell>
        </row>
        <row r="7614">
          <cell r="B7614">
            <v>19.149999999999999</v>
          </cell>
          <cell r="C7614">
            <v>31.8</v>
          </cell>
          <cell r="D7614">
            <v>19.45</v>
          </cell>
          <cell r="E7614">
            <v>9.76</v>
          </cell>
          <cell r="H7614">
            <v>45609</v>
          </cell>
          <cell r="I7614">
            <v>0.8355555555555555</v>
          </cell>
          <cell r="J7614">
            <v>19.987777777777776</v>
          </cell>
        </row>
        <row r="7615">
          <cell r="B7615">
            <v>11.94</v>
          </cell>
          <cell r="C7615">
            <v>27.38</v>
          </cell>
          <cell r="D7615">
            <v>19.329999999999998</v>
          </cell>
          <cell r="E7615">
            <v>9.69</v>
          </cell>
          <cell r="H7615">
            <v>45609</v>
          </cell>
          <cell r="I7615">
            <v>0.80888888888888877</v>
          </cell>
          <cell r="J7615">
            <v>19.91</v>
          </cell>
        </row>
        <row r="7616">
          <cell r="B7616">
            <v>13.71</v>
          </cell>
          <cell r="C7616">
            <v>26.56</v>
          </cell>
          <cell r="D7616">
            <v>19.46</v>
          </cell>
          <cell r="E7616">
            <v>9.17</v>
          </cell>
          <cell r="H7616">
            <v>45609</v>
          </cell>
          <cell r="I7616">
            <v>0.7944444444444444</v>
          </cell>
          <cell r="J7616">
            <v>19.838888888888889</v>
          </cell>
        </row>
        <row r="7617">
          <cell r="B7617">
            <v>15.33</v>
          </cell>
          <cell r="C7617">
            <v>29.84</v>
          </cell>
          <cell r="D7617">
            <v>20.28</v>
          </cell>
          <cell r="E7617">
            <v>9.39</v>
          </cell>
          <cell r="H7617">
            <v>45609</v>
          </cell>
          <cell r="I7617">
            <v>0.80111111111111111</v>
          </cell>
          <cell r="J7617">
            <v>19.809999999999999</v>
          </cell>
        </row>
        <row r="7618">
          <cell r="B7618">
            <v>19.2</v>
          </cell>
          <cell r="C7618">
            <v>35.89</v>
          </cell>
          <cell r="D7618">
            <v>19.809999999999999</v>
          </cell>
          <cell r="E7618">
            <v>9.1999999999999993</v>
          </cell>
          <cell r="H7618">
            <v>45609</v>
          </cell>
          <cell r="I7618">
            <v>0.82666666666666666</v>
          </cell>
          <cell r="J7618">
            <v>19.735555555555553</v>
          </cell>
        </row>
        <row r="7619">
          <cell r="B7619">
            <v>18.87</v>
          </cell>
          <cell r="C7619">
            <v>38.520000000000003</v>
          </cell>
          <cell r="D7619">
            <v>19.43</v>
          </cell>
          <cell r="E7619">
            <v>9.9700000000000006</v>
          </cell>
          <cell r="H7619">
            <v>45609</v>
          </cell>
          <cell r="I7619">
            <v>0.86222222222222222</v>
          </cell>
          <cell r="J7619">
            <v>19.703333333333333</v>
          </cell>
        </row>
        <row r="7620">
          <cell r="B7620">
            <v>17.559999999999999</v>
          </cell>
          <cell r="C7620">
            <v>47.75</v>
          </cell>
          <cell r="D7620">
            <v>18.59</v>
          </cell>
          <cell r="E7620">
            <v>10.47</v>
          </cell>
          <cell r="H7620">
            <v>45609</v>
          </cell>
          <cell r="I7620">
            <v>0.89111111111111108</v>
          </cell>
          <cell r="J7620">
            <v>19.707777777777778</v>
          </cell>
        </row>
        <row r="7621">
          <cell r="B7621">
            <v>18.71</v>
          </cell>
          <cell r="C7621">
            <v>48.28</v>
          </cell>
          <cell r="D7621">
            <v>18.760000000000002</v>
          </cell>
          <cell r="E7621">
            <v>10.95</v>
          </cell>
          <cell r="H7621">
            <v>45609</v>
          </cell>
          <cell r="I7621">
            <v>0.91111111111111098</v>
          </cell>
          <cell r="J7621">
            <v>19.715555555555554</v>
          </cell>
        </row>
        <row r="7622">
          <cell r="B7622">
            <v>18.579999999999998</v>
          </cell>
          <cell r="C7622">
            <v>48.22</v>
          </cell>
          <cell r="D7622">
            <v>18.399999999999999</v>
          </cell>
          <cell r="E7622">
            <v>9.23</v>
          </cell>
          <cell r="H7622">
            <v>45609</v>
          </cell>
          <cell r="I7622">
            <v>0.92111111111111099</v>
          </cell>
          <cell r="J7622">
            <v>19.871111111111109</v>
          </cell>
        </row>
        <row r="7623">
          <cell r="B7623">
            <v>17.5</v>
          </cell>
          <cell r="C7623">
            <v>46.02</v>
          </cell>
          <cell r="D7623">
            <v>18.170000000000002</v>
          </cell>
          <cell r="E7623">
            <v>9.6300000000000008</v>
          </cell>
          <cell r="H7623">
            <v>45609</v>
          </cell>
          <cell r="I7623">
            <v>0.931111111111111</v>
          </cell>
          <cell r="J7623">
            <v>20.30777777777778</v>
          </cell>
        </row>
        <row r="7624">
          <cell r="B7624">
            <v>18.71</v>
          </cell>
          <cell r="C7624">
            <v>45.54</v>
          </cell>
          <cell r="D7624">
            <v>19.03</v>
          </cell>
          <cell r="E7624">
            <v>9.69</v>
          </cell>
          <cell r="H7624">
            <v>45609</v>
          </cell>
          <cell r="I7624">
            <v>0.94</v>
          </cell>
          <cell r="J7624">
            <v>20.542222222222222</v>
          </cell>
        </row>
        <row r="7625">
          <cell r="B7625">
            <v>18.87</v>
          </cell>
          <cell r="C7625">
            <v>45.49</v>
          </cell>
          <cell r="D7625">
            <v>19.2</v>
          </cell>
          <cell r="E7625">
            <v>9.86</v>
          </cell>
          <cell r="H7625">
            <v>45609</v>
          </cell>
          <cell r="I7625">
            <v>0.94111111111111123</v>
          </cell>
          <cell r="J7625">
            <v>20.783333333333331</v>
          </cell>
        </row>
        <row r="7626">
          <cell r="B7626">
            <v>18.510000000000002</v>
          </cell>
          <cell r="C7626">
            <v>47.76</v>
          </cell>
          <cell r="D7626">
            <v>19.12</v>
          </cell>
          <cell r="E7626">
            <v>9</v>
          </cell>
          <cell r="H7626">
            <v>45609</v>
          </cell>
          <cell r="I7626">
            <v>0.93555555555555558</v>
          </cell>
          <cell r="J7626">
            <v>20.98</v>
          </cell>
        </row>
        <row r="7627">
          <cell r="B7627">
            <v>17.559999999999999</v>
          </cell>
          <cell r="C7627">
            <v>47.93</v>
          </cell>
          <cell r="D7627">
            <v>19.41</v>
          </cell>
          <cell r="E7627">
            <v>9.66</v>
          </cell>
          <cell r="H7627">
            <v>45609</v>
          </cell>
          <cell r="I7627">
            <v>0.9277777777777777</v>
          </cell>
          <cell r="J7627">
            <v>21.195555555555554</v>
          </cell>
        </row>
        <row r="7628">
          <cell r="B7628">
            <v>18.739999999999998</v>
          </cell>
          <cell r="C7628">
            <v>48.6</v>
          </cell>
          <cell r="D7628">
            <v>19.829999999999998</v>
          </cell>
          <cell r="E7628">
            <v>10.06</v>
          </cell>
          <cell r="H7628">
            <v>45609</v>
          </cell>
          <cell r="I7628">
            <v>0.92000000000000015</v>
          </cell>
          <cell r="J7628">
            <v>21.332222222222224</v>
          </cell>
        </row>
        <row r="7629">
          <cell r="B7629">
            <v>20.39</v>
          </cell>
          <cell r="C7629">
            <v>51.85</v>
          </cell>
          <cell r="D7629">
            <v>19.89</v>
          </cell>
          <cell r="E7629">
            <v>10.58</v>
          </cell>
          <cell r="H7629">
            <v>45609</v>
          </cell>
          <cell r="I7629">
            <v>0.92666666666666664</v>
          </cell>
          <cell r="J7629">
            <v>21.605555555555554</v>
          </cell>
        </row>
        <row r="7630">
          <cell r="B7630">
            <v>22.63</v>
          </cell>
          <cell r="C7630">
            <v>54.95</v>
          </cell>
          <cell r="D7630">
            <v>20.149999999999999</v>
          </cell>
          <cell r="E7630">
            <v>9.6199999999999992</v>
          </cell>
          <cell r="H7630">
            <v>45609</v>
          </cell>
          <cell r="I7630">
            <v>0.92888888888888888</v>
          </cell>
          <cell r="J7630">
            <v>21.696666666666669</v>
          </cell>
        </row>
        <row r="7631">
          <cell r="B7631">
            <v>22.3</v>
          </cell>
          <cell r="C7631">
            <v>51.16</v>
          </cell>
          <cell r="D7631">
            <v>19.48</v>
          </cell>
          <cell r="E7631">
            <v>9.59</v>
          </cell>
          <cell r="H7631">
            <v>45609</v>
          </cell>
          <cell r="I7631">
            <v>0.94111111111111123</v>
          </cell>
          <cell r="J7631">
            <v>21.615555555555559</v>
          </cell>
        </row>
        <row r="7632">
          <cell r="B7632">
            <v>20.97</v>
          </cell>
          <cell r="C7632">
            <v>46.51</v>
          </cell>
          <cell r="D7632">
            <v>19.43</v>
          </cell>
          <cell r="E7632">
            <v>9.1</v>
          </cell>
          <cell r="H7632">
            <v>45609</v>
          </cell>
          <cell r="I7632">
            <v>0.94555555555555548</v>
          </cell>
          <cell r="J7632">
            <v>21.286666666666669</v>
          </cell>
        </row>
        <row r="7633">
          <cell r="B7633">
            <v>19.84</v>
          </cell>
          <cell r="C7633">
            <v>43.94</v>
          </cell>
          <cell r="D7633">
            <v>19.239999999999998</v>
          </cell>
          <cell r="E7633">
            <v>9.3699999999999992</v>
          </cell>
          <cell r="H7633">
            <v>45609</v>
          </cell>
          <cell r="I7633">
            <v>0.93666666666666665</v>
          </cell>
          <cell r="J7633">
            <v>21.094444444444445</v>
          </cell>
        </row>
        <row r="7634">
          <cell r="B7634">
            <v>18.2</v>
          </cell>
          <cell r="C7634">
            <v>40.9</v>
          </cell>
          <cell r="D7634">
            <v>18.850000000000001</v>
          </cell>
          <cell r="E7634">
            <v>9.24</v>
          </cell>
          <cell r="H7634">
            <v>45610</v>
          </cell>
          <cell r="I7634">
            <v>0.92444444444444451</v>
          </cell>
          <cell r="J7634">
            <v>20.991111111111113</v>
          </cell>
        </row>
        <row r="7635">
          <cell r="B7635">
            <v>16.32</v>
          </cell>
          <cell r="C7635">
            <v>35.15</v>
          </cell>
          <cell r="D7635">
            <v>19.100000000000001</v>
          </cell>
          <cell r="E7635">
            <v>10.11</v>
          </cell>
          <cell r="H7635">
            <v>45610</v>
          </cell>
          <cell r="I7635">
            <v>0.90333333333333343</v>
          </cell>
          <cell r="J7635">
            <v>20.775555555555556</v>
          </cell>
        </row>
        <row r="7636">
          <cell r="B7636">
            <v>15.41</v>
          </cell>
          <cell r="C7636">
            <v>33.74</v>
          </cell>
          <cell r="D7636">
            <v>18.91</v>
          </cell>
          <cell r="E7636">
            <v>10.83</v>
          </cell>
          <cell r="H7636">
            <v>45610</v>
          </cell>
          <cell r="I7636">
            <v>0.87888888888888905</v>
          </cell>
          <cell r="J7636">
            <v>20.61333333333333</v>
          </cell>
        </row>
        <row r="7637">
          <cell r="B7637">
            <v>15.61</v>
          </cell>
          <cell r="C7637">
            <v>32.17</v>
          </cell>
          <cell r="D7637">
            <v>18.36</v>
          </cell>
          <cell r="E7637">
            <v>11.64</v>
          </cell>
          <cell r="H7637">
            <v>45610</v>
          </cell>
          <cell r="I7637">
            <v>0.8466666666666669</v>
          </cell>
          <cell r="J7637">
            <v>20.56111111111111</v>
          </cell>
        </row>
        <row r="7638">
          <cell r="B7638">
            <v>15.14</v>
          </cell>
          <cell r="C7638">
            <v>32.22</v>
          </cell>
          <cell r="D7638">
            <v>18.88</v>
          </cell>
          <cell r="E7638">
            <v>10.28</v>
          </cell>
          <cell r="H7638">
            <v>45610</v>
          </cell>
          <cell r="I7638">
            <v>0.81111111111111112</v>
          </cell>
          <cell r="J7638">
            <v>20.356666666666666</v>
          </cell>
        </row>
        <row r="7639">
          <cell r="B7639">
            <v>15.84</v>
          </cell>
          <cell r="C7639">
            <v>32.15</v>
          </cell>
          <cell r="D7639">
            <v>19.14</v>
          </cell>
          <cell r="E7639">
            <v>10</v>
          </cell>
          <cell r="H7639">
            <v>45610</v>
          </cell>
          <cell r="I7639">
            <v>0.79888888888888898</v>
          </cell>
          <cell r="J7639">
            <v>20.252222222222219</v>
          </cell>
        </row>
        <row r="7640">
          <cell r="B7640">
            <v>18</v>
          </cell>
          <cell r="C7640">
            <v>36.18</v>
          </cell>
          <cell r="D7640">
            <v>19.399999999999999</v>
          </cell>
          <cell r="E7640">
            <v>9.51</v>
          </cell>
          <cell r="H7640">
            <v>45610</v>
          </cell>
          <cell r="I7640">
            <v>0.79222222222222216</v>
          </cell>
          <cell r="J7640">
            <v>20.093333333333334</v>
          </cell>
        </row>
        <row r="7641">
          <cell r="B7641">
            <v>19.059999999999999</v>
          </cell>
          <cell r="C7641">
            <v>42.59</v>
          </cell>
          <cell r="D7641">
            <v>19.04</v>
          </cell>
          <cell r="E7641">
            <v>9.6300000000000008</v>
          </cell>
          <cell r="H7641">
            <v>45610</v>
          </cell>
          <cell r="I7641">
            <v>0.80222222222222228</v>
          </cell>
          <cell r="J7641">
            <v>19.941111111111113</v>
          </cell>
        </row>
        <row r="7642">
          <cell r="B7642">
            <v>20.98</v>
          </cell>
          <cell r="C7642">
            <v>49.16</v>
          </cell>
          <cell r="D7642">
            <v>19.21</v>
          </cell>
          <cell r="E7642">
            <v>10.039999999999999</v>
          </cell>
          <cell r="H7642">
            <v>45610</v>
          </cell>
          <cell r="I7642">
            <v>0.82333333333333336</v>
          </cell>
          <cell r="J7642">
            <v>19.841111111111108</v>
          </cell>
        </row>
        <row r="7643">
          <cell r="B7643">
            <v>20.84</v>
          </cell>
          <cell r="C7643">
            <v>48</v>
          </cell>
          <cell r="D7643">
            <v>18.97</v>
          </cell>
          <cell r="E7643">
            <v>11.15</v>
          </cell>
          <cell r="H7643">
            <v>45610</v>
          </cell>
          <cell r="I7643">
            <v>0.85333333333333317</v>
          </cell>
          <cell r="J7643">
            <v>19.707777777777778</v>
          </cell>
        </row>
        <row r="7644">
          <cell r="B7644">
            <v>19.25</v>
          </cell>
          <cell r="C7644">
            <v>45.95</v>
          </cell>
          <cell r="D7644">
            <v>18.510000000000002</v>
          </cell>
          <cell r="E7644">
            <v>11.88</v>
          </cell>
          <cell r="H7644">
            <v>45610</v>
          </cell>
          <cell r="I7644">
            <v>0.89666666666666672</v>
          </cell>
          <cell r="J7644">
            <v>19.696666666666665</v>
          </cell>
        </row>
        <row r="7645">
          <cell r="B7645">
            <v>17.96</v>
          </cell>
          <cell r="C7645">
            <v>39.380000000000003</v>
          </cell>
          <cell r="D7645">
            <v>18.96</v>
          </cell>
          <cell r="E7645">
            <v>12.65</v>
          </cell>
          <cell r="H7645">
            <v>45610</v>
          </cell>
          <cell r="I7645">
            <v>0.94111111111111101</v>
          </cell>
          <cell r="J7645">
            <v>19.783333333333331</v>
          </cell>
        </row>
        <row r="7646">
          <cell r="B7646">
            <v>18.010000000000002</v>
          </cell>
          <cell r="C7646">
            <v>38.409999999999997</v>
          </cell>
          <cell r="D7646">
            <v>18.899999999999999</v>
          </cell>
          <cell r="E7646">
            <v>10.64</v>
          </cell>
          <cell r="H7646">
            <v>45610</v>
          </cell>
          <cell r="I7646">
            <v>0.9622222222222222</v>
          </cell>
          <cell r="J7646">
            <v>19.852222222222224</v>
          </cell>
        </row>
        <row r="7647">
          <cell r="B7647">
            <v>17.68</v>
          </cell>
          <cell r="C7647">
            <v>37.409999999999997</v>
          </cell>
          <cell r="D7647">
            <v>19.190000000000001</v>
          </cell>
          <cell r="E7647">
            <v>10.43</v>
          </cell>
          <cell r="H7647">
            <v>45610</v>
          </cell>
          <cell r="I7647">
            <v>0.97333333333333327</v>
          </cell>
          <cell r="J7647">
            <v>19.924444444444443</v>
          </cell>
        </row>
        <row r="7648">
          <cell r="B7648">
            <v>18.09</v>
          </cell>
          <cell r="C7648">
            <v>38.85</v>
          </cell>
          <cell r="D7648">
            <v>18.41</v>
          </cell>
          <cell r="E7648">
            <v>9.86</v>
          </cell>
          <cell r="H7648">
            <v>45610</v>
          </cell>
          <cell r="I7648">
            <v>0.97555555555555573</v>
          </cell>
          <cell r="J7648">
            <v>20.014444444444443</v>
          </cell>
        </row>
        <row r="7649">
          <cell r="B7649">
            <v>19.59</v>
          </cell>
          <cell r="C7649">
            <v>42.52</v>
          </cell>
          <cell r="D7649">
            <v>18.89</v>
          </cell>
          <cell r="E7649">
            <v>10.039999999999999</v>
          </cell>
          <cell r="H7649">
            <v>45610</v>
          </cell>
          <cell r="I7649">
            <v>0.97111111111111115</v>
          </cell>
          <cell r="J7649">
            <v>20.115555555555559</v>
          </cell>
        </row>
        <row r="7650">
          <cell r="B7650">
            <v>19.25</v>
          </cell>
          <cell r="C7650">
            <v>46.56</v>
          </cell>
          <cell r="D7650">
            <v>17.899999999999999</v>
          </cell>
          <cell r="E7650">
            <v>10.68</v>
          </cell>
          <cell r="H7650">
            <v>45610</v>
          </cell>
          <cell r="I7650">
            <v>0.95888888888888901</v>
          </cell>
          <cell r="J7650">
            <v>20.171111111111109</v>
          </cell>
        </row>
        <row r="7651">
          <cell r="B7651">
            <v>19.61</v>
          </cell>
          <cell r="C7651">
            <v>47.17</v>
          </cell>
          <cell r="D7651">
            <v>17.72</v>
          </cell>
          <cell r="E7651">
            <v>11.68</v>
          </cell>
          <cell r="H7651">
            <v>45610</v>
          </cell>
          <cell r="I7651">
            <v>0.96000000000000008</v>
          </cell>
          <cell r="J7651">
            <v>20.252222222222219</v>
          </cell>
        </row>
        <row r="7652">
          <cell r="B7652">
            <v>21.61</v>
          </cell>
          <cell r="C7652">
            <v>54.55</v>
          </cell>
          <cell r="D7652">
            <v>18.68</v>
          </cell>
          <cell r="E7652">
            <v>12.18</v>
          </cell>
          <cell r="H7652">
            <v>45610</v>
          </cell>
          <cell r="I7652">
            <v>0.96111111111111114</v>
          </cell>
          <cell r="J7652">
            <v>20.374444444444443</v>
          </cell>
        </row>
        <row r="7653">
          <cell r="B7653">
            <v>22.65</v>
          </cell>
          <cell r="C7653">
            <v>52.43</v>
          </cell>
          <cell r="D7653">
            <v>19.11</v>
          </cell>
          <cell r="E7653">
            <v>13.29</v>
          </cell>
          <cell r="H7653">
            <v>45610</v>
          </cell>
          <cell r="I7653">
            <v>0.95999999999999985</v>
          </cell>
          <cell r="J7653">
            <v>20.434444444444445</v>
          </cell>
        </row>
        <row r="7654">
          <cell r="B7654">
            <v>21.49</v>
          </cell>
          <cell r="C7654">
            <v>47.02</v>
          </cell>
          <cell r="D7654">
            <v>18.399999999999999</v>
          </cell>
          <cell r="E7654">
            <v>10.43</v>
          </cell>
          <cell r="H7654">
            <v>45610</v>
          </cell>
          <cell r="I7654">
            <v>0.95333333333333337</v>
          </cell>
          <cell r="J7654">
            <v>20.354444444444439</v>
          </cell>
        </row>
        <row r="7655">
          <cell r="B7655">
            <v>19.260000000000002</v>
          </cell>
          <cell r="C7655">
            <v>42.56</v>
          </cell>
          <cell r="D7655">
            <v>19.28</v>
          </cell>
          <cell r="E7655">
            <v>10.210000000000001</v>
          </cell>
          <cell r="H7655">
            <v>45610</v>
          </cell>
          <cell r="I7655">
            <v>0.96555555555555572</v>
          </cell>
          <cell r="J7655">
            <v>20.338888888888889</v>
          </cell>
        </row>
        <row r="7656">
          <cell r="B7656">
            <v>19.329999999999998</v>
          </cell>
          <cell r="C7656">
            <v>46.36</v>
          </cell>
          <cell r="D7656">
            <v>18.57</v>
          </cell>
          <cell r="E7656">
            <v>10.28</v>
          </cell>
          <cell r="H7656">
            <v>45610</v>
          </cell>
          <cell r="I7656">
            <v>0.97333333333333327</v>
          </cell>
          <cell r="J7656">
            <v>20.367777777777775</v>
          </cell>
        </row>
        <row r="7657">
          <cell r="B7657">
            <v>19.75</v>
          </cell>
          <cell r="C7657">
            <v>43.65</v>
          </cell>
          <cell r="D7657">
            <v>18.5</v>
          </cell>
          <cell r="E7657">
            <v>10.24</v>
          </cell>
          <cell r="H7657">
            <v>45610</v>
          </cell>
          <cell r="I7657">
            <v>0.96666666666666679</v>
          </cell>
          <cell r="J7657">
            <v>20.346666666666668</v>
          </cell>
        </row>
        <row r="7658">
          <cell r="B7658">
            <v>16.98</v>
          </cell>
          <cell r="C7658">
            <v>35.700000000000003</v>
          </cell>
          <cell r="D7658">
            <v>17.55</v>
          </cell>
          <cell r="E7658">
            <v>10.07</v>
          </cell>
          <cell r="H7658">
            <v>45611</v>
          </cell>
          <cell r="I7658">
            <v>0.95777777777777784</v>
          </cell>
          <cell r="J7658">
            <v>20.327777777777776</v>
          </cell>
        </row>
        <row r="7659">
          <cell r="B7659">
            <v>16.920000000000002</v>
          </cell>
          <cell r="C7659">
            <v>34.340000000000003</v>
          </cell>
          <cell r="D7659">
            <v>17.36</v>
          </cell>
          <cell r="E7659">
            <v>10.29</v>
          </cell>
          <cell r="H7659">
            <v>45611</v>
          </cell>
          <cell r="I7659">
            <v>0.94222222222222229</v>
          </cell>
          <cell r="J7659">
            <v>20.346666666666668</v>
          </cell>
        </row>
        <row r="7660">
          <cell r="B7660">
            <v>15.55</v>
          </cell>
          <cell r="C7660">
            <v>31.17</v>
          </cell>
          <cell r="D7660">
            <v>17.420000000000002</v>
          </cell>
          <cell r="E7660">
            <v>10.94</v>
          </cell>
          <cell r="H7660">
            <v>45611</v>
          </cell>
          <cell r="I7660">
            <v>0.90666666666666673</v>
          </cell>
          <cell r="J7660">
            <v>20.341111111111115</v>
          </cell>
        </row>
        <row r="7661">
          <cell r="B7661">
            <v>15.17</v>
          </cell>
          <cell r="C7661">
            <v>30.61</v>
          </cell>
          <cell r="D7661">
            <v>17.809999999999999</v>
          </cell>
          <cell r="E7661">
            <v>11.6</v>
          </cell>
          <cell r="H7661">
            <v>45611</v>
          </cell>
          <cell r="I7661">
            <v>0.86888888888888893</v>
          </cell>
          <cell r="J7661">
            <v>20.284444444444446</v>
          </cell>
        </row>
        <row r="7662">
          <cell r="B7662">
            <v>15.18</v>
          </cell>
          <cell r="C7662">
            <v>30.36</v>
          </cell>
          <cell r="D7662">
            <v>17.59</v>
          </cell>
          <cell r="E7662">
            <v>10.17</v>
          </cell>
          <cell r="H7662">
            <v>45611</v>
          </cell>
          <cell r="I7662">
            <v>0.82888888888888901</v>
          </cell>
          <cell r="J7662">
            <v>20.305555555555557</v>
          </cell>
        </row>
        <row r="7663">
          <cell r="B7663">
            <v>15.35</v>
          </cell>
          <cell r="C7663">
            <v>32.11</v>
          </cell>
          <cell r="D7663">
            <v>17.59</v>
          </cell>
          <cell r="E7663">
            <v>9.75</v>
          </cell>
          <cell r="H7663">
            <v>45611</v>
          </cell>
          <cell r="I7663">
            <v>0.80333333333333334</v>
          </cell>
          <cell r="J7663">
            <v>20.395555555555553</v>
          </cell>
        </row>
        <row r="7664">
          <cell r="B7664">
            <v>16.68</v>
          </cell>
          <cell r="C7664">
            <v>35</v>
          </cell>
          <cell r="D7664">
            <v>18.27</v>
          </cell>
          <cell r="E7664">
            <v>10.06</v>
          </cell>
          <cell r="H7664">
            <v>45611</v>
          </cell>
          <cell r="I7664">
            <v>0.78333333333333333</v>
          </cell>
          <cell r="J7664">
            <v>20.361111111111107</v>
          </cell>
        </row>
        <row r="7665">
          <cell r="B7665">
            <v>19.11</v>
          </cell>
          <cell r="C7665">
            <v>39.11</v>
          </cell>
          <cell r="D7665">
            <v>18.05</v>
          </cell>
          <cell r="E7665">
            <v>10.53</v>
          </cell>
          <cell r="H7665">
            <v>45611</v>
          </cell>
          <cell r="I7665">
            <v>0.78</v>
          </cell>
          <cell r="J7665">
            <v>20.259999999999998</v>
          </cell>
        </row>
        <row r="7666">
          <cell r="B7666">
            <v>19.88</v>
          </cell>
          <cell r="C7666">
            <v>44</v>
          </cell>
          <cell r="D7666">
            <v>18.29</v>
          </cell>
          <cell r="E7666">
            <v>10.74</v>
          </cell>
          <cell r="H7666">
            <v>45611</v>
          </cell>
          <cell r="I7666">
            <v>0.79888888888888898</v>
          </cell>
          <cell r="J7666">
            <v>20.18333333333333</v>
          </cell>
        </row>
        <row r="7667">
          <cell r="B7667">
            <v>19.41</v>
          </cell>
          <cell r="C7667">
            <v>50.11</v>
          </cell>
          <cell r="D7667">
            <v>18.23</v>
          </cell>
          <cell r="E7667">
            <v>11.56</v>
          </cell>
          <cell r="H7667">
            <v>45611</v>
          </cell>
          <cell r="I7667">
            <v>0.82555555555555549</v>
          </cell>
          <cell r="J7667">
            <v>20.16333333333333</v>
          </cell>
        </row>
        <row r="7668">
          <cell r="B7668">
            <v>19.71</v>
          </cell>
          <cell r="C7668">
            <v>49.81</v>
          </cell>
          <cell r="D7668">
            <v>17.18</v>
          </cell>
          <cell r="E7668">
            <v>12.33</v>
          </cell>
          <cell r="H7668">
            <v>45611</v>
          </cell>
          <cell r="I7668">
            <v>0.85333333333333328</v>
          </cell>
          <cell r="J7668">
            <v>20.185555555555553</v>
          </cell>
        </row>
        <row r="7669">
          <cell r="B7669">
            <v>19.3</v>
          </cell>
          <cell r="C7669">
            <v>52.05</v>
          </cell>
          <cell r="D7669">
            <v>17.03</v>
          </cell>
          <cell r="E7669">
            <v>12.44</v>
          </cell>
          <cell r="H7669">
            <v>45611</v>
          </cell>
          <cell r="I7669">
            <v>0.87333333333333341</v>
          </cell>
          <cell r="J7669">
            <v>20.284444444444446</v>
          </cell>
        </row>
        <row r="7670">
          <cell r="B7670">
            <v>19.510000000000002</v>
          </cell>
          <cell r="C7670">
            <v>49.85</v>
          </cell>
          <cell r="D7670">
            <v>17.98</v>
          </cell>
          <cell r="E7670">
            <v>10.61</v>
          </cell>
          <cell r="H7670">
            <v>45611</v>
          </cell>
          <cell r="I7670">
            <v>0.8933333333333332</v>
          </cell>
          <cell r="J7670">
            <v>20.378888888888888</v>
          </cell>
        </row>
        <row r="7671">
          <cell r="B7671">
            <v>20.18</v>
          </cell>
          <cell r="C7671">
            <v>52.55</v>
          </cell>
          <cell r="D7671">
            <v>17.79</v>
          </cell>
          <cell r="E7671">
            <v>10.28</v>
          </cell>
          <cell r="H7671">
            <v>45611</v>
          </cell>
          <cell r="I7671">
            <v>0.91222222222222216</v>
          </cell>
          <cell r="J7671">
            <v>20.556666666666665</v>
          </cell>
        </row>
        <row r="7672">
          <cell r="B7672">
            <v>19.190000000000001</v>
          </cell>
          <cell r="C7672">
            <v>47.78</v>
          </cell>
          <cell r="D7672">
            <v>17.98</v>
          </cell>
          <cell r="E7672">
            <v>10.39</v>
          </cell>
          <cell r="H7672">
            <v>45611</v>
          </cell>
          <cell r="I7672">
            <v>0.92444444444444429</v>
          </cell>
          <cell r="J7672">
            <v>20.611111111111111</v>
          </cell>
        </row>
        <row r="7673">
          <cell r="B7673">
            <v>17.84</v>
          </cell>
          <cell r="C7673">
            <v>48.94</v>
          </cell>
          <cell r="D7673">
            <v>19.600000000000001</v>
          </cell>
          <cell r="E7673">
            <v>10.81</v>
          </cell>
          <cell r="H7673">
            <v>45611</v>
          </cell>
          <cell r="I7673">
            <v>0.94111111111111123</v>
          </cell>
          <cell r="J7673">
            <v>20.6</v>
          </cell>
        </row>
        <row r="7674">
          <cell r="B7674">
            <v>16.75</v>
          </cell>
          <cell r="C7674">
            <v>44.1</v>
          </cell>
          <cell r="D7674">
            <v>18.18</v>
          </cell>
          <cell r="E7674">
            <v>11.27</v>
          </cell>
          <cell r="H7674">
            <v>45611</v>
          </cell>
          <cell r="I7674">
            <v>0.94777777777777794</v>
          </cell>
          <cell r="J7674">
            <v>20.531111111111109</v>
          </cell>
        </row>
        <row r="7675">
          <cell r="B7675">
            <v>17.47</v>
          </cell>
          <cell r="C7675">
            <v>42.9</v>
          </cell>
          <cell r="D7675">
            <v>18.59</v>
          </cell>
          <cell r="E7675">
            <v>12.17</v>
          </cell>
          <cell r="H7675">
            <v>45611</v>
          </cell>
          <cell r="I7675">
            <v>0.96333333333333337</v>
          </cell>
          <cell r="J7675">
            <v>20.482222222222219</v>
          </cell>
        </row>
        <row r="7676">
          <cell r="B7676">
            <v>19.41</v>
          </cell>
          <cell r="C7676">
            <v>42.68</v>
          </cell>
          <cell r="D7676">
            <v>19.420000000000002</v>
          </cell>
          <cell r="E7676">
            <v>12.67</v>
          </cell>
          <cell r="H7676">
            <v>45611</v>
          </cell>
          <cell r="I7676">
            <v>1.0066666666666666</v>
          </cell>
          <cell r="J7676">
            <v>20.342222222222219</v>
          </cell>
        </row>
        <row r="7677">
          <cell r="B7677">
            <v>24.3</v>
          </cell>
          <cell r="C7677">
            <v>52.4</v>
          </cell>
          <cell r="D7677">
            <v>20.21</v>
          </cell>
          <cell r="E7677">
            <v>13.27</v>
          </cell>
          <cell r="H7677">
            <v>45611</v>
          </cell>
          <cell r="I7677">
            <v>1.0922222222222224</v>
          </cell>
          <cell r="J7677">
            <v>20.28222222222222</v>
          </cell>
        </row>
        <row r="7678">
          <cell r="B7678">
            <v>27.26</v>
          </cell>
          <cell r="C7678">
            <v>63.89</v>
          </cell>
          <cell r="D7678">
            <v>20.55</v>
          </cell>
          <cell r="E7678">
            <v>11.38</v>
          </cell>
          <cell r="H7678">
            <v>45611</v>
          </cell>
          <cell r="I7678">
            <v>1.162222222222222</v>
          </cell>
          <cell r="J7678">
            <v>20.063333333333336</v>
          </cell>
        </row>
        <row r="7679">
          <cell r="B7679">
            <v>30.01</v>
          </cell>
          <cell r="C7679">
            <v>64.63</v>
          </cell>
          <cell r="D7679">
            <v>19.89</v>
          </cell>
          <cell r="E7679">
            <v>10.63</v>
          </cell>
          <cell r="H7679">
            <v>45611</v>
          </cell>
          <cell r="I7679">
            <v>1.1977777777777778</v>
          </cell>
          <cell r="J7679">
            <v>19.944444444444443</v>
          </cell>
        </row>
        <row r="7680">
          <cell r="B7680">
            <v>26.22</v>
          </cell>
          <cell r="C7680">
            <v>60.54</v>
          </cell>
          <cell r="D7680">
            <v>19.72</v>
          </cell>
          <cell r="E7680">
            <v>10.7</v>
          </cell>
          <cell r="H7680">
            <v>45611</v>
          </cell>
          <cell r="I7680">
            <v>1.1977777777777776</v>
          </cell>
          <cell r="J7680">
            <v>19.646666666666665</v>
          </cell>
        </row>
        <row r="7681">
          <cell r="B7681">
            <v>22.86</v>
          </cell>
          <cell r="C7681">
            <v>53.25</v>
          </cell>
          <cell r="D7681">
            <v>19.059999999999999</v>
          </cell>
          <cell r="E7681">
            <v>10.77</v>
          </cell>
          <cell r="H7681">
            <v>45611</v>
          </cell>
          <cell r="I7681">
            <v>1.1855555555555555</v>
          </cell>
          <cell r="J7681">
            <v>19.486666666666665</v>
          </cell>
        </row>
        <row r="7682">
          <cell r="B7682">
            <v>21.56</v>
          </cell>
          <cell r="C7682">
            <v>48.89</v>
          </cell>
          <cell r="D7682">
            <v>19.010000000000002</v>
          </cell>
          <cell r="E7682">
            <v>10.39</v>
          </cell>
          <cell r="H7682">
            <v>45612</v>
          </cell>
          <cell r="I7682">
            <v>1.1688888888888891</v>
          </cell>
          <cell r="J7682">
            <v>19.324444444444442</v>
          </cell>
        </row>
        <row r="7683">
          <cell r="B7683">
            <v>19.3</v>
          </cell>
          <cell r="C7683">
            <v>42.9</v>
          </cell>
          <cell r="D7683">
            <v>18.87</v>
          </cell>
          <cell r="E7683">
            <v>10.92</v>
          </cell>
          <cell r="H7683">
            <v>45612</v>
          </cell>
          <cell r="I7683">
            <v>1.1466666666666667</v>
          </cell>
          <cell r="J7683">
            <v>19.313333333333333</v>
          </cell>
        </row>
        <row r="7684">
          <cell r="B7684">
            <v>18.28</v>
          </cell>
          <cell r="C7684">
            <v>40.71</v>
          </cell>
          <cell r="D7684">
            <v>18.53</v>
          </cell>
          <cell r="E7684">
            <v>11.16</v>
          </cell>
          <cell r="H7684">
            <v>45612</v>
          </cell>
          <cell r="I7684">
            <v>1.1088888888888888</v>
          </cell>
          <cell r="J7684">
            <v>19.341111111111111</v>
          </cell>
        </row>
        <row r="7685">
          <cell r="B7685">
            <v>17.68</v>
          </cell>
          <cell r="C7685">
            <v>38.01</v>
          </cell>
          <cell r="D7685">
            <v>18.14</v>
          </cell>
          <cell r="E7685">
            <v>11.57</v>
          </cell>
          <cell r="H7685">
            <v>45612</v>
          </cell>
          <cell r="I7685">
            <v>1.0388888888888888</v>
          </cell>
          <cell r="J7685">
            <v>19.362222222222222</v>
          </cell>
        </row>
        <row r="7686">
          <cell r="B7686">
            <v>17.8</v>
          </cell>
          <cell r="C7686">
            <v>38.659999999999997</v>
          </cell>
          <cell r="D7686">
            <v>18.649999999999999</v>
          </cell>
          <cell r="E7686">
            <v>10.1</v>
          </cell>
          <cell r="H7686">
            <v>45612</v>
          </cell>
          <cell r="I7686">
            <v>0.92999999999999994</v>
          </cell>
          <cell r="J7686">
            <v>19.364444444444448</v>
          </cell>
        </row>
        <row r="7687">
          <cell r="B7687">
            <v>17.73</v>
          </cell>
          <cell r="C7687">
            <v>39.01</v>
          </cell>
          <cell r="D7687">
            <v>19.46</v>
          </cell>
          <cell r="E7687">
            <v>10.07</v>
          </cell>
          <cell r="H7687">
            <v>45612</v>
          </cell>
          <cell r="I7687">
            <v>0.85</v>
          </cell>
          <cell r="J7687">
            <v>19.458888888888893</v>
          </cell>
        </row>
        <row r="7688">
          <cell r="B7688">
            <v>18.82</v>
          </cell>
          <cell r="C7688">
            <v>40.64</v>
          </cell>
          <cell r="D7688">
            <v>18.829999999999998</v>
          </cell>
          <cell r="E7688">
            <v>10.029999999999999</v>
          </cell>
          <cell r="H7688">
            <v>45612</v>
          </cell>
          <cell r="I7688">
            <v>0.81111111111111101</v>
          </cell>
          <cell r="J7688">
            <v>19.484444444444442</v>
          </cell>
        </row>
        <row r="7689">
          <cell r="B7689">
            <v>19.98</v>
          </cell>
          <cell r="C7689">
            <v>45.65</v>
          </cell>
          <cell r="D7689">
            <v>18.47</v>
          </cell>
          <cell r="E7689">
            <v>10.02</v>
          </cell>
          <cell r="H7689">
            <v>45612</v>
          </cell>
          <cell r="I7689">
            <v>0.80555555555555558</v>
          </cell>
          <cell r="J7689">
            <v>19.53222222222222</v>
          </cell>
        </row>
        <row r="7690">
          <cell r="B7690">
            <v>22.31</v>
          </cell>
          <cell r="C7690">
            <v>49.32</v>
          </cell>
          <cell r="D7690">
            <v>18.350000000000001</v>
          </cell>
          <cell r="E7690">
            <v>10.039999999999999</v>
          </cell>
          <cell r="H7690">
            <v>45612</v>
          </cell>
          <cell r="I7690">
            <v>0.81</v>
          </cell>
          <cell r="J7690">
            <v>19.518888888888888</v>
          </cell>
        </row>
        <row r="7691">
          <cell r="B7691">
            <v>21.82</v>
          </cell>
          <cell r="C7691">
            <v>52.31</v>
          </cell>
          <cell r="D7691">
            <v>19.3</v>
          </cell>
          <cell r="E7691">
            <v>11</v>
          </cell>
          <cell r="H7691">
            <v>45612</v>
          </cell>
          <cell r="I7691">
            <v>0.82888888888888901</v>
          </cell>
          <cell r="J7691">
            <v>19.586666666666666</v>
          </cell>
        </row>
        <row r="7692">
          <cell r="B7692">
            <v>20.76</v>
          </cell>
          <cell r="C7692">
            <v>54.39</v>
          </cell>
          <cell r="D7692">
            <v>17.41</v>
          </cell>
          <cell r="E7692">
            <v>11.23</v>
          </cell>
          <cell r="H7692">
            <v>45612</v>
          </cell>
          <cell r="I7692">
            <v>0.8522222222222221</v>
          </cell>
          <cell r="J7692">
            <v>19.693333333333335</v>
          </cell>
        </row>
        <row r="7693">
          <cell r="B7693">
            <v>20.75</v>
          </cell>
          <cell r="C7693">
            <v>54.02</v>
          </cell>
          <cell r="D7693">
            <v>15.89</v>
          </cell>
          <cell r="E7693">
            <v>10.7</v>
          </cell>
          <cell r="H7693">
            <v>45612</v>
          </cell>
          <cell r="I7693">
            <v>0.86888888888888882</v>
          </cell>
          <cell r="J7693">
            <v>19.846666666666664</v>
          </cell>
        </row>
        <row r="7694">
          <cell r="B7694">
            <v>20.18</v>
          </cell>
          <cell r="C7694">
            <v>51.71</v>
          </cell>
          <cell r="D7694">
            <v>15.39</v>
          </cell>
          <cell r="E7694">
            <v>9.89</v>
          </cell>
          <cell r="H7694">
            <v>45612</v>
          </cell>
          <cell r="I7694">
            <v>0.90333333333333343</v>
          </cell>
          <cell r="J7694">
            <v>19.877777777777776</v>
          </cell>
        </row>
        <row r="7695">
          <cell r="B7695">
            <v>18.46</v>
          </cell>
          <cell r="C7695">
            <v>46.59</v>
          </cell>
          <cell r="D7695">
            <v>15.23</v>
          </cell>
          <cell r="E7695">
            <v>8.98</v>
          </cell>
          <cell r="H7695">
            <v>45612</v>
          </cell>
          <cell r="I7695">
            <v>0.91666666666666663</v>
          </cell>
          <cell r="J7695">
            <v>19.801111111111112</v>
          </cell>
        </row>
        <row r="7696">
          <cell r="B7696">
            <v>18.489999999999998</v>
          </cell>
          <cell r="C7696">
            <v>50.88</v>
          </cell>
          <cell r="D7696">
            <v>15.21</v>
          </cell>
          <cell r="E7696">
            <v>8.89</v>
          </cell>
          <cell r="H7696">
            <v>45612</v>
          </cell>
          <cell r="I7696">
            <v>0.93222222222222229</v>
          </cell>
          <cell r="J7696">
            <v>19.756666666666668</v>
          </cell>
        </row>
        <row r="7697">
          <cell r="B7697">
            <v>19.91</v>
          </cell>
          <cell r="C7697">
            <v>53.74</v>
          </cell>
          <cell r="D7697">
            <v>15.17</v>
          </cell>
          <cell r="E7697">
            <v>9.43</v>
          </cell>
          <cell r="H7697">
            <v>45612</v>
          </cell>
          <cell r="I7697">
            <v>0.94222222222222207</v>
          </cell>
          <cell r="J7697">
            <v>20.206666666666663</v>
          </cell>
        </row>
        <row r="7698">
          <cell r="B7698">
            <v>22.2</v>
          </cell>
          <cell r="C7698">
            <v>59.46</v>
          </cell>
          <cell r="D7698">
            <v>16.66</v>
          </cell>
          <cell r="E7698">
            <v>9.19</v>
          </cell>
          <cell r="H7698">
            <v>45612</v>
          </cell>
          <cell r="I7698">
            <v>0.95333333333333337</v>
          </cell>
          <cell r="J7698">
            <v>20.354444444444447</v>
          </cell>
        </row>
        <row r="7699">
          <cell r="B7699">
            <v>21.93</v>
          </cell>
          <cell r="C7699">
            <v>58.68</v>
          </cell>
          <cell r="D7699">
            <v>17.37</v>
          </cell>
          <cell r="E7699">
            <v>10.1</v>
          </cell>
          <cell r="H7699">
            <v>45612</v>
          </cell>
          <cell r="I7699">
            <v>0.96777777777777763</v>
          </cell>
          <cell r="J7699">
            <v>20.418888888888894</v>
          </cell>
        </row>
        <row r="7700">
          <cell r="B7700">
            <v>22.18</v>
          </cell>
          <cell r="C7700">
            <v>47.11</v>
          </cell>
          <cell r="D7700">
            <v>18.309999999999999</v>
          </cell>
          <cell r="E7700">
            <v>10.18</v>
          </cell>
          <cell r="H7700">
            <v>45612</v>
          </cell>
          <cell r="I7700">
            <v>0.99888888888888894</v>
          </cell>
          <cell r="J7700">
            <v>20.452222222222229</v>
          </cell>
        </row>
        <row r="7701">
          <cell r="B7701">
            <v>23.14</v>
          </cell>
          <cell r="C7701">
            <v>46.42</v>
          </cell>
          <cell r="D7701">
            <v>18.920000000000002</v>
          </cell>
          <cell r="E7701">
            <v>10.93</v>
          </cell>
          <cell r="H7701">
            <v>45612</v>
          </cell>
          <cell r="I7701">
            <v>1.0433333333333334</v>
          </cell>
          <cell r="J7701">
            <v>20.387777777777778</v>
          </cell>
        </row>
        <row r="7702">
          <cell r="B7702">
            <v>24.78</v>
          </cell>
          <cell r="C7702">
            <v>53.82</v>
          </cell>
          <cell r="D7702">
            <v>18.25</v>
          </cell>
          <cell r="E7702">
            <v>10.3</v>
          </cell>
          <cell r="H7702">
            <v>45612</v>
          </cell>
          <cell r="I7702">
            <v>1.0611111111111109</v>
          </cell>
          <cell r="J7702">
            <v>20.20888888888889</v>
          </cell>
        </row>
        <row r="7703">
          <cell r="B7703">
            <v>24.48</v>
          </cell>
          <cell r="C7703">
            <v>52.58</v>
          </cell>
          <cell r="D7703">
            <v>17.920000000000002</v>
          </cell>
          <cell r="E7703">
            <v>9.73</v>
          </cell>
          <cell r="H7703">
            <v>45612</v>
          </cell>
          <cell r="I7703">
            <v>1.0511111111111111</v>
          </cell>
          <cell r="J7703">
            <v>20.302222222222223</v>
          </cell>
        </row>
        <row r="7704">
          <cell r="B7704">
            <v>26.21</v>
          </cell>
          <cell r="C7704">
            <v>55.87</v>
          </cell>
          <cell r="D7704">
            <v>18.09</v>
          </cell>
          <cell r="E7704">
            <v>9.49</v>
          </cell>
          <cell r="H7704">
            <v>45612</v>
          </cell>
          <cell r="I7704">
            <v>1.0522222222222224</v>
          </cell>
          <cell r="J7704">
            <v>20.35222222222222</v>
          </cell>
        </row>
        <row r="7705">
          <cell r="B7705">
            <v>25.89</v>
          </cell>
          <cell r="C7705">
            <v>57.41</v>
          </cell>
          <cell r="D7705">
            <v>17.73</v>
          </cell>
          <cell r="E7705">
            <v>9.99</v>
          </cell>
          <cell r="H7705">
            <v>45612</v>
          </cell>
          <cell r="I7705">
            <v>1.0377777777777777</v>
          </cell>
          <cell r="J7705">
            <v>20.43</v>
          </cell>
        </row>
        <row r="7706">
          <cell r="B7706">
            <v>25.86</v>
          </cell>
          <cell r="C7706">
            <v>52.76</v>
          </cell>
          <cell r="D7706">
            <v>17.3</v>
          </cell>
          <cell r="E7706">
            <v>10.15</v>
          </cell>
          <cell r="H7706">
            <v>45613</v>
          </cell>
          <cell r="I7706">
            <v>1.0211111111111113</v>
          </cell>
          <cell r="J7706">
            <v>20.004444444444445</v>
          </cell>
        </row>
        <row r="7707">
          <cell r="B7707">
            <v>27.1</v>
          </cell>
          <cell r="C7707">
            <v>53.74</v>
          </cell>
          <cell r="D7707">
            <v>17.32</v>
          </cell>
          <cell r="E7707">
            <v>10.71</v>
          </cell>
          <cell r="H7707">
            <v>45613</v>
          </cell>
          <cell r="I7707">
            <v>1.0055555555555555</v>
          </cell>
          <cell r="J7707">
            <v>19.983333333333334</v>
          </cell>
        </row>
        <row r="7708">
          <cell r="B7708">
            <v>28.62</v>
          </cell>
          <cell r="C7708">
            <v>57.81</v>
          </cell>
          <cell r="D7708">
            <v>17.27</v>
          </cell>
          <cell r="E7708">
            <v>10.79</v>
          </cell>
          <cell r="H7708">
            <v>45613</v>
          </cell>
          <cell r="I7708">
            <v>0.98222222222222222</v>
          </cell>
          <cell r="J7708">
            <v>20.116666666666664</v>
          </cell>
        </row>
        <row r="7709">
          <cell r="B7709">
            <v>30.61</v>
          </cell>
          <cell r="C7709">
            <v>61.86</v>
          </cell>
          <cell r="D7709">
            <v>17.149999999999999</v>
          </cell>
          <cell r="E7709">
            <v>10.62</v>
          </cell>
          <cell r="H7709">
            <v>45613</v>
          </cell>
          <cell r="I7709">
            <v>0.92888888888888899</v>
          </cell>
          <cell r="J7709">
            <v>20.29</v>
          </cell>
        </row>
        <row r="7710">
          <cell r="B7710">
            <v>33.770000000000003</v>
          </cell>
          <cell r="C7710">
            <v>65.39</v>
          </cell>
          <cell r="D7710">
            <v>17.2</v>
          </cell>
          <cell r="E7710">
            <v>9.7100000000000009</v>
          </cell>
          <cell r="H7710">
            <v>45613</v>
          </cell>
          <cell r="I7710">
            <v>0.87111111111111095</v>
          </cell>
          <cell r="J7710">
            <v>20.543333333333333</v>
          </cell>
        </row>
        <row r="7711">
          <cell r="B7711">
            <v>34.200000000000003</v>
          </cell>
          <cell r="C7711">
            <v>68.790000000000006</v>
          </cell>
          <cell r="D7711">
            <v>17.559999999999999</v>
          </cell>
          <cell r="E7711">
            <v>9.85</v>
          </cell>
          <cell r="H7711">
            <v>45613</v>
          </cell>
          <cell r="I7711">
            <v>0.8488888888888888</v>
          </cell>
          <cell r="J7711">
            <v>20.707777777777775</v>
          </cell>
        </row>
        <row r="7712">
          <cell r="B7712">
            <v>36.18</v>
          </cell>
          <cell r="C7712">
            <v>73.91</v>
          </cell>
          <cell r="D7712">
            <v>17.260000000000002</v>
          </cell>
          <cell r="E7712">
            <v>10.14</v>
          </cell>
          <cell r="H7712">
            <v>45613</v>
          </cell>
          <cell r="I7712">
            <v>0.84777777777777763</v>
          </cell>
          <cell r="J7712">
            <v>20.827777777777776</v>
          </cell>
        </row>
        <row r="7713">
          <cell r="B7713">
            <v>39.26</v>
          </cell>
          <cell r="C7713">
            <v>76.989999999999995</v>
          </cell>
          <cell r="D7713">
            <v>17.29</v>
          </cell>
          <cell r="E7713">
            <v>9.92</v>
          </cell>
          <cell r="H7713">
            <v>45613</v>
          </cell>
          <cell r="I7713">
            <v>0.8488888888888888</v>
          </cell>
          <cell r="J7713">
            <v>20.946666666666669</v>
          </cell>
        </row>
        <row r="7714">
          <cell r="B7714">
            <v>38.85</v>
          </cell>
          <cell r="C7714">
            <v>78.58</v>
          </cell>
          <cell r="D7714">
            <v>16.86</v>
          </cell>
          <cell r="E7714">
            <v>10.06</v>
          </cell>
          <cell r="H7714">
            <v>45613</v>
          </cell>
          <cell r="I7714">
            <v>0.85666666666666658</v>
          </cell>
          <cell r="J7714">
            <v>20.97666666666667</v>
          </cell>
        </row>
        <row r="7715">
          <cell r="B7715">
            <v>34.19</v>
          </cell>
          <cell r="C7715">
            <v>76.489999999999995</v>
          </cell>
          <cell r="D7715">
            <v>14.57</v>
          </cell>
          <cell r="E7715">
            <v>10.63</v>
          </cell>
          <cell r="H7715">
            <v>45613</v>
          </cell>
          <cell r="I7715">
            <v>0.86222222222222222</v>
          </cell>
          <cell r="J7715">
            <v>21.16555555555556</v>
          </cell>
        </row>
        <row r="7716">
          <cell r="B7716">
            <v>34.380000000000003</v>
          </cell>
          <cell r="C7716">
            <v>71.67</v>
          </cell>
          <cell r="D7716">
            <v>23.01</v>
          </cell>
          <cell r="E7716">
            <v>11.12</v>
          </cell>
          <cell r="H7716">
            <v>45613</v>
          </cell>
          <cell r="I7716">
            <v>0.87777777777777777</v>
          </cell>
          <cell r="J7716">
            <v>21.335555555555555</v>
          </cell>
        </row>
        <row r="7717">
          <cell r="B7717">
            <v>34.89</v>
          </cell>
          <cell r="C7717">
            <v>73.349999999999994</v>
          </cell>
          <cell r="D7717">
            <v>15.68</v>
          </cell>
          <cell r="E7717">
            <v>11.21</v>
          </cell>
          <cell r="H7717">
            <v>45613</v>
          </cell>
          <cell r="I7717">
            <v>0.90111111111111108</v>
          </cell>
          <cell r="J7717">
            <v>21.385555555555555</v>
          </cell>
        </row>
        <row r="7718">
          <cell r="B7718">
            <v>33.85</v>
          </cell>
          <cell r="C7718">
            <v>73.52</v>
          </cell>
          <cell r="D7718">
            <v>16.079999999999998</v>
          </cell>
          <cell r="E7718">
            <v>9.89</v>
          </cell>
          <cell r="H7718">
            <v>45613</v>
          </cell>
          <cell r="I7718">
            <v>0.91999999999999993</v>
          </cell>
          <cell r="J7718">
            <v>21.50333333333333</v>
          </cell>
        </row>
        <row r="7719">
          <cell r="B7719">
            <v>31.27</v>
          </cell>
          <cell r="C7719">
            <v>67.33</v>
          </cell>
          <cell r="D7719">
            <v>16.43</v>
          </cell>
          <cell r="E7719">
            <v>9.5399999999999991</v>
          </cell>
          <cell r="H7719">
            <v>45613</v>
          </cell>
          <cell r="I7719">
            <v>0.92444444444444429</v>
          </cell>
          <cell r="J7719">
            <v>21.37777777777778</v>
          </cell>
        </row>
        <row r="7720">
          <cell r="B7720">
            <v>32.79</v>
          </cell>
          <cell r="C7720">
            <v>73.48</v>
          </cell>
          <cell r="D7720">
            <v>16.46</v>
          </cell>
          <cell r="E7720">
            <v>9.9700000000000006</v>
          </cell>
          <cell r="H7720">
            <v>45613</v>
          </cell>
          <cell r="I7720">
            <v>0.92444444444444451</v>
          </cell>
          <cell r="J7720">
            <v>21.47</v>
          </cell>
        </row>
        <row r="7721">
          <cell r="B7721">
            <v>34.21</v>
          </cell>
          <cell r="C7721">
            <v>79.569999999999993</v>
          </cell>
          <cell r="D7721">
            <v>25.55</v>
          </cell>
          <cell r="E7721">
            <v>10.3</v>
          </cell>
          <cell r="H7721">
            <v>45613</v>
          </cell>
          <cell r="I7721">
            <v>0.91555555555555557</v>
          </cell>
          <cell r="J7721">
            <v>21.428888888888892</v>
          </cell>
        </row>
        <row r="7722">
          <cell r="B7722">
            <v>36.25</v>
          </cell>
          <cell r="C7722">
            <v>79.75</v>
          </cell>
          <cell r="D7722">
            <v>18.57</v>
          </cell>
          <cell r="E7722">
            <v>10.85</v>
          </cell>
          <cell r="H7722">
            <v>45613</v>
          </cell>
          <cell r="I7722">
            <v>0.91111111111111098</v>
          </cell>
          <cell r="J7722">
            <v>21.751111111111115</v>
          </cell>
        </row>
        <row r="7723">
          <cell r="B7723">
            <v>37.97</v>
          </cell>
          <cell r="C7723">
            <v>81.400000000000006</v>
          </cell>
          <cell r="D7723">
            <v>19.190000000000001</v>
          </cell>
          <cell r="E7723">
            <v>11.34</v>
          </cell>
          <cell r="H7723">
            <v>45613</v>
          </cell>
          <cell r="I7723">
            <v>0.91888888888888887</v>
          </cell>
          <cell r="J7723">
            <v>21.908888888888889</v>
          </cell>
        </row>
        <row r="7724">
          <cell r="B7724">
            <v>42.26</v>
          </cell>
          <cell r="C7724">
            <v>94.98</v>
          </cell>
          <cell r="D7724">
            <v>20</v>
          </cell>
          <cell r="E7724">
            <v>11.53</v>
          </cell>
          <cell r="H7724">
            <v>45613</v>
          </cell>
          <cell r="I7724">
            <v>0.93666666666666687</v>
          </cell>
          <cell r="J7724">
            <v>21.808888888888887</v>
          </cell>
        </row>
        <row r="7725">
          <cell r="B7725">
            <v>46.61</v>
          </cell>
          <cell r="C7725">
            <v>100.68</v>
          </cell>
          <cell r="D7725">
            <v>20</v>
          </cell>
          <cell r="E7725">
            <v>11.45</v>
          </cell>
          <cell r="H7725">
            <v>45613</v>
          </cell>
          <cell r="I7725">
            <v>0.95333333333333337</v>
          </cell>
          <cell r="J7725">
            <v>21.52</v>
          </cell>
        </row>
        <row r="7726">
          <cell r="B7726">
            <v>51.76</v>
          </cell>
          <cell r="C7726">
            <v>112.77</v>
          </cell>
          <cell r="D7726">
            <v>19.18</v>
          </cell>
          <cell r="E7726">
            <v>10.52</v>
          </cell>
          <cell r="H7726">
            <v>45613</v>
          </cell>
          <cell r="I7726">
            <v>0.97777777777777763</v>
          </cell>
          <cell r="J7726">
            <v>21.278888888888886</v>
          </cell>
        </row>
        <row r="7727">
          <cell r="B7727">
            <v>60.49</v>
          </cell>
          <cell r="C7727">
            <v>134.53</v>
          </cell>
          <cell r="D7727">
            <v>18.04</v>
          </cell>
          <cell r="E7727">
            <v>10.68</v>
          </cell>
          <cell r="H7727">
            <v>45613</v>
          </cell>
          <cell r="I7727">
            <v>0.99333333333333329</v>
          </cell>
          <cell r="J7727">
            <v>21.011111111111109</v>
          </cell>
        </row>
        <row r="7728">
          <cell r="B7728">
            <v>56.09</v>
          </cell>
          <cell r="C7728">
            <v>121.51</v>
          </cell>
          <cell r="D7728">
            <v>17.09</v>
          </cell>
          <cell r="E7728">
            <v>10.78</v>
          </cell>
          <cell r="H7728">
            <v>45613</v>
          </cell>
          <cell r="I7728">
            <v>0.99777777777777765</v>
          </cell>
          <cell r="J7728">
            <v>21.237777777777776</v>
          </cell>
        </row>
        <row r="7729">
          <cell r="B7729">
            <v>56.6</v>
          </cell>
          <cell r="C7729">
            <v>117.87</v>
          </cell>
          <cell r="D7729">
            <v>18.12</v>
          </cell>
          <cell r="E7729">
            <v>11.33</v>
          </cell>
          <cell r="H7729">
            <v>45613</v>
          </cell>
          <cell r="I7729">
            <v>0.99777777777777799</v>
          </cell>
          <cell r="J7729">
            <v>21.205555555555559</v>
          </cell>
        </row>
        <row r="7730">
          <cell r="B7730">
            <v>55.14</v>
          </cell>
          <cell r="C7730">
            <v>112.62</v>
          </cell>
          <cell r="D7730">
            <v>17.489999999999998</v>
          </cell>
          <cell r="E7730">
            <v>10.79</v>
          </cell>
          <cell r="H7730">
            <v>45614</v>
          </cell>
          <cell r="I7730">
            <v>0.99111111111111105</v>
          </cell>
          <cell r="J7730">
            <v>21.193333333333335</v>
          </cell>
        </row>
        <row r="7731">
          <cell r="B7731">
            <v>54.66</v>
          </cell>
          <cell r="C7731">
            <v>104.5</v>
          </cell>
          <cell r="D7731">
            <v>17.309999999999999</v>
          </cell>
          <cell r="E7731">
            <v>11.3</v>
          </cell>
          <cell r="H7731">
            <v>45614</v>
          </cell>
          <cell r="I7731">
            <v>0.98222222222222222</v>
          </cell>
          <cell r="J7731">
            <v>21.102222222222224</v>
          </cell>
        </row>
        <row r="7732">
          <cell r="B7732">
            <v>50.53</v>
          </cell>
          <cell r="C7732">
            <v>98.14</v>
          </cell>
          <cell r="D7732">
            <v>17.07</v>
          </cell>
          <cell r="E7732">
            <v>11.26</v>
          </cell>
          <cell r="H7732">
            <v>45614</v>
          </cell>
          <cell r="I7732">
            <v>0.96333333333333337</v>
          </cell>
          <cell r="J7732">
            <v>21.204444444444441</v>
          </cell>
        </row>
        <row r="7733">
          <cell r="B7733">
            <v>46.37</v>
          </cell>
          <cell r="C7733">
            <v>90.73</v>
          </cell>
          <cell r="D7733">
            <v>17.38</v>
          </cell>
          <cell r="E7733">
            <v>11.64</v>
          </cell>
          <cell r="H7733">
            <v>45614</v>
          </cell>
          <cell r="I7733">
            <v>0.93666666666666665</v>
          </cell>
          <cell r="J7733">
            <v>21.362222222222218</v>
          </cell>
        </row>
        <row r="7734">
          <cell r="B7734">
            <v>47.56</v>
          </cell>
          <cell r="C7734">
            <v>89.37</v>
          </cell>
          <cell r="D7734">
            <v>17.04</v>
          </cell>
          <cell r="E7734">
            <v>11.01</v>
          </cell>
          <cell r="H7734">
            <v>45614</v>
          </cell>
          <cell r="I7734">
            <v>0.9011111111111112</v>
          </cell>
          <cell r="J7734">
            <v>21.575555555555553</v>
          </cell>
        </row>
        <row r="7735">
          <cell r="B7735">
            <v>49.42</v>
          </cell>
          <cell r="C7735">
            <v>91.26</v>
          </cell>
          <cell r="D7735">
            <v>17.05</v>
          </cell>
          <cell r="E7735">
            <v>10.68</v>
          </cell>
          <cell r="H7735">
            <v>45614</v>
          </cell>
          <cell r="I7735">
            <v>0.85888888888888881</v>
          </cell>
          <cell r="J7735">
            <v>21.787777777777777</v>
          </cell>
        </row>
        <row r="7736">
          <cell r="B7736">
            <v>50.6</v>
          </cell>
          <cell r="C7736">
            <v>96.24</v>
          </cell>
          <cell r="D7736">
            <v>17.329999999999998</v>
          </cell>
          <cell r="E7736">
            <v>10.61</v>
          </cell>
          <cell r="H7736">
            <v>45614</v>
          </cell>
          <cell r="I7736">
            <v>0.83333333333333337</v>
          </cell>
          <cell r="J7736">
            <v>21.977777777777778</v>
          </cell>
        </row>
        <row r="7737">
          <cell r="B7737">
            <v>50.34</v>
          </cell>
          <cell r="C7737">
            <v>100.19</v>
          </cell>
          <cell r="D7737">
            <v>17.47</v>
          </cell>
          <cell r="E7737">
            <v>10.62</v>
          </cell>
          <cell r="H7737">
            <v>45614</v>
          </cell>
          <cell r="I7737">
            <v>0.83000000000000007</v>
          </cell>
          <cell r="J7737">
            <v>21.753333333333334</v>
          </cell>
        </row>
        <row r="7738">
          <cell r="B7738">
            <v>52.24</v>
          </cell>
          <cell r="C7738">
            <v>106.72</v>
          </cell>
          <cell r="D7738">
            <v>17.23</v>
          </cell>
          <cell r="E7738">
            <v>10.98</v>
          </cell>
          <cell r="H7738">
            <v>45614</v>
          </cell>
          <cell r="I7738">
            <v>0.84111111111111114</v>
          </cell>
          <cell r="J7738">
            <v>21.784444444444446</v>
          </cell>
        </row>
        <row r="7739">
          <cell r="B7739">
            <v>50.87</v>
          </cell>
          <cell r="C7739">
            <v>109.12</v>
          </cell>
          <cell r="D7739">
            <v>17.28</v>
          </cell>
          <cell r="E7739">
            <v>11.87</v>
          </cell>
          <cell r="H7739">
            <v>45614</v>
          </cell>
          <cell r="I7739">
            <v>0.8666666666666667</v>
          </cell>
          <cell r="J7739">
            <v>22.452222222222222</v>
          </cell>
        </row>
        <row r="7740">
          <cell r="B7740">
            <v>47.58</v>
          </cell>
          <cell r="C7740">
            <v>98.56</v>
          </cell>
          <cell r="D7740">
            <v>16.45</v>
          </cell>
          <cell r="E7740">
            <v>11.8</v>
          </cell>
          <cell r="H7740">
            <v>45614</v>
          </cell>
          <cell r="I7740">
            <v>0.89222222222222236</v>
          </cell>
          <cell r="J7740">
            <v>22.733333333333334</v>
          </cell>
        </row>
        <row r="7741">
          <cell r="B7741">
            <v>37.75</v>
          </cell>
          <cell r="C7741">
            <v>84.12</v>
          </cell>
          <cell r="D7741">
            <v>17.059999999999999</v>
          </cell>
          <cell r="E7741">
            <v>11.53</v>
          </cell>
          <cell r="H7741">
            <v>45614</v>
          </cell>
          <cell r="I7741">
            <v>0.91333333333333344</v>
          </cell>
          <cell r="J7741">
            <v>23.277777777777782</v>
          </cell>
        </row>
        <row r="7742">
          <cell r="B7742">
            <v>38.049999999999997</v>
          </cell>
          <cell r="C7742">
            <v>81.53</v>
          </cell>
          <cell r="D7742">
            <v>17.48</v>
          </cell>
          <cell r="E7742">
            <v>10.25</v>
          </cell>
          <cell r="H7742">
            <v>45614</v>
          </cell>
          <cell r="I7742">
            <v>0.93111111111111122</v>
          </cell>
          <cell r="J7742">
            <v>23.601111111111113</v>
          </cell>
        </row>
        <row r="7743">
          <cell r="B7743">
            <v>36.86</v>
          </cell>
          <cell r="C7743">
            <v>79.8</v>
          </cell>
          <cell r="D7743">
            <v>20.09</v>
          </cell>
          <cell r="E7743">
            <v>9.82</v>
          </cell>
          <cell r="H7743">
            <v>45614</v>
          </cell>
          <cell r="I7743">
            <v>0.94222222222222207</v>
          </cell>
          <cell r="J7743">
            <v>23.785555555555558</v>
          </cell>
        </row>
        <row r="7744">
          <cell r="B7744">
            <v>37.25</v>
          </cell>
          <cell r="C7744">
            <v>83.61</v>
          </cell>
          <cell r="D7744">
            <v>26.03</v>
          </cell>
          <cell r="E7744">
            <v>9.7899999999999991</v>
          </cell>
          <cell r="H7744">
            <v>45614</v>
          </cell>
          <cell r="I7744">
            <v>0.94555555555555548</v>
          </cell>
          <cell r="J7744">
            <v>24.308888888888887</v>
          </cell>
        </row>
        <row r="7745">
          <cell r="B7745">
            <v>35.119999999999997</v>
          </cell>
          <cell r="C7745">
            <v>81.489999999999995</v>
          </cell>
          <cell r="D7745">
            <v>30.91</v>
          </cell>
          <cell r="E7745">
            <v>9.77</v>
          </cell>
          <cell r="H7745">
            <v>45614</v>
          </cell>
          <cell r="I7745">
            <v>0.94444444444444442</v>
          </cell>
          <cell r="J7745">
            <v>24.524444444444448</v>
          </cell>
        </row>
        <row r="7746">
          <cell r="B7746">
            <v>33.79</v>
          </cell>
          <cell r="C7746">
            <v>75.47</v>
          </cell>
          <cell r="D7746">
            <v>25.93</v>
          </cell>
          <cell r="E7746">
            <v>10.82</v>
          </cell>
          <cell r="H7746">
            <v>45614</v>
          </cell>
          <cell r="I7746">
            <v>0.94777777777777794</v>
          </cell>
          <cell r="J7746">
            <v>24.808888888888887</v>
          </cell>
        </row>
        <row r="7747">
          <cell r="B7747">
            <v>39</v>
          </cell>
          <cell r="C7747">
            <v>84.87</v>
          </cell>
          <cell r="D7747">
            <v>20.190000000000001</v>
          </cell>
          <cell r="E7747">
            <v>11.64</v>
          </cell>
          <cell r="H7747">
            <v>45614</v>
          </cell>
          <cell r="I7747">
            <v>0.94888888888888878</v>
          </cell>
          <cell r="J7747">
            <v>24.888888888888889</v>
          </cell>
        </row>
        <row r="7748">
          <cell r="B7748">
            <v>40.11</v>
          </cell>
          <cell r="C7748">
            <v>90.69</v>
          </cell>
          <cell r="D7748">
            <v>20.87</v>
          </cell>
          <cell r="E7748">
            <v>11.52</v>
          </cell>
          <cell r="H7748">
            <v>45614</v>
          </cell>
          <cell r="I7748">
            <v>0.95444444444444443</v>
          </cell>
          <cell r="J7748">
            <v>24.37222222222222</v>
          </cell>
        </row>
        <row r="7749">
          <cell r="B7749">
            <v>42.47</v>
          </cell>
          <cell r="C7749">
            <v>95.6</v>
          </cell>
          <cell r="D7749">
            <v>21.22</v>
          </cell>
          <cell r="E7749">
            <v>11.45</v>
          </cell>
          <cell r="H7749">
            <v>45614</v>
          </cell>
          <cell r="I7749">
            <v>0.97333333333333327</v>
          </cell>
          <cell r="J7749">
            <v>23.952222222222222</v>
          </cell>
        </row>
        <row r="7750">
          <cell r="B7750">
            <v>46.3</v>
          </cell>
          <cell r="C7750">
            <v>98.9</v>
          </cell>
          <cell r="D7750">
            <v>20.86</v>
          </cell>
          <cell r="E7750">
            <v>10.06</v>
          </cell>
          <cell r="H7750">
            <v>45614</v>
          </cell>
          <cell r="I7750">
            <v>1</v>
          </cell>
          <cell r="J7750">
            <v>23.187777777777782</v>
          </cell>
        </row>
        <row r="7751">
          <cell r="B7751">
            <v>47.1</v>
          </cell>
          <cell r="C7751">
            <v>97.71</v>
          </cell>
          <cell r="D7751">
            <v>19.53</v>
          </cell>
          <cell r="E7751">
            <v>9.81</v>
          </cell>
          <cell r="H7751">
            <v>45614</v>
          </cell>
          <cell r="I7751">
            <v>1.0033333333333334</v>
          </cell>
          <cell r="J7751">
            <v>22.85222222222222</v>
          </cell>
        </row>
        <row r="7752">
          <cell r="B7752">
            <v>47.4</v>
          </cell>
          <cell r="C7752">
            <v>100.43</v>
          </cell>
          <cell r="D7752">
            <v>19.07</v>
          </cell>
          <cell r="E7752">
            <v>9.7200000000000006</v>
          </cell>
          <cell r="H7752">
            <v>45614</v>
          </cell>
          <cell r="I7752">
            <v>1.0033333333333332</v>
          </cell>
          <cell r="J7752">
            <v>22.782222222222224</v>
          </cell>
        </row>
        <row r="7753">
          <cell r="B7753">
            <v>51.79</v>
          </cell>
          <cell r="C7753">
            <v>103.38</v>
          </cell>
          <cell r="D7753">
            <v>18.77</v>
          </cell>
          <cell r="E7753">
            <v>9.84</v>
          </cell>
          <cell r="H7753">
            <v>45614</v>
          </cell>
          <cell r="I7753">
            <v>1.0011111111111111</v>
          </cell>
          <cell r="J7753">
            <v>22.346666666666664</v>
          </cell>
        </row>
        <row r="7754">
          <cell r="B7754">
            <v>52.01</v>
          </cell>
          <cell r="C7754">
            <v>102.2</v>
          </cell>
          <cell r="D7754">
            <v>18.54</v>
          </cell>
          <cell r="E7754">
            <v>10.14</v>
          </cell>
          <cell r="H7754">
            <v>45615</v>
          </cell>
          <cell r="I7754">
            <v>0.99444444444444458</v>
          </cell>
          <cell r="J7754">
            <v>22.546666666666667</v>
          </cell>
        </row>
        <row r="7755">
          <cell r="B7755">
            <v>50</v>
          </cell>
          <cell r="C7755">
            <v>100.64</v>
          </cell>
          <cell r="D7755">
            <v>18.5</v>
          </cell>
          <cell r="E7755">
            <v>10.68</v>
          </cell>
          <cell r="H7755">
            <v>45615</v>
          </cell>
          <cell r="I7755">
            <v>0.97888888888888914</v>
          </cell>
          <cell r="J7755">
            <v>23.13111111111111</v>
          </cell>
        </row>
        <row r="7756">
          <cell r="B7756">
            <v>48.43</v>
          </cell>
          <cell r="C7756">
            <v>94.54</v>
          </cell>
          <cell r="D7756">
            <v>18.32</v>
          </cell>
          <cell r="E7756">
            <v>10.82</v>
          </cell>
          <cell r="H7756">
            <v>45615</v>
          </cell>
          <cell r="I7756">
            <v>0.95555555555555571</v>
          </cell>
          <cell r="J7756">
            <v>23.825555555555557</v>
          </cell>
        </row>
        <row r="7757">
          <cell r="B7757">
            <v>47.31</v>
          </cell>
          <cell r="C7757">
            <v>92.77</v>
          </cell>
          <cell r="D7757">
            <v>18.41</v>
          </cell>
          <cell r="E7757">
            <v>10.94</v>
          </cell>
          <cell r="H7757">
            <v>45615</v>
          </cell>
          <cell r="I7757">
            <v>0.91999999999999993</v>
          </cell>
          <cell r="J7757">
            <v>24.454444444444441</v>
          </cell>
        </row>
        <row r="7758">
          <cell r="B7758">
            <v>49.41</v>
          </cell>
          <cell r="C7758">
            <v>93.94</v>
          </cell>
          <cell r="D7758">
            <v>18.75</v>
          </cell>
          <cell r="E7758">
            <v>10.210000000000001</v>
          </cell>
          <cell r="H7758">
            <v>45615</v>
          </cell>
          <cell r="I7758">
            <v>0.88333333333333341</v>
          </cell>
          <cell r="J7758">
            <v>24.767777777777777</v>
          </cell>
        </row>
        <row r="7759">
          <cell r="B7759">
            <v>49.24</v>
          </cell>
          <cell r="C7759">
            <v>101.51</v>
          </cell>
          <cell r="D7759">
            <v>18.75</v>
          </cell>
          <cell r="E7759">
            <v>10.23</v>
          </cell>
          <cell r="H7759">
            <v>45615</v>
          </cell>
          <cell r="I7759">
            <v>0.84777777777777785</v>
          </cell>
          <cell r="J7759">
            <v>24.908888888888889</v>
          </cell>
        </row>
        <row r="7760">
          <cell r="B7760">
            <v>49.1</v>
          </cell>
          <cell r="C7760">
            <v>107.64</v>
          </cell>
          <cell r="D7760">
            <v>18.920000000000002</v>
          </cell>
          <cell r="E7760">
            <v>10.19</v>
          </cell>
          <cell r="H7760">
            <v>45615</v>
          </cell>
          <cell r="I7760">
            <v>0.84222222222222232</v>
          </cell>
          <cell r="J7760">
            <v>24.950000000000003</v>
          </cell>
        </row>
        <row r="7761">
          <cell r="B7761">
            <v>50.83</v>
          </cell>
          <cell r="C7761">
            <v>107.31</v>
          </cell>
          <cell r="D7761">
            <v>19.32</v>
          </cell>
          <cell r="E7761">
            <v>10.39</v>
          </cell>
          <cell r="H7761">
            <v>45615</v>
          </cell>
          <cell r="I7761">
            <v>0.84666666666666679</v>
          </cell>
          <cell r="J7761">
            <v>24.926666666666669</v>
          </cell>
        </row>
        <row r="7762">
          <cell r="B7762">
            <v>50.84</v>
          </cell>
          <cell r="C7762">
            <v>106.75</v>
          </cell>
          <cell r="D7762">
            <v>19.079999999999998</v>
          </cell>
          <cell r="E7762">
            <v>11.02</v>
          </cell>
          <cell r="H7762">
            <v>45615</v>
          </cell>
          <cell r="I7762">
            <v>0.86</v>
          </cell>
          <cell r="J7762">
            <v>25.15666666666667</v>
          </cell>
        </row>
        <row r="7763">
          <cell r="B7763">
            <v>45.28</v>
          </cell>
          <cell r="C7763">
            <v>99</v>
          </cell>
          <cell r="D7763">
            <v>18.600000000000001</v>
          </cell>
          <cell r="E7763">
            <v>11.34</v>
          </cell>
          <cell r="H7763">
            <v>45615</v>
          </cell>
          <cell r="I7763">
            <v>0.89</v>
          </cell>
          <cell r="J7763">
            <v>25.028888888888893</v>
          </cell>
        </row>
        <row r="7764">
          <cell r="B7764">
            <v>42.95</v>
          </cell>
          <cell r="C7764">
            <v>91.81</v>
          </cell>
          <cell r="D7764">
            <v>17.79</v>
          </cell>
          <cell r="E7764">
            <v>11.26</v>
          </cell>
          <cell r="H7764">
            <v>45615</v>
          </cell>
          <cell r="I7764">
            <v>0.9111111111111112</v>
          </cell>
          <cell r="J7764">
            <v>24.608888888888888</v>
          </cell>
        </row>
        <row r="7765">
          <cell r="B7765">
            <v>42.43</v>
          </cell>
          <cell r="C7765">
            <v>90.73</v>
          </cell>
          <cell r="D7765">
            <v>15.12</v>
          </cell>
          <cell r="E7765">
            <v>10.24</v>
          </cell>
          <cell r="H7765">
            <v>45615</v>
          </cell>
          <cell r="I7765">
            <v>0.9222222222222225</v>
          </cell>
          <cell r="J7765">
            <v>24.409999999999997</v>
          </cell>
        </row>
        <row r="7766">
          <cell r="B7766">
            <v>46.32</v>
          </cell>
          <cell r="C7766">
            <v>90.07</v>
          </cell>
          <cell r="D7766">
            <v>16.420000000000002</v>
          </cell>
          <cell r="E7766">
            <v>9.6999999999999993</v>
          </cell>
          <cell r="H7766">
            <v>45615</v>
          </cell>
          <cell r="I7766">
            <v>0.93111111111111122</v>
          </cell>
          <cell r="J7766">
            <v>24.608888888888885</v>
          </cell>
        </row>
        <row r="7767">
          <cell r="B7767">
            <v>45.68</v>
          </cell>
          <cell r="C7767">
            <v>88.21</v>
          </cell>
          <cell r="D7767">
            <v>15.54</v>
          </cell>
          <cell r="E7767">
            <v>9.24</v>
          </cell>
          <cell r="H7767">
            <v>45615</v>
          </cell>
          <cell r="I7767">
            <v>0.92111111111111121</v>
          </cell>
          <cell r="J7767">
            <v>25.226666666666667</v>
          </cell>
        </row>
        <row r="7768">
          <cell r="B7768">
            <v>42.66</v>
          </cell>
          <cell r="C7768">
            <v>80.150000000000006</v>
          </cell>
          <cell r="D7768">
            <v>17.07</v>
          </cell>
          <cell r="E7768">
            <v>8.5299999999999994</v>
          </cell>
          <cell r="H7768">
            <v>45615</v>
          </cell>
          <cell r="I7768">
            <v>0.9111111111111112</v>
          </cell>
          <cell r="J7768">
            <v>25.792222222222222</v>
          </cell>
        </row>
        <row r="7769">
          <cell r="B7769">
            <v>42.01</v>
          </cell>
          <cell r="C7769">
            <v>79.45</v>
          </cell>
          <cell r="D7769">
            <v>17.46</v>
          </cell>
          <cell r="E7769">
            <v>8.84</v>
          </cell>
          <cell r="H7769">
            <v>45615</v>
          </cell>
          <cell r="I7769">
            <v>0.9044444444444445</v>
          </cell>
          <cell r="J7769">
            <v>26.286666666666665</v>
          </cell>
        </row>
        <row r="7770">
          <cell r="B7770">
            <v>40.130000000000003</v>
          </cell>
          <cell r="C7770">
            <v>84.79</v>
          </cell>
          <cell r="D7770">
            <v>17.5</v>
          </cell>
          <cell r="E7770">
            <v>8.93</v>
          </cell>
          <cell r="H7770">
            <v>45615</v>
          </cell>
          <cell r="I7770">
            <v>0.90111111111111108</v>
          </cell>
          <cell r="J7770">
            <v>26.693333333333339</v>
          </cell>
        </row>
        <row r="7771">
          <cell r="B7771">
            <v>41.87</v>
          </cell>
          <cell r="C7771">
            <v>90.91</v>
          </cell>
          <cell r="D7771">
            <v>18.420000000000002</v>
          </cell>
          <cell r="E7771">
            <v>9.41</v>
          </cell>
          <cell r="H7771">
            <v>45615</v>
          </cell>
          <cell r="I7771">
            <v>0.90888888888888886</v>
          </cell>
          <cell r="J7771">
            <v>26.704444444444444</v>
          </cell>
        </row>
        <row r="7772">
          <cell r="B7772">
            <v>44.47</v>
          </cell>
          <cell r="C7772">
            <v>101.78</v>
          </cell>
          <cell r="D7772">
            <v>19.73</v>
          </cell>
          <cell r="E7772">
            <v>9.4499999999999993</v>
          </cell>
          <cell r="H7772">
            <v>45615</v>
          </cell>
          <cell r="I7772">
            <v>0.91555555555555557</v>
          </cell>
          <cell r="J7772">
            <v>26.612222222222222</v>
          </cell>
        </row>
        <row r="7773">
          <cell r="B7773">
            <v>48.68</v>
          </cell>
          <cell r="C7773">
            <v>109.47</v>
          </cell>
          <cell r="D7773">
            <v>19.66</v>
          </cell>
          <cell r="E7773">
            <v>9.48</v>
          </cell>
          <cell r="H7773">
            <v>45615</v>
          </cell>
          <cell r="I7773">
            <v>0.94222222222222207</v>
          </cell>
          <cell r="J7773">
            <v>26.37222222222222</v>
          </cell>
        </row>
        <row r="7774">
          <cell r="B7774">
            <v>49.47</v>
          </cell>
          <cell r="C7774">
            <v>116.32</v>
          </cell>
          <cell r="D7774">
            <v>19.23</v>
          </cell>
          <cell r="E7774">
            <v>8.84</v>
          </cell>
          <cell r="H7774">
            <v>45615</v>
          </cell>
          <cell r="I7774">
            <v>0.9655555555555555</v>
          </cell>
          <cell r="J7774">
            <v>25.89</v>
          </cell>
        </row>
        <row r="7775">
          <cell r="B7775">
            <v>44.94</v>
          </cell>
          <cell r="C7775">
            <v>107.24</v>
          </cell>
          <cell r="D7775">
            <v>18.46</v>
          </cell>
          <cell r="E7775">
            <v>8.74</v>
          </cell>
          <cell r="H7775">
            <v>45615</v>
          </cell>
          <cell r="I7775">
            <v>0.97999999999999987</v>
          </cell>
          <cell r="J7775">
            <v>25.233333333333331</v>
          </cell>
        </row>
        <row r="7776">
          <cell r="B7776">
            <v>44.6</v>
          </cell>
          <cell r="C7776">
            <v>104.28</v>
          </cell>
          <cell r="D7776">
            <v>17.53</v>
          </cell>
          <cell r="E7776">
            <v>8.0299999999999994</v>
          </cell>
          <cell r="H7776">
            <v>45615</v>
          </cell>
          <cell r="I7776">
            <v>0.98888888888888871</v>
          </cell>
          <cell r="J7776">
            <v>24.491111111111106</v>
          </cell>
        </row>
        <row r="7777">
          <cell r="B7777">
            <v>46.26</v>
          </cell>
          <cell r="C7777">
            <v>99.57</v>
          </cell>
          <cell r="D7777">
            <v>17.13</v>
          </cell>
          <cell r="E7777">
            <v>8.2899999999999991</v>
          </cell>
          <cell r="H7777">
            <v>45615</v>
          </cell>
          <cell r="I7777">
            <v>0.98666666666666658</v>
          </cell>
          <cell r="J7777">
            <v>24.158888888888885</v>
          </cell>
        </row>
        <row r="7778">
          <cell r="B7778">
            <v>48.99</v>
          </cell>
          <cell r="C7778">
            <v>97.58</v>
          </cell>
          <cell r="D7778">
            <v>16.8</v>
          </cell>
          <cell r="E7778">
            <v>8.8699999999999992</v>
          </cell>
          <cell r="H7778">
            <v>45616</v>
          </cell>
          <cell r="I7778">
            <v>0.97333333333333327</v>
          </cell>
          <cell r="J7778">
            <v>23.608888888888892</v>
          </cell>
        </row>
        <row r="7779">
          <cell r="B7779">
            <v>50.04</v>
          </cell>
          <cell r="C7779">
            <v>94.81</v>
          </cell>
          <cell r="D7779">
            <v>16.66</v>
          </cell>
          <cell r="E7779">
            <v>8.7899999999999991</v>
          </cell>
          <cell r="H7779">
            <v>45616</v>
          </cell>
          <cell r="I7779">
            <v>0.95444444444444443</v>
          </cell>
          <cell r="J7779">
            <v>23.273333333333337</v>
          </cell>
        </row>
        <row r="7780">
          <cell r="B7780">
            <v>43.18</v>
          </cell>
          <cell r="C7780">
            <v>93.06</v>
          </cell>
          <cell r="D7780">
            <v>16.420000000000002</v>
          </cell>
          <cell r="E7780">
            <v>8.86</v>
          </cell>
          <cell r="H7780">
            <v>45616</v>
          </cell>
          <cell r="I7780">
            <v>0.91888888888888909</v>
          </cell>
          <cell r="J7780">
            <v>23.270000000000003</v>
          </cell>
        </row>
        <row r="7781">
          <cell r="B7781">
            <v>43.94</v>
          </cell>
          <cell r="C7781">
            <v>89.13</v>
          </cell>
          <cell r="D7781">
            <v>16.41</v>
          </cell>
          <cell r="E7781">
            <v>8.64</v>
          </cell>
          <cell r="H7781">
            <v>45616</v>
          </cell>
          <cell r="I7781">
            <v>0.87111111111111117</v>
          </cell>
          <cell r="J7781">
            <v>23.28</v>
          </cell>
        </row>
        <row r="7782">
          <cell r="B7782">
            <v>49.87</v>
          </cell>
          <cell r="C7782">
            <v>90.24</v>
          </cell>
          <cell r="D7782">
            <v>16.579999999999998</v>
          </cell>
          <cell r="E7782">
            <v>8.58</v>
          </cell>
          <cell r="H7782">
            <v>45616</v>
          </cell>
          <cell r="I7782">
            <v>0.81444444444444442</v>
          </cell>
          <cell r="J7782">
            <v>23.455555555555559</v>
          </cell>
        </row>
        <row r="7783">
          <cell r="B7783">
            <v>43.77</v>
          </cell>
          <cell r="C7783">
            <v>88.51</v>
          </cell>
          <cell r="D7783">
            <v>16.73</v>
          </cell>
          <cell r="E7783">
            <v>8.89</v>
          </cell>
          <cell r="H7783">
            <v>45616</v>
          </cell>
          <cell r="I7783">
            <v>0.78222222222222226</v>
          </cell>
          <cell r="J7783">
            <v>23.568888888888889</v>
          </cell>
        </row>
        <row r="7784">
          <cell r="B7784">
            <v>44.07</v>
          </cell>
          <cell r="C7784">
            <v>94.22</v>
          </cell>
          <cell r="D7784">
            <v>17.02</v>
          </cell>
          <cell r="E7784">
            <v>8.43</v>
          </cell>
          <cell r="H7784">
            <v>45616</v>
          </cell>
          <cell r="I7784">
            <v>0.76888888888888873</v>
          </cell>
          <cell r="J7784">
            <v>23.36</v>
          </cell>
        </row>
        <row r="7785">
          <cell r="B7785">
            <v>47.24</v>
          </cell>
          <cell r="C7785">
            <v>103.31</v>
          </cell>
          <cell r="D7785">
            <v>17.309999999999999</v>
          </cell>
          <cell r="E7785">
            <v>9.4700000000000006</v>
          </cell>
          <cell r="H7785">
            <v>45616</v>
          </cell>
          <cell r="I7785">
            <v>0.77333333333333332</v>
          </cell>
          <cell r="J7785">
            <v>23.318888888888885</v>
          </cell>
        </row>
        <row r="7786">
          <cell r="B7786">
            <v>45.37</v>
          </cell>
          <cell r="C7786">
            <v>104.29</v>
          </cell>
          <cell r="D7786">
            <v>17.7</v>
          </cell>
          <cell r="E7786">
            <v>8.99</v>
          </cell>
          <cell r="H7786">
            <v>45616</v>
          </cell>
          <cell r="I7786">
            <v>0.78999999999999992</v>
          </cell>
          <cell r="J7786">
            <v>23.203333333333333</v>
          </cell>
        </row>
        <row r="7787">
          <cell r="B7787">
            <v>44.26</v>
          </cell>
          <cell r="C7787">
            <v>99.04</v>
          </cell>
          <cell r="D7787">
            <v>17.22</v>
          </cell>
          <cell r="E7787">
            <v>8.93</v>
          </cell>
          <cell r="H7787">
            <v>45616</v>
          </cell>
          <cell r="I7787">
            <v>0.81222222222222207</v>
          </cell>
          <cell r="J7787">
            <v>23.357777777777777</v>
          </cell>
        </row>
        <row r="7788">
          <cell r="B7788">
            <v>40.590000000000003</v>
          </cell>
          <cell r="C7788">
            <v>87.03</v>
          </cell>
          <cell r="D7788">
            <v>16.97</v>
          </cell>
          <cell r="E7788">
            <v>9.06</v>
          </cell>
          <cell r="H7788">
            <v>45616</v>
          </cell>
          <cell r="I7788">
            <v>0.83444444444444443</v>
          </cell>
          <cell r="J7788">
            <v>23.545555555555559</v>
          </cell>
        </row>
        <row r="7789">
          <cell r="B7789">
            <v>40.729999999999997</v>
          </cell>
          <cell r="C7789">
            <v>83.18</v>
          </cell>
          <cell r="D7789">
            <v>16.149999999999999</v>
          </cell>
          <cell r="E7789">
            <v>8.7799999999999994</v>
          </cell>
          <cell r="H7789">
            <v>45616</v>
          </cell>
          <cell r="I7789">
            <v>0.85444444444444434</v>
          </cell>
          <cell r="J7789">
            <v>23.824444444444442</v>
          </cell>
        </row>
        <row r="7790">
          <cell r="B7790">
            <v>41.14</v>
          </cell>
          <cell r="C7790">
            <v>85.2</v>
          </cell>
          <cell r="D7790">
            <v>15.04</v>
          </cell>
          <cell r="E7790">
            <v>8.4499999999999993</v>
          </cell>
          <cell r="H7790">
            <v>45616</v>
          </cell>
          <cell r="I7790">
            <v>0.87333333333333341</v>
          </cell>
          <cell r="J7790">
            <v>24.349999999999998</v>
          </cell>
        </row>
        <row r="7791">
          <cell r="B7791">
            <v>36.06</v>
          </cell>
          <cell r="C7791">
            <v>78.39</v>
          </cell>
          <cell r="D7791">
            <v>16.64</v>
          </cell>
          <cell r="E7791">
            <v>8.4</v>
          </cell>
          <cell r="H7791">
            <v>45616</v>
          </cell>
          <cell r="I7791">
            <v>0.8933333333333332</v>
          </cell>
          <cell r="J7791">
            <v>24.702222222222222</v>
          </cell>
        </row>
        <row r="7792">
          <cell r="B7792">
            <v>41.51</v>
          </cell>
          <cell r="C7792">
            <v>79.44</v>
          </cell>
          <cell r="D7792">
            <v>16.89</v>
          </cell>
          <cell r="E7792">
            <v>9.06</v>
          </cell>
          <cell r="H7792">
            <v>45616</v>
          </cell>
          <cell r="I7792">
            <v>0.89777777777777779</v>
          </cell>
          <cell r="J7792">
            <v>25.223333333333333</v>
          </cell>
        </row>
        <row r="7793">
          <cell r="B7793">
            <v>42.98</v>
          </cell>
          <cell r="C7793">
            <v>81.47</v>
          </cell>
          <cell r="D7793">
            <v>17.55</v>
          </cell>
          <cell r="E7793">
            <v>9.5</v>
          </cell>
          <cell r="H7793">
            <v>45616</v>
          </cell>
          <cell r="I7793">
            <v>0.8966666666666665</v>
          </cell>
          <cell r="J7793">
            <v>25.648888888888891</v>
          </cell>
        </row>
        <row r="7794">
          <cell r="B7794">
            <v>43.82</v>
          </cell>
          <cell r="C7794">
            <v>85.56</v>
          </cell>
          <cell r="D7794">
            <v>18.46</v>
          </cell>
          <cell r="E7794">
            <v>8.7799999999999994</v>
          </cell>
          <cell r="H7794">
            <v>45616</v>
          </cell>
          <cell r="I7794">
            <v>0.90333333333333321</v>
          </cell>
          <cell r="J7794">
            <v>25.805555555555554</v>
          </cell>
        </row>
        <row r="7795">
          <cell r="B7795">
            <v>44.5</v>
          </cell>
          <cell r="C7795">
            <v>86.3</v>
          </cell>
          <cell r="D7795">
            <v>18.89</v>
          </cell>
          <cell r="E7795">
            <v>8.65</v>
          </cell>
          <cell r="H7795">
            <v>45616</v>
          </cell>
          <cell r="I7795">
            <v>0.90555555555555556</v>
          </cell>
          <cell r="J7795">
            <v>25.865555555555556</v>
          </cell>
        </row>
        <row r="7796">
          <cell r="B7796">
            <v>46.51</v>
          </cell>
          <cell r="C7796">
            <v>93.45</v>
          </cell>
          <cell r="D7796">
            <v>19.18</v>
          </cell>
          <cell r="E7796">
            <v>8.66</v>
          </cell>
          <cell r="H7796">
            <v>45616</v>
          </cell>
          <cell r="I7796">
            <v>0.91666666666666663</v>
          </cell>
          <cell r="J7796">
            <v>25.962222222222223</v>
          </cell>
        </row>
        <row r="7797">
          <cell r="B7797">
            <v>46.83</v>
          </cell>
          <cell r="C7797">
            <v>95.57</v>
          </cell>
          <cell r="D7797">
            <v>19.16</v>
          </cell>
          <cell r="E7797">
            <v>8.48</v>
          </cell>
          <cell r="H7797">
            <v>45616</v>
          </cell>
          <cell r="I7797">
            <v>0.93333333333333335</v>
          </cell>
          <cell r="J7797">
            <v>25.74111111111111</v>
          </cell>
        </row>
        <row r="7798">
          <cell r="B7798">
            <v>51.1</v>
          </cell>
          <cell r="C7798">
            <v>97.34</v>
          </cell>
          <cell r="D7798">
            <v>19.149999999999999</v>
          </cell>
          <cell r="E7798">
            <v>8.48</v>
          </cell>
          <cell r="H7798">
            <v>45616</v>
          </cell>
          <cell r="I7798">
            <v>0.95555555555555549</v>
          </cell>
          <cell r="J7798">
            <v>25.184444444444445</v>
          </cell>
        </row>
        <row r="7799">
          <cell r="B7799">
            <v>53.89</v>
          </cell>
          <cell r="C7799">
            <v>104.23</v>
          </cell>
          <cell r="D7799">
            <v>18.97</v>
          </cell>
          <cell r="E7799">
            <v>8.91</v>
          </cell>
          <cell r="H7799">
            <v>45616</v>
          </cell>
          <cell r="I7799">
            <v>0.97222222222222221</v>
          </cell>
          <cell r="J7799">
            <v>24.512222222222224</v>
          </cell>
        </row>
        <row r="7800">
          <cell r="B7800">
            <v>53.84</v>
          </cell>
          <cell r="C7800">
            <v>102.5</v>
          </cell>
          <cell r="D7800">
            <v>19</v>
          </cell>
          <cell r="E7800">
            <v>9.16</v>
          </cell>
          <cell r="H7800">
            <v>45616</v>
          </cell>
          <cell r="I7800">
            <v>0.98</v>
          </cell>
          <cell r="J7800">
            <v>23.823333333333338</v>
          </cell>
        </row>
        <row r="7801">
          <cell r="B7801">
            <v>52.87</v>
          </cell>
          <cell r="C7801">
            <v>100.05</v>
          </cell>
          <cell r="D7801">
            <v>18.75</v>
          </cell>
          <cell r="E7801">
            <v>9.44</v>
          </cell>
          <cell r="H7801">
            <v>45616</v>
          </cell>
          <cell r="I7801">
            <v>0.97888888888888892</v>
          </cell>
          <cell r="J7801">
            <v>23.157777777777781</v>
          </cell>
        </row>
        <row r="7802">
          <cell r="B7802">
            <v>48.9</v>
          </cell>
          <cell r="C7802">
            <v>97.56</v>
          </cell>
          <cell r="D7802">
            <v>18.63</v>
          </cell>
          <cell r="E7802">
            <v>8.77</v>
          </cell>
          <cell r="H7802">
            <v>45617</v>
          </cell>
          <cell r="I7802">
            <v>0.97111111111111115</v>
          </cell>
          <cell r="J7802">
            <v>22.822222222222223</v>
          </cell>
        </row>
        <row r="7803">
          <cell r="B7803">
            <v>53.22</v>
          </cell>
          <cell r="C7803">
            <v>100.25</v>
          </cell>
          <cell r="D7803">
            <v>18.16</v>
          </cell>
          <cell r="E7803">
            <v>8.65</v>
          </cell>
          <cell r="H7803">
            <v>45617</v>
          </cell>
          <cell r="I7803">
            <v>0.95111111111111113</v>
          </cell>
          <cell r="J7803">
            <v>22.740000000000002</v>
          </cell>
        </row>
        <row r="7804">
          <cell r="B7804">
            <v>49.07</v>
          </cell>
          <cell r="C7804">
            <v>96.49</v>
          </cell>
          <cell r="D7804">
            <v>17.940000000000001</v>
          </cell>
          <cell r="E7804">
            <v>8.61</v>
          </cell>
          <cell r="H7804">
            <v>45617</v>
          </cell>
          <cell r="I7804">
            <v>0.92666666666666686</v>
          </cell>
          <cell r="J7804">
            <v>22.625555555555554</v>
          </cell>
        </row>
        <row r="7805">
          <cell r="B7805">
            <v>47.36</v>
          </cell>
          <cell r="C7805">
            <v>85</v>
          </cell>
          <cell r="D7805">
            <v>17.440000000000001</v>
          </cell>
          <cell r="E7805">
            <v>8.2899999999999991</v>
          </cell>
          <cell r="H7805">
            <v>45617</v>
          </cell>
          <cell r="I7805">
            <v>0.88888888888888884</v>
          </cell>
          <cell r="J7805">
            <v>22.503333333333334</v>
          </cell>
        </row>
        <row r="7806">
          <cell r="B7806">
            <v>44.47</v>
          </cell>
          <cell r="C7806">
            <v>78.92</v>
          </cell>
          <cell r="D7806">
            <v>17.29</v>
          </cell>
          <cell r="E7806">
            <v>8.1199999999999992</v>
          </cell>
          <cell r="H7806">
            <v>45617</v>
          </cell>
          <cell r="I7806">
            <v>0.84333333333333327</v>
          </cell>
          <cell r="J7806">
            <v>22.508888888888887</v>
          </cell>
        </row>
        <row r="7807">
          <cell r="B7807">
            <v>41.6</v>
          </cell>
          <cell r="C7807">
            <v>74.260000000000005</v>
          </cell>
          <cell r="D7807">
            <v>17.2</v>
          </cell>
          <cell r="E7807">
            <v>9.42</v>
          </cell>
          <cell r="H7807">
            <v>45617</v>
          </cell>
          <cell r="I7807">
            <v>0.801111111111111</v>
          </cell>
          <cell r="J7807">
            <v>22.613333333333333</v>
          </cell>
        </row>
        <row r="7808">
          <cell r="B7808">
            <v>39.5</v>
          </cell>
          <cell r="C7808">
            <v>73.45</v>
          </cell>
          <cell r="D7808">
            <v>17.97</v>
          </cell>
          <cell r="E7808">
            <v>9.06</v>
          </cell>
          <cell r="H7808">
            <v>45617</v>
          </cell>
          <cell r="I7808">
            <v>0.77777777777777779</v>
          </cell>
          <cell r="J7808">
            <v>22.646666666666665</v>
          </cell>
        </row>
        <row r="7809">
          <cell r="B7809">
            <v>40.46</v>
          </cell>
          <cell r="C7809">
            <v>79.14</v>
          </cell>
          <cell r="D7809">
            <v>18.2</v>
          </cell>
          <cell r="E7809">
            <v>9.99</v>
          </cell>
          <cell r="H7809">
            <v>45617</v>
          </cell>
          <cell r="I7809">
            <v>0.76444444444444448</v>
          </cell>
          <cell r="J7809">
            <v>22.698888888888888</v>
          </cell>
        </row>
        <row r="7810">
          <cell r="B7810">
            <v>42.81</v>
          </cell>
          <cell r="C7810">
            <v>84.29</v>
          </cell>
          <cell r="D7810">
            <v>18.670000000000002</v>
          </cell>
          <cell r="E7810">
            <v>9.16</v>
          </cell>
          <cell r="H7810">
            <v>45617</v>
          </cell>
          <cell r="I7810">
            <v>0.77</v>
          </cell>
          <cell r="J7810">
            <v>22.737777777777779</v>
          </cell>
        </row>
        <row r="7811">
          <cell r="B7811">
            <v>40.96</v>
          </cell>
          <cell r="C7811">
            <v>83.62</v>
          </cell>
          <cell r="D7811">
            <v>18.32</v>
          </cell>
          <cell r="E7811">
            <v>8.86</v>
          </cell>
          <cell r="H7811">
            <v>45617</v>
          </cell>
          <cell r="I7811">
            <v>0.78333333333333333</v>
          </cell>
          <cell r="J7811">
            <v>22.853333333333335</v>
          </cell>
        </row>
        <row r="7812">
          <cell r="B7812">
            <v>37.159999999999997</v>
          </cell>
          <cell r="C7812">
            <v>83.21</v>
          </cell>
          <cell r="D7812">
            <v>16.54</v>
          </cell>
          <cell r="E7812">
            <v>8.7200000000000006</v>
          </cell>
          <cell r="H7812">
            <v>45617</v>
          </cell>
          <cell r="I7812">
            <v>0.79888888888888898</v>
          </cell>
          <cell r="J7812">
            <v>22.953333333333333</v>
          </cell>
        </row>
        <row r="7813">
          <cell r="B7813">
            <v>36.299999999999997</v>
          </cell>
          <cell r="C7813">
            <v>78.72</v>
          </cell>
          <cell r="D7813">
            <v>16.54</v>
          </cell>
          <cell r="E7813">
            <v>7.87</v>
          </cell>
          <cell r="H7813">
            <v>45617</v>
          </cell>
          <cell r="I7813">
            <v>0.81666666666666665</v>
          </cell>
          <cell r="J7813">
            <v>23.417777777777779</v>
          </cell>
        </row>
        <row r="7814">
          <cell r="B7814">
            <v>33.86</v>
          </cell>
          <cell r="C7814">
            <v>71.09</v>
          </cell>
          <cell r="D7814">
            <v>16.559999999999999</v>
          </cell>
          <cell r="E7814">
            <v>7.61</v>
          </cell>
          <cell r="H7814">
            <v>45617</v>
          </cell>
          <cell r="I7814">
            <v>0.86888888888888882</v>
          </cell>
          <cell r="J7814">
            <v>24.174444444444443</v>
          </cell>
        </row>
        <row r="7815">
          <cell r="B7815">
            <v>31.97</v>
          </cell>
          <cell r="C7815">
            <v>71.16</v>
          </cell>
          <cell r="D7815">
            <v>16.86</v>
          </cell>
          <cell r="E7815">
            <v>9.2100000000000009</v>
          </cell>
          <cell r="H7815">
            <v>45617</v>
          </cell>
          <cell r="I7815">
            <v>0.88888888888888884</v>
          </cell>
          <cell r="J7815">
            <v>25.37777777777778</v>
          </cell>
        </row>
        <row r="7816">
          <cell r="B7816">
            <v>33.76</v>
          </cell>
          <cell r="C7816">
            <v>76.41</v>
          </cell>
          <cell r="D7816">
            <v>16.88</v>
          </cell>
          <cell r="E7816">
            <v>10.039999999999999</v>
          </cell>
          <cell r="H7816">
            <v>45617</v>
          </cell>
          <cell r="I7816">
            <v>0.9044444444444445</v>
          </cell>
          <cell r="J7816">
            <v>27.124444444444446</v>
          </cell>
        </row>
        <row r="7817">
          <cell r="B7817">
            <v>36.85</v>
          </cell>
          <cell r="C7817">
            <v>83.11</v>
          </cell>
          <cell r="D7817">
            <v>16.05</v>
          </cell>
          <cell r="E7817">
            <v>10.73</v>
          </cell>
          <cell r="H7817">
            <v>45617</v>
          </cell>
          <cell r="I7817">
            <v>0.90111111111111108</v>
          </cell>
          <cell r="J7817">
            <v>29.098888888888887</v>
          </cell>
        </row>
        <row r="7818">
          <cell r="B7818">
            <v>37.979999999999997</v>
          </cell>
          <cell r="C7818">
            <v>83.25</v>
          </cell>
          <cell r="D7818">
            <v>15.93</v>
          </cell>
          <cell r="E7818">
            <v>9.6199999999999992</v>
          </cell>
          <cell r="H7818">
            <v>45617</v>
          </cell>
          <cell r="I7818">
            <v>0.90222222222222237</v>
          </cell>
          <cell r="J7818">
            <v>29.68333333333333</v>
          </cell>
        </row>
        <row r="7819">
          <cell r="B7819">
            <v>41.1</v>
          </cell>
          <cell r="C7819">
            <v>92.23</v>
          </cell>
          <cell r="D7819">
            <v>17.39</v>
          </cell>
          <cell r="E7819">
            <v>9.81</v>
          </cell>
          <cell r="H7819">
            <v>45617</v>
          </cell>
          <cell r="I7819">
            <v>0.9277777777777777</v>
          </cell>
          <cell r="J7819">
            <v>29.801111111111108</v>
          </cell>
        </row>
        <row r="7820">
          <cell r="B7820">
            <v>47.03</v>
          </cell>
          <cell r="C7820">
            <v>108.93</v>
          </cell>
          <cell r="D7820">
            <v>20</v>
          </cell>
          <cell r="E7820">
            <v>10.17</v>
          </cell>
          <cell r="H7820">
            <v>45617</v>
          </cell>
          <cell r="I7820">
            <v>1.0111111111111111</v>
          </cell>
          <cell r="J7820">
            <v>29.494444444444451</v>
          </cell>
        </row>
        <row r="7821">
          <cell r="B7821">
            <v>52.32</v>
          </cell>
          <cell r="C7821">
            <v>136.06</v>
          </cell>
          <cell r="D7821">
            <v>21.82</v>
          </cell>
          <cell r="E7821">
            <v>10.19</v>
          </cell>
          <cell r="H7821">
            <v>45617</v>
          </cell>
          <cell r="I7821">
            <v>1.1311111111111112</v>
          </cell>
          <cell r="J7821">
            <v>28.871111111111109</v>
          </cell>
        </row>
        <row r="7822">
          <cell r="B7822">
            <v>55.96</v>
          </cell>
          <cell r="C7822">
            <v>143.88</v>
          </cell>
          <cell r="D7822">
            <v>21.36</v>
          </cell>
          <cell r="E7822">
            <v>11.52</v>
          </cell>
          <cell r="H7822">
            <v>45617</v>
          </cell>
          <cell r="I7822">
            <v>1.2244444444444447</v>
          </cell>
          <cell r="J7822">
            <v>27.936666666666667</v>
          </cell>
        </row>
        <row r="7823">
          <cell r="B7823">
            <v>54.34</v>
          </cell>
          <cell r="C7823">
            <v>134.02000000000001</v>
          </cell>
          <cell r="D7823">
            <v>20.420000000000002</v>
          </cell>
          <cell r="E7823">
            <v>11.83</v>
          </cell>
          <cell r="H7823">
            <v>45617</v>
          </cell>
          <cell r="I7823">
            <v>1.2288888888888889</v>
          </cell>
          <cell r="J7823">
            <v>26.740000000000002</v>
          </cell>
        </row>
        <row r="7824">
          <cell r="B7824">
            <v>51.57</v>
          </cell>
          <cell r="C7824">
            <v>119.89</v>
          </cell>
          <cell r="D7824">
            <v>18.420000000000002</v>
          </cell>
          <cell r="E7824">
            <v>11.52</v>
          </cell>
          <cell r="H7824">
            <v>45617</v>
          </cell>
          <cell r="I7824">
            <v>1.2377777777777776</v>
          </cell>
          <cell r="J7824">
            <v>25.171111111111109</v>
          </cell>
        </row>
        <row r="7825">
          <cell r="B7825">
            <v>49.09</v>
          </cell>
          <cell r="C7825">
            <v>103.14</v>
          </cell>
          <cell r="D7825">
            <v>16.97</v>
          </cell>
          <cell r="E7825">
            <v>11.99</v>
          </cell>
          <cell r="H7825">
            <v>45617</v>
          </cell>
          <cell r="I7825">
            <v>1.24</v>
          </cell>
          <cell r="J7825">
            <v>23.08</v>
          </cell>
        </row>
        <row r="7826">
          <cell r="B7826">
            <v>48.83</v>
          </cell>
          <cell r="C7826">
            <v>96.84</v>
          </cell>
          <cell r="D7826">
            <v>16.09</v>
          </cell>
          <cell r="E7826">
            <v>10.039999999999999</v>
          </cell>
          <cell r="H7826">
            <v>45618</v>
          </cell>
          <cell r="I7826">
            <v>1.2444444444444445</v>
          </cell>
          <cell r="J7826">
            <v>20.856666666666669</v>
          </cell>
        </row>
        <row r="7827">
          <cell r="B7827">
            <v>46.07</v>
          </cell>
          <cell r="C7827">
            <v>93.19</v>
          </cell>
          <cell r="D7827">
            <v>15.71</v>
          </cell>
          <cell r="E7827">
            <v>8.91</v>
          </cell>
          <cell r="H7827">
            <v>45618</v>
          </cell>
          <cell r="I7827">
            <v>1.2333333333333334</v>
          </cell>
          <cell r="J7827">
            <v>20.231111111111112</v>
          </cell>
        </row>
        <row r="7828">
          <cell r="B7828">
            <v>42.87</v>
          </cell>
          <cell r="C7828">
            <v>88.25</v>
          </cell>
          <cell r="D7828">
            <v>15.37</v>
          </cell>
          <cell r="E7828">
            <v>8.3800000000000008</v>
          </cell>
          <cell r="H7828">
            <v>45618</v>
          </cell>
          <cell r="I7828">
            <v>1.1911111111111112</v>
          </cell>
          <cell r="J7828">
            <v>20.018888888888888</v>
          </cell>
        </row>
        <row r="7829">
          <cell r="B7829">
            <v>44.36</v>
          </cell>
          <cell r="C7829">
            <v>83.15</v>
          </cell>
          <cell r="D7829">
            <v>15.4</v>
          </cell>
          <cell r="E7829">
            <v>8.56</v>
          </cell>
          <cell r="H7829">
            <v>45618</v>
          </cell>
          <cell r="I7829">
            <v>1.0855555555555556</v>
          </cell>
          <cell r="J7829">
            <v>20.07</v>
          </cell>
        </row>
        <row r="7830">
          <cell r="B7830">
            <v>43.17</v>
          </cell>
          <cell r="C7830">
            <v>84.13</v>
          </cell>
          <cell r="D7830">
            <v>15.73</v>
          </cell>
          <cell r="E7830">
            <v>9.19</v>
          </cell>
          <cell r="H7830">
            <v>45618</v>
          </cell>
          <cell r="I7830">
            <v>0.94777777777777794</v>
          </cell>
          <cell r="J7830">
            <v>20.426666666666662</v>
          </cell>
        </row>
        <row r="7831">
          <cell r="B7831">
            <v>42.99</v>
          </cell>
          <cell r="C7831">
            <v>86.1</v>
          </cell>
          <cell r="D7831">
            <v>15.62</v>
          </cell>
          <cell r="E7831">
            <v>10.66</v>
          </cell>
          <cell r="H7831">
            <v>45618</v>
          </cell>
          <cell r="I7831">
            <v>0.8455555555555555</v>
          </cell>
          <cell r="J7831">
            <v>20.707777777777778</v>
          </cell>
        </row>
        <row r="7832">
          <cell r="B7832">
            <v>44.96</v>
          </cell>
          <cell r="C7832">
            <v>93.69</v>
          </cell>
          <cell r="D7832">
            <v>16.260000000000002</v>
          </cell>
          <cell r="E7832">
            <v>10.69</v>
          </cell>
          <cell r="H7832">
            <v>45618</v>
          </cell>
          <cell r="I7832">
            <v>0.81</v>
          </cell>
          <cell r="J7832">
            <v>20.817777777777778</v>
          </cell>
        </row>
        <row r="7833">
          <cell r="B7833">
            <v>47</v>
          </cell>
          <cell r="C7833">
            <v>98.41</v>
          </cell>
          <cell r="D7833">
            <v>16.559999999999999</v>
          </cell>
          <cell r="E7833">
            <v>11.33</v>
          </cell>
          <cell r="H7833">
            <v>45618</v>
          </cell>
          <cell r="I7833">
            <v>0.82111111111111112</v>
          </cell>
          <cell r="J7833">
            <v>20.998888888888885</v>
          </cell>
        </row>
        <row r="7834">
          <cell r="B7834">
            <v>45.94</v>
          </cell>
          <cell r="C7834">
            <v>104.43</v>
          </cell>
          <cell r="D7834">
            <v>17.13</v>
          </cell>
          <cell r="E7834">
            <v>9.07</v>
          </cell>
          <cell r="H7834">
            <v>45618</v>
          </cell>
          <cell r="I7834">
            <v>0.85000000000000009</v>
          </cell>
          <cell r="J7834">
            <v>21.183333333333334</v>
          </cell>
        </row>
        <row r="7835">
          <cell r="B7835">
            <v>43.52</v>
          </cell>
          <cell r="C7835">
            <v>101.67</v>
          </cell>
          <cell r="D7835">
            <v>16.920000000000002</v>
          </cell>
          <cell r="E7835">
            <v>8.59</v>
          </cell>
          <cell r="H7835">
            <v>45618</v>
          </cell>
          <cell r="I7835">
            <v>0.87888888888888894</v>
          </cell>
          <cell r="J7835">
            <v>21.49</v>
          </cell>
        </row>
        <row r="7836">
          <cell r="B7836">
            <v>40.82</v>
          </cell>
          <cell r="C7836">
            <v>93.87</v>
          </cell>
          <cell r="D7836">
            <v>15.63</v>
          </cell>
          <cell r="E7836">
            <v>8.7899999999999991</v>
          </cell>
          <cell r="H7836">
            <v>45618</v>
          </cell>
          <cell r="I7836">
            <v>0.9044444444444445</v>
          </cell>
          <cell r="J7836">
            <v>21.714444444444446</v>
          </cell>
        </row>
        <row r="7837">
          <cell r="B7837">
            <v>35.270000000000003</v>
          </cell>
          <cell r="C7837">
            <v>76.16</v>
          </cell>
          <cell r="D7837">
            <v>15.98</v>
          </cell>
          <cell r="E7837">
            <v>9.11</v>
          </cell>
          <cell r="H7837">
            <v>45618</v>
          </cell>
          <cell r="I7837">
            <v>0.92333333333333334</v>
          </cell>
          <cell r="J7837">
            <v>22.732222222222227</v>
          </cell>
        </row>
        <row r="7838">
          <cell r="B7838">
            <v>35.229999999999997</v>
          </cell>
          <cell r="C7838">
            <v>71.59</v>
          </cell>
          <cell r="D7838">
            <v>16.62</v>
          </cell>
          <cell r="E7838">
            <v>9.3000000000000007</v>
          </cell>
          <cell r="H7838">
            <v>45618</v>
          </cell>
          <cell r="I7838">
            <v>0.94555555555555548</v>
          </cell>
          <cell r="J7838">
            <v>24.057777777777783</v>
          </cell>
        </row>
        <row r="7839">
          <cell r="B7839">
            <v>35.06</v>
          </cell>
          <cell r="C7839">
            <v>68.41</v>
          </cell>
          <cell r="D7839">
            <v>16.649999999999999</v>
          </cell>
          <cell r="E7839">
            <v>10.039999999999999</v>
          </cell>
          <cell r="H7839">
            <v>45618</v>
          </cell>
          <cell r="I7839">
            <v>0.94666666666666666</v>
          </cell>
          <cell r="J7839">
            <v>25.197777777777777</v>
          </cell>
        </row>
        <row r="7840">
          <cell r="B7840">
            <v>34.85</v>
          </cell>
          <cell r="C7840">
            <v>67.98</v>
          </cell>
          <cell r="D7840">
            <v>16.46</v>
          </cell>
          <cell r="E7840">
            <v>10.38</v>
          </cell>
          <cell r="H7840">
            <v>45618</v>
          </cell>
          <cell r="I7840">
            <v>0.94444444444444442</v>
          </cell>
          <cell r="J7840">
            <v>26.31111111111111</v>
          </cell>
        </row>
        <row r="7841">
          <cell r="B7841">
            <v>35.31</v>
          </cell>
          <cell r="C7841">
            <v>67.959999999999994</v>
          </cell>
          <cell r="D7841">
            <v>16.54</v>
          </cell>
          <cell r="E7841">
            <v>10.8</v>
          </cell>
          <cell r="H7841">
            <v>45618</v>
          </cell>
          <cell r="I7841">
            <v>0.93222222222222229</v>
          </cell>
          <cell r="J7841">
            <v>27.542222222222218</v>
          </cell>
        </row>
        <row r="7842">
          <cell r="B7842">
            <v>37.4</v>
          </cell>
          <cell r="C7842">
            <v>71.430000000000007</v>
          </cell>
          <cell r="D7842">
            <v>16.670000000000002</v>
          </cell>
          <cell r="E7842">
            <v>8.41</v>
          </cell>
          <cell r="H7842">
            <v>45618</v>
          </cell>
          <cell r="I7842">
            <v>0.91222222222222216</v>
          </cell>
          <cell r="J7842">
            <v>28.495555555555555</v>
          </cell>
        </row>
        <row r="7843">
          <cell r="B7843">
            <v>39.130000000000003</v>
          </cell>
          <cell r="C7843">
            <v>81.34</v>
          </cell>
          <cell r="D7843">
            <v>17.829999999999998</v>
          </cell>
          <cell r="E7843">
            <v>8.52</v>
          </cell>
          <cell r="H7843">
            <v>45618</v>
          </cell>
          <cell r="I7843">
            <v>0.89555555555555577</v>
          </cell>
          <cell r="J7843">
            <v>29.167777777777776</v>
          </cell>
        </row>
        <row r="7844">
          <cell r="B7844">
            <v>41.21</v>
          </cell>
          <cell r="C7844">
            <v>95.6</v>
          </cell>
          <cell r="D7844">
            <v>19.84</v>
          </cell>
          <cell r="E7844">
            <v>8.58</v>
          </cell>
          <cell r="H7844">
            <v>45618</v>
          </cell>
          <cell r="I7844">
            <v>0.9144444444444445</v>
          </cell>
          <cell r="J7844">
            <v>29.43333333333333</v>
          </cell>
        </row>
        <row r="7845">
          <cell r="B7845">
            <v>45.79</v>
          </cell>
          <cell r="C7845">
            <v>110.04</v>
          </cell>
          <cell r="D7845">
            <v>21.2</v>
          </cell>
          <cell r="E7845">
            <v>8.89</v>
          </cell>
          <cell r="H7845">
            <v>45618</v>
          </cell>
          <cell r="I7845">
            <v>0.96111111111111114</v>
          </cell>
          <cell r="J7845">
            <v>29.459999999999997</v>
          </cell>
        </row>
        <row r="7846">
          <cell r="B7846">
            <v>48.87</v>
          </cell>
          <cell r="C7846">
            <v>112.57</v>
          </cell>
          <cell r="D7846">
            <v>19.75</v>
          </cell>
          <cell r="E7846">
            <v>9.16</v>
          </cell>
          <cell r="H7846">
            <v>45618</v>
          </cell>
          <cell r="I7846">
            <v>0.99222222222222223</v>
          </cell>
          <cell r="J7846">
            <v>28.767777777777781</v>
          </cell>
        </row>
        <row r="7847">
          <cell r="B7847">
            <v>47.53</v>
          </cell>
          <cell r="C7847">
            <v>98.88</v>
          </cell>
          <cell r="D7847">
            <v>18.61</v>
          </cell>
          <cell r="E7847">
            <v>9.19</v>
          </cell>
          <cell r="H7847">
            <v>45618</v>
          </cell>
          <cell r="I7847">
            <v>0.99555555555555542</v>
          </cell>
          <cell r="J7847">
            <v>27.902222222222221</v>
          </cell>
        </row>
        <row r="7848">
          <cell r="B7848">
            <v>47.98</v>
          </cell>
          <cell r="C7848">
            <v>95.32</v>
          </cell>
          <cell r="D7848">
            <v>17.96</v>
          </cell>
          <cell r="E7848">
            <v>9.6999999999999993</v>
          </cell>
          <cell r="H7848">
            <v>45618</v>
          </cell>
          <cell r="I7848">
            <v>0.99777777777777765</v>
          </cell>
          <cell r="J7848">
            <v>27.257777777777775</v>
          </cell>
        </row>
        <row r="7849">
          <cell r="B7849">
            <v>46.49</v>
          </cell>
          <cell r="C7849">
            <v>91.81</v>
          </cell>
          <cell r="D7849">
            <v>17.59</v>
          </cell>
          <cell r="E7849">
            <v>9.9499999999999993</v>
          </cell>
          <cell r="H7849">
            <v>45618</v>
          </cell>
          <cell r="I7849">
            <v>0.99888888888888872</v>
          </cell>
          <cell r="J7849">
            <v>26.714444444444442</v>
          </cell>
        </row>
        <row r="7850">
          <cell r="B7850">
            <v>46.15</v>
          </cell>
          <cell r="C7850">
            <v>87.86</v>
          </cell>
          <cell r="D7850">
            <v>17.47</v>
          </cell>
          <cell r="E7850">
            <v>8.77</v>
          </cell>
          <cell r="H7850">
            <v>45619</v>
          </cell>
          <cell r="I7850">
            <v>0.99666666666666659</v>
          </cell>
          <cell r="J7850">
            <v>26.325555555555553</v>
          </cell>
        </row>
        <row r="7851">
          <cell r="B7851">
            <v>51.13</v>
          </cell>
          <cell r="C7851">
            <v>92.56</v>
          </cell>
          <cell r="D7851">
            <v>17.309999999999999</v>
          </cell>
          <cell r="E7851">
            <v>8.5299999999999994</v>
          </cell>
          <cell r="H7851">
            <v>45619</v>
          </cell>
          <cell r="I7851">
            <v>0.98777777777777764</v>
          </cell>
          <cell r="J7851">
            <v>26.092222222222222</v>
          </cell>
        </row>
        <row r="7852">
          <cell r="B7852">
            <v>48.64</v>
          </cell>
          <cell r="C7852">
            <v>94.67</v>
          </cell>
          <cell r="D7852">
            <v>17.53</v>
          </cell>
          <cell r="E7852">
            <v>8.1199999999999992</v>
          </cell>
          <cell r="H7852">
            <v>45619</v>
          </cell>
          <cell r="I7852">
            <v>0.95666666666666655</v>
          </cell>
          <cell r="J7852">
            <v>26.235555555555557</v>
          </cell>
        </row>
        <row r="7853">
          <cell r="B7853">
            <v>54.5</v>
          </cell>
          <cell r="C7853">
            <v>96.77</v>
          </cell>
          <cell r="D7853">
            <v>17.440000000000001</v>
          </cell>
          <cell r="E7853">
            <v>8.1300000000000008</v>
          </cell>
          <cell r="H7853">
            <v>45619</v>
          </cell>
          <cell r="I7853">
            <v>0.90222222222222215</v>
          </cell>
          <cell r="J7853">
            <v>26.382222222222225</v>
          </cell>
        </row>
        <row r="7854">
          <cell r="B7854">
            <v>51.13</v>
          </cell>
          <cell r="C7854">
            <v>100.54</v>
          </cell>
          <cell r="D7854">
            <v>17.62</v>
          </cell>
          <cell r="E7854">
            <v>7.83</v>
          </cell>
          <cell r="H7854">
            <v>45619</v>
          </cell>
          <cell r="I7854">
            <v>0.83333333333333348</v>
          </cell>
          <cell r="J7854">
            <v>26.660000000000004</v>
          </cell>
        </row>
        <row r="7855">
          <cell r="B7855">
            <v>53.08</v>
          </cell>
          <cell r="C7855">
            <v>104.54</v>
          </cell>
          <cell r="D7855">
            <v>17.8</v>
          </cell>
          <cell r="E7855">
            <v>10.029999999999999</v>
          </cell>
          <cell r="H7855">
            <v>45619</v>
          </cell>
          <cell r="I7855">
            <v>0.79888888888888887</v>
          </cell>
          <cell r="J7855">
            <v>26.804444444444446</v>
          </cell>
        </row>
        <row r="7856">
          <cell r="B7856">
            <v>56.24</v>
          </cell>
          <cell r="C7856">
            <v>109.96</v>
          </cell>
          <cell r="D7856">
            <v>18.690000000000001</v>
          </cell>
          <cell r="E7856">
            <v>11.01</v>
          </cell>
          <cell r="H7856">
            <v>45619</v>
          </cell>
          <cell r="I7856">
            <v>0.79666666666666663</v>
          </cell>
          <cell r="J7856">
            <v>26.983333333333334</v>
          </cell>
        </row>
        <row r="7857">
          <cell r="B7857">
            <v>60.31</v>
          </cell>
          <cell r="C7857">
            <v>119.08</v>
          </cell>
          <cell r="D7857">
            <v>19.079999999999998</v>
          </cell>
          <cell r="E7857">
            <v>11.32</v>
          </cell>
          <cell r="H7857">
            <v>45619</v>
          </cell>
          <cell r="I7857">
            <v>0.81888888888888878</v>
          </cell>
          <cell r="J7857">
            <v>26.855555555555554</v>
          </cell>
        </row>
        <row r="7858">
          <cell r="B7858">
            <v>57.02</v>
          </cell>
          <cell r="C7858">
            <v>124.63</v>
          </cell>
          <cell r="D7858">
            <v>18.95</v>
          </cell>
          <cell r="E7858">
            <v>9</v>
          </cell>
          <cell r="H7858">
            <v>45619</v>
          </cell>
          <cell r="I7858">
            <v>0.84666666666666668</v>
          </cell>
          <cell r="J7858">
            <v>27.021111111111107</v>
          </cell>
        </row>
        <row r="7859">
          <cell r="B7859">
            <v>52.92</v>
          </cell>
          <cell r="C7859">
            <v>116.01</v>
          </cell>
          <cell r="D7859">
            <v>18.61</v>
          </cell>
          <cell r="E7859">
            <v>9.1</v>
          </cell>
          <cell r="H7859">
            <v>45619</v>
          </cell>
          <cell r="I7859">
            <v>0.88111111111111107</v>
          </cell>
          <cell r="J7859">
            <v>27.077777777777776</v>
          </cell>
        </row>
        <row r="7860">
          <cell r="B7860">
            <v>45.33</v>
          </cell>
          <cell r="C7860">
            <v>96.94</v>
          </cell>
          <cell r="D7860">
            <v>16.809999999999999</v>
          </cell>
          <cell r="E7860">
            <v>8.82</v>
          </cell>
          <cell r="H7860">
            <v>45619</v>
          </cell>
          <cell r="I7860">
            <v>0.9044444444444445</v>
          </cell>
          <cell r="J7860">
            <v>27.067777777777778</v>
          </cell>
        </row>
        <row r="7861">
          <cell r="B7861">
            <v>36.65</v>
          </cell>
          <cell r="C7861">
            <v>76.87</v>
          </cell>
          <cell r="D7861">
            <v>16.309999999999999</v>
          </cell>
          <cell r="E7861">
            <v>8.69</v>
          </cell>
          <cell r="H7861">
            <v>45619</v>
          </cell>
          <cell r="I7861">
            <v>0.9277777777777777</v>
          </cell>
          <cell r="J7861">
            <v>27.222222222222221</v>
          </cell>
        </row>
        <row r="7862">
          <cell r="B7862">
            <v>36.03</v>
          </cell>
          <cell r="C7862">
            <v>72.180000000000007</v>
          </cell>
          <cell r="D7862">
            <v>16.32</v>
          </cell>
          <cell r="E7862">
            <v>8.89</v>
          </cell>
          <cell r="H7862">
            <v>45619</v>
          </cell>
          <cell r="I7862">
            <v>0.93555555555555558</v>
          </cell>
          <cell r="J7862">
            <v>28.048888888888893</v>
          </cell>
        </row>
        <row r="7863">
          <cell r="B7863">
            <v>35.67</v>
          </cell>
          <cell r="C7863">
            <v>72.7</v>
          </cell>
          <cell r="D7863">
            <v>16.61</v>
          </cell>
          <cell r="E7863">
            <v>9.23</v>
          </cell>
          <cell r="H7863">
            <v>45619</v>
          </cell>
          <cell r="I7863">
            <v>0.93777777777777793</v>
          </cell>
          <cell r="J7863">
            <v>29.196666666666665</v>
          </cell>
        </row>
        <row r="7864">
          <cell r="B7864">
            <v>36.29</v>
          </cell>
          <cell r="C7864">
            <v>74.989999999999995</v>
          </cell>
          <cell r="D7864">
            <v>17.07</v>
          </cell>
          <cell r="E7864">
            <v>9.93</v>
          </cell>
          <cell r="H7864">
            <v>45619</v>
          </cell>
          <cell r="I7864">
            <v>0.96111111111111092</v>
          </cell>
          <cell r="J7864">
            <v>30.400000000000002</v>
          </cell>
        </row>
        <row r="7865">
          <cell r="B7865">
            <v>36.700000000000003</v>
          </cell>
          <cell r="C7865">
            <v>85.3</v>
          </cell>
          <cell r="D7865">
            <v>17.62</v>
          </cell>
          <cell r="E7865">
            <v>9.8000000000000007</v>
          </cell>
          <cell r="H7865">
            <v>45619</v>
          </cell>
          <cell r="I7865">
            <v>0.96777777777777763</v>
          </cell>
          <cell r="J7865">
            <v>31.212222222222223</v>
          </cell>
        </row>
        <row r="7866">
          <cell r="B7866">
            <v>35.200000000000003</v>
          </cell>
          <cell r="C7866">
            <v>82.33</v>
          </cell>
          <cell r="D7866">
            <v>18.72</v>
          </cell>
          <cell r="E7866">
            <v>8.74</v>
          </cell>
          <cell r="H7866">
            <v>45619</v>
          </cell>
          <cell r="I7866">
            <v>0.98888888888888893</v>
          </cell>
          <cell r="J7866">
            <v>31.642222222222227</v>
          </cell>
        </row>
        <row r="7867">
          <cell r="B7867">
            <v>37.520000000000003</v>
          </cell>
          <cell r="C7867">
            <v>92.48</v>
          </cell>
          <cell r="D7867">
            <v>19.41</v>
          </cell>
          <cell r="E7867">
            <v>8.69</v>
          </cell>
          <cell r="H7867">
            <v>45619</v>
          </cell>
          <cell r="I7867">
            <v>0.98444444444444434</v>
          </cell>
          <cell r="J7867">
            <v>31.490000000000002</v>
          </cell>
        </row>
        <row r="7868">
          <cell r="B7868">
            <v>41.71</v>
          </cell>
          <cell r="C7868">
            <v>111.95</v>
          </cell>
          <cell r="D7868">
            <v>21.96</v>
          </cell>
          <cell r="E7868">
            <v>8.0299999999999994</v>
          </cell>
          <cell r="H7868">
            <v>45619</v>
          </cell>
          <cell r="I7868">
            <v>1.0277777777777777</v>
          </cell>
          <cell r="J7868">
            <v>30.754444444444442</v>
          </cell>
        </row>
        <row r="7869">
          <cell r="B7869">
            <v>50.63</v>
          </cell>
          <cell r="C7869">
            <v>135.28</v>
          </cell>
          <cell r="D7869">
            <v>21.69</v>
          </cell>
          <cell r="E7869">
            <v>8.42</v>
          </cell>
          <cell r="H7869">
            <v>45619</v>
          </cell>
          <cell r="I7869">
            <v>1.0900000000000001</v>
          </cell>
          <cell r="J7869">
            <v>30.081111111111106</v>
          </cell>
        </row>
        <row r="7870">
          <cell r="B7870">
            <v>52.51</v>
          </cell>
          <cell r="C7870">
            <v>128.77000000000001</v>
          </cell>
          <cell r="D7870">
            <v>19.64</v>
          </cell>
          <cell r="E7870">
            <v>8.8699999999999992</v>
          </cell>
          <cell r="H7870">
            <v>45619</v>
          </cell>
          <cell r="I7870">
            <v>1.1144444444444446</v>
          </cell>
          <cell r="J7870">
            <v>29.156666666666663</v>
          </cell>
        </row>
        <row r="7871">
          <cell r="B7871">
            <v>50.45</v>
          </cell>
          <cell r="C7871">
            <v>117.91</v>
          </cell>
          <cell r="D7871">
            <v>18.61</v>
          </cell>
          <cell r="E7871">
            <v>8.81</v>
          </cell>
          <cell r="H7871">
            <v>45619</v>
          </cell>
          <cell r="I7871">
            <v>1.1311111111111112</v>
          </cell>
          <cell r="J7871">
            <v>27.855555555555558</v>
          </cell>
        </row>
        <row r="7872">
          <cell r="B7872">
            <v>49.74</v>
          </cell>
          <cell r="C7872">
            <v>106.73</v>
          </cell>
          <cell r="D7872">
            <v>17.41</v>
          </cell>
          <cell r="E7872">
            <v>9.14</v>
          </cell>
          <cell r="H7872">
            <v>45619</v>
          </cell>
          <cell r="I7872">
            <v>1.1366666666666667</v>
          </cell>
          <cell r="J7872">
            <v>26.531111111111112</v>
          </cell>
        </row>
        <row r="7873">
          <cell r="B7873">
            <v>51.64</v>
          </cell>
          <cell r="C7873">
            <v>106.54</v>
          </cell>
          <cell r="D7873">
            <v>16.96</v>
          </cell>
          <cell r="E7873">
            <v>9.14</v>
          </cell>
          <cell r="H7873">
            <v>45619</v>
          </cell>
          <cell r="I7873">
            <v>1.1044444444444446</v>
          </cell>
          <cell r="J7873">
            <v>25.169999999999998</v>
          </cell>
        </row>
        <row r="7874">
          <cell r="B7874">
            <v>51.67</v>
          </cell>
          <cell r="C7874">
            <v>102.8</v>
          </cell>
          <cell r="D7874">
            <v>16.71</v>
          </cell>
          <cell r="E7874">
            <v>8.49</v>
          </cell>
          <cell r="H7874">
            <v>45620</v>
          </cell>
          <cell r="I7874">
            <v>1.088888888888889</v>
          </cell>
          <cell r="J7874">
            <v>24.01</v>
          </cell>
        </row>
        <row r="7875">
          <cell r="B7875">
            <v>52.06</v>
          </cell>
          <cell r="C7875">
            <v>101.08</v>
          </cell>
          <cell r="D7875">
            <v>16.579999999999998</v>
          </cell>
          <cell r="E7875">
            <v>8.1199999999999992</v>
          </cell>
          <cell r="H7875">
            <v>45620</v>
          </cell>
          <cell r="I7875">
            <v>1.0455555555555556</v>
          </cell>
          <cell r="J7875">
            <v>23.421111111111109</v>
          </cell>
        </row>
        <row r="7876">
          <cell r="B7876">
            <v>52.19</v>
          </cell>
          <cell r="C7876">
            <v>96.71</v>
          </cell>
          <cell r="D7876">
            <v>16.48</v>
          </cell>
          <cell r="E7876">
            <v>8.93</v>
          </cell>
          <cell r="H7876">
            <v>45620</v>
          </cell>
          <cell r="I7876">
            <v>1.02</v>
          </cell>
          <cell r="J7876">
            <v>23.150000000000002</v>
          </cell>
        </row>
        <row r="7877">
          <cell r="B7877">
            <v>54.32</v>
          </cell>
          <cell r="C7877">
            <v>93.56</v>
          </cell>
          <cell r="D7877">
            <v>16.41</v>
          </cell>
          <cell r="E7877">
            <v>8.9600000000000009</v>
          </cell>
          <cell r="H7877">
            <v>45620</v>
          </cell>
          <cell r="I7877">
            <v>0.94222222222222229</v>
          </cell>
          <cell r="J7877">
            <v>23.608888888888888</v>
          </cell>
        </row>
        <row r="7878">
          <cell r="B7878">
            <v>53.1</v>
          </cell>
          <cell r="C7878">
            <v>97.18</v>
          </cell>
          <cell r="D7878">
            <v>16.440000000000001</v>
          </cell>
          <cell r="E7878">
            <v>8.85</v>
          </cell>
          <cell r="H7878">
            <v>45620</v>
          </cell>
          <cell r="I7878">
            <v>0.85555555555555562</v>
          </cell>
          <cell r="J7878">
            <v>23.988888888888887</v>
          </cell>
        </row>
        <row r="7879">
          <cell r="B7879">
            <v>49.88</v>
          </cell>
          <cell r="C7879">
            <v>92.86</v>
          </cell>
          <cell r="D7879">
            <v>17.89</v>
          </cell>
          <cell r="E7879">
            <v>10.24</v>
          </cell>
          <cell r="H7879">
            <v>45620</v>
          </cell>
          <cell r="I7879">
            <v>0.82111111111111112</v>
          </cell>
          <cell r="J7879">
            <v>24.274444444444441</v>
          </cell>
        </row>
        <row r="7880">
          <cell r="B7880">
            <v>51.45</v>
          </cell>
          <cell r="C7880">
            <v>95.1</v>
          </cell>
          <cell r="D7880">
            <v>18.54</v>
          </cell>
          <cell r="E7880">
            <v>10.45</v>
          </cell>
          <cell r="H7880">
            <v>45620</v>
          </cell>
          <cell r="I7880">
            <v>0.80888888888888888</v>
          </cell>
          <cell r="J7880">
            <v>24.538888888888888</v>
          </cell>
        </row>
        <row r="7881">
          <cell r="B7881">
            <v>50.87</v>
          </cell>
          <cell r="C7881">
            <v>105.85</v>
          </cell>
          <cell r="D7881">
            <v>18.68</v>
          </cell>
          <cell r="E7881">
            <v>10.44</v>
          </cell>
          <cell r="H7881">
            <v>45620</v>
          </cell>
          <cell r="I7881">
            <v>0.81333333333333335</v>
          </cell>
          <cell r="J7881">
            <v>24.406666666666666</v>
          </cell>
        </row>
        <row r="7882">
          <cell r="B7882">
            <v>49.21</v>
          </cell>
          <cell r="C7882">
            <v>106.71</v>
          </cell>
          <cell r="D7882">
            <v>18.5</v>
          </cell>
          <cell r="E7882">
            <v>9.67</v>
          </cell>
          <cell r="H7882">
            <v>45620</v>
          </cell>
          <cell r="I7882">
            <v>0.82333333333333336</v>
          </cell>
          <cell r="J7882">
            <v>24.37222222222222</v>
          </cell>
        </row>
        <row r="7883">
          <cell r="B7883">
            <v>46.94</v>
          </cell>
          <cell r="C7883">
            <v>100.76</v>
          </cell>
          <cell r="D7883">
            <v>18.57</v>
          </cell>
          <cell r="E7883">
            <v>8.57</v>
          </cell>
          <cell r="H7883">
            <v>45620</v>
          </cell>
          <cell r="I7883">
            <v>0.82333333333333325</v>
          </cell>
          <cell r="J7883">
            <v>24.605555555555554</v>
          </cell>
        </row>
        <row r="7884">
          <cell r="B7884">
            <v>45.03</v>
          </cell>
          <cell r="C7884">
            <v>94.35</v>
          </cell>
          <cell r="D7884">
            <v>17.190000000000001</v>
          </cell>
          <cell r="E7884">
            <v>8.91</v>
          </cell>
          <cell r="H7884">
            <v>45620</v>
          </cell>
          <cell r="I7884">
            <v>0.8322222222222222</v>
          </cell>
          <cell r="J7884">
            <v>25.060000000000002</v>
          </cell>
        </row>
        <row r="7885">
          <cell r="B7885">
            <v>39.61</v>
          </cell>
          <cell r="C7885">
            <v>79.53</v>
          </cell>
          <cell r="D7885">
            <v>16.62</v>
          </cell>
          <cell r="E7885">
            <v>8.8800000000000008</v>
          </cell>
          <cell r="H7885">
            <v>45620</v>
          </cell>
          <cell r="I7885">
            <v>0.84</v>
          </cell>
          <cell r="J7885">
            <v>25.799999999999997</v>
          </cell>
        </row>
        <row r="7886">
          <cell r="B7886">
            <v>37.01</v>
          </cell>
          <cell r="C7886">
            <v>69.92</v>
          </cell>
          <cell r="D7886">
            <v>16.760000000000002</v>
          </cell>
          <cell r="E7886">
            <v>8.82</v>
          </cell>
          <cell r="H7886">
            <v>45620</v>
          </cell>
          <cell r="I7886">
            <v>0.8455555555555555</v>
          </cell>
          <cell r="J7886">
            <v>26.25888888888889</v>
          </cell>
        </row>
        <row r="7887">
          <cell r="B7887">
            <v>33.83</v>
          </cell>
          <cell r="C7887">
            <v>66.489999999999995</v>
          </cell>
          <cell r="D7887">
            <v>16.95</v>
          </cell>
          <cell r="E7887">
            <v>9.16</v>
          </cell>
          <cell r="H7887">
            <v>45620</v>
          </cell>
          <cell r="I7887">
            <v>0.84111111111111114</v>
          </cell>
          <cell r="J7887">
            <v>26.883333333333333</v>
          </cell>
        </row>
        <row r="7888">
          <cell r="B7888">
            <v>31.9</v>
          </cell>
          <cell r="C7888">
            <v>63.89</v>
          </cell>
          <cell r="D7888">
            <v>17.239999999999998</v>
          </cell>
          <cell r="E7888">
            <v>9.92</v>
          </cell>
          <cell r="H7888">
            <v>45620</v>
          </cell>
          <cell r="I7888">
            <v>0.83222222222222209</v>
          </cell>
          <cell r="J7888">
            <v>27.593333333333334</v>
          </cell>
        </row>
        <row r="7889">
          <cell r="B7889">
            <v>32.1</v>
          </cell>
          <cell r="C7889">
            <v>65.27</v>
          </cell>
          <cell r="D7889">
            <v>17.350000000000001</v>
          </cell>
          <cell r="E7889">
            <v>9.51</v>
          </cell>
          <cell r="H7889">
            <v>45620</v>
          </cell>
          <cell r="I7889">
            <v>0.82222222222222219</v>
          </cell>
          <cell r="J7889">
            <v>28.085555555555558</v>
          </cell>
        </row>
        <row r="7890">
          <cell r="B7890">
            <v>34.33</v>
          </cell>
          <cell r="C7890">
            <v>70.3</v>
          </cell>
          <cell r="D7890">
            <v>17.71</v>
          </cell>
          <cell r="E7890">
            <v>8.8699999999999992</v>
          </cell>
          <cell r="H7890">
            <v>45620</v>
          </cell>
          <cell r="I7890">
            <v>0.81555555555555559</v>
          </cell>
          <cell r="J7890">
            <v>28.555555555555557</v>
          </cell>
        </row>
        <row r="7891">
          <cell r="B7891">
            <v>35.07</v>
          </cell>
          <cell r="C7891">
            <v>75.900000000000006</v>
          </cell>
          <cell r="D7891">
            <v>18.53</v>
          </cell>
          <cell r="E7891">
            <v>8.4499999999999993</v>
          </cell>
          <cell r="H7891">
            <v>45620</v>
          </cell>
          <cell r="I7891">
            <v>0.81444444444444442</v>
          </cell>
          <cell r="J7891">
            <v>28.771111111111111</v>
          </cell>
        </row>
        <row r="7892">
          <cell r="B7892">
            <v>36.19</v>
          </cell>
          <cell r="C7892">
            <v>78.27</v>
          </cell>
          <cell r="D7892">
            <v>19.88</v>
          </cell>
          <cell r="E7892">
            <v>8.86</v>
          </cell>
          <cell r="H7892">
            <v>45620</v>
          </cell>
          <cell r="I7892">
            <v>0.83000000000000007</v>
          </cell>
          <cell r="J7892">
            <v>28.693333333333328</v>
          </cell>
        </row>
        <row r="7893">
          <cell r="B7893">
            <v>40.17</v>
          </cell>
          <cell r="C7893">
            <v>90.76</v>
          </cell>
          <cell r="D7893">
            <v>21.01</v>
          </cell>
          <cell r="E7893">
            <v>8.7100000000000009</v>
          </cell>
          <cell r="H7893">
            <v>45620</v>
          </cell>
          <cell r="I7893">
            <v>0.85444444444444434</v>
          </cell>
          <cell r="J7893">
            <v>28.152222222222221</v>
          </cell>
        </row>
        <row r="7894">
          <cell r="B7894">
            <v>44.8</v>
          </cell>
          <cell r="C7894">
            <v>101.02</v>
          </cell>
          <cell r="D7894">
            <v>20.149999999999999</v>
          </cell>
          <cell r="E7894">
            <v>9.4</v>
          </cell>
          <cell r="H7894">
            <v>45620</v>
          </cell>
          <cell r="I7894">
            <v>0.86888888888888893</v>
          </cell>
          <cell r="J7894">
            <v>27.33444444444444</v>
          </cell>
        </row>
        <row r="7895">
          <cell r="B7895">
            <v>45.37</v>
          </cell>
          <cell r="C7895">
            <v>100.35</v>
          </cell>
          <cell r="D7895">
            <v>18.920000000000002</v>
          </cell>
          <cell r="E7895">
            <v>9.48</v>
          </cell>
          <cell r="H7895">
            <v>45620</v>
          </cell>
          <cell r="I7895">
            <v>0.87444444444444458</v>
          </cell>
          <cell r="J7895">
            <v>26.774444444444445</v>
          </cell>
        </row>
        <row r="7896">
          <cell r="B7896">
            <v>45.76</v>
          </cell>
          <cell r="C7896">
            <v>91.5</v>
          </cell>
          <cell r="D7896">
            <v>18.16</v>
          </cell>
          <cell r="E7896">
            <v>9.74</v>
          </cell>
          <cell r="H7896">
            <v>45620</v>
          </cell>
          <cell r="I7896">
            <v>0.88000000000000012</v>
          </cell>
          <cell r="J7896">
            <v>26.161111111111111</v>
          </cell>
        </row>
        <row r="7897">
          <cell r="B7897">
            <v>47.9</v>
          </cell>
          <cell r="C7897">
            <v>90.06</v>
          </cell>
          <cell r="D7897">
            <v>17.88</v>
          </cell>
          <cell r="E7897">
            <v>9.3699999999999992</v>
          </cell>
          <cell r="H7897">
            <v>45620</v>
          </cell>
          <cell r="I7897">
            <v>0.88111111111111129</v>
          </cell>
          <cell r="J7897">
            <v>25.31666666666667</v>
          </cell>
        </row>
        <row r="7898">
          <cell r="B7898">
            <v>48.8</v>
          </cell>
          <cell r="C7898">
            <v>88.66</v>
          </cell>
          <cell r="D7898">
            <v>17.38</v>
          </cell>
          <cell r="E7898">
            <v>8.74</v>
          </cell>
          <cell r="H7898">
            <v>45621</v>
          </cell>
          <cell r="I7898">
            <v>0.87333333333333341</v>
          </cell>
          <cell r="J7898">
            <v>24.728888888888893</v>
          </cell>
        </row>
        <row r="7899">
          <cell r="B7899">
            <v>47.06</v>
          </cell>
          <cell r="C7899">
            <v>86.37</v>
          </cell>
          <cell r="D7899">
            <v>17.059999999999999</v>
          </cell>
          <cell r="E7899">
            <v>8.26</v>
          </cell>
          <cell r="H7899">
            <v>45621</v>
          </cell>
          <cell r="I7899">
            <v>0.86111111111111116</v>
          </cell>
          <cell r="J7899">
            <v>24.294444444444444</v>
          </cell>
        </row>
        <row r="7900">
          <cell r="B7900">
            <v>44.05</v>
          </cell>
          <cell r="C7900">
            <v>84.04</v>
          </cell>
          <cell r="D7900">
            <v>17.100000000000001</v>
          </cell>
          <cell r="E7900">
            <v>8.41</v>
          </cell>
          <cell r="H7900">
            <v>45621</v>
          </cell>
          <cell r="I7900">
            <v>0.83999999999999986</v>
          </cell>
          <cell r="J7900">
            <v>24.053333333333331</v>
          </cell>
        </row>
        <row r="7901">
          <cell r="B7901">
            <v>41.29</v>
          </cell>
          <cell r="C7901">
            <v>78.209999999999994</v>
          </cell>
          <cell r="D7901">
            <v>16.91</v>
          </cell>
          <cell r="E7901">
            <v>8.43</v>
          </cell>
          <cell r="H7901">
            <v>45621</v>
          </cell>
          <cell r="I7901">
            <v>0.80666666666666664</v>
          </cell>
          <cell r="J7901">
            <v>23.999999999999996</v>
          </cell>
        </row>
        <row r="7902">
          <cell r="B7902">
            <v>39.880000000000003</v>
          </cell>
          <cell r="C7902">
            <v>75.959999999999994</v>
          </cell>
          <cell r="D7902">
            <v>17.13</v>
          </cell>
          <cell r="E7902">
            <v>9.19</v>
          </cell>
          <cell r="H7902">
            <v>45621</v>
          </cell>
          <cell r="I7902">
            <v>0.7633333333333332</v>
          </cell>
          <cell r="J7902">
            <v>24.177777777777777</v>
          </cell>
        </row>
        <row r="7903">
          <cell r="B7903">
            <v>41.35</v>
          </cell>
          <cell r="C7903">
            <v>77.05</v>
          </cell>
          <cell r="D7903">
            <v>17.559999999999999</v>
          </cell>
          <cell r="E7903">
            <v>10.36</v>
          </cell>
          <cell r="H7903">
            <v>45621</v>
          </cell>
          <cell r="I7903">
            <v>0.74111111111111105</v>
          </cell>
          <cell r="J7903">
            <v>24.501111111111111</v>
          </cell>
        </row>
        <row r="7904">
          <cell r="B7904">
            <v>42.61</v>
          </cell>
          <cell r="C7904">
            <v>80.94</v>
          </cell>
          <cell r="D7904">
            <v>18.239999999999998</v>
          </cell>
          <cell r="E7904">
            <v>10.42</v>
          </cell>
          <cell r="H7904">
            <v>45621</v>
          </cell>
          <cell r="I7904">
            <v>0.73888888888888904</v>
          </cell>
          <cell r="J7904">
            <v>24.542222222222225</v>
          </cell>
        </row>
        <row r="7905">
          <cell r="B7905">
            <v>42.07</v>
          </cell>
          <cell r="C7905">
            <v>88.15</v>
          </cell>
          <cell r="D7905">
            <v>18.91</v>
          </cell>
          <cell r="E7905">
            <v>10.06</v>
          </cell>
          <cell r="H7905">
            <v>45621</v>
          </cell>
          <cell r="I7905">
            <v>0.75444444444444447</v>
          </cell>
          <cell r="J7905">
            <v>24.364444444444445</v>
          </cell>
        </row>
        <row r="7906">
          <cell r="B7906">
            <v>43.66</v>
          </cell>
          <cell r="C7906">
            <v>96.03</v>
          </cell>
          <cell r="D7906">
            <v>19.420000000000002</v>
          </cell>
          <cell r="E7906">
            <v>9.08</v>
          </cell>
          <cell r="H7906">
            <v>45621</v>
          </cell>
          <cell r="I7906">
            <v>0.77666666666666673</v>
          </cell>
          <cell r="J7906">
            <v>24.416666666666668</v>
          </cell>
        </row>
        <row r="7907">
          <cell r="B7907">
            <v>42.07</v>
          </cell>
          <cell r="C7907">
            <v>93.55</v>
          </cell>
          <cell r="D7907">
            <v>18.63</v>
          </cell>
          <cell r="E7907">
            <v>8.9600000000000009</v>
          </cell>
          <cell r="H7907">
            <v>45621</v>
          </cell>
          <cell r="I7907">
            <v>0.80666666666666664</v>
          </cell>
          <cell r="J7907">
            <v>24.528888888888886</v>
          </cell>
        </row>
        <row r="7908">
          <cell r="B7908">
            <v>40.159999999999997</v>
          </cell>
          <cell r="C7908">
            <v>88.14</v>
          </cell>
          <cell r="D7908">
            <v>17.89</v>
          </cell>
          <cell r="E7908">
            <v>9.42</v>
          </cell>
          <cell r="H7908">
            <v>45621</v>
          </cell>
          <cell r="I7908">
            <v>0.8322222222222222</v>
          </cell>
          <cell r="J7908">
            <v>24.678888888888888</v>
          </cell>
        </row>
        <row r="7909">
          <cell r="B7909">
            <v>34.729999999999997</v>
          </cell>
          <cell r="C7909">
            <v>73.06</v>
          </cell>
          <cell r="D7909">
            <v>17.96</v>
          </cell>
          <cell r="E7909">
            <v>9.36</v>
          </cell>
          <cell r="H7909">
            <v>45621</v>
          </cell>
          <cell r="I7909">
            <v>0.85111111111111115</v>
          </cell>
          <cell r="J7909">
            <v>25.065555555555555</v>
          </cell>
        </row>
        <row r="7910">
          <cell r="B7910">
            <v>34.82</v>
          </cell>
          <cell r="C7910">
            <v>67.62</v>
          </cell>
          <cell r="D7910">
            <v>18.12</v>
          </cell>
          <cell r="E7910">
            <v>9.4499999999999993</v>
          </cell>
          <cell r="H7910">
            <v>45621</v>
          </cell>
          <cell r="I7910">
            <v>0.86111111111111116</v>
          </cell>
          <cell r="J7910">
            <v>25.211111111111112</v>
          </cell>
        </row>
        <row r="7911">
          <cell r="B7911">
            <v>32.85</v>
          </cell>
          <cell r="C7911">
            <v>64.040000000000006</v>
          </cell>
          <cell r="D7911">
            <v>17.89</v>
          </cell>
          <cell r="E7911">
            <v>10.09</v>
          </cell>
          <cell r="H7911">
            <v>45621</v>
          </cell>
          <cell r="I7911">
            <v>0.86888888888888893</v>
          </cell>
          <cell r="J7911">
            <v>25.387777777777774</v>
          </cell>
        </row>
        <row r="7912">
          <cell r="B7912">
            <v>31.95</v>
          </cell>
          <cell r="C7912">
            <v>66.83</v>
          </cell>
          <cell r="D7912">
            <v>17.8</v>
          </cell>
          <cell r="E7912">
            <v>10.5</v>
          </cell>
          <cell r="H7912">
            <v>45621</v>
          </cell>
          <cell r="I7912">
            <v>0.87222222222222223</v>
          </cell>
          <cell r="J7912">
            <v>25.846666666666664</v>
          </cell>
        </row>
        <row r="7913">
          <cell r="B7913">
            <v>33.119999999999997</v>
          </cell>
          <cell r="C7913">
            <v>67.739999999999995</v>
          </cell>
          <cell r="D7913">
            <v>18.149999999999999</v>
          </cell>
          <cell r="E7913">
            <v>10.24</v>
          </cell>
          <cell r="H7913">
            <v>45621</v>
          </cell>
          <cell r="I7913">
            <v>0.87333333333333329</v>
          </cell>
          <cell r="J7913">
            <v>26.004444444444445</v>
          </cell>
        </row>
        <row r="7914">
          <cell r="B7914">
            <v>35.729999999999997</v>
          </cell>
          <cell r="C7914">
            <v>71.22</v>
          </cell>
          <cell r="D7914">
            <v>18.89</v>
          </cell>
          <cell r="E7914">
            <v>9.75</v>
          </cell>
          <cell r="H7914">
            <v>45621</v>
          </cell>
          <cell r="I7914">
            <v>0.8666666666666667</v>
          </cell>
          <cell r="J7914">
            <v>26.231111111111108</v>
          </cell>
        </row>
        <row r="7915">
          <cell r="B7915">
            <v>33.81</v>
          </cell>
          <cell r="C7915">
            <v>72.150000000000006</v>
          </cell>
          <cell r="D7915">
            <v>18.77</v>
          </cell>
          <cell r="E7915">
            <v>9.4499999999999993</v>
          </cell>
          <cell r="H7915">
            <v>45621</v>
          </cell>
          <cell r="I7915">
            <v>0.87000000000000011</v>
          </cell>
          <cell r="J7915">
            <v>26.177777777777777</v>
          </cell>
        </row>
        <row r="7916">
          <cell r="B7916">
            <v>38.6</v>
          </cell>
          <cell r="C7916">
            <v>87.46</v>
          </cell>
          <cell r="D7916">
            <v>19.64</v>
          </cell>
          <cell r="E7916">
            <v>9.49</v>
          </cell>
          <cell r="H7916">
            <v>45621</v>
          </cell>
          <cell r="I7916">
            <v>0.88666666666666671</v>
          </cell>
          <cell r="J7916">
            <v>25.837777777777777</v>
          </cell>
        </row>
        <row r="7917">
          <cell r="B7917">
            <v>37.6</v>
          </cell>
          <cell r="C7917">
            <v>92.22</v>
          </cell>
          <cell r="D7917">
            <v>19.71</v>
          </cell>
          <cell r="E7917">
            <v>9.67</v>
          </cell>
          <cell r="H7917">
            <v>45621</v>
          </cell>
          <cell r="I7917">
            <v>0.89777777777777779</v>
          </cell>
          <cell r="J7917">
            <v>25.463333333333335</v>
          </cell>
        </row>
        <row r="7918">
          <cell r="B7918">
            <v>39.020000000000003</v>
          </cell>
          <cell r="C7918">
            <v>89.73</v>
          </cell>
          <cell r="D7918">
            <v>18.920000000000002</v>
          </cell>
          <cell r="E7918">
            <v>9.9</v>
          </cell>
          <cell r="H7918">
            <v>45621</v>
          </cell>
          <cell r="I7918">
            <v>0.90888888888888886</v>
          </cell>
          <cell r="J7918">
            <v>24.923333333333332</v>
          </cell>
        </row>
        <row r="7919">
          <cell r="B7919">
            <v>41.52</v>
          </cell>
          <cell r="C7919">
            <v>88.68</v>
          </cell>
          <cell r="D7919">
            <v>18.72</v>
          </cell>
          <cell r="E7919">
            <v>10.52</v>
          </cell>
          <cell r="H7919">
            <v>45621</v>
          </cell>
          <cell r="I7919">
            <v>0.91666666666666663</v>
          </cell>
          <cell r="J7919">
            <v>24.612222222222222</v>
          </cell>
        </row>
        <row r="7920">
          <cell r="B7920">
            <v>43.95</v>
          </cell>
          <cell r="C7920">
            <v>87.52</v>
          </cell>
          <cell r="D7920">
            <v>18.260000000000002</v>
          </cell>
          <cell r="E7920">
            <v>10.63</v>
          </cell>
          <cell r="H7920">
            <v>45621</v>
          </cell>
          <cell r="I7920">
            <v>0.91999999999999993</v>
          </cell>
          <cell r="J7920">
            <v>24.265555555555554</v>
          </cell>
        </row>
        <row r="7921">
          <cell r="B7921">
            <v>46.12</v>
          </cell>
          <cell r="C7921">
            <v>91.04</v>
          </cell>
          <cell r="D7921">
            <v>17.899999999999999</v>
          </cell>
          <cell r="E7921">
            <v>10.1</v>
          </cell>
          <cell r="H7921">
            <v>45621</v>
          </cell>
          <cell r="I7921">
            <v>0.91333333333333322</v>
          </cell>
          <cell r="J7921">
            <v>23.455555555555556</v>
          </cell>
        </row>
        <row r="7922">
          <cell r="B7922">
            <v>50.95</v>
          </cell>
          <cell r="C7922">
            <v>92.21</v>
          </cell>
          <cell r="D7922">
            <v>17.920000000000002</v>
          </cell>
          <cell r="E7922">
            <v>9.32</v>
          </cell>
          <cell r="H7922">
            <v>45622</v>
          </cell>
          <cell r="I7922">
            <v>0.89999999999999991</v>
          </cell>
          <cell r="J7922">
            <v>23.064444444444447</v>
          </cell>
        </row>
        <row r="7923">
          <cell r="B7923">
            <v>48.3</v>
          </cell>
          <cell r="C7923">
            <v>91.12</v>
          </cell>
          <cell r="D7923">
            <v>17.7</v>
          </cell>
          <cell r="E7923">
            <v>9.2100000000000009</v>
          </cell>
          <cell r="H7923">
            <v>45622</v>
          </cell>
          <cell r="I7923">
            <v>0.88111111111111107</v>
          </cell>
          <cell r="J7923">
            <v>22.826666666666668</v>
          </cell>
        </row>
        <row r="7924">
          <cell r="B7924">
            <v>46.19</v>
          </cell>
          <cell r="C7924">
            <v>85.92</v>
          </cell>
          <cell r="D7924">
            <v>17.579999999999998</v>
          </cell>
          <cell r="E7924">
            <v>9.5399999999999991</v>
          </cell>
          <cell r="H7924">
            <v>45622</v>
          </cell>
          <cell r="I7924">
            <v>0.8455555555555555</v>
          </cell>
          <cell r="J7924">
            <v>22.935555555555553</v>
          </cell>
        </row>
        <row r="7925">
          <cell r="B7925">
            <v>43.88</v>
          </cell>
          <cell r="C7925">
            <v>79.87</v>
          </cell>
          <cell r="D7925">
            <v>17.73</v>
          </cell>
          <cell r="E7925">
            <v>9.02</v>
          </cell>
          <cell r="H7925">
            <v>45622</v>
          </cell>
          <cell r="I7925">
            <v>0.79222222222222216</v>
          </cell>
          <cell r="J7925">
            <v>23.542222222222222</v>
          </cell>
        </row>
        <row r="7926">
          <cell r="B7926">
            <v>44.76</v>
          </cell>
          <cell r="C7926">
            <v>81.88</v>
          </cell>
          <cell r="D7926">
            <v>17.98</v>
          </cell>
          <cell r="E7926">
            <v>9.6300000000000008</v>
          </cell>
          <cell r="H7926">
            <v>45622</v>
          </cell>
          <cell r="I7926">
            <v>0.75111111111111106</v>
          </cell>
          <cell r="J7926">
            <v>23.99</v>
          </cell>
        </row>
        <row r="7927">
          <cell r="B7927">
            <v>45.9</v>
          </cell>
          <cell r="C7927">
            <v>84.03</v>
          </cell>
          <cell r="D7927">
            <v>18.29</v>
          </cell>
          <cell r="E7927">
            <v>10.79</v>
          </cell>
          <cell r="H7927">
            <v>45622</v>
          </cell>
          <cell r="I7927">
            <v>0.72666666666666657</v>
          </cell>
          <cell r="J7927">
            <v>24.42</v>
          </cell>
        </row>
        <row r="7928">
          <cell r="B7928">
            <v>51.57</v>
          </cell>
          <cell r="C7928">
            <v>92.73</v>
          </cell>
          <cell r="D7928">
            <v>18.75</v>
          </cell>
          <cell r="E7928">
            <v>10.49</v>
          </cell>
          <cell r="H7928">
            <v>45622</v>
          </cell>
          <cell r="I7928">
            <v>0.72444444444444445</v>
          </cell>
          <cell r="J7928">
            <v>24.786666666666669</v>
          </cell>
        </row>
        <row r="7929">
          <cell r="B7929">
            <v>52.26</v>
          </cell>
          <cell r="C7929">
            <v>100.93</v>
          </cell>
          <cell r="D7929">
            <v>19.46</v>
          </cell>
          <cell r="E7929">
            <v>10.17</v>
          </cell>
          <cell r="H7929">
            <v>45622</v>
          </cell>
          <cell r="I7929">
            <v>0.73333333333333339</v>
          </cell>
          <cell r="J7929">
            <v>24.896666666666668</v>
          </cell>
        </row>
        <row r="7930">
          <cell r="B7930">
            <v>52.51</v>
          </cell>
          <cell r="C7930">
            <v>105.17</v>
          </cell>
          <cell r="D7930">
            <v>19.12</v>
          </cell>
          <cell r="E7930">
            <v>9.92</v>
          </cell>
          <cell r="H7930">
            <v>45622</v>
          </cell>
          <cell r="I7930">
            <v>0.76111111111111118</v>
          </cell>
          <cell r="J7930">
            <v>25.082222222222224</v>
          </cell>
        </row>
        <row r="7931">
          <cell r="B7931">
            <v>50.6</v>
          </cell>
          <cell r="C7931">
            <v>102.88</v>
          </cell>
          <cell r="D7931">
            <v>18.79</v>
          </cell>
          <cell r="E7931">
            <v>9.82</v>
          </cell>
          <cell r="H7931">
            <v>45622</v>
          </cell>
          <cell r="I7931">
            <v>0.79777777777777781</v>
          </cell>
          <cell r="J7931">
            <v>25.254444444444445</v>
          </cell>
        </row>
        <row r="7932">
          <cell r="B7932">
            <v>51.08</v>
          </cell>
          <cell r="C7932">
            <v>99.04</v>
          </cell>
          <cell r="D7932">
            <v>17.78</v>
          </cell>
          <cell r="E7932">
            <v>9.01</v>
          </cell>
          <cell r="H7932">
            <v>45622</v>
          </cell>
          <cell r="I7932">
            <v>0.8355555555555555</v>
          </cell>
          <cell r="J7932">
            <v>25.463333333333335</v>
          </cell>
        </row>
        <row r="7933">
          <cell r="B7933">
            <v>49.93</v>
          </cell>
          <cell r="C7933">
            <v>95.79</v>
          </cell>
          <cell r="D7933">
            <v>18.45</v>
          </cell>
          <cell r="E7933">
            <v>9.3000000000000007</v>
          </cell>
          <cell r="H7933">
            <v>45622</v>
          </cell>
          <cell r="I7933">
            <v>0.85888888888888881</v>
          </cell>
          <cell r="J7933">
            <v>25.568888888888885</v>
          </cell>
        </row>
        <row r="7934">
          <cell r="B7934">
            <v>45.23</v>
          </cell>
          <cell r="C7934">
            <v>85.75</v>
          </cell>
          <cell r="D7934">
            <v>18.45</v>
          </cell>
          <cell r="E7934">
            <v>10.039999999999999</v>
          </cell>
          <cell r="H7934">
            <v>45622</v>
          </cell>
          <cell r="I7934">
            <v>0.87555555555555542</v>
          </cell>
          <cell r="J7934">
            <v>25.498888888888889</v>
          </cell>
        </row>
        <row r="7935">
          <cell r="B7935">
            <v>43.83</v>
          </cell>
          <cell r="C7935">
            <v>84.91</v>
          </cell>
          <cell r="D7935">
            <v>18.559999999999999</v>
          </cell>
          <cell r="E7935">
            <v>10.52</v>
          </cell>
          <cell r="H7935">
            <v>45622</v>
          </cell>
          <cell r="I7935">
            <v>0.89555555555555544</v>
          </cell>
          <cell r="J7935">
            <v>25.571111111111108</v>
          </cell>
        </row>
        <row r="7936">
          <cell r="B7936">
            <v>43.49</v>
          </cell>
          <cell r="C7936">
            <v>84.36</v>
          </cell>
          <cell r="D7936">
            <v>19.18</v>
          </cell>
          <cell r="E7936">
            <v>10.82</v>
          </cell>
          <cell r="H7936">
            <v>45622</v>
          </cell>
          <cell r="I7936">
            <v>0.91333333333333344</v>
          </cell>
          <cell r="J7936">
            <v>25.661111111111111</v>
          </cell>
        </row>
        <row r="7937">
          <cell r="B7937">
            <v>45.43</v>
          </cell>
          <cell r="C7937">
            <v>89.07</v>
          </cell>
          <cell r="D7937">
            <v>19.43</v>
          </cell>
          <cell r="E7937">
            <v>10.37</v>
          </cell>
          <cell r="H7937">
            <v>45622</v>
          </cell>
          <cell r="I7937">
            <v>0.91666666666666663</v>
          </cell>
          <cell r="J7937">
            <v>25.916666666666668</v>
          </cell>
        </row>
        <row r="7938">
          <cell r="B7938">
            <v>46.09</v>
          </cell>
          <cell r="C7938">
            <v>110.54</v>
          </cell>
          <cell r="D7938">
            <v>19.55</v>
          </cell>
          <cell r="E7938">
            <v>9.66</v>
          </cell>
          <cell r="H7938">
            <v>45622</v>
          </cell>
          <cell r="I7938">
            <v>0.92222222222222228</v>
          </cell>
          <cell r="J7938">
            <v>26.030000000000005</v>
          </cell>
        </row>
        <row r="7939">
          <cell r="B7939">
            <v>42.48</v>
          </cell>
          <cell r="C7939">
            <v>87.89</v>
          </cell>
          <cell r="D7939">
            <v>19.25</v>
          </cell>
          <cell r="E7939">
            <v>9.4499999999999993</v>
          </cell>
          <cell r="H7939">
            <v>45622</v>
          </cell>
          <cell r="I7939">
            <v>0.9177777777777778</v>
          </cell>
          <cell r="J7939">
            <v>25.871111111111112</v>
          </cell>
        </row>
        <row r="7940">
          <cell r="B7940">
            <v>38.33</v>
          </cell>
          <cell r="C7940">
            <v>78.05</v>
          </cell>
          <cell r="D7940">
            <v>19.61</v>
          </cell>
          <cell r="E7940">
            <v>9.07</v>
          </cell>
          <cell r="H7940">
            <v>45622</v>
          </cell>
          <cell r="I7940">
            <v>0.91444444444444428</v>
          </cell>
          <cell r="J7940">
            <v>25.733333333333334</v>
          </cell>
        </row>
        <row r="7941">
          <cell r="B7941">
            <v>33.520000000000003</v>
          </cell>
          <cell r="C7941">
            <v>75.27</v>
          </cell>
          <cell r="D7941">
            <v>19.43</v>
          </cell>
          <cell r="E7941">
            <v>8.89</v>
          </cell>
          <cell r="H7941">
            <v>45622</v>
          </cell>
          <cell r="I7941">
            <v>0.91555555555555534</v>
          </cell>
          <cell r="J7941">
            <v>25.53555555555555</v>
          </cell>
        </row>
        <row r="7942">
          <cell r="B7942">
            <v>32.33</v>
          </cell>
          <cell r="C7942">
            <v>67.66</v>
          </cell>
          <cell r="D7942">
            <v>19.38</v>
          </cell>
          <cell r="E7942">
            <v>9.89</v>
          </cell>
          <cell r="H7942">
            <v>45622</v>
          </cell>
          <cell r="I7942">
            <v>0.91666666666666663</v>
          </cell>
          <cell r="J7942">
            <v>25.388888888888889</v>
          </cell>
        </row>
        <row r="7943">
          <cell r="B7943">
            <v>36.11</v>
          </cell>
          <cell r="C7943">
            <v>70.81</v>
          </cell>
          <cell r="D7943">
            <v>19.18</v>
          </cell>
          <cell r="E7943">
            <v>9.82</v>
          </cell>
          <cell r="H7943">
            <v>45622</v>
          </cell>
          <cell r="I7943">
            <v>0.92222222222222228</v>
          </cell>
          <cell r="J7943">
            <v>25.042222222222222</v>
          </cell>
        </row>
        <row r="7944">
          <cell r="B7944">
            <v>42.07</v>
          </cell>
          <cell r="C7944">
            <v>75.56</v>
          </cell>
          <cell r="D7944">
            <v>19.170000000000002</v>
          </cell>
          <cell r="E7944">
            <v>10.09</v>
          </cell>
          <cell r="H7944">
            <v>45622</v>
          </cell>
          <cell r="I7944">
            <v>0.9144444444444445</v>
          </cell>
          <cell r="J7944">
            <v>24.732222222222223</v>
          </cell>
        </row>
        <row r="7945">
          <cell r="B7945">
            <v>50.98</v>
          </cell>
          <cell r="C7945">
            <v>90.1</v>
          </cell>
          <cell r="D7945">
            <v>18.600000000000001</v>
          </cell>
          <cell r="E7945">
            <v>9.69</v>
          </cell>
          <cell r="H7945">
            <v>45622</v>
          </cell>
          <cell r="I7945">
            <v>0.89777777777777779</v>
          </cell>
          <cell r="J7945">
            <v>24.482222222222227</v>
          </cell>
        </row>
        <row r="7946">
          <cell r="B7946">
            <v>58.15</v>
          </cell>
          <cell r="C7946">
            <v>114.89</v>
          </cell>
          <cell r="D7946">
            <v>18.399999999999999</v>
          </cell>
          <cell r="E7946">
            <v>8.99</v>
          </cell>
          <cell r="H7946">
            <v>45623</v>
          </cell>
          <cell r="I7946">
            <v>0.88111111111111118</v>
          </cell>
          <cell r="J7946">
            <v>24.082222222222224</v>
          </cell>
        </row>
        <row r="7947">
          <cell r="B7947">
            <v>58.88</v>
          </cell>
          <cell r="C7947">
            <v>111.66</v>
          </cell>
          <cell r="D7947">
            <v>18.329999999999998</v>
          </cell>
          <cell r="E7947">
            <v>8.7799999999999994</v>
          </cell>
          <cell r="H7947">
            <v>45623</v>
          </cell>
          <cell r="I7947">
            <v>0.86</v>
          </cell>
          <cell r="J7947">
            <v>24.133333333333336</v>
          </cell>
        </row>
        <row r="7948">
          <cell r="B7948">
            <v>54.91</v>
          </cell>
          <cell r="C7948">
            <v>102.16</v>
          </cell>
          <cell r="D7948">
            <v>18.350000000000001</v>
          </cell>
          <cell r="E7948">
            <v>8.42</v>
          </cell>
          <cell r="H7948">
            <v>45623</v>
          </cell>
          <cell r="I7948">
            <v>0.83333333333333326</v>
          </cell>
          <cell r="J7948">
            <v>24.38666666666667</v>
          </cell>
        </row>
        <row r="7949">
          <cell r="B7949">
            <v>51.32</v>
          </cell>
          <cell r="C7949">
            <v>98.07</v>
          </cell>
          <cell r="D7949">
            <v>18.28</v>
          </cell>
          <cell r="E7949">
            <v>9.09</v>
          </cell>
          <cell r="H7949">
            <v>45623</v>
          </cell>
          <cell r="I7949">
            <v>0.7977777777777777</v>
          </cell>
          <cell r="J7949">
            <v>24.74</v>
          </cell>
        </row>
        <row r="7950">
          <cell r="B7950">
            <v>50.18</v>
          </cell>
          <cell r="C7950">
            <v>92.98</v>
          </cell>
          <cell r="D7950">
            <v>18.39</v>
          </cell>
          <cell r="E7950">
            <v>9.7899999999999991</v>
          </cell>
          <cell r="H7950">
            <v>45623</v>
          </cell>
          <cell r="I7950">
            <v>0.76333333333333342</v>
          </cell>
          <cell r="J7950">
            <v>25.146666666666665</v>
          </cell>
        </row>
        <row r="7951">
          <cell r="B7951">
            <v>53.55</v>
          </cell>
          <cell r="C7951">
            <v>94.55</v>
          </cell>
          <cell r="D7951">
            <v>18.899999999999999</v>
          </cell>
          <cell r="E7951">
            <v>10.28</v>
          </cell>
          <cell r="H7951">
            <v>45623</v>
          </cell>
          <cell r="I7951">
            <v>0.74777777777777787</v>
          </cell>
          <cell r="J7951">
            <v>25.384444444444444</v>
          </cell>
        </row>
        <row r="7952">
          <cell r="B7952">
            <v>50.71</v>
          </cell>
          <cell r="C7952">
            <v>95.74</v>
          </cell>
          <cell r="D7952">
            <v>18.809999999999999</v>
          </cell>
          <cell r="E7952">
            <v>10.06</v>
          </cell>
          <cell r="H7952">
            <v>45623</v>
          </cell>
          <cell r="I7952">
            <v>0.73999999999999988</v>
          </cell>
          <cell r="J7952">
            <v>25.601111111111109</v>
          </cell>
        </row>
        <row r="7953">
          <cell r="B7953">
            <v>55</v>
          </cell>
          <cell r="C7953">
            <v>97.79</v>
          </cell>
          <cell r="D7953">
            <v>19.39</v>
          </cell>
          <cell r="E7953">
            <v>9.8800000000000008</v>
          </cell>
          <cell r="H7953">
            <v>45623</v>
          </cell>
          <cell r="I7953">
            <v>0.74666666666666659</v>
          </cell>
          <cell r="J7953">
            <v>25.681111111111111</v>
          </cell>
        </row>
        <row r="7954">
          <cell r="B7954">
            <v>54.78</v>
          </cell>
          <cell r="C7954">
            <v>104.59</v>
          </cell>
          <cell r="D7954">
            <v>19.55</v>
          </cell>
          <cell r="E7954">
            <v>9.2200000000000006</v>
          </cell>
          <cell r="H7954">
            <v>45623</v>
          </cell>
          <cell r="I7954">
            <v>0.77111111111111108</v>
          </cell>
          <cell r="J7954">
            <v>25.624444444444439</v>
          </cell>
        </row>
        <row r="7955">
          <cell r="B7955">
            <v>48.97</v>
          </cell>
          <cell r="C7955">
            <v>94.32</v>
          </cell>
          <cell r="D7955">
            <v>18.86</v>
          </cell>
          <cell r="E7955">
            <v>8.59</v>
          </cell>
          <cell r="H7955">
            <v>45623</v>
          </cell>
          <cell r="I7955">
            <v>0.80888888888888877</v>
          </cell>
          <cell r="J7955">
            <v>25.577777777777772</v>
          </cell>
        </row>
        <row r="7956">
          <cell r="B7956">
            <v>45.35</v>
          </cell>
          <cell r="C7956">
            <v>87.44</v>
          </cell>
          <cell r="D7956">
            <v>18.07</v>
          </cell>
          <cell r="E7956">
            <v>8.6999999999999993</v>
          </cell>
          <cell r="H7956">
            <v>45623</v>
          </cell>
          <cell r="I7956">
            <v>0.83777777777777773</v>
          </cell>
          <cell r="J7956">
            <v>25.528888888888886</v>
          </cell>
        </row>
        <row r="7957">
          <cell r="B7957">
            <v>45.8</v>
          </cell>
          <cell r="C7957">
            <v>92.52</v>
          </cell>
          <cell r="D7957">
            <v>17.96</v>
          </cell>
          <cell r="E7957">
            <v>8.65</v>
          </cell>
          <cell r="H7957">
            <v>45623</v>
          </cell>
          <cell r="I7957">
            <v>0.85777777777777786</v>
          </cell>
          <cell r="J7957">
            <v>25.58111111111111</v>
          </cell>
        </row>
        <row r="7958">
          <cell r="B7958">
            <v>47.54</v>
          </cell>
          <cell r="C7958">
            <v>89.18</v>
          </cell>
          <cell r="D7958">
            <v>17.96</v>
          </cell>
          <cell r="E7958">
            <v>9.25</v>
          </cell>
          <cell r="H7958">
            <v>45623</v>
          </cell>
          <cell r="I7958">
            <v>0.8666666666666667</v>
          </cell>
          <cell r="J7958">
            <v>25.597777777777779</v>
          </cell>
        </row>
        <row r="7959">
          <cell r="B7959">
            <v>44.08</v>
          </cell>
          <cell r="C7959">
            <v>83.84</v>
          </cell>
          <cell r="D7959">
            <v>17.91</v>
          </cell>
          <cell r="E7959">
            <v>9.14</v>
          </cell>
          <cell r="H7959">
            <v>45623</v>
          </cell>
          <cell r="I7959">
            <v>0.87222222222222234</v>
          </cell>
          <cell r="J7959">
            <v>25.587777777777781</v>
          </cell>
        </row>
        <row r="7960">
          <cell r="B7960">
            <v>44.77</v>
          </cell>
          <cell r="C7960">
            <v>86.11</v>
          </cell>
          <cell r="D7960">
            <v>18.5</v>
          </cell>
          <cell r="E7960">
            <v>9.6199999999999992</v>
          </cell>
          <cell r="H7960">
            <v>45623</v>
          </cell>
          <cell r="I7960">
            <v>0.88444444444444459</v>
          </cell>
          <cell r="J7960">
            <v>25.693333333333335</v>
          </cell>
        </row>
        <row r="7961">
          <cell r="B7961">
            <v>45.85</v>
          </cell>
          <cell r="C7961">
            <v>90.24</v>
          </cell>
          <cell r="D7961">
            <v>19.14</v>
          </cell>
          <cell r="E7961">
            <v>10.36</v>
          </cell>
          <cell r="H7961">
            <v>45623</v>
          </cell>
          <cell r="I7961">
            <v>0.89444444444444449</v>
          </cell>
          <cell r="J7961">
            <v>25.856666666666669</v>
          </cell>
        </row>
        <row r="7962">
          <cell r="B7962">
            <v>47.79</v>
          </cell>
          <cell r="C7962">
            <v>91.01</v>
          </cell>
          <cell r="D7962">
            <v>20.399999999999999</v>
          </cell>
          <cell r="E7962">
            <v>9.56</v>
          </cell>
          <cell r="H7962">
            <v>45623</v>
          </cell>
          <cell r="I7962">
            <v>0.90222222222222237</v>
          </cell>
          <cell r="J7962">
            <v>26.178888888888888</v>
          </cell>
        </row>
        <row r="7963">
          <cell r="B7963">
            <v>49.15</v>
          </cell>
          <cell r="C7963">
            <v>96.03</v>
          </cell>
          <cell r="D7963">
            <v>21.61</v>
          </cell>
          <cell r="E7963">
            <v>9.1199999999999992</v>
          </cell>
          <cell r="H7963">
            <v>45623</v>
          </cell>
          <cell r="I7963">
            <v>0.90555555555555556</v>
          </cell>
          <cell r="J7963">
            <v>26.502222222222219</v>
          </cell>
        </row>
        <row r="7964">
          <cell r="B7964">
            <v>52.4</v>
          </cell>
          <cell r="C7964">
            <v>101.47</v>
          </cell>
          <cell r="D7964">
            <v>22.37</v>
          </cell>
          <cell r="E7964">
            <v>8.67</v>
          </cell>
          <cell r="H7964">
            <v>45623</v>
          </cell>
          <cell r="I7964">
            <v>0.91555555555555557</v>
          </cell>
          <cell r="J7964">
            <v>26.795555555555552</v>
          </cell>
        </row>
        <row r="7965">
          <cell r="B7965">
            <v>52.09</v>
          </cell>
          <cell r="C7965">
            <v>113.64</v>
          </cell>
          <cell r="D7965">
            <v>22.81</v>
          </cell>
          <cell r="E7965">
            <v>8.89</v>
          </cell>
          <cell r="H7965">
            <v>45623</v>
          </cell>
          <cell r="I7965">
            <v>0.94222222222222229</v>
          </cell>
          <cell r="J7965">
            <v>26.995555555555555</v>
          </cell>
        </row>
        <row r="7966">
          <cell r="B7966">
            <v>54.87</v>
          </cell>
          <cell r="C7966">
            <v>115.9</v>
          </cell>
          <cell r="D7966">
            <v>23.03</v>
          </cell>
          <cell r="E7966">
            <v>9.68</v>
          </cell>
          <cell r="H7966">
            <v>45623</v>
          </cell>
          <cell r="I7966">
            <v>0.97111111111111115</v>
          </cell>
          <cell r="J7966">
            <v>27.05777777777778</v>
          </cell>
        </row>
        <row r="7967">
          <cell r="B7967">
            <v>56.6</v>
          </cell>
          <cell r="C7967">
            <v>109.54</v>
          </cell>
          <cell r="D7967">
            <v>22.47</v>
          </cell>
          <cell r="E7967">
            <v>9.4700000000000006</v>
          </cell>
          <cell r="H7967">
            <v>45623</v>
          </cell>
          <cell r="I7967">
            <v>0.98555555555555552</v>
          </cell>
          <cell r="J7967">
            <v>27.047777777777775</v>
          </cell>
        </row>
        <row r="7968">
          <cell r="B7968">
            <v>54.74</v>
          </cell>
          <cell r="C7968">
            <v>103.47</v>
          </cell>
          <cell r="D7968">
            <v>21.98</v>
          </cell>
          <cell r="E7968">
            <v>9.3000000000000007</v>
          </cell>
          <cell r="H7968">
            <v>45623</v>
          </cell>
          <cell r="I7968">
            <v>0.99222222222222223</v>
          </cell>
          <cell r="J7968">
            <v>27.073333333333338</v>
          </cell>
        </row>
        <row r="7969">
          <cell r="B7969">
            <v>52.41</v>
          </cell>
          <cell r="C7969">
            <v>96.46</v>
          </cell>
          <cell r="D7969">
            <v>21.77</v>
          </cell>
          <cell r="E7969">
            <v>9.27</v>
          </cell>
          <cell r="H7969">
            <v>45623</v>
          </cell>
          <cell r="I7969">
            <v>0.98</v>
          </cell>
          <cell r="J7969">
            <v>26.924444444444447</v>
          </cell>
        </row>
        <row r="7970">
          <cell r="B7970">
            <v>52.32</v>
          </cell>
          <cell r="C7970">
            <v>93.88</v>
          </cell>
          <cell r="D7970">
            <v>21.38</v>
          </cell>
          <cell r="E7970">
            <v>8.07</v>
          </cell>
          <cell r="H7970">
            <v>45624</v>
          </cell>
          <cell r="I7970">
            <v>0.96333333333333337</v>
          </cell>
          <cell r="J7970">
            <v>26.867777777777778</v>
          </cell>
        </row>
        <row r="7971">
          <cell r="B7971">
            <v>51.09</v>
          </cell>
          <cell r="C7971">
            <v>90.22</v>
          </cell>
          <cell r="D7971">
            <v>20.91</v>
          </cell>
          <cell r="E7971">
            <v>8.1</v>
          </cell>
          <cell r="H7971">
            <v>45624</v>
          </cell>
          <cell r="I7971">
            <v>0.94666666666666666</v>
          </cell>
          <cell r="J7971">
            <v>26.924444444444443</v>
          </cell>
        </row>
        <row r="7972">
          <cell r="B7972">
            <v>48.93</v>
          </cell>
          <cell r="C7972">
            <v>86.45</v>
          </cell>
          <cell r="D7972">
            <v>20.88</v>
          </cell>
          <cell r="E7972">
            <v>8.5500000000000007</v>
          </cell>
          <cell r="H7972">
            <v>45624</v>
          </cell>
          <cell r="I7972">
            <v>0.9177777777777778</v>
          </cell>
          <cell r="J7972">
            <v>27.051111111111108</v>
          </cell>
        </row>
        <row r="7973">
          <cell r="B7973">
            <v>46.56</v>
          </cell>
          <cell r="C7973">
            <v>81.58</v>
          </cell>
          <cell r="D7973">
            <v>20.55</v>
          </cell>
          <cell r="E7973">
            <v>8.7200000000000006</v>
          </cell>
          <cell r="H7973">
            <v>45624</v>
          </cell>
          <cell r="I7973">
            <v>0.87444444444444436</v>
          </cell>
          <cell r="J7973">
            <v>27.256666666666668</v>
          </cell>
        </row>
        <row r="7974">
          <cell r="B7974">
            <v>46.22</v>
          </cell>
          <cell r="C7974">
            <v>78.989999999999995</v>
          </cell>
          <cell r="D7974">
            <v>21.21</v>
          </cell>
          <cell r="E7974">
            <v>9.73</v>
          </cell>
          <cell r="H7974">
            <v>45624</v>
          </cell>
          <cell r="I7974">
            <v>0.82000000000000006</v>
          </cell>
          <cell r="J7974">
            <v>27.69</v>
          </cell>
        </row>
        <row r="7975">
          <cell r="B7975">
            <v>46.09</v>
          </cell>
          <cell r="C7975">
            <v>78.2</v>
          </cell>
          <cell r="D7975">
            <v>21.64</v>
          </cell>
          <cell r="E7975">
            <v>9.2200000000000006</v>
          </cell>
          <cell r="H7975">
            <v>45624</v>
          </cell>
          <cell r="I7975">
            <v>0.7844444444444445</v>
          </cell>
          <cell r="J7975">
            <v>28.057777777777776</v>
          </cell>
        </row>
        <row r="7976">
          <cell r="B7976">
            <v>47.15</v>
          </cell>
          <cell r="C7976">
            <v>81.16</v>
          </cell>
          <cell r="D7976">
            <v>21.94</v>
          </cell>
          <cell r="E7976">
            <v>9.41</v>
          </cell>
          <cell r="H7976">
            <v>45624</v>
          </cell>
          <cell r="I7976">
            <v>0.77666666666666673</v>
          </cell>
          <cell r="J7976">
            <v>28.333333333333332</v>
          </cell>
        </row>
        <row r="7977">
          <cell r="B7977">
            <v>52.18</v>
          </cell>
          <cell r="C7977">
            <v>94.62</v>
          </cell>
          <cell r="D7977">
            <v>21.96</v>
          </cell>
          <cell r="E7977">
            <v>9.48</v>
          </cell>
          <cell r="H7977">
            <v>45624</v>
          </cell>
          <cell r="I7977">
            <v>0.78111111111111109</v>
          </cell>
          <cell r="J7977">
            <v>28.091111111111115</v>
          </cell>
        </row>
        <row r="7978">
          <cell r="B7978">
            <v>56.19</v>
          </cell>
          <cell r="C7978">
            <v>99.47</v>
          </cell>
          <cell r="D7978">
            <v>21.75</v>
          </cell>
          <cell r="E7978">
            <v>8.68</v>
          </cell>
          <cell r="H7978">
            <v>45624</v>
          </cell>
          <cell r="I7978">
            <v>0.80222222222222217</v>
          </cell>
          <cell r="J7978">
            <v>28.123333333333331</v>
          </cell>
        </row>
        <row r="7979">
          <cell r="B7979">
            <v>54.81</v>
          </cell>
          <cell r="C7979">
            <v>100.22</v>
          </cell>
          <cell r="D7979">
            <v>21.63</v>
          </cell>
          <cell r="E7979">
            <v>8.6</v>
          </cell>
          <cell r="H7979">
            <v>45624</v>
          </cell>
          <cell r="I7979">
            <v>0.83444444444444443</v>
          </cell>
          <cell r="J7979">
            <v>28.175555555555558</v>
          </cell>
        </row>
        <row r="7980">
          <cell r="B7980">
            <v>50.26</v>
          </cell>
          <cell r="C7980">
            <v>101.33</v>
          </cell>
          <cell r="D7980">
            <v>20.66</v>
          </cell>
          <cell r="E7980">
            <v>9.2799999999999994</v>
          </cell>
          <cell r="H7980">
            <v>45624</v>
          </cell>
          <cell r="I7980">
            <v>0.85666666666666669</v>
          </cell>
          <cell r="J7980">
            <v>28.08111111111111</v>
          </cell>
        </row>
        <row r="7981">
          <cell r="B7981">
            <v>50.09</v>
          </cell>
          <cell r="C7981">
            <v>95.55</v>
          </cell>
          <cell r="D7981">
            <v>20.34</v>
          </cell>
          <cell r="E7981">
            <v>9.58</v>
          </cell>
          <cell r="H7981">
            <v>45624</v>
          </cell>
          <cell r="I7981">
            <v>0.87444444444444436</v>
          </cell>
          <cell r="J7981">
            <v>27.982222222222219</v>
          </cell>
        </row>
        <row r="7982">
          <cell r="B7982">
            <v>46.42</v>
          </cell>
          <cell r="C7982">
            <v>82.3</v>
          </cell>
          <cell r="D7982">
            <v>19.71</v>
          </cell>
          <cell r="E7982">
            <v>10.039999999999999</v>
          </cell>
          <cell r="H7982">
            <v>45624</v>
          </cell>
          <cell r="I7982">
            <v>0.87888888888888883</v>
          </cell>
          <cell r="J7982">
            <v>28.203333333333333</v>
          </cell>
        </row>
        <row r="7983">
          <cell r="B7983">
            <v>42.75</v>
          </cell>
          <cell r="C7983">
            <v>79.56</v>
          </cell>
          <cell r="D7983">
            <v>19.38</v>
          </cell>
          <cell r="E7983">
            <v>10.23</v>
          </cell>
          <cell r="H7983">
            <v>45624</v>
          </cell>
          <cell r="I7983">
            <v>0.87888888888888883</v>
          </cell>
          <cell r="J7983">
            <v>28.183333333333334</v>
          </cell>
        </row>
        <row r="7984">
          <cell r="B7984">
            <v>41.46</v>
          </cell>
          <cell r="C7984">
            <v>80.56</v>
          </cell>
          <cell r="D7984">
            <v>19.32</v>
          </cell>
          <cell r="E7984">
            <v>10.16</v>
          </cell>
          <cell r="H7984">
            <v>45624</v>
          </cell>
          <cell r="I7984">
            <v>0.87</v>
          </cell>
          <cell r="J7984">
            <v>28.415555555555557</v>
          </cell>
        </row>
        <row r="7985">
          <cell r="B7985">
            <v>41.93</v>
          </cell>
          <cell r="C7985">
            <v>79.010000000000005</v>
          </cell>
          <cell r="D7985">
            <v>19.670000000000002</v>
          </cell>
          <cell r="E7985">
            <v>9.34</v>
          </cell>
          <cell r="H7985">
            <v>45624</v>
          </cell>
          <cell r="I7985">
            <v>0.8666666666666667</v>
          </cell>
          <cell r="J7985">
            <v>28.562222222222221</v>
          </cell>
        </row>
        <row r="7986">
          <cell r="B7986">
            <v>41.75</v>
          </cell>
          <cell r="C7986">
            <v>86.55</v>
          </cell>
          <cell r="D7986">
            <v>20.32</v>
          </cell>
          <cell r="E7986">
            <v>9.25</v>
          </cell>
          <cell r="H7986">
            <v>45624</v>
          </cell>
          <cell r="I7986">
            <v>0.88</v>
          </cell>
          <cell r="J7986">
            <v>28.735555555555564</v>
          </cell>
        </row>
        <row r="7987">
          <cell r="B7987">
            <v>38.56</v>
          </cell>
          <cell r="C7987">
            <v>79.58</v>
          </cell>
          <cell r="D7987">
            <v>20.51</v>
          </cell>
          <cell r="E7987">
            <v>9.7899999999999991</v>
          </cell>
          <cell r="H7987">
            <v>45624</v>
          </cell>
          <cell r="I7987">
            <v>0.87111111111111117</v>
          </cell>
          <cell r="J7987">
            <v>28.647777777777783</v>
          </cell>
        </row>
        <row r="7988">
          <cell r="B7988">
            <v>40.06</v>
          </cell>
          <cell r="C7988">
            <v>105.57</v>
          </cell>
          <cell r="D7988">
            <v>22.26</v>
          </cell>
          <cell r="E7988">
            <v>10.77</v>
          </cell>
          <cell r="H7988">
            <v>45624</v>
          </cell>
          <cell r="I7988">
            <v>0.88222222222222213</v>
          </cell>
          <cell r="J7988">
            <v>28.152222222222221</v>
          </cell>
        </row>
        <row r="7989">
          <cell r="B7989">
            <v>43.59</v>
          </cell>
          <cell r="C7989">
            <v>110.49</v>
          </cell>
          <cell r="D7989">
            <v>22.96</v>
          </cell>
          <cell r="E7989">
            <v>10.91</v>
          </cell>
          <cell r="H7989">
            <v>45624</v>
          </cell>
          <cell r="I7989">
            <v>0.91555555555555557</v>
          </cell>
          <cell r="J7989">
            <v>27.587777777777781</v>
          </cell>
        </row>
        <row r="7990">
          <cell r="B7990">
            <v>48.58</v>
          </cell>
          <cell r="C7990">
            <v>113.36</v>
          </cell>
          <cell r="D7990">
            <v>22.49</v>
          </cell>
          <cell r="E7990">
            <v>11.08</v>
          </cell>
          <cell r="H7990">
            <v>45624</v>
          </cell>
          <cell r="I7990">
            <v>0.94</v>
          </cell>
          <cell r="J7990">
            <v>27.218888888888888</v>
          </cell>
        </row>
        <row r="7991">
          <cell r="B7991">
            <v>50.92</v>
          </cell>
          <cell r="C7991">
            <v>107.74</v>
          </cell>
          <cell r="D7991">
            <v>22.2</v>
          </cell>
          <cell r="E7991">
            <v>10.26</v>
          </cell>
          <cell r="H7991">
            <v>45624</v>
          </cell>
          <cell r="I7991">
            <v>0.96000000000000008</v>
          </cell>
          <cell r="J7991">
            <v>26.38</v>
          </cell>
        </row>
        <row r="7992">
          <cell r="B7992">
            <v>51.22</v>
          </cell>
          <cell r="C7992">
            <v>106.17</v>
          </cell>
          <cell r="D7992">
            <v>21.95</v>
          </cell>
          <cell r="E7992">
            <v>10.44</v>
          </cell>
          <cell r="H7992">
            <v>45624</v>
          </cell>
          <cell r="I7992">
            <v>0.97666666666666679</v>
          </cell>
          <cell r="J7992">
            <v>25.566666666666666</v>
          </cell>
        </row>
        <row r="7993">
          <cell r="B7993">
            <v>51.11</v>
          </cell>
          <cell r="C7993">
            <v>101.4</v>
          </cell>
          <cell r="D7993">
            <v>21.48</v>
          </cell>
          <cell r="E7993">
            <v>10.4</v>
          </cell>
          <cell r="H7993">
            <v>45624</v>
          </cell>
          <cell r="I7993">
            <v>0.97666666666666679</v>
          </cell>
          <cell r="J7993">
            <v>24.691111111111113</v>
          </cell>
        </row>
        <row r="7994">
          <cell r="B7994">
            <v>47.79</v>
          </cell>
          <cell r="C7994">
            <v>93.82</v>
          </cell>
          <cell r="D7994">
            <v>21.12</v>
          </cell>
          <cell r="E7994">
            <v>9.19</v>
          </cell>
          <cell r="H7994">
            <v>45625</v>
          </cell>
          <cell r="I7994">
            <v>0.96666666666666656</v>
          </cell>
          <cell r="J7994">
            <v>23.977777777777774</v>
          </cell>
        </row>
        <row r="7995">
          <cell r="B7995">
            <v>44.11</v>
          </cell>
          <cell r="C7995">
            <v>83.54</v>
          </cell>
          <cell r="D7995">
            <v>20.67</v>
          </cell>
          <cell r="E7995">
            <v>9.49</v>
          </cell>
          <cell r="H7995">
            <v>45625</v>
          </cell>
          <cell r="I7995">
            <v>0.93444444444444441</v>
          </cell>
          <cell r="J7995">
            <v>23.754444444444445</v>
          </cell>
        </row>
        <row r="7996">
          <cell r="B7996">
            <v>40.49</v>
          </cell>
          <cell r="C7996">
            <v>77.56</v>
          </cell>
          <cell r="D7996">
            <v>20.329999999999998</v>
          </cell>
          <cell r="E7996">
            <v>9.76</v>
          </cell>
          <cell r="H7996">
            <v>45625</v>
          </cell>
          <cell r="I7996">
            <v>0.91555555555555534</v>
          </cell>
          <cell r="J7996">
            <v>23.805555555555557</v>
          </cell>
        </row>
        <row r="7997">
          <cell r="B7997">
            <v>39.909999999999997</v>
          </cell>
          <cell r="C7997">
            <v>74.540000000000006</v>
          </cell>
          <cell r="D7997">
            <v>20.58</v>
          </cell>
          <cell r="E7997">
            <v>10.3</v>
          </cell>
          <cell r="H7997">
            <v>45625</v>
          </cell>
          <cell r="I7997">
            <v>0.86888888888888882</v>
          </cell>
          <cell r="J7997">
            <v>24.287777777777777</v>
          </cell>
        </row>
        <row r="7998">
          <cell r="B7998">
            <v>39.380000000000003</v>
          </cell>
          <cell r="C7998">
            <v>76.08</v>
          </cell>
          <cell r="D7998">
            <v>20.54</v>
          </cell>
          <cell r="E7998">
            <v>10.07</v>
          </cell>
          <cell r="H7998">
            <v>45625</v>
          </cell>
          <cell r="I7998">
            <v>0.80555555555555569</v>
          </cell>
          <cell r="J7998">
            <v>24.793333333333333</v>
          </cell>
        </row>
        <row r="7999">
          <cell r="B7999">
            <v>40.22</v>
          </cell>
          <cell r="C7999">
            <v>75.89</v>
          </cell>
          <cell r="D7999">
            <v>20.45</v>
          </cell>
          <cell r="E7999">
            <v>9.23</v>
          </cell>
          <cell r="H7999">
            <v>45625</v>
          </cell>
          <cell r="I7999">
            <v>0.76666666666666672</v>
          </cell>
          <cell r="J7999">
            <v>24.991111111111106</v>
          </cell>
        </row>
        <row r="8000">
          <cell r="B8000">
            <v>41.17</v>
          </cell>
          <cell r="C8000">
            <v>78.72</v>
          </cell>
          <cell r="D8000">
            <v>20.45</v>
          </cell>
          <cell r="E8000">
            <v>9.0500000000000007</v>
          </cell>
          <cell r="H8000">
            <v>45625</v>
          </cell>
          <cell r="I8000">
            <v>0.74888888888888894</v>
          </cell>
          <cell r="J8000">
            <v>25.220000000000002</v>
          </cell>
        </row>
        <row r="8001">
          <cell r="B8001">
            <v>44</v>
          </cell>
          <cell r="C8001">
            <v>87.07</v>
          </cell>
          <cell r="D8001">
            <v>20.85</v>
          </cell>
          <cell r="E8001">
            <v>9.31</v>
          </cell>
          <cell r="H8001">
            <v>45625</v>
          </cell>
          <cell r="I8001">
            <v>0.74666666666666659</v>
          </cell>
          <cell r="J8001">
            <v>25.466666666666665</v>
          </cell>
        </row>
        <row r="8002">
          <cell r="B8002">
            <v>47.89</v>
          </cell>
          <cell r="C8002">
            <v>98.34</v>
          </cell>
          <cell r="D8002">
            <v>20.94</v>
          </cell>
          <cell r="E8002">
            <v>10.44</v>
          </cell>
          <cell r="H8002">
            <v>45625</v>
          </cell>
          <cell r="I8002">
            <v>0.76888888888888884</v>
          </cell>
          <cell r="J8002">
            <v>25.663333333333334</v>
          </cell>
        </row>
        <row r="8003">
          <cell r="B8003">
            <v>50.06</v>
          </cell>
          <cell r="C8003">
            <v>104.09</v>
          </cell>
          <cell r="D8003">
            <v>20.18</v>
          </cell>
          <cell r="E8003">
            <v>11.02</v>
          </cell>
          <cell r="H8003">
            <v>45625</v>
          </cell>
          <cell r="I8003">
            <v>0.80222222222222206</v>
          </cell>
          <cell r="J8003">
            <v>25.915555555555553</v>
          </cell>
        </row>
        <row r="8004">
          <cell r="B8004">
            <v>47.97</v>
          </cell>
          <cell r="C8004">
            <v>95.19</v>
          </cell>
          <cell r="D8004">
            <v>19.670000000000002</v>
          </cell>
          <cell r="E8004">
            <v>11.42</v>
          </cell>
          <cell r="H8004">
            <v>45625</v>
          </cell>
          <cell r="I8004">
            <v>0.8322222222222222</v>
          </cell>
          <cell r="J8004">
            <v>26.174444444444443</v>
          </cell>
        </row>
        <row r="8005">
          <cell r="B8005">
            <v>39.340000000000003</v>
          </cell>
          <cell r="C8005">
            <v>80.819999999999993</v>
          </cell>
          <cell r="D8005">
            <v>20.49</v>
          </cell>
          <cell r="E8005">
            <v>11.5</v>
          </cell>
          <cell r="H8005">
            <v>45625</v>
          </cell>
          <cell r="I8005">
            <v>0.85888888888888892</v>
          </cell>
          <cell r="J8005">
            <v>26.445555555555554</v>
          </cell>
        </row>
        <row r="8006">
          <cell r="B8006">
            <v>38.119999999999997</v>
          </cell>
          <cell r="C8006">
            <v>81.099999999999994</v>
          </cell>
          <cell r="D8006">
            <v>20.329999999999998</v>
          </cell>
          <cell r="E8006">
            <v>10.3</v>
          </cell>
          <cell r="H8006">
            <v>45625</v>
          </cell>
          <cell r="I8006">
            <v>0.87222222222222223</v>
          </cell>
          <cell r="J8006">
            <v>26.869999999999997</v>
          </cell>
        </row>
        <row r="8007">
          <cell r="B8007">
            <v>37.49</v>
          </cell>
          <cell r="C8007">
            <v>76.260000000000005</v>
          </cell>
          <cell r="D8007">
            <v>20.22</v>
          </cell>
          <cell r="E8007">
            <v>9.7799999999999994</v>
          </cell>
          <cell r="H8007">
            <v>45625</v>
          </cell>
          <cell r="I8007">
            <v>0.89</v>
          </cell>
          <cell r="J8007">
            <v>27.496666666666666</v>
          </cell>
        </row>
        <row r="8008">
          <cell r="B8008">
            <v>35.14</v>
          </cell>
          <cell r="C8008">
            <v>70.459999999999994</v>
          </cell>
          <cell r="D8008">
            <v>18.77</v>
          </cell>
          <cell r="E8008">
            <v>9.58</v>
          </cell>
          <cell r="H8008">
            <v>45625</v>
          </cell>
          <cell r="I8008">
            <v>0.89444444444444449</v>
          </cell>
          <cell r="J8008">
            <v>27.773333333333333</v>
          </cell>
        </row>
        <row r="8009">
          <cell r="B8009">
            <v>34.68</v>
          </cell>
          <cell r="C8009">
            <v>68.47</v>
          </cell>
          <cell r="D8009">
            <v>19.39</v>
          </cell>
          <cell r="E8009">
            <v>9.02</v>
          </cell>
          <cell r="H8009">
            <v>45625</v>
          </cell>
          <cell r="I8009">
            <v>0.89444444444444449</v>
          </cell>
          <cell r="J8009">
            <v>27.878888888888888</v>
          </cell>
        </row>
        <row r="8010">
          <cell r="B8010">
            <v>33.07</v>
          </cell>
          <cell r="C8010">
            <v>75.650000000000006</v>
          </cell>
          <cell r="D8010">
            <v>20.149999999999999</v>
          </cell>
          <cell r="E8010">
            <v>9.08</v>
          </cell>
          <cell r="H8010">
            <v>45625</v>
          </cell>
          <cell r="I8010">
            <v>0.89111111111111108</v>
          </cell>
          <cell r="J8010">
            <v>27.792222222222222</v>
          </cell>
        </row>
        <row r="8011">
          <cell r="B8011">
            <v>31.08</v>
          </cell>
          <cell r="C8011">
            <v>64.61</v>
          </cell>
          <cell r="D8011">
            <v>19.690000000000001</v>
          </cell>
          <cell r="E8011">
            <v>9.94</v>
          </cell>
          <cell r="H8011">
            <v>45625</v>
          </cell>
          <cell r="I8011">
            <v>0.89</v>
          </cell>
          <cell r="J8011">
            <v>27.515555555555554</v>
          </cell>
        </row>
        <row r="8012">
          <cell r="B8012">
            <v>31.75</v>
          </cell>
          <cell r="C8012">
            <v>65.55</v>
          </cell>
          <cell r="D8012">
            <v>20.2</v>
          </cell>
          <cell r="E8012">
            <v>10.59</v>
          </cell>
          <cell r="H8012">
            <v>45625</v>
          </cell>
          <cell r="I8012">
            <v>0.8866666666666666</v>
          </cell>
          <cell r="J8012">
            <v>27.077777777777779</v>
          </cell>
        </row>
        <row r="8013">
          <cell r="B8013">
            <v>32.909999999999997</v>
          </cell>
          <cell r="C8013">
            <v>68.739999999999995</v>
          </cell>
          <cell r="D8013">
            <v>19.829999999999998</v>
          </cell>
          <cell r="E8013">
            <v>11.29</v>
          </cell>
          <cell r="H8013">
            <v>45625</v>
          </cell>
          <cell r="I8013">
            <v>0.88555555555555554</v>
          </cell>
          <cell r="J8013">
            <v>26.66</v>
          </cell>
        </row>
        <row r="8014">
          <cell r="B8014">
            <v>35.880000000000003</v>
          </cell>
          <cell r="C8014">
            <v>71.25</v>
          </cell>
          <cell r="D8014">
            <v>19.34</v>
          </cell>
          <cell r="E8014">
            <v>9.81</v>
          </cell>
          <cell r="H8014">
            <v>45625</v>
          </cell>
          <cell r="I8014">
            <v>0.88</v>
          </cell>
          <cell r="J8014">
            <v>26.234444444444442</v>
          </cell>
        </row>
        <row r="8015">
          <cell r="B8015">
            <v>37.700000000000003</v>
          </cell>
          <cell r="C8015">
            <v>74.63</v>
          </cell>
          <cell r="D8015">
            <v>20.25</v>
          </cell>
          <cell r="E8015">
            <v>9.23</v>
          </cell>
          <cell r="H8015">
            <v>45625</v>
          </cell>
          <cell r="I8015">
            <v>0.89</v>
          </cell>
          <cell r="J8015">
            <v>25.47</v>
          </cell>
        </row>
        <row r="8016">
          <cell r="B8016">
            <v>40.6</v>
          </cell>
          <cell r="C8016">
            <v>75.09</v>
          </cell>
          <cell r="D8016">
            <v>20.52</v>
          </cell>
          <cell r="E8016">
            <v>9.2799999999999994</v>
          </cell>
          <cell r="H8016">
            <v>45625</v>
          </cell>
          <cell r="I8016">
            <v>0.89111111111111108</v>
          </cell>
          <cell r="J8016">
            <v>24.532222222222224</v>
          </cell>
        </row>
        <row r="8017">
          <cell r="B8017">
            <v>40.49</v>
          </cell>
          <cell r="C8017">
            <v>75.459999999999994</v>
          </cell>
          <cell r="D8017">
            <v>20.54</v>
          </cell>
          <cell r="E8017">
            <v>8.67</v>
          </cell>
          <cell r="H8017">
            <v>45625</v>
          </cell>
          <cell r="I8017">
            <v>0.89222222222222214</v>
          </cell>
          <cell r="J8017">
            <v>23.905555555555555</v>
          </cell>
        </row>
        <row r="8018">
          <cell r="B8018">
            <v>39.15</v>
          </cell>
          <cell r="C8018">
            <v>70.77</v>
          </cell>
          <cell r="D8018">
            <v>19.86</v>
          </cell>
          <cell r="E8018">
            <v>8.57</v>
          </cell>
          <cell r="H8018">
            <v>45626</v>
          </cell>
          <cell r="I8018">
            <v>0.87777777777777777</v>
          </cell>
          <cell r="J8018">
            <v>23.524444444444445</v>
          </cell>
        </row>
        <row r="8019">
          <cell r="B8019">
            <v>35.29</v>
          </cell>
          <cell r="C8019">
            <v>65.34</v>
          </cell>
          <cell r="D8019">
            <v>19.579999999999998</v>
          </cell>
          <cell r="E8019">
            <v>9.34</v>
          </cell>
          <cell r="H8019">
            <v>45626</v>
          </cell>
          <cell r="I8019">
            <v>0.86</v>
          </cell>
          <cell r="J8019">
            <v>23.38</v>
          </cell>
        </row>
        <row r="8020">
          <cell r="B8020">
            <v>32.54</v>
          </cell>
          <cell r="C8020">
            <v>62.15</v>
          </cell>
          <cell r="D8020">
            <v>19.850000000000001</v>
          </cell>
          <cell r="E8020">
            <v>9.7100000000000009</v>
          </cell>
          <cell r="H8020">
            <v>45626</v>
          </cell>
          <cell r="I8020">
            <v>0.83444444444444432</v>
          </cell>
          <cell r="J8020">
            <v>23.471111111111114</v>
          </cell>
        </row>
        <row r="8021">
          <cell r="B8021">
            <v>31.43</v>
          </cell>
          <cell r="C8021">
            <v>59.09</v>
          </cell>
          <cell r="D8021">
            <v>19.73</v>
          </cell>
          <cell r="E8021">
            <v>10.3</v>
          </cell>
          <cell r="H8021">
            <v>45626</v>
          </cell>
          <cell r="I8021">
            <v>0.80222222222222217</v>
          </cell>
          <cell r="J8021">
            <v>23.683333333333337</v>
          </cell>
        </row>
        <row r="8022">
          <cell r="B8022">
            <v>33.99</v>
          </cell>
          <cell r="C8022">
            <v>57.18</v>
          </cell>
          <cell r="D8022">
            <v>19.86</v>
          </cell>
          <cell r="E8022">
            <v>9.5</v>
          </cell>
          <cell r="H8022">
            <v>45626</v>
          </cell>
          <cell r="I8022">
            <v>0.77222222222222225</v>
          </cell>
          <cell r="J8022">
            <v>23.785555555555554</v>
          </cell>
        </row>
        <row r="8023">
          <cell r="B8023">
            <v>33.75</v>
          </cell>
          <cell r="C8023">
            <v>57.23</v>
          </cell>
          <cell r="D8023">
            <v>20.02</v>
          </cell>
          <cell r="E8023">
            <v>9.44</v>
          </cell>
          <cell r="H8023">
            <v>45626</v>
          </cell>
          <cell r="I8023">
            <v>0.76000000000000012</v>
          </cell>
          <cell r="J8023">
            <v>23.616666666666667</v>
          </cell>
        </row>
        <row r="8024">
          <cell r="B8024">
            <v>32.049999999999997</v>
          </cell>
          <cell r="C8024">
            <v>55.7</v>
          </cell>
          <cell r="D8024">
            <v>20.04</v>
          </cell>
          <cell r="E8024">
            <v>9.08</v>
          </cell>
          <cell r="H8024">
            <v>45626</v>
          </cell>
          <cell r="I8024">
            <v>0.74777777777777787</v>
          </cell>
          <cell r="J8024">
            <v>23.431111111111115</v>
          </cell>
        </row>
        <row r="8025">
          <cell r="B8025">
            <v>32.93</v>
          </cell>
          <cell r="C8025">
            <v>58.78</v>
          </cell>
          <cell r="D8025">
            <v>20.05</v>
          </cell>
          <cell r="E8025">
            <v>9.26</v>
          </cell>
          <cell r="H8025">
            <v>45626</v>
          </cell>
          <cell r="I8025">
            <v>0.74222222222222234</v>
          </cell>
          <cell r="J8025">
            <v>23.164444444444442</v>
          </cell>
        </row>
        <row r="8026">
          <cell r="B8026">
            <v>31.69</v>
          </cell>
          <cell r="C8026">
            <v>118.42</v>
          </cell>
          <cell r="D8026">
            <v>20.5</v>
          </cell>
          <cell r="E8026">
            <v>9.61</v>
          </cell>
          <cell r="H8026">
            <v>45626</v>
          </cell>
          <cell r="I8026">
            <v>0.75666666666666671</v>
          </cell>
          <cell r="J8026">
            <v>23.018888888888892</v>
          </cell>
        </row>
        <row r="8027">
          <cell r="B8027">
            <v>33.06</v>
          </cell>
          <cell r="C8027">
            <v>81.180000000000007</v>
          </cell>
          <cell r="D8027">
            <v>19.989999999999998</v>
          </cell>
          <cell r="E8027">
            <v>9.9499999999999993</v>
          </cell>
          <cell r="H8027">
            <v>45626</v>
          </cell>
          <cell r="I8027">
            <v>0.78777777777777791</v>
          </cell>
          <cell r="J8027">
            <v>22.840000000000003</v>
          </cell>
        </row>
        <row r="8028">
          <cell r="B8028">
            <v>36.270000000000003</v>
          </cell>
          <cell r="C8028">
            <v>64.760000000000005</v>
          </cell>
          <cell r="D8028">
            <v>19.670000000000002</v>
          </cell>
          <cell r="E8028">
            <v>9.84</v>
          </cell>
          <cell r="H8028">
            <v>45626</v>
          </cell>
          <cell r="I8028">
            <v>0.818888888888889</v>
          </cell>
          <cell r="J8028">
            <v>22.633333333333336</v>
          </cell>
        </row>
        <row r="8029">
          <cell r="B8029">
            <v>35.770000000000003</v>
          </cell>
          <cell r="C8029">
            <v>66.92</v>
          </cell>
          <cell r="D8029">
            <v>19.329999999999998</v>
          </cell>
          <cell r="E8029">
            <v>10.28</v>
          </cell>
          <cell r="H8029">
            <v>45626</v>
          </cell>
          <cell r="I8029">
            <v>0.83777777777777773</v>
          </cell>
          <cell r="J8029">
            <v>22.540000000000006</v>
          </cell>
        </row>
        <row r="8030">
          <cell r="B8030">
            <v>39.39</v>
          </cell>
          <cell r="C8030">
            <v>75.34</v>
          </cell>
          <cell r="D8030">
            <v>19.3</v>
          </cell>
          <cell r="E8030">
            <v>9.48</v>
          </cell>
          <cell r="H8030">
            <v>45626</v>
          </cell>
          <cell r="I8030">
            <v>0.86</v>
          </cell>
          <cell r="J8030">
            <v>22.376666666666669</v>
          </cell>
        </row>
        <row r="8031">
          <cell r="B8031">
            <v>41.65</v>
          </cell>
          <cell r="C8031">
            <v>77.36</v>
          </cell>
          <cell r="D8031">
            <v>19.88</v>
          </cell>
          <cell r="E8031">
            <v>9.02</v>
          </cell>
          <cell r="H8031">
            <v>45626</v>
          </cell>
          <cell r="I8031">
            <v>0.87555555555555553</v>
          </cell>
          <cell r="J8031">
            <v>22.23</v>
          </cell>
        </row>
        <row r="8032">
          <cell r="B8032">
            <v>35.07</v>
          </cell>
          <cell r="C8032">
            <v>71.89</v>
          </cell>
          <cell r="D8032">
            <v>20.11</v>
          </cell>
          <cell r="E8032">
            <v>8.9</v>
          </cell>
          <cell r="H8032">
            <v>45626</v>
          </cell>
          <cell r="I8032">
            <v>0.88444444444444448</v>
          </cell>
          <cell r="J8032">
            <v>22.158888888888889</v>
          </cell>
        </row>
        <row r="8033">
          <cell r="B8033">
            <v>33.04</v>
          </cell>
          <cell r="C8033">
            <v>70.900000000000006</v>
          </cell>
          <cell r="D8033">
            <v>20.56</v>
          </cell>
          <cell r="E8033">
            <v>8.8800000000000008</v>
          </cell>
          <cell r="H8033">
            <v>45626</v>
          </cell>
          <cell r="I8033">
            <v>0.89222222222222214</v>
          </cell>
          <cell r="J8033">
            <v>22.097777777777779</v>
          </cell>
        </row>
        <row r="8034">
          <cell r="B8034">
            <v>32.090000000000003</v>
          </cell>
          <cell r="C8034">
            <v>68.27</v>
          </cell>
          <cell r="D8034">
            <v>20.6</v>
          </cell>
          <cell r="E8034">
            <v>9.74</v>
          </cell>
          <cell r="H8034">
            <v>45626</v>
          </cell>
          <cell r="I8034">
            <v>0.89777777777777779</v>
          </cell>
          <cell r="J8034">
            <v>22.237777777777776</v>
          </cell>
        </row>
        <row r="8035">
          <cell r="B8035">
            <v>32.56</v>
          </cell>
          <cell r="C8035">
            <v>65.84</v>
          </cell>
          <cell r="D8035">
            <v>20.89</v>
          </cell>
          <cell r="E8035">
            <v>9.9</v>
          </cell>
          <cell r="H8035">
            <v>45626</v>
          </cell>
          <cell r="I8035">
            <v>0.89555555555555566</v>
          </cell>
          <cell r="J8035">
            <v>22.21777777777778</v>
          </cell>
        </row>
        <row r="8036">
          <cell r="B8036">
            <v>31.94</v>
          </cell>
          <cell r="C8036">
            <v>66.58</v>
          </cell>
          <cell r="D8036">
            <v>21.36</v>
          </cell>
          <cell r="E8036">
            <v>10.210000000000001</v>
          </cell>
          <cell r="H8036">
            <v>45626</v>
          </cell>
          <cell r="I8036">
            <v>0.90111111111111108</v>
          </cell>
          <cell r="J8036">
            <v>22.447777777777777</v>
          </cell>
        </row>
        <row r="8037">
          <cell r="B8037">
            <v>31.01</v>
          </cell>
          <cell r="C8037">
            <v>66.19</v>
          </cell>
          <cell r="D8037">
            <v>21.38</v>
          </cell>
          <cell r="E8037">
            <v>10.29</v>
          </cell>
          <cell r="H8037">
            <v>45626</v>
          </cell>
          <cell r="I8037">
            <v>0.90444444444444427</v>
          </cell>
          <cell r="J8037">
            <v>22.353333333333335</v>
          </cell>
        </row>
        <row r="8038">
          <cell r="B8038">
            <v>31</v>
          </cell>
          <cell r="C8038">
            <v>64.69</v>
          </cell>
          <cell r="D8038">
            <v>21.13</v>
          </cell>
          <cell r="E8038">
            <v>9.39</v>
          </cell>
          <cell r="H8038">
            <v>45626</v>
          </cell>
          <cell r="I8038">
            <v>0.91222222222222227</v>
          </cell>
          <cell r="J8038">
            <v>22.107777777777777</v>
          </cell>
        </row>
        <row r="8039">
          <cell r="B8039">
            <v>31.65</v>
          </cell>
          <cell r="C8039">
            <v>61.02</v>
          </cell>
          <cell r="D8039">
            <v>20.89</v>
          </cell>
          <cell r="E8039">
            <v>8.73</v>
          </cell>
          <cell r="H8039">
            <v>45626</v>
          </cell>
          <cell r="I8039">
            <v>0.91000000000000014</v>
          </cell>
          <cell r="J8039">
            <v>21.981111111111108</v>
          </cell>
        </row>
        <row r="8040">
          <cell r="B8040">
            <v>32.200000000000003</v>
          </cell>
          <cell r="C8040">
            <v>59.19</v>
          </cell>
          <cell r="D8040">
            <v>20.6</v>
          </cell>
          <cell r="E8040">
            <v>9.0299999999999994</v>
          </cell>
          <cell r="H8040">
            <v>45626</v>
          </cell>
          <cell r="I8040">
            <v>0.9044444444444445</v>
          </cell>
          <cell r="J8040">
            <v>21.84</v>
          </cell>
        </row>
        <row r="8041">
          <cell r="B8041">
            <v>33.65</v>
          </cell>
          <cell r="C8041">
            <v>68.23</v>
          </cell>
          <cell r="D8041">
            <v>18.23</v>
          </cell>
          <cell r="E8041">
            <v>9.0399999999999991</v>
          </cell>
          <cell r="H8041">
            <v>45626</v>
          </cell>
          <cell r="I8041">
            <v>0.89333333333333342</v>
          </cell>
          <cell r="J8041">
            <v>21.93</v>
          </cell>
        </row>
        <row r="8042">
          <cell r="B8042">
            <v>31.24</v>
          </cell>
          <cell r="C8042">
            <v>56.83</v>
          </cell>
          <cell r="D8042">
            <v>17.559999999999999</v>
          </cell>
          <cell r="E8042">
            <v>7.81</v>
          </cell>
          <cell r="H8042">
            <v>45627</v>
          </cell>
          <cell r="I8042">
            <v>0.87333333333333329</v>
          </cell>
          <cell r="J8042">
            <v>22.037777777777777</v>
          </cell>
        </row>
        <row r="8043">
          <cell r="B8043">
            <v>28.61</v>
          </cell>
          <cell r="C8043">
            <v>50.93</v>
          </cell>
          <cell r="D8043">
            <v>17.309999999999999</v>
          </cell>
          <cell r="E8043">
            <v>8.33</v>
          </cell>
          <cell r="H8043">
            <v>45627</v>
          </cell>
          <cell r="I8043">
            <v>0.86222222222222222</v>
          </cell>
          <cell r="J8043">
            <v>22.061111111111114</v>
          </cell>
        </row>
        <row r="8044">
          <cell r="B8044">
            <v>28.61</v>
          </cell>
          <cell r="C8044">
            <v>47.85</v>
          </cell>
          <cell r="D8044">
            <v>17.149999999999999</v>
          </cell>
          <cell r="E8044">
            <v>8.83</v>
          </cell>
          <cell r="H8044">
            <v>45627</v>
          </cell>
          <cell r="I8044">
            <v>0.84222222222222221</v>
          </cell>
          <cell r="J8044">
            <v>22.262222222222224</v>
          </cell>
        </row>
        <row r="8045">
          <cell r="B8045">
            <v>28.07</v>
          </cell>
          <cell r="C8045">
            <v>48.23</v>
          </cell>
          <cell r="D8045">
            <v>16.940000000000001</v>
          </cell>
          <cell r="E8045">
            <v>8.42</v>
          </cell>
          <cell r="H8045">
            <v>45627</v>
          </cell>
          <cell r="I8045">
            <v>0.81333333333333335</v>
          </cell>
          <cell r="J8045">
            <v>22.211111111111112</v>
          </cell>
        </row>
        <row r="8046">
          <cell r="B8046">
            <v>29.19</v>
          </cell>
          <cell r="C8046">
            <v>50.6</v>
          </cell>
          <cell r="D8046">
            <v>16.940000000000001</v>
          </cell>
          <cell r="E8046">
            <v>8.5</v>
          </cell>
          <cell r="H8046">
            <v>45627</v>
          </cell>
          <cell r="I8046">
            <v>0.78333333333333333</v>
          </cell>
          <cell r="J8046">
            <v>22.454444444444444</v>
          </cell>
        </row>
        <row r="8047">
          <cell r="B8047">
            <v>30.38</v>
          </cell>
          <cell r="C8047">
            <v>48.21</v>
          </cell>
          <cell r="D8047">
            <v>17.399999999999999</v>
          </cell>
          <cell r="E8047">
            <v>8.6</v>
          </cell>
          <cell r="H8047">
            <v>45627</v>
          </cell>
          <cell r="I8047">
            <v>0.76</v>
          </cell>
          <cell r="J8047">
            <v>22.571111111111108</v>
          </cell>
        </row>
        <row r="8048">
          <cell r="B8048">
            <v>29.74</v>
          </cell>
          <cell r="C8048">
            <v>48.25</v>
          </cell>
          <cell r="D8048">
            <v>17.739999999999998</v>
          </cell>
          <cell r="E8048">
            <v>8.4700000000000006</v>
          </cell>
          <cell r="H8048">
            <v>45627</v>
          </cell>
          <cell r="I8048">
            <v>0.74888888888888894</v>
          </cell>
          <cell r="J8048">
            <v>22.435555555555553</v>
          </cell>
        </row>
        <row r="8049">
          <cell r="B8049">
            <v>29.07</v>
          </cell>
          <cell r="C8049">
            <v>48.87</v>
          </cell>
          <cell r="D8049">
            <v>20.399999999999999</v>
          </cell>
          <cell r="E8049">
            <v>8.98</v>
          </cell>
          <cell r="H8049">
            <v>45627</v>
          </cell>
          <cell r="I8049">
            <v>0.75111111111111106</v>
          </cell>
          <cell r="J8049">
            <v>22.403333333333329</v>
          </cell>
        </row>
        <row r="8050">
          <cell r="B8050">
            <v>31.98</v>
          </cell>
          <cell r="C8050">
            <v>49.15</v>
          </cell>
          <cell r="D8050">
            <v>20.09</v>
          </cell>
          <cell r="E8050">
            <v>9.16</v>
          </cell>
          <cell r="H8050">
            <v>45627</v>
          </cell>
          <cell r="I8050">
            <v>0.75777777777777777</v>
          </cell>
          <cell r="J8050">
            <v>22.223333333333336</v>
          </cell>
        </row>
        <row r="8051">
          <cell r="B8051">
            <v>27.79</v>
          </cell>
          <cell r="C8051">
            <v>44.93</v>
          </cell>
          <cell r="D8051">
            <v>19.98</v>
          </cell>
          <cell r="E8051">
            <v>9.15</v>
          </cell>
          <cell r="H8051">
            <v>45627</v>
          </cell>
          <cell r="I8051">
            <v>0.7777777777777779</v>
          </cell>
          <cell r="J8051">
            <v>22.085555555555558</v>
          </cell>
        </row>
        <row r="8052">
          <cell r="B8052">
            <v>23.94</v>
          </cell>
          <cell r="C8052">
            <v>43.99</v>
          </cell>
          <cell r="D8052">
            <v>20.21</v>
          </cell>
          <cell r="E8052">
            <v>9.25</v>
          </cell>
          <cell r="H8052">
            <v>45627</v>
          </cell>
          <cell r="I8052">
            <v>0.78555555555555567</v>
          </cell>
          <cell r="J8052">
            <v>21.888888888888889</v>
          </cell>
        </row>
        <row r="8053">
          <cell r="B8053">
            <v>23.37</v>
          </cell>
          <cell r="C8053">
            <v>45.42</v>
          </cell>
          <cell r="D8053">
            <v>18.75</v>
          </cell>
          <cell r="E8053">
            <v>8.4600000000000009</v>
          </cell>
          <cell r="H8053">
            <v>45627</v>
          </cell>
          <cell r="I8053">
            <v>0.79888888888888898</v>
          </cell>
          <cell r="J8053">
            <v>21.712222222222223</v>
          </cell>
        </row>
        <row r="8054">
          <cell r="B8054">
            <v>22.43</v>
          </cell>
          <cell r="C8054">
            <v>45.94</v>
          </cell>
          <cell r="D8054">
            <v>19.14</v>
          </cell>
          <cell r="E8054">
            <v>8.7100000000000009</v>
          </cell>
          <cell r="H8054">
            <v>45627</v>
          </cell>
          <cell r="I8054">
            <v>0.81444444444444442</v>
          </cell>
          <cell r="J8054">
            <v>21.52</v>
          </cell>
        </row>
        <row r="8055">
          <cell r="B8055">
            <v>20.8</v>
          </cell>
          <cell r="C8055">
            <v>43.86</v>
          </cell>
          <cell r="D8055">
            <v>18.96</v>
          </cell>
          <cell r="E8055">
            <v>8.34</v>
          </cell>
          <cell r="H8055">
            <v>45627</v>
          </cell>
          <cell r="I8055">
            <v>0.81888888888888878</v>
          </cell>
          <cell r="J8055">
            <v>21.365555555555559</v>
          </cell>
        </row>
        <row r="8056">
          <cell r="B8056">
            <v>18.89</v>
          </cell>
          <cell r="C8056">
            <v>42.31</v>
          </cell>
          <cell r="D8056">
            <v>18.97</v>
          </cell>
          <cell r="E8056">
            <v>8.77</v>
          </cell>
          <cell r="H8056">
            <v>45627</v>
          </cell>
          <cell r="I8056">
            <v>0.8222222222222223</v>
          </cell>
          <cell r="J8056">
            <v>21.311111111111114</v>
          </cell>
        </row>
        <row r="8057">
          <cell r="B8057">
            <v>18.23</v>
          </cell>
          <cell r="C8057">
            <v>40.69</v>
          </cell>
          <cell r="D8057">
            <v>19.62</v>
          </cell>
          <cell r="E8057">
            <v>9.3000000000000007</v>
          </cell>
          <cell r="H8057">
            <v>45627</v>
          </cell>
          <cell r="I8057">
            <v>0.82333333333333336</v>
          </cell>
          <cell r="J8057">
            <v>21.37</v>
          </cell>
        </row>
        <row r="8058">
          <cell r="B8058">
            <v>17.850000000000001</v>
          </cell>
          <cell r="C8058">
            <v>40.22</v>
          </cell>
          <cell r="D8058">
            <v>19.91</v>
          </cell>
          <cell r="E8058">
            <v>8.94</v>
          </cell>
          <cell r="H8058">
            <v>45627</v>
          </cell>
          <cell r="I8058">
            <v>0.82222222222222219</v>
          </cell>
          <cell r="J8058">
            <v>21.355555555555554</v>
          </cell>
        </row>
        <row r="8059">
          <cell r="B8059">
            <v>18.02</v>
          </cell>
          <cell r="C8059">
            <v>37.729999999999997</v>
          </cell>
          <cell r="D8059">
            <v>20.37</v>
          </cell>
          <cell r="E8059">
            <v>8.61</v>
          </cell>
          <cell r="H8059">
            <v>45627</v>
          </cell>
          <cell r="I8059">
            <v>0.81888888888888889</v>
          </cell>
          <cell r="J8059">
            <v>21.393333333333334</v>
          </cell>
        </row>
        <row r="8060">
          <cell r="B8060">
            <v>19.5</v>
          </cell>
          <cell r="C8060">
            <v>40.22</v>
          </cell>
          <cell r="D8060">
            <v>20.5</v>
          </cell>
          <cell r="E8060">
            <v>8.76</v>
          </cell>
          <cell r="H8060">
            <v>45627</v>
          </cell>
          <cell r="I8060">
            <v>0.80888888888888888</v>
          </cell>
          <cell r="J8060">
            <v>21.304444444444446</v>
          </cell>
        </row>
        <row r="8061">
          <cell r="B8061">
            <v>18.46</v>
          </cell>
          <cell r="C8061">
            <v>34.799999999999997</v>
          </cell>
          <cell r="D8061">
            <v>20.63</v>
          </cell>
          <cell r="E8061">
            <v>7.91</v>
          </cell>
          <cell r="H8061">
            <v>45627</v>
          </cell>
          <cell r="I8061">
            <v>0.80444444444444452</v>
          </cell>
          <cell r="J8061">
            <v>21.477777777777778</v>
          </cell>
        </row>
        <row r="8062">
          <cell r="B8062">
            <v>17.89</v>
          </cell>
          <cell r="C8062">
            <v>34.89</v>
          </cell>
          <cell r="D8062">
            <v>20.56</v>
          </cell>
          <cell r="E8062">
            <v>8.36</v>
          </cell>
          <cell r="H8062">
            <v>45627</v>
          </cell>
          <cell r="I8062">
            <v>0.79555555555555557</v>
          </cell>
          <cell r="J8062">
            <v>21.681111111111111</v>
          </cell>
        </row>
        <row r="8063">
          <cell r="B8063">
            <v>17.420000000000002</v>
          </cell>
          <cell r="C8063">
            <v>33.619999999999997</v>
          </cell>
          <cell r="D8063">
            <v>20.29</v>
          </cell>
          <cell r="E8063">
            <v>8.31</v>
          </cell>
          <cell r="H8063">
            <v>45627</v>
          </cell>
          <cell r="I8063">
            <v>0.77888888888888885</v>
          </cell>
          <cell r="J8063">
            <v>21.74</v>
          </cell>
        </row>
        <row r="8064">
          <cell r="B8064">
            <v>14.43</v>
          </cell>
          <cell r="C8064">
            <v>30.42</v>
          </cell>
          <cell r="D8064">
            <v>19.899999999999999</v>
          </cell>
          <cell r="E8064">
            <v>8.89</v>
          </cell>
          <cell r="H8064">
            <v>45627</v>
          </cell>
          <cell r="I8064">
            <v>0.76777777777777778</v>
          </cell>
          <cell r="J8064">
            <v>21.805555555555557</v>
          </cell>
        </row>
        <row r="8065">
          <cell r="B8065">
            <v>15.05</v>
          </cell>
          <cell r="C8065">
            <v>30.19</v>
          </cell>
          <cell r="D8065">
            <v>19.21</v>
          </cell>
          <cell r="E8065">
            <v>8.3800000000000008</v>
          </cell>
          <cell r="H8065">
            <v>45627</v>
          </cell>
          <cell r="I8065">
            <v>0.75111111111111117</v>
          </cell>
          <cell r="J8065">
            <v>21.93</v>
          </cell>
        </row>
        <row r="8066">
          <cell r="B8066">
            <v>15.3</v>
          </cell>
          <cell r="C8066">
            <v>29.68</v>
          </cell>
          <cell r="D8066">
            <v>19.21</v>
          </cell>
          <cell r="E8066">
            <v>8.8000000000000007</v>
          </cell>
          <cell r="H8066">
            <v>45628</v>
          </cell>
          <cell r="I8066">
            <v>0.73333333333333328</v>
          </cell>
          <cell r="J8066">
            <v>22.151111111111113</v>
          </cell>
        </row>
        <row r="8067">
          <cell r="B8067">
            <v>15.35</v>
          </cell>
          <cell r="C8067">
            <v>29.41</v>
          </cell>
          <cell r="D8067">
            <v>19.260000000000002</v>
          </cell>
          <cell r="E8067">
            <v>9.75</v>
          </cell>
          <cell r="H8067">
            <v>45628</v>
          </cell>
          <cell r="I8067">
            <v>0.7155555555555555</v>
          </cell>
          <cell r="J8067">
            <v>22.345555555555556</v>
          </cell>
        </row>
        <row r="8068">
          <cell r="B8068">
            <v>16.3</v>
          </cell>
          <cell r="C8068">
            <v>27.67</v>
          </cell>
          <cell r="D8068">
            <v>18.93</v>
          </cell>
          <cell r="E8068">
            <v>9.5</v>
          </cell>
          <cell r="H8068">
            <v>45628</v>
          </cell>
          <cell r="I8068">
            <v>0.69777777777777783</v>
          </cell>
          <cell r="J8068">
            <v>22.473333333333333</v>
          </cell>
        </row>
        <row r="8069">
          <cell r="B8069">
            <v>15.84</v>
          </cell>
          <cell r="C8069">
            <v>30.54</v>
          </cell>
          <cell r="D8069">
            <v>18.87</v>
          </cell>
          <cell r="E8069">
            <v>9.3699999999999992</v>
          </cell>
          <cell r="H8069">
            <v>45628</v>
          </cell>
          <cell r="I8069">
            <v>0.68</v>
          </cell>
          <cell r="J8069">
            <v>22.751111111111115</v>
          </cell>
        </row>
        <row r="8070">
          <cell r="B8070">
            <v>15.4</v>
          </cell>
          <cell r="C8070">
            <v>29.86</v>
          </cell>
          <cell r="D8070">
            <v>19.059999999999999</v>
          </cell>
          <cell r="E8070">
            <v>9.4</v>
          </cell>
          <cell r="H8070">
            <v>45628</v>
          </cell>
          <cell r="I8070">
            <v>0.66111111111111098</v>
          </cell>
          <cell r="J8070">
            <v>22.746666666666663</v>
          </cell>
        </row>
        <row r="8071">
          <cell r="B8071">
            <v>14.98</v>
          </cell>
          <cell r="C8071">
            <v>27.36</v>
          </cell>
          <cell r="D8071">
            <v>16.440000000000001</v>
          </cell>
          <cell r="E8071">
            <v>9.39</v>
          </cell>
          <cell r="H8071">
            <v>45628</v>
          </cell>
          <cell r="I8071">
            <v>0.64555555555555555</v>
          </cell>
          <cell r="J8071">
            <v>22.638888888888889</v>
          </cell>
        </row>
        <row r="8072">
          <cell r="B8072">
            <v>15.57</v>
          </cell>
          <cell r="C8072">
            <v>27.87</v>
          </cell>
          <cell r="D8072">
            <v>17.55</v>
          </cell>
          <cell r="E8072">
            <v>9.34</v>
          </cell>
          <cell r="H8072">
            <v>45628</v>
          </cell>
          <cell r="I8072">
            <v>0.64444444444444438</v>
          </cell>
          <cell r="J8072">
            <v>22.566666666666663</v>
          </cell>
        </row>
        <row r="8073">
          <cell r="B8073">
            <v>15.2</v>
          </cell>
          <cell r="C8073">
            <v>29.77</v>
          </cell>
          <cell r="D8073">
            <v>17.88</v>
          </cell>
          <cell r="E8073">
            <v>9.43</v>
          </cell>
          <cell r="H8073">
            <v>45628</v>
          </cell>
          <cell r="I8073">
            <v>0.65777777777777779</v>
          </cell>
          <cell r="J8073">
            <v>22.439999999999998</v>
          </cell>
        </row>
        <row r="8074">
          <cell r="B8074">
            <v>15.83</v>
          </cell>
          <cell r="C8074">
            <v>28.75</v>
          </cell>
          <cell r="D8074">
            <v>18.23</v>
          </cell>
          <cell r="E8074">
            <v>10.02</v>
          </cell>
          <cell r="H8074">
            <v>45628</v>
          </cell>
          <cell r="I8074">
            <v>0.69333333333333336</v>
          </cell>
          <cell r="J8074">
            <v>22.053333333333331</v>
          </cell>
        </row>
        <row r="8075">
          <cell r="B8075">
            <v>16.32</v>
          </cell>
          <cell r="C8075">
            <v>62.79</v>
          </cell>
          <cell r="D8075">
            <v>18.239999999999998</v>
          </cell>
          <cell r="E8075">
            <v>9.7200000000000006</v>
          </cell>
          <cell r="H8075">
            <v>45628</v>
          </cell>
          <cell r="I8075">
            <v>0.74555555555555564</v>
          </cell>
          <cell r="J8075">
            <v>21.652222222222221</v>
          </cell>
        </row>
        <row r="8076">
          <cell r="B8076">
            <v>14.88</v>
          </cell>
          <cell r="C8076">
            <v>80.62</v>
          </cell>
          <cell r="D8076">
            <v>20.8</v>
          </cell>
          <cell r="E8076">
            <v>9.52</v>
          </cell>
          <cell r="H8076">
            <v>45628</v>
          </cell>
          <cell r="I8076">
            <v>0.78888888888888897</v>
          </cell>
          <cell r="J8076">
            <v>21.183333333333334</v>
          </cell>
        </row>
        <row r="8077">
          <cell r="B8077">
            <v>15.15</v>
          </cell>
          <cell r="C8077">
            <v>42.94</v>
          </cell>
          <cell r="D8077">
            <v>19.98</v>
          </cell>
          <cell r="E8077">
            <v>9.0500000000000007</v>
          </cell>
          <cell r="H8077">
            <v>45628</v>
          </cell>
          <cell r="I8077">
            <v>0.82555555555555571</v>
          </cell>
          <cell r="J8077">
            <v>20.857777777777777</v>
          </cell>
        </row>
        <row r="8078">
          <cell r="B8078">
            <v>14.94</v>
          </cell>
          <cell r="C8078">
            <v>30.81</v>
          </cell>
          <cell r="D8078">
            <v>19.95</v>
          </cell>
          <cell r="E8078">
            <v>9.35</v>
          </cell>
          <cell r="H8078">
            <v>45628</v>
          </cell>
          <cell r="I8078">
            <v>0.84666666666666679</v>
          </cell>
          <cell r="J8078">
            <v>20.432222222222222</v>
          </cell>
        </row>
        <row r="8079">
          <cell r="B8079">
            <v>15.73</v>
          </cell>
          <cell r="C8079">
            <v>29.74</v>
          </cell>
          <cell r="D8079">
            <v>20.38</v>
          </cell>
          <cell r="E8079">
            <v>9.32</v>
          </cell>
          <cell r="H8079">
            <v>45628</v>
          </cell>
          <cell r="I8079">
            <v>0.87111111111111106</v>
          </cell>
          <cell r="J8079">
            <v>20.102222222222224</v>
          </cell>
        </row>
        <row r="8080">
          <cell r="B8080">
            <v>15.95</v>
          </cell>
          <cell r="C8080">
            <v>31.32</v>
          </cell>
          <cell r="D8080">
            <v>20.9</v>
          </cell>
          <cell r="E8080">
            <v>9.84</v>
          </cell>
          <cell r="H8080">
            <v>45628</v>
          </cell>
          <cell r="I8080">
            <v>0.8966666666666665</v>
          </cell>
          <cell r="J8080">
            <v>19.756666666666671</v>
          </cell>
        </row>
        <row r="8081">
          <cell r="B8081">
            <v>17.399999999999999</v>
          </cell>
          <cell r="C8081">
            <v>33.869999999999997</v>
          </cell>
          <cell r="D8081">
            <v>21.28</v>
          </cell>
          <cell r="E8081">
            <v>9.49</v>
          </cell>
          <cell r="H8081">
            <v>45628</v>
          </cell>
          <cell r="I8081">
            <v>0.91555555555555557</v>
          </cell>
          <cell r="J8081">
            <v>19.64</v>
          </cell>
        </row>
        <row r="8082">
          <cell r="B8082">
            <v>16.8</v>
          </cell>
          <cell r="C8082">
            <v>32.43</v>
          </cell>
          <cell r="D8082">
            <v>22.3</v>
          </cell>
          <cell r="E8082">
            <v>9.85</v>
          </cell>
          <cell r="H8082">
            <v>45628</v>
          </cell>
          <cell r="I8082">
            <v>0.92333333333333323</v>
          </cell>
          <cell r="J8082">
            <v>19.557777777777783</v>
          </cell>
        </row>
        <row r="8083">
          <cell r="B8083">
            <v>17.62</v>
          </cell>
          <cell r="C8083">
            <v>33.69</v>
          </cell>
          <cell r="D8083">
            <v>22.48</v>
          </cell>
          <cell r="E8083">
            <v>9.8699999999999992</v>
          </cell>
          <cell r="H8083">
            <v>45628</v>
          </cell>
          <cell r="I8083">
            <v>0.92111111111111099</v>
          </cell>
          <cell r="J8083">
            <v>19.650000000000002</v>
          </cell>
        </row>
        <row r="8084">
          <cell r="B8084">
            <v>21.08</v>
          </cell>
          <cell r="C8084">
            <v>37.74</v>
          </cell>
          <cell r="D8084">
            <v>22.61</v>
          </cell>
          <cell r="E8084">
            <v>9.26</v>
          </cell>
          <cell r="H8084">
            <v>45628</v>
          </cell>
          <cell r="I8084">
            <v>0.94333333333333313</v>
          </cell>
          <cell r="J8084">
            <v>19.686666666666667</v>
          </cell>
        </row>
        <row r="8085">
          <cell r="B8085">
            <v>20.100000000000001</v>
          </cell>
          <cell r="C8085">
            <v>37.49</v>
          </cell>
          <cell r="D8085">
            <v>22.88</v>
          </cell>
          <cell r="E8085">
            <v>8.19</v>
          </cell>
          <cell r="H8085">
            <v>45628</v>
          </cell>
          <cell r="I8085">
            <v>0.95777777777777773</v>
          </cell>
          <cell r="J8085">
            <v>19.764444444444443</v>
          </cell>
        </row>
        <row r="8086">
          <cell r="B8086">
            <v>19.11</v>
          </cell>
          <cell r="C8086">
            <v>37.25</v>
          </cell>
          <cell r="D8086">
            <v>22.77</v>
          </cell>
          <cell r="E8086">
            <v>9.4600000000000009</v>
          </cell>
          <cell r="H8086">
            <v>45628</v>
          </cell>
          <cell r="I8086">
            <v>0.96777777777777785</v>
          </cell>
          <cell r="J8086">
            <v>19.746666666666673</v>
          </cell>
        </row>
        <row r="8087">
          <cell r="B8087">
            <v>16.71</v>
          </cell>
          <cell r="C8087">
            <v>33.89</v>
          </cell>
          <cell r="D8087">
            <v>22.05</v>
          </cell>
          <cell r="E8087">
            <v>9.0500000000000007</v>
          </cell>
          <cell r="H8087">
            <v>45628</v>
          </cell>
          <cell r="I8087">
            <v>0.99555555555555542</v>
          </cell>
          <cell r="J8087">
            <v>19.763333333333335</v>
          </cell>
        </row>
        <row r="8088">
          <cell r="B8088">
            <v>15.19</v>
          </cell>
          <cell r="C8088">
            <v>30.43</v>
          </cell>
          <cell r="D8088">
            <v>21.76</v>
          </cell>
          <cell r="E8088">
            <v>9.5</v>
          </cell>
          <cell r="H8088">
            <v>45628</v>
          </cell>
          <cell r="I8088">
            <v>0.99666666666666659</v>
          </cell>
          <cell r="J8088">
            <v>19.760000000000002</v>
          </cell>
        </row>
        <row r="8089">
          <cell r="B8089">
            <v>14.99</v>
          </cell>
          <cell r="C8089">
            <v>29.04</v>
          </cell>
          <cell r="D8089">
            <v>21.39</v>
          </cell>
          <cell r="E8089">
            <v>9.7200000000000006</v>
          </cell>
          <cell r="H8089">
            <v>45628</v>
          </cell>
          <cell r="I8089">
            <v>1.0044444444444443</v>
          </cell>
          <cell r="J8089">
            <v>19.667777777777776</v>
          </cell>
        </row>
        <row r="8090">
          <cell r="B8090">
            <v>12.6</v>
          </cell>
          <cell r="C8090">
            <v>26.02</v>
          </cell>
          <cell r="D8090">
            <v>21.43</v>
          </cell>
          <cell r="E8090">
            <v>8.6</v>
          </cell>
          <cell r="H8090">
            <v>45629</v>
          </cell>
          <cell r="I8090">
            <v>1.0066666666666668</v>
          </cell>
          <cell r="J8090">
            <v>19.357777777777777</v>
          </cell>
        </row>
        <row r="8091">
          <cell r="B8091">
            <v>11.9</v>
          </cell>
          <cell r="C8091">
            <v>25.61</v>
          </cell>
          <cell r="D8091">
            <v>21.26</v>
          </cell>
          <cell r="E8091">
            <v>7.88</v>
          </cell>
          <cell r="H8091">
            <v>45629</v>
          </cell>
          <cell r="I8091">
            <v>0.98555555555555563</v>
          </cell>
          <cell r="J8091">
            <v>19.293333333333333</v>
          </cell>
        </row>
        <row r="8092">
          <cell r="B8092">
            <v>11</v>
          </cell>
          <cell r="C8092">
            <v>21.36</v>
          </cell>
          <cell r="D8092">
            <v>20.12</v>
          </cell>
          <cell r="E8092">
            <v>8.08</v>
          </cell>
          <cell r="H8092">
            <v>45629</v>
          </cell>
          <cell r="I8092">
            <v>0.95666666666666678</v>
          </cell>
          <cell r="J8092">
            <v>19.404444444444444</v>
          </cell>
        </row>
        <row r="8093">
          <cell r="B8093">
            <v>10.66</v>
          </cell>
          <cell r="C8093">
            <v>20.76</v>
          </cell>
          <cell r="D8093">
            <v>20.04</v>
          </cell>
          <cell r="E8093">
            <v>7.33</v>
          </cell>
          <cell r="H8093">
            <v>45629</v>
          </cell>
          <cell r="I8093">
            <v>0.88666666666666671</v>
          </cell>
          <cell r="J8093">
            <v>19.828888888888887</v>
          </cell>
        </row>
        <row r="8094">
          <cell r="B8094">
            <v>11.44</v>
          </cell>
          <cell r="C8094">
            <v>21.57</v>
          </cell>
          <cell r="D8094">
            <v>19.97</v>
          </cell>
          <cell r="E8094">
            <v>7.67</v>
          </cell>
          <cell r="H8094">
            <v>45629</v>
          </cell>
          <cell r="I8094">
            <v>0.83666666666666667</v>
          </cell>
          <cell r="J8094">
            <v>20.204444444444444</v>
          </cell>
        </row>
        <row r="8095">
          <cell r="B8095">
            <v>12.14</v>
          </cell>
          <cell r="C8095">
            <v>24.38</v>
          </cell>
          <cell r="D8095">
            <v>20</v>
          </cell>
          <cell r="E8095">
            <v>7.12</v>
          </cell>
          <cell r="H8095">
            <v>45629</v>
          </cell>
          <cell r="I8095">
            <v>0.80444444444444441</v>
          </cell>
          <cell r="J8095">
            <v>20.67</v>
          </cell>
        </row>
        <row r="8096">
          <cell r="B8096">
            <v>13.27</v>
          </cell>
          <cell r="C8096">
            <v>26.62</v>
          </cell>
          <cell r="D8096">
            <v>20.07</v>
          </cell>
          <cell r="E8096">
            <v>7.38</v>
          </cell>
          <cell r="H8096">
            <v>45629</v>
          </cell>
          <cell r="I8096">
            <v>0.77444444444444438</v>
          </cell>
          <cell r="J8096">
            <v>21.152222222222221</v>
          </cell>
        </row>
        <row r="8097">
          <cell r="B8097">
            <v>15.3</v>
          </cell>
          <cell r="C8097">
            <v>29.99</v>
          </cell>
          <cell r="D8097">
            <v>20.94</v>
          </cell>
          <cell r="E8097">
            <v>7.63</v>
          </cell>
          <cell r="H8097">
            <v>45629</v>
          </cell>
          <cell r="I8097">
            <v>0.77222222222222225</v>
          </cell>
          <cell r="J8097">
            <v>21.606666666666669</v>
          </cell>
        </row>
        <row r="8098">
          <cell r="B8098">
            <v>15.34</v>
          </cell>
          <cell r="C8098">
            <v>34.56</v>
          </cell>
          <cell r="D8098">
            <v>21.52</v>
          </cell>
          <cell r="E8098">
            <v>8.39</v>
          </cell>
          <cell r="H8098">
            <v>45629</v>
          </cell>
          <cell r="I8098">
            <v>0.77444444444444438</v>
          </cell>
          <cell r="J8098">
            <v>21.915555555555553</v>
          </cell>
        </row>
        <row r="8099">
          <cell r="B8099">
            <v>17.190000000000001</v>
          </cell>
          <cell r="C8099">
            <v>36.4</v>
          </cell>
          <cell r="D8099">
            <v>21</v>
          </cell>
          <cell r="E8099">
            <v>8.67</v>
          </cell>
          <cell r="H8099">
            <v>45629</v>
          </cell>
          <cell r="I8099">
            <v>0.78222222222222215</v>
          </cell>
          <cell r="J8099">
            <v>22.33111111111111</v>
          </cell>
        </row>
        <row r="8100">
          <cell r="B8100">
            <v>19.98</v>
          </cell>
          <cell r="C8100">
            <v>40</v>
          </cell>
          <cell r="D8100">
            <v>21.33</v>
          </cell>
          <cell r="E8100">
            <v>8.24</v>
          </cell>
          <cell r="H8100">
            <v>45629</v>
          </cell>
          <cell r="I8100">
            <v>0.82111111111111101</v>
          </cell>
          <cell r="J8100">
            <v>22.769999999999996</v>
          </cell>
        </row>
        <row r="8101">
          <cell r="B8101">
            <v>18.88</v>
          </cell>
          <cell r="C8101">
            <v>39.22</v>
          </cell>
          <cell r="D8101">
            <v>18.399999999999999</v>
          </cell>
          <cell r="E8101">
            <v>7.46</v>
          </cell>
          <cell r="H8101">
            <v>45629</v>
          </cell>
          <cell r="I8101">
            <v>0.84444444444444433</v>
          </cell>
          <cell r="J8101">
            <v>23.134444444444444</v>
          </cell>
        </row>
        <row r="8102">
          <cell r="B8102">
            <v>17.73</v>
          </cell>
          <cell r="C8102">
            <v>38.75</v>
          </cell>
          <cell r="D8102">
            <v>18.84</v>
          </cell>
          <cell r="E8102">
            <v>7.53</v>
          </cell>
          <cell r="H8102">
            <v>45629</v>
          </cell>
          <cell r="I8102">
            <v>0.87555555555555542</v>
          </cell>
          <cell r="J8102">
            <v>23.475555555555552</v>
          </cell>
        </row>
        <row r="8103">
          <cell r="B8103">
            <v>18.149999999999999</v>
          </cell>
          <cell r="C8103">
            <v>42.7</v>
          </cell>
          <cell r="D8103">
            <v>18.87</v>
          </cell>
          <cell r="E8103">
            <v>8.1</v>
          </cell>
          <cell r="H8103">
            <v>45629</v>
          </cell>
          <cell r="I8103">
            <v>0.88777777777777778</v>
          </cell>
          <cell r="J8103">
            <v>23.722222222222225</v>
          </cell>
        </row>
        <row r="8104">
          <cell r="B8104">
            <v>16.64</v>
          </cell>
          <cell r="C8104">
            <v>42.19</v>
          </cell>
          <cell r="D8104">
            <v>19.5</v>
          </cell>
          <cell r="E8104">
            <v>6.98</v>
          </cell>
          <cell r="H8104">
            <v>45629</v>
          </cell>
          <cell r="I8104">
            <v>0.9144444444444445</v>
          </cell>
          <cell r="J8104">
            <v>23.627777777777776</v>
          </cell>
        </row>
        <row r="8105">
          <cell r="B8105">
            <v>14.28</v>
          </cell>
          <cell r="C8105">
            <v>32.86</v>
          </cell>
          <cell r="D8105">
            <v>19.489999999999998</v>
          </cell>
          <cell r="E8105">
            <v>7.61</v>
          </cell>
          <cell r="H8105">
            <v>45629</v>
          </cell>
          <cell r="I8105">
            <v>0.93000000000000016</v>
          </cell>
          <cell r="J8105">
            <v>23.287777777777777</v>
          </cell>
        </row>
        <row r="8106">
          <cell r="B8106">
            <v>16.100000000000001</v>
          </cell>
          <cell r="C8106">
            <v>35.36</v>
          </cell>
          <cell r="D8106">
            <v>21.95</v>
          </cell>
          <cell r="E8106">
            <v>7.44</v>
          </cell>
          <cell r="H8106">
            <v>45629</v>
          </cell>
          <cell r="I8106">
            <v>0.97000000000000008</v>
          </cell>
          <cell r="J8106">
            <v>22.911111111111108</v>
          </cell>
        </row>
        <row r="8107">
          <cell r="B8107">
            <v>18.239999999999998</v>
          </cell>
          <cell r="C8107">
            <v>40.22</v>
          </cell>
          <cell r="D8107">
            <v>22.45</v>
          </cell>
          <cell r="E8107">
            <v>8.75</v>
          </cell>
          <cell r="H8107">
            <v>45629</v>
          </cell>
          <cell r="I8107">
            <v>1.0222222222222224</v>
          </cell>
          <cell r="J8107">
            <v>22.52</v>
          </cell>
        </row>
        <row r="8108">
          <cell r="B8108">
            <v>23.42</v>
          </cell>
          <cell r="C8108">
            <v>48.13</v>
          </cell>
          <cell r="D8108">
            <v>22.36</v>
          </cell>
          <cell r="E8108">
            <v>8.77</v>
          </cell>
          <cell r="H8108">
            <v>45629</v>
          </cell>
          <cell r="I8108">
            <v>1.097777777777778</v>
          </cell>
          <cell r="J8108">
            <v>22.472222222222221</v>
          </cell>
        </row>
        <row r="8109">
          <cell r="B8109">
            <v>27.18</v>
          </cell>
          <cell r="C8109">
            <v>58.35</v>
          </cell>
          <cell r="D8109">
            <v>23.03</v>
          </cell>
          <cell r="E8109">
            <v>8.68</v>
          </cell>
          <cell r="H8109">
            <v>45629</v>
          </cell>
          <cell r="I8109">
            <v>1.1855555555555555</v>
          </cell>
          <cell r="J8109">
            <v>21.934444444444441</v>
          </cell>
        </row>
        <row r="8110">
          <cell r="B8110">
            <v>27.3</v>
          </cell>
          <cell r="C8110">
            <v>60.84</v>
          </cell>
          <cell r="D8110">
            <v>22.23</v>
          </cell>
          <cell r="E8110">
            <v>9.0500000000000007</v>
          </cell>
          <cell r="H8110">
            <v>45629</v>
          </cell>
          <cell r="I8110">
            <v>1.1966666666666668</v>
          </cell>
          <cell r="J8110">
            <v>21.288888888888888</v>
          </cell>
        </row>
        <row r="8111">
          <cell r="B8111">
            <v>22.57</v>
          </cell>
          <cell r="C8111">
            <v>57.06</v>
          </cell>
          <cell r="D8111">
            <v>20.86</v>
          </cell>
          <cell r="E8111">
            <v>9.44</v>
          </cell>
          <cell r="H8111">
            <v>45629</v>
          </cell>
          <cell r="I8111">
            <v>1.1900000000000002</v>
          </cell>
          <cell r="J8111">
            <v>20.571111111111112</v>
          </cell>
        </row>
        <row r="8112">
          <cell r="B8112">
            <v>23.84</v>
          </cell>
          <cell r="C8112">
            <v>53.39</v>
          </cell>
          <cell r="D8112">
            <v>19.920000000000002</v>
          </cell>
          <cell r="E8112">
            <v>8.6999999999999993</v>
          </cell>
          <cell r="H8112">
            <v>45629</v>
          </cell>
          <cell r="I8112">
            <v>1.1900000000000002</v>
          </cell>
          <cell r="J8112">
            <v>20.112222222222222</v>
          </cell>
        </row>
        <row r="8113">
          <cell r="B8113">
            <v>22.82</v>
          </cell>
          <cell r="C8113">
            <v>51.55</v>
          </cell>
          <cell r="D8113">
            <v>19.920000000000002</v>
          </cell>
          <cell r="E8113">
            <v>8.49</v>
          </cell>
          <cell r="H8113">
            <v>45629</v>
          </cell>
          <cell r="I8113">
            <v>1.1566666666666667</v>
          </cell>
          <cell r="J8113">
            <v>19.946666666666665</v>
          </cell>
        </row>
        <row r="8114">
          <cell r="B8114">
            <v>22.44</v>
          </cell>
          <cell r="C8114">
            <v>50.12</v>
          </cell>
          <cell r="D8114">
            <v>19.77</v>
          </cell>
          <cell r="E8114">
            <v>7.81</v>
          </cell>
          <cell r="H8114">
            <v>45630</v>
          </cell>
          <cell r="I8114">
            <v>1.1255555555555554</v>
          </cell>
          <cell r="J8114">
            <v>20.082222222222221</v>
          </cell>
        </row>
        <row r="8115">
          <cell r="B8115">
            <v>22.91</v>
          </cell>
          <cell r="C8115">
            <v>51.1</v>
          </cell>
          <cell r="D8115">
            <v>19.29</v>
          </cell>
          <cell r="E8115">
            <v>7.9</v>
          </cell>
          <cell r="H8115">
            <v>45630</v>
          </cell>
          <cell r="I8115">
            <v>1.0588888888888888</v>
          </cell>
          <cell r="J8115">
            <v>20.376666666666665</v>
          </cell>
        </row>
        <row r="8116">
          <cell r="B8116">
            <v>22.27</v>
          </cell>
          <cell r="C8116">
            <v>49.27</v>
          </cell>
          <cell r="D8116">
            <v>19.68</v>
          </cell>
          <cell r="E8116">
            <v>8.8800000000000008</v>
          </cell>
          <cell r="H8116">
            <v>45630</v>
          </cell>
          <cell r="I8116">
            <v>0.9688888888888888</v>
          </cell>
          <cell r="J8116">
            <v>20.951111111111111</v>
          </cell>
        </row>
        <row r="8117">
          <cell r="B8117">
            <v>21.51</v>
          </cell>
          <cell r="C8117">
            <v>46.24</v>
          </cell>
          <cell r="D8117">
            <v>19.7</v>
          </cell>
          <cell r="E8117">
            <v>9.0399999999999991</v>
          </cell>
          <cell r="H8117">
            <v>45630</v>
          </cell>
          <cell r="I8117">
            <v>0.85222222222222233</v>
          </cell>
          <cell r="J8117">
            <v>21.130000000000003</v>
          </cell>
        </row>
        <row r="8118">
          <cell r="B8118">
            <v>20.260000000000002</v>
          </cell>
          <cell r="C8118">
            <v>45.41</v>
          </cell>
          <cell r="D8118">
            <v>19.97</v>
          </cell>
          <cell r="E8118">
            <v>8.83</v>
          </cell>
          <cell r="H8118">
            <v>45630</v>
          </cell>
          <cell r="I8118">
            <v>0.72888888888888892</v>
          </cell>
          <cell r="J8118">
            <v>21.424444444444443</v>
          </cell>
        </row>
        <row r="8119">
          <cell r="B8119">
            <v>19.95</v>
          </cell>
          <cell r="C8119">
            <v>45.25</v>
          </cell>
          <cell r="D8119">
            <v>19.95</v>
          </cell>
          <cell r="E8119">
            <v>8.86</v>
          </cell>
          <cell r="H8119">
            <v>45630</v>
          </cell>
          <cell r="I8119">
            <v>0.7022222222222223</v>
          </cell>
          <cell r="J8119">
            <v>21.704444444444441</v>
          </cell>
        </row>
        <row r="8120">
          <cell r="B8120">
            <v>20.78</v>
          </cell>
          <cell r="C8120">
            <v>47.73</v>
          </cell>
          <cell r="D8120">
            <v>19.989999999999998</v>
          </cell>
          <cell r="E8120">
            <v>8.11</v>
          </cell>
          <cell r="H8120">
            <v>45630</v>
          </cell>
          <cell r="I8120">
            <v>0.68222222222222217</v>
          </cell>
          <cell r="J8120">
            <v>21.763333333333335</v>
          </cell>
        </row>
        <row r="8121">
          <cell r="B8121">
            <v>22.11</v>
          </cell>
          <cell r="C8121">
            <v>49.61</v>
          </cell>
          <cell r="D8121">
            <v>20.239999999999998</v>
          </cell>
          <cell r="E8121">
            <v>8.43</v>
          </cell>
          <cell r="H8121">
            <v>45630</v>
          </cell>
          <cell r="I8121">
            <v>0.67444444444444451</v>
          </cell>
          <cell r="J8121">
            <v>21.732222222222227</v>
          </cell>
        </row>
        <row r="8122">
          <cell r="B8122">
            <v>24.29</v>
          </cell>
          <cell r="C8122">
            <v>57.15</v>
          </cell>
          <cell r="D8122">
            <v>20.14</v>
          </cell>
          <cell r="E8122">
            <v>8.7100000000000009</v>
          </cell>
          <cell r="H8122">
            <v>45630</v>
          </cell>
          <cell r="I8122">
            <v>0.68222222222222229</v>
          </cell>
          <cell r="J8122">
            <v>21.64</v>
          </cell>
        </row>
        <row r="8123">
          <cell r="B8123">
            <v>24.15</v>
          </cell>
          <cell r="C8123">
            <v>54.29</v>
          </cell>
          <cell r="D8123">
            <v>20.22</v>
          </cell>
          <cell r="E8123">
            <v>8.33</v>
          </cell>
          <cell r="H8123">
            <v>45630</v>
          </cell>
          <cell r="I8123">
            <v>0.7055555555555556</v>
          </cell>
          <cell r="J8123">
            <v>21.603333333333335</v>
          </cell>
        </row>
        <row r="8124">
          <cell r="B8124">
            <v>22.63</v>
          </cell>
          <cell r="C8124">
            <v>57.14</v>
          </cell>
          <cell r="D8124">
            <v>19.309999999999999</v>
          </cell>
          <cell r="E8124">
            <v>8.34</v>
          </cell>
          <cell r="H8124">
            <v>45630</v>
          </cell>
          <cell r="I8124">
            <v>0.72666666666666679</v>
          </cell>
          <cell r="J8124">
            <v>21.523333333333333</v>
          </cell>
        </row>
        <row r="8125">
          <cell r="B8125">
            <v>21.42</v>
          </cell>
          <cell r="C8125">
            <v>54.93</v>
          </cell>
          <cell r="D8125">
            <v>19.05</v>
          </cell>
          <cell r="E8125">
            <v>8.16</v>
          </cell>
          <cell r="H8125">
            <v>45630</v>
          </cell>
          <cell r="I8125">
            <v>0.73777777777777775</v>
          </cell>
          <cell r="J8125">
            <v>21.545555555555556</v>
          </cell>
        </row>
        <row r="8126">
          <cell r="B8126">
            <v>21.9</v>
          </cell>
          <cell r="C8126">
            <v>53.23</v>
          </cell>
          <cell r="D8126">
            <v>19.25</v>
          </cell>
          <cell r="E8126">
            <v>9.2100000000000009</v>
          </cell>
          <cell r="H8126">
            <v>45630</v>
          </cell>
          <cell r="I8126">
            <v>0.7533333333333333</v>
          </cell>
          <cell r="J8126">
            <v>21.78222222222222</v>
          </cell>
        </row>
        <row r="8127">
          <cell r="B8127">
            <v>25.23</v>
          </cell>
          <cell r="C8127">
            <v>58.98</v>
          </cell>
          <cell r="D8127">
            <v>19.149999999999999</v>
          </cell>
          <cell r="E8127">
            <v>10.46</v>
          </cell>
          <cell r="H8127">
            <v>45630</v>
          </cell>
          <cell r="I8127">
            <v>0.7566666666666666</v>
          </cell>
          <cell r="J8127">
            <v>22.065555555555555</v>
          </cell>
        </row>
        <row r="8128">
          <cell r="B8128">
            <v>25.23</v>
          </cell>
          <cell r="C8128">
            <v>60.6</v>
          </cell>
          <cell r="D8128">
            <v>19.690000000000001</v>
          </cell>
          <cell r="E8128">
            <v>10.210000000000001</v>
          </cell>
          <cell r="H8128">
            <v>45630</v>
          </cell>
          <cell r="I8128">
            <v>0.7566666666666666</v>
          </cell>
          <cell r="J8128">
            <v>22.392222222222227</v>
          </cell>
        </row>
        <row r="8129">
          <cell r="B8129">
            <v>24.6</v>
          </cell>
          <cell r="C8129">
            <v>63.21</v>
          </cell>
          <cell r="D8129">
            <v>20.23</v>
          </cell>
          <cell r="E8129">
            <v>9.73</v>
          </cell>
          <cell r="H8129">
            <v>45630</v>
          </cell>
          <cell r="I8129">
            <v>0.75777777777777766</v>
          </cell>
          <cell r="J8129">
            <v>22.760000000000005</v>
          </cell>
        </row>
        <row r="8130">
          <cell r="B8130">
            <v>25.42</v>
          </cell>
          <cell r="C8130">
            <v>63.44</v>
          </cell>
          <cell r="D8130">
            <v>20.76</v>
          </cell>
          <cell r="E8130">
            <v>9</v>
          </cell>
          <cell r="H8130">
            <v>45630</v>
          </cell>
          <cell r="I8130">
            <v>0.75777777777777766</v>
          </cell>
          <cell r="J8130">
            <v>23.02</v>
          </cell>
        </row>
        <row r="8131">
          <cell r="B8131">
            <v>24.6</v>
          </cell>
          <cell r="C8131">
            <v>62.8</v>
          </cell>
          <cell r="D8131">
            <v>21.84</v>
          </cell>
          <cell r="E8131">
            <v>8.65</v>
          </cell>
          <cell r="H8131">
            <v>45630</v>
          </cell>
          <cell r="I8131">
            <v>0.77111111111111108</v>
          </cell>
          <cell r="J8131">
            <v>23.092222222222226</v>
          </cell>
        </row>
        <row r="8132">
          <cell r="B8132">
            <v>27.25</v>
          </cell>
          <cell r="C8132">
            <v>69.05</v>
          </cell>
          <cell r="D8132">
            <v>23.27</v>
          </cell>
          <cell r="E8132">
            <v>8.73</v>
          </cell>
          <cell r="H8132">
            <v>45630</v>
          </cell>
          <cell r="I8132">
            <v>0.80222222222222206</v>
          </cell>
          <cell r="J8132">
            <v>22.862222222222222</v>
          </cell>
        </row>
        <row r="8133">
          <cell r="B8133">
            <v>34.4</v>
          </cell>
          <cell r="C8133">
            <v>79.069999999999993</v>
          </cell>
          <cell r="D8133">
            <v>23.12</v>
          </cell>
          <cell r="E8133">
            <v>9.23</v>
          </cell>
          <cell r="H8133">
            <v>45630</v>
          </cell>
          <cell r="I8133">
            <v>0.84666666666666657</v>
          </cell>
          <cell r="J8133">
            <v>22.496666666666663</v>
          </cell>
        </row>
        <row r="8134">
          <cell r="B8134">
            <v>39.700000000000003</v>
          </cell>
          <cell r="C8134">
            <v>92.96</v>
          </cell>
          <cell r="D8134">
            <v>22.7</v>
          </cell>
          <cell r="E8134">
            <v>9.48</v>
          </cell>
          <cell r="H8134">
            <v>45630</v>
          </cell>
          <cell r="I8134">
            <v>0.88222222222222202</v>
          </cell>
          <cell r="J8134">
            <v>22.11</v>
          </cell>
        </row>
        <row r="8135">
          <cell r="B8135">
            <v>34.35</v>
          </cell>
          <cell r="C8135">
            <v>84.25</v>
          </cell>
          <cell r="D8135">
            <v>22.34</v>
          </cell>
          <cell r="E8135">
            <v>9.5500000000000007</v>
          </cell>
          <cell r="H8135">
            <v>45630</v>
          </cell>
          <cell r="I8135">
            <v>0.9044444444444445</v>
          </cell>
          <cell r="J8135">
            <v>21.584444444444443</v>
          </cell>
        </row>
        <row r="8136">
          <cell r="B8136">
            <v>31.23</v>
          </cell>
          <cell r="C8136">
            <v>81.11</v>
          </cell>
          <cell r="D8136">
            <v>22.16</v>
          </cell>
          <cell r="E8136">
            <v>9.59</v>
          </cell>
          <cell r="H8136">
            <v>45630</v>
          </cell>
          <cell r="I8136">
            <v>0.91111111111111098</v>
          </cell>
          <cell r="J8136">
            <v>21.09</v>
          </cell>
        </row>
        <row r="8137">
          <cell r="B8137">
            <v>27.64</v>
          </cell>
          <cell r="C8137">
            <v>73.44</v>
          </cell>
          <cell r="D8137">
            <v>21.7</v>
          </cell>
          <cell r="E8137">
            <v>9.4700000000000006</v>
          </cell>
          <cell r="H8137">
            <v>45630</v>
          </cell>
          <cell r="I8137">
            <v>0.89888888888888885</v>
          </cell>
          <cell r="J8137">
            <v>20.664444444444442</v>
          </cell>
        </row>
        <row r="8138">
          <cell r="B8138">
            <v>24.24</v>
          </cell>
          <cell r="C8138">
            <v>62.18</v>
          </cell>
          <cell r="D8138">
            <v>21.43</v>
          </cell>
          <cell r="E8138">
            <v>9.59</v>
          </cell>
          <cell r="H8138">
            <v>45631</v>
          </cell>
          <cell r="I8138">
            <v>0.90111111111111108</v>
          </cell>
          <cell r="J8138">
            <v>20.40666666666667</v>
          </cell>
        </row>
        <row r="8139">
          <cell r="B8139">
            <v>21.62</v>
          </cell>
          <cell r="C8139">
            <v>50.79</v>
          </cell>
          <cell r="D8139">
            <v>20.67</v>
          </cell>
          <cell r="E8139">
            <v>9.08</v>
          </cell>
          <cell r="H8139">
            <v>45631</v>
          </cell>
          <cell r="I8139">
            <v>0.88888888888888884</v>
          </cell>
          <cell r="J8139">
            <v>20.115555555555556</v>
          </cell>
        </row>
        <row r="8140">
          <cell r="B8140">
            <v>17.57</v>
          </cell>
          <cell r="C8140">
            <v>40.17</v>
          </cell>
          <cell r="D8140">
            <v>20.79</v>
          </cell>
          <cell r="E8140">
            <v>8.76</v>
          </cell>
          <cell r="H8140">
            <v>45631</v>
          </cell>
          <cell r="I8140">
            <v>0.86222222222222233</v>
          </cell>
          <cell r="J8140">
            <v>20.006666666666671</v>
          </cell>
        </row>
        <row r="8141">
          <cell r="B8141">
            <v>17.04</v>
          </cell>
          <cell r="C8141">
            <v>39.450000000000003</v>
          </cell>
          <cell r="D8141">
            <v>20.41</v>
          </cell>
          <cell r="E8141">
            <v>8.2799999999999994</v>
          </cell>
          <cell r="H8141">
            <v>45631</v>
          </cell>
          <cell r="I8141">
            <v>0.80777777777777782</v>
          </cell>
          <cell r="J8141">
            <v>20.308888888888891</v>
          </cell>
        </row>
        <row r="8142">
          <cell r="B8142">
            <v>18.14</v>
          </cell>
          <cell r="C8142">
            <v>41.96</v>
          </cell>
          <cell r="D8142">
            <v>20.58</v>
          </cell>
          <cell r="E8142">
            <v>9.02</v>
          </cell>
          <cell r="H8142">
            <v>45631</v>
          </cell>
          <cell r="I8142">
            <v>0.75111111111111106</v>
          </cell>
          <cell r="J8142">
            <v>20.543333333333337</v>
          </cell>
        </row>
        <row r="8143">
          <cell r="B8143">
            <v>19.010000000000002</v>
          </cell>
          <cell r="C8143">
            <v>40.549999999999997</v>
          </cell>
          <cell r="D8143">
            <v>20.83</v>
          </cell>
          <cell r="E8143">
            <v>8.69</v>
          </cell>
          <cell r="H8143">
            <v>45631</v>
          </cell>
          <cell r="I8143">
            <v>0.72111111111111115</v>
          </cell>
          <cell r="J8143">
            <v>20.477777777777774</v>
          </cell>
        </row>
        <row r="8144">
          <cell r="B8144">
            <v>20.29</v>
          </cell>
          <cell r="C8144">
            <v>42.1</v>
          </cell>
          <cell r="D8144">
            <v>21.17</v>
          </cell>
          <cell r="E8144">
            <v>8.5299999999999994</v>
          </cell>
          <cell r="H8144">
            <v>45631</v>
          </cell>
          <cell r="I8144">
            <v>0.70111111111111113</v>
          </cell>
          <cell r="J8144">
            <v>20.685555555555553</v>
          </cell>
        </row>
        <row r="8145">
          <cell r="B8145">
            <v>18.489999999999998</v>
          </cell>
          <cell r="C8145">
            <v>41.5</v>
          </cell>
          <cell r="D8145">
            <v>21.53</v>
          </cell>
          <cell r="E8145">
            <v>8.64</v>
          </cell>
          <cell r="H8145">
            <v>45631</v>
          </cell>
          <cell r="I8145">
            <v>0.71</v>
          </cell>
          <cell r="J8145">
            <v>20.715555555555554</v>
          </cell>
        </row>
        <row r="8146">
          <cell r="B8146">
            <v>18.510000000000002</v>
          </cell>
          <cell r="C8146">
            <v>43.17</v>
          </cell>
          <cell r="D8146">
            <v>21.37</v>
          </cell>
          <cell r="E8146">
            <v>9.27</v>
          </cell>
          <cell r="H8146">
            <v>45631</v>
          </cell>
          <cell r="I8146">
            <v>0.7466666666666667</v>
          </cell>
          <cell r="J8146">
            <v>20.768888888888885</v>
          </cell>
        </row>
        <row r="8147">
          <cell r="B8147">
            <v>19.399999999999999</v>
          </cell>
          <cell r="C8147">
            <v>43.17</v>
          </cell>
          <cell r="D8147">
            <v>21.6</v>
          </cell>
          <cell r="E8147">
            <v>8.99</v>
          </cell>
          <cell r="H8147">
            <v>45631</v>
          </cell>
          <cell r="I8147">
            <v>0.77222222222222225</v>
          </cell>
          <cell r="J8147">
            <v>20.643333333333331</v>
          </cell>
        </row>
        <row r="8148">
          <cell r="B8148">
            <v>18.329999999999998</v>
          </cell>
          <cell r="C8148">
            <v>42.6</v>
          </cell>
          <cell r="D8148">
            <v>20.03</v>
          </cell>
          <cell r="E8148">
            <v>9.17</v>
          </cell>
          <cell r="H8148">
            <v>45631</v>
          </cell>
          <cell r="I8148">
            <v>0.7977777777777777</v>
          </cell>
          <cell r="J8148">
            <v>20.63111111111111</v>
          </cell>
        </row>
        <row r="8149">
          <cell r="B8149">
            <v>18.32</v>
          </cell>
          <cell r="C8149">
            <v>44.41</v>
          </cell>
          <cell r="D8149">
            <v>18.510000000000002</v>
          </cell>
          <cell r="E8149">
            <v>8.06</v>
          </cell>
          <cell r="H8149">
            <v>45631</v>
          </cell>
          <cell r="I8149">
            <v>0.81111111111111101</v>
          </cell>
          <cell r="J8149">
            <v>20.588888888888889</v>
          </cell>
        </row>
        <row r="8150">
          <cell r="B8150">
            <v>20.84</v>
          </cell>
          <cell r="C8150">
            <v>51.95</v>
          </cell>
          <cell r="D8150">
            <v>18.38</v>
          </cell>
          <cell r="E8150">
            <v>8.91</v>
          </cell>
          <cell r="H8150">
            <v>45631</v>
          </cell>
          <cell r="I8150">
            <v>0.82111111111111112</v>
          </cell>
          <cell r="J8150">
            <v>20.356666666666669</v>
          </cell>
        </row>
        <row r="8151">
          <cell r="B8151">
            <v>25.32</v>
          </cell>
          <cell r="C8151">
            <v>56.12</v>
          </cell>
          <cell r="D8151">
            <v>18.16</v>
          </cell>
          <cell r="E8151">
            <v>8.64</v>
          </cell>
          <cell r="H8151">
            <v>45631</v>
          </cell>
          <cell r="I8151">
            <v>0.82333333333333347</v>
          </cell>
          <cell r="J8151">
            <v>20.422222222222221</v>
          </cell>
        </row>
        <row r="8152">
          <cell r="B8152">
            <v>25.22</v>
          </cell>
          <cell r="C8152">
            <v>56.01</v>
          </cell>
          <cell r="D8152">
            <v>18.170000000000002</v>
          </cell>
          <cell r="E8152">
            <v>9.06</v>
          </cell>
          <cell r="H8152">
            <v>45631</v>
          </cell>
          <cell r="I8152">
            <v>0.81333333333333324</v>
          </cell>
          <cell r="J8152">
            <v>20.462222222222223</v>
          </cell>
        </row>
        <row r="8153">
          <cell r="B8153">
            <v>16.37</v>
          </cell>
          <cell r="C8153">
            <v>51.82</v>
          </cell>
          <cell r="D8153">
            <v>18.93</v>
          </cell>
          <cell r="E8153">
            <v>9.02</v>
          </cell>
          <cell r="H8153">
            <v>45631</v>
          </cell>
          <cell r="I8153">
            <v>0.7977777777777777</v>
          </cell>
          <cell r="J8153">
            <v>20.607777777777777</v>
          </cell>
        </row>
        <row r="8154">
          <cell r="B8154">
            <v>25.04</v>
          </cell>
          <cell r="C8154">
            <v>65.59</v>
          </cell>
          <cell r="D8154">
            <v>19.79</v>
          </cell>
          <cell r="E8154">
            <v>9.6199999999999992</v>
          </cell>
          <cell r="H8154">
            <v>45631</v>
          </cell>
          <cell r="I8154">
            <v>0.80333333333333323</v>
          </cell>
          <cell r="J8154">
            <v>20.597777777777775</v>
          </cell>
        </row>
        <row r="8155">
          <cell r="B8155">
            <v>29.78</v>
          </cell>
          <cell r="C8155">
            <v>78.650000000000006</v>
          </cell>
          <cell r="D8155">
            <v>20.77</v>
          </cell>
          <cell r="E8155">
            <v>9.39</v>
          </cell>
          <cell r="H8155">
            <v>45631</v>
          </cell>
          <cell r="I8155">
            <v>0.81222222222222218</v>
          </cell>
          <cell r="J8155">
            <v>20.382222222222218</v>
          </cell>
        </row>
        <row r="8156">
          <cell r="B8156">
            <v>32.64</v>
          </cell>
          <cell r="C8156">
            <v>80.48</v>
          </cell>
          <cell r="D8156">
            <v>22.17</v>
          </cell>
          <cell r="E8156">
            <v>8.39</v>
          </cell>
          <cell r="H8156">
            <v>45631</v>
          </cell>
          <cell r="I8156">
            <v>0.83444444444444454</v>
          </cell>
          <cell r="J8156">
            <v>20.13</v>
          </cell>
        </row>
        <row r="8157">
          <cell r="B8157">
            <v>31.92</v>
          </cell>
          <cell r="C8157">
            <v>84.29</v>
          </cell>
          <cell r="D8157">
            <v>22.45</v>
          </cell>
          <cell r="E8157">
            <v>8.75</v>
          </cell>
          <cell r="H8157">
            <v>45631</v>
          </cell>
          <cell r="I8157">
            <v>0.86888888888888882</v>
          </cell>
          <cell r="J8157">
            <v>19.918888888888887</v>
          </cell>
        </row>
        <row r="8158">
          <cell r="B8158">
            <v>33.380000000000003</v>
          </cell>
          <cell r="C8158">
            <v>93.57</v>
          </cell>
          <cell r="D8158">
            <v>22.6</v>
          </cell>
          <cell r="E8158">
            <v>9.44</v>
          </cell>
          <cell r="H8158">
            <v>45631</v>
          </cell>
          <cell r="I8158">
            <v>0.9144444444444445</v>
          </cell>
          <cell r="J8158">
            <v>19.723333333333333</v>
          </cell>
        </row>
        <row r="8159">
          <cell r="B8159">
            <v>31.96</v>
          </cell>
          <cell r="C8159">
            <v>90</v>
          </cell>
          <cell r="D8159">
            <v>22.16</v>
          </cell>
          <cell r="E8159">
            <v>9.1199999999999992</v>
          </cell>
          <cell r="H8159">
            <v>45631</v>
          </cell>
          <cell r="I8159">
            <v>0.94333333333333313</v>
          </cell>
          <cell r="J8159">
            <v>19.527777777777775</v>
          </cell>
        </row>
        <row r="8160">
          <cell r="B8160">
            <v>27.97</v>
          </cell>
          <cell r="C8160">
            <v>79.47</v>
          </cell>
          <cell r="D8160">
            <v>21.26</v>
          </cell>
          <cell r="E8160">
            <v>8.83</v>
          </cell>
          <cell r="H8160">
            <v>45631</v>
          </cell>
          <cell r="I8160">
            <v>0.95666666666666655</v>
          </cell>
          <cell r="J8160">
            <v>19.158888888888889</v>
          </cell>
        </row>
        <row r="8161">
          <cell r="B8161">
            <v>26.69</v>
          </cell>
          <cell r="C8161">
            <v>70.650000000000006</v>
          </cell>
          <cell r="D8161">
            <v>20.9</v>
          </cell>
          <cell r="E8161">
            <v>8.41</v>
          </cell>
          <cell r="H8161">
            <v>45631</v>
          </cell>
          <cell r="I8161">
            <v>0.95888888888888879</v>
          </cell>
          <cell r="J8161">
            <v>19.087777777777777</v>
          </cell>
        </row>
        <row r="8162">
          <cell r="B8162">
            <v>26.03</v>
          </cell>
          <cell r="C8162">
            <v>63.1</v>
          </cell>
          <cell r="D8162">
            <v>20.13</v>
          </cell>
          <cell r="E8162">
            <v>8.74</v>
          </cell>
          <cell r="H8162">
            <v>45632</v>
          </cell>
          <cell r="I8162">
            <v>0.96000000000000008</v>
          </cell>
          <cell r="J8162">
            <v>18.731111111111108</v>
          </cell>
        </row>
        <row r="8163">
          <cell r="B8163">
            <v>26.07</v>
          </cell>
          <cell r="C8163">
            <v>53.76</v>
          </cell>
          <cell r="D8163">
            <v>19.86</v>
          </cell>
          <cell r="E8163">
            <v>8.48</v>
          </cell>
          <cell r="H8163">
            <v>45632</v>
          </cell>
          <cell r="I8163">
            <v>0.92888888888888888</v>
          </cell>
          <cell r="J8163">
            <v>18.855555555555561</v>
          </cell>
        </row>
        <row r="8164">
          <cell r="B8164">
            <v>27.74</v>
          </cell>
          <cell r="C8164">
            <v>51.82</v>
          </cell>
          <cell r="D8164">
            <v>19.850000000000001</v>
          </cell>
          <cell r="E8164">
            <v>8.7799999999999994</v>
          </cell>
          <cell r="H8164">
            <v>45632</v>
          </cell>
          <cell r="I8164">
            <v>0.8833333333333333</v>
          </cell>
          <cell r="J8164">
            <v>19.146666666666665</v>
          </cell>
        </row>
        <row r="8165">
          <cell r="B8165">
            <v>28.36</v>
          </cell>
          <cell r="C8165">
            <v>50.82</v>
          </cell>
          <cell r="D8165">
            <v>19.38</v>
          </cell>
          <cell r="E8165">
            <v>8.2200000000000006</v>
          </cell>
          <cell r="H8165">
            <v>45632</v>
          </cell>
          <cell r="I8165">
            <v>0.82111111111111112</v>
          </cell>
          <cell r="J8165">
            <v>19.865555555555559</v>
          </cell>
        </row>
        <row r="8166">
          <cell r="B8166">
            <v>26.95</v>
          </cell>
          <cell r="C8166">
            <v>49.52</v>
          </cell>
          <cell r="D8166">
            <v>19.38</v>
          </cell>
          <cell r="E8166">
            <v>8.9700000000000006</v>
          </cell>
          <cell r="H8166">
            <v>45632</v>
          </cell>
          <cell r="I8166">
            <v>0.76222222222222213</v>
          </cell>
          <cell r="J8166">
            <v>20.481111111111112</v>
          </cell>
        </row>
        <row r="8167">
          <cell r="B8167">
            <v>28.24</v>
          </cell>
          <cell r="C8167">
            <v>52.34</v>
          </cell>
          <cell r="D8167">
            <v>19.87</v>
          </cell>
          <cell r="E8167">
            <v>9.16</v>
          </cell>
          <cell r="H8167">
            <v>45632</v>
          </cell>
          <cell r="I8167">
            <v>0.70888888888888901</v>
          </cell>
          <cell r="J8167">
            <v>21.081111111111113</v>
          </cell>
        </row>
        <row r="8168">
          <cell r="B8168">
            <v>28.42</v>
          </cell>
          <cell r="C8168">
            <v>55.33</v>
          </cell>
          <cell r="D8168">
            <v>20.239999999999998</v>
          </cell>
          <cell r="E8168">
            <v>9.36</v>
          </cell>
          <cell r="H8168">
            <v>45632</v>
          </cell>
          <cell r="I8168">
            <v>0.68111111111111122</v>
          </cell>
          <cell r="J8168">
            <v>21.568888888888889</v>
          </cell>
        </row>
        <row r="8169">
          <cell r="B8169">
            <v>29.85</v>
          </cell>
          <cell r="C8169">
            <v>60.95</v>
          </cell>
          <cell r="D8169">
            <v>20.36</v>
          </cell>
          <cell r="E8169">
            <v>9.34</v>
          </cell>
          <cell r="H8169">
            <v>45632</v>
          </cell>
          <cell r="I8169">
            <v>0.67999999999999994</v>
          </cell>
          <cell r="J8169">
            <v>22.101111111111109</v>
          </cell>
        </row>
        <row r="8170">
          <cell r="B8170">
            <v>27.88</v>
          </cell>
          <cell r="C8170">
            <v>60.78</v>
          </cell>
          <cell r="D8170">
            <v>20.5</v>
          </cell>
          <cell r="E8170">
            <v>9.36</v>
          </cell>
          <cell r="H8170">
            <v>45632</v>
          </cell>
          <cell r="I8170">
            <v>0.69111111111111112</v>
          </cell>
          <cell r="J8170">
            <v>22.753333333333334</v>
          </cell>
        </row>
        <row r="8171">
          <cell r="B8171">
            <v>26.76</v>
          </cell>
          <cell r="C8171">
            <v>61.64</v>
          </cell>
          <cell r="D8171">
            <v>20.65</v>
          </cell>
          <cell r="E8171">
            <v>9.25</v>
          </cell>
          <cell r="H8171">
            <v>45632</v>
          </cell>
          <cell r="I8171">
            <v>0.71333333333333326</v>
          </cell>
          <cell r="J8171">
            <v>23.128888888888888</v>
          </cell>
        </row>
        <row r="8172">
          <cell r="B8172">
            <v>25.71</v>
          </cell>
          <cell r="C8172">
            <v>58.68</v>
          </cell>
          <cell r="D8172">
            <v>19.57</v>
          </cell>
          <cell r="E8172">
            <v>9.07</v>
          </cell>
          <cell r="H8172">
            <v>45632</v>
          </cell>
          <cell r="I8172">
            <v>0.72888888888888892</v>
          </cell>
          <cell r="J8172">
            <v>23.494444444444444</v>
          </cell>
        </row>
        <row r="8173">
          <cell r="B8173">
            <v>24.28</v>
          </cell>
          <cell r="C8173">
            <v>53.11</v>
          </cell>
          <cell r="D8173">
            <v>18.87</v>
          </cell>
          <cell r="E8173">
            <v>9.2899999999999991</v>
          </cell>
          <cell r="H8173">
            <v>45632</v>
          </cell>
          <cell r="I8173">
            <v>0.73555555555555552</v>
          </cell>
          <cell r="J8173">
            <v>23.842222222222219</v>
          </cell>
        </row>
        <row r="8174">
          <cell r="B8174">
            <v>20.78</v>
          </cell>
          <cell r="C8174">
            <v>49.16</v>
          </cell>
          <cell r="D8174">
            <v>18.53</v>
          </cell>
          <cell r="E8174">
            <v>10.92</v>
          </cell>
          <cell r="H8174">
            <v>45632</v>
          </cell>
          <cell r="I8174">
            <v>0.74333333333333329</v>
          </cell>
          <cell r="J8174">
            <v>24.134444444444441</v>
          </cell>
        </row>
        <row r="8175">
          <cell r="B8175">
            <v>21.09</v>
          </cell>
          <cell r="C8175">
            <v>50.41</v>
          </cell>
          <cell r="D8175">
            <v>18.940000000000001</v>
          </cell>
          <cell r="E8175">
            <v>11.12</v>
          </cell>
          <cell r="H8175">
            <v>45632</v>
          </cell>
          <cell r="I8175">
            <v>0.74777777777777765</v>
          </cell>
          <cell r="J8175">
            <v>24.27</v>
          </cell>
        </row>
        <row r="8176">
          <cell r="B8176">
            <v>20.87</v>
          </cell>
          <cell r="C8176">
            <v>47.88</v>
          </cell>
          <cell r="D8176">
            <v>19.350000000000001</v>
          </cell>
          <cell r="E8176">
            <v>10.69</v>
          </cell>
          <cell r="H8176">
            <v>45632</v>
          </cell>
          <cell r="I8176">
            <v>0.77222222222222214</v>
          </cell>
          <cell r="J8176">
            <v>24.446666666666669</v>
          </cell>
        </row>
        <row r="8177">
          <cell r="B8177">
            <v>21.77</v>
          </cell>
          <cell r="C8177">
            <v>51.38</v>
          </cell>
          <cell r="D8177">
            <v>20.28</v>
          </cell>
          <cell r="E8177">
            <v>10.85</v>
          </cell>
          <cell r="H8177">
            <v>45632</v>
          </cell>
          <cell r="I8177">
            <v>0.76555555555555543</v>
          </cell>
          <cell r="J8177">
            <v>24.602222222222224</v>
          </cell>
        </row>
        <row r="8178">
          <cell r="B8178">
            <v>21.98</v>
          </cell>
          <cell r="C8178">
            <v>53.81</v>
          </cell>
          <cell r="D8178">
            <v>21.22</v>
          </cell>
          <cell r="E8178">
            <v>11.41</v>
          </cell>
          <cell r="H8178">
            <v>45632</v>
          </cell>
          <cell r="I8178">
            <v>0.75666666666666671</v>
          </cell>
          <cell r="J8178">
            <v>24.588888888888889</v>
          </cell>
        </row>
        <row r="8179">
          <cell r="B8179">
            <v>20.82</v>
          </cell>
          <cell r="C8179">
            <v>57.26</v>
          </cell>
          <cell r="D8179">
            <v>21.45</v>
          </cell>
          <cell r="E8179">
            <v>11.36</v>
          </cell>
          <cell r="H8179">
            <v>45632</v>
          </cell>
          <cell r="I8179">
            <v>0.75888888888888895</v>
          </cell>
          <cell r="J8179">
            <v>24.185555555555556</v>
          </cell>
        </row>
        <row r="8180">
          <cell r="B8180">
            <v>22.5</v>
          </cell>
          <cell r="C8180">
            <v>62.58</v>
          </cell>
          <cell r="D8180">
            <v>22.73</v>
          </cell>
          <cell r="E8180">
            <v>10.3</v>
          </cell>
          <cell r="H8180">
            <v>45632</v>
          </cell>
          <cell r="I8180">
            <v>0.7877777777777778</v>
          </cell>
          <cell r="J8180">
            <v>23.895555555555557</v>
          </cell>
        </row>
        <row r="8181">
          <cell r="B8181">
            <v>27.97</v>
          </cell>
          <cell r="C8181">
            <v>72.94</v>
          </cell>
          <cell r="D8181">
            <v>22.98</v>
          </cell>
          <cell r="E8181">
            <v>9.48</v>
          </cell>
          <cell r="H8181">
            <v>45632</v>
          </cell>
          <cell r="I8181">
            <v>0.82333333333333336</v>
          </cell>
          <cell r="J8181">
            <v>23.527777777777779</v>
          </cell>
        </row>
        <row r="8182">
          <cell r="B8182">
            <v>32.08</v>
          </cell>
          <cell r="C8182">
            <v>76.180000000000007</v>
          </cell>
          <cell r="D8182">
            <v>22.93</v>
          </cell>
          <cell r="E8182">
            <v>9.09</v>
          </cell>
          <cell r="H8182">
            <v>45632</v>
          </cell>
          <cell r="I8182">
            <v>0.8666666666666667</v>
          </cell>
          <cell r="J8182">
            <v>23.144444444444442</v>
          </cell>
        </row>
        <row r="8183">
          <cell r="B8183">
            <v>34.57</v>
          </cell>
          <cell r="C8183">
            <v>76.040000000000006</v>
          </cell>
          <cell r="D8183">
            <v>22.6</v>
          </cell>
          <cell r="E8183">
            <v>8.66</v>
          </cell>
          <cell r="H8183">
            <v>45632</v>
          </cell>
          <cell r="I8183">
            <v>0.89</v>
          </cell>
          <cell r="J8183">
            <v>22.444444444444443</v>
          </cell>
        </row>
        <row r="8184">
          <cell r="B8184">
            <v>34.94</v>
          </cell>
          <cell r="C8184">
            <v>78.53</v>
          </cell>
          <cell r="D8184">
            <v>22.21</v>
          </cell>
          <cell r="E8184">
            <v>9.09</v>
          </cell>
          <cell r="H8184">
            <v>45632</v>
          </cell>
          <cell r="I8184">
            <v>0.90555555555555545</v>
          </cell>
          <cell r="J8184">
            <v>21.97111111111111</v>
          </cell>
        </row>
        <row r="8185">
          <cell r="B8185">
            <v>32.89</v>
          </cell>
          <cell r="C8185">
            <v>75.73</v>
          </cell>
          <cell r="D8185">
            <v>21.67</v>
          </cell>
          <cell r="E8185">
            <v>9.42</v>
          </cell>
          <cell r="H8185">
            <v>45632</v>
          </cell>
          <cell r="I8185">
            <v>0.8833333333333333</v>
          </cell>
          <cell r="J8185">
            <v>21.52333333333333</v>
          </cell>
        </row>
        <row r="8186">
          <cell r="B8186">
            <v>32.65</v>
          </cell>
          <cell r="C8186">
            <v>71.7</v>
          </cell>
          <cell r="D8186">
            <v>21.21</v>
          </cell>
          <cell r="E8186">
            <v>9.81</v>
          </cell>
          <cell r="H8186">
            <v>45633</v>
          </cell>
          <cell r="I8186">
            <v>0.87777777777777777</v>
          </cell>
          <cell r="J8186">
            <v>21.258888888888887</v>
          </cell>
        </row>
        <row r="8187">
          <cell r="B8187">
            <v>33.49</v>
          </cell>
          <cell r="C8187">
            <v>71.06</v>
          </cell>
          <cell r="D8187">
            <v>20.73</v>
          </cell>
          <cell r="E8187">
            <v>9.33</v>
          </cell>
          <cell r="H8187">
            <v>45633</v>
          </cell>
          <cell r="I8187">
            <v>0.86888888888888882</v>
          </cell>
          <cell r="J8187">
            <v>21.102222222222224</v>
          </cell>
        </row>
        <row r="8188">
          <cell r="B8188">
            <v>31.76</v>
          </cell>
          <cell r="C8188">
            <v>66.28</v>
          </cell>
          <cell r="D8188">
            <v>20.36</v>
          </cell>
          <cell r="E8188">
            <v>9.3800000000000008</v>
          </cell>
          <cell r="H8188">
            <v>45633</v>
          </cell>
          <cell r="I8188">
            <v>0.84777777777777774</v>
          </cell>
          <cell r="J8188">
            <v>21.13666666666667</v>
          </cell>
        </row>
        <row r="8189">
          <cell r="B8189">
            <v>34.35</v>
          </cell>
          <cell r="C8189">
            <v>59.43</v>
          </cell>
          <cell r="D8189">
            <v>19.440000000000001</v>
          </cell>
          <cell r="E8189">
            <v>9.1</v>
          </cell>
          <cell r="H8189">
            <v>45633</v>
          </cell>
          <cell r="I8189">
            <v>0.79666666666666663</v>
          </cell>
          <cell r="J8189">
            <v>21.461111111111116</v>
          </cell>
        </row>
        <row r="8190">
          <cell r="B8190">
            <v>37.409999999999997</v>
          </cell>
          <cell r="C8190">
            <v>59.93</v>
          </cell>
          <cell r="D8190">
            <v>19.29</v>
          </cell>
          <cell r="E8190">
            <v>9.48</v>
          </cell>
          <cell r="H8190">
            <v>45633</v>
          </cell>
          <cell r="I8190">
            <v>0.74666666666666659</v>
          </cell>
          <cell r="J8190">
            <v>21.77888888888889</v>
          </cell>
        </row>
        <row r="8191">
          <cell r="B8191">
            <v>37.79</v>
          </cell>
          <cell r="C8191">
            <v>60.68</v>
          </cell>
          <cell r="D8191">
            <v>19.420000000000002</v>
          </cell>
          <cell r="E8191">
            <v>8.9600000000000009</v>
          </cell>
          <cell r="H8191">
            <v>45633</v>
          </cell>
          <cell r="I8191">
            <v>0.70555555555555549</v>
          </cell>
          <cell r="J8191">
            <v>22.017777777777781</v>
          </cell>
        </row>
        <row r="8192">
          <cell r="B8192">
            <v>39.64</v>
          </cell>
          <cell r="C8192">
            <v>66.989999999999995</v>
          </cell>
          <cell r="D8192">
            <v>19.86</v>
          </cell>
          <cell r="E8192">
            <v>9.15</v>
          </cell>
          <cell r="H8192">
            <v>45633</v>
          </cell>
          <cell r="I8192">
            <v>0.69333333333333325</v>
          </cell>
          <cell r="J8192">
            <v>22.205555555555559</v>
          </cell>
        </row>
        <row r="8193">
          <cell r="B8193">
            <v>43.28</v>
          </cell>
          <cell r="C8193">
            <v>74.97</v>
          </cell>
          <cell r="D8193">
            <v>20.28</v>
          </cell>
          <cell r="E8193">
            <v>9.31</v>
          </cell>
          <cell r="H8193">
            <v>45633</v>
          </cell>
          <cell r="I8193">
            <v>0.69444444444444442</v>
          </cell>
          <cell r="J8193">
            <v>22.332222222222224</v>
          </cell>
        </row>
        <row r="8194">
          <cell r="B8194">
            <v>36.659999999999997</v>
          </cell>
          <cell r="C8194">
            <v>78.48</v>
          </cell>
          <cell r="D8194">
            <v>20.5</v>
          </cell>
          <cell r="E8194">
            <v>9.5500000000000007</v>
          </cell>
          <cell r="H8194">
            <v>45633</v>
          </cell>
          <cell r="I8194">
            <v>0.71111111111111114</v>
          </cell>
          <cell r="J8194">
            <v>22.475555555555555</v>
          </cell>
        </row>
        <row r="8195">
          <cell r="B8195">
            <v>32.840000000000003</v>
          </cell>
          <cell r="C8195">
            <v>81.260000000000005</v>
          </cell>
          <cell r="D8195">
            <v>20.78</v>
          </cell>
          <cell r="E8195">
            <v>9.7799999999999994</v>
          </cell>
          <cell r="H8195">
            <v>45633</v>
          </cell>
          <cell r="I8195">
            <v>0.73222222222222222</v>
          </cell>
          <cell r="J8195">
            <v>22.691111111111109</v>
          </cell>
        </row>
        <row r="8196">
          <cell r="B8196">
            <v>29.59</v>
          </cell>
          <cell r="C8196">
            <v>66.45</v>
          </cell>
          <cell r="D8196">
            <v>20.28</v>
          </cell>
          <cell r="E8196">
            <v>9.81</v>
          </cell>
          <cell r="H8196">
            <v>45633</v>
          </cell>
          <cell r="I8196">
            <v>0.75444444444444447</v>
          </cell>
          <cell r="J8196">
            <v>23.041111111111107</v>
          </cell>
        </row>
        <row r="8197">
          <cell r="B8197">
            <v>27.65</v>
          </cell>
          <cell r="C8197">
            <v>60.2</v>
          </cell>
          <cell r="D8197">
            <v>19.11</v>
          </cell>
          <cell r="E8197">
            <v>9.14</v>
          </cell>
          <cell r="H8197">
            <v>45633</v>
          </cell>
          <cell r="I8197">
            <v>0.77777777777777768</v>
          </cell>
          <cell r="J8197">
            <v>23.537777777777777</v>
          </cell>
        </row>
        <row r="8198">
          <cell r="B8198">
            <v>30.17</v>
          </cell>
          <cell r="C8198">
            <v>59.64</v>
          </cell>
          <cell r="D8198">
            <v>19.68</v>
          </cell>
          <cell r="E8198">
            <v>10.11</v>
          </cell>
          <cell r="H8198">
            <v>45633</v>
          </cell>
          <cell r="I8198">
            <v>0.7944444444444444</v>
          </cell>
          <cell r="J8198">
            <v>23.908888888888889</v>
          </cell>
        </row>
        <row r="8199">
          <cell r="B8199">
            <v>29.95</v>
          </cell>
          <cell r="C8199">
            <v>56.92</v>
          </cell>
          <cell r="D8199">
            <v>20.89</v>
          </cell>
          <cell r="E8199">
            <v>9.73</v>
          </cell>
          <cell r="H8199">
            <v>45633</v>
          </cell>
          <cell r="I8199">
            <v>0.81333333333333335</v>
          </cell>
          <cell r="J8199">
            <v>24.365555555555552</v>
          </cell>
        </row>
        <row r="8200">
          <cell r="B8200">
            <v>29.21</v>
          </cell>
          <cell r="C8200">
            <v>58.77</v>
          </cell>
          <cell r="D8200">
            <v>21.12</v>
          </cell>
          <cell r="E8200">
            <v>9.5500000000000007</v>
          </cell>
          <cell r="H8200">
            <v>45633</v>
          </cell>
          <cell r="I8200">
            <v>0.81999999999999984</v>
          </cell>
          <cell r="J8200">
            <v>24.905555555555551</v>
          </cell>
        </row>
        <row r="8201">
          <cell r="B8201">
            <v>26.41</v>
          </cell>
          <cell r="C8201">
            <v>51.51</v>
          </cell>
          <cell r="D8201">
            <v>20.65</v>
          </cell>
          <cell r="E8201">
            <v>9.91</v>
          </cell>
          <cell r="H8201">
            <v>45633</v>
          </cell>
          <cell r="I8201">
            <v>0.81333333333333324</v>
          </cell>
          <cell r="J8201">
            <v>25.18333333333333</v>
          </cell>
        </row>
        <row r="8202">
          <cell r="B8202">
            <v>24.87</v>
          </cell>
          <cell r="C8202">
            <v>47.14</v>
          </cell>
          <cell r="D8202">
            <v>20.93</v>
          </cell>
          <cell r="E8202">
            <v>9.9499999999999993</v>
          </cell>
          <cell r="H8202">
            <v>45633</v>
          </cell>
          <cell r="I8202">
            <v>0.7977777777777777</v>
          </cell>
          <cell r="J8202">
            <v>25.411111111111111</v>
          </cell>
        </row>
        <row r="8203">
          <cell r="B8203">
            <v>25.84</v>
          </cell>
          <cell r="C8203">
            <v>53.53</v>
          </cell>
          <cell r="D8203">
            <v>21.65</v>
          </cell>
          <cell r="E8203">
            <v>9.89</v>
          </cell>
          <cell r="H8203">
            <v>45633</v>
          </cell>
          <cell r="I8203">
            <v>0.78888888888888897</v>
          </cell>
          <cell r="J8203">
            <v>25.464444444444442</v>
          </cell>
        </row>
        <row r="8204">
          <cell r="B8204">
            <v>27.61</v>
          </cell>
          <cell r="C8204">
            <v>66.81</v>
          </cell>
          <cell r="D8204">
            <v>22.86</v>
          </cell>
          <cell r="E8204">
            <v>9.93</v>
          </cell>
          <cell r="H8204">
            <v>45633</v>
          </cell>
          <cell r="I8204">
            <v>0.79555555555555557</v>
          </cell>
          <cell r="J8204">
            <v>25.158888888888889</v>
          </cell>
        </row>
        <row r="8205">
          <cell r="B8205">
            <v>30.03</v>
          </cell>
          <cell r="C8205">
            <v>72.97</v>
          </cell>
          <cell r="D8205">
            <v>23.06</v>
          </cell>
          <cell r="E8205">
            <v>9.69</v>
          </cell>
          <cell r="H8205">
            <v>45633</v>
          </cell>
          <cell r="I8205">
            <v>0.80666666666666664</v>
          </cell>
          <cell r="J8205">
            <v>24.80222222222222</v>
          </cell>
        </row>
        <row r="8206">
          <cell r="B8206">
            <v>33.5</v>
          </cell>
          <cell r="C8206">
            <v>76.12</v>
          </cell>
          <cell r="D8206">
            <v>23.03</v>
          </cell>
          <cell r="E8206">
            <v>9.52</v>
          </cell>
          <cell r="H8206">
            <v>45633</v>
          </cell>
          <cell r="I8206">
            <v>0.81444444444444442</v>
          </cell>
          <cell r="J8206">
            <v>24.264444444444447</v>
          </cell>
        </row>
        <row r="8207">
          <cell r="B8207">
            <v>32.74</v>
          </cell>
          <cell r="C8207">
            <v>75.06</v>
          </cell>
          <cell r="D8207">
            <v>22.2</v>
          </cell>
          <cell r="E8207">
            <v>9.01</v>
          </cell>
          <cell r="H8207">
            <v>45633</v>
          </cell>
          <cell r="I8207">
            <v>0.81555555555555559</v>
          </cell>
          <cell r="J8207">
            <v>23.695555555555554</v>
          </cell>
        </row>
        <row r="8208">
          <cell r="B8208">
            <v>30.8</v>
          </cell>
          <cell r="C8208">
            <v>67.23</v>
          </cell>
          <cell r="D8208">
            <v>21.46</v>
          </cell>
          <cell r="E8208">
            <v>9.34</v>
          </cell>
          <cell r="H8208">
            <v>45633</v>
          </cell>
          <cell r="I8208">
            <v>0.80333333333333334</v>
          </cell>
          <cell r="J8208">
            <v>23.084444444444443</v>
          </cell>
        </row>
        <row r="8209">
          <cell r="B8209">
            <v>31.13</v>
          </cell>
          <cell r="C8209">
            <v>61.44</v>
          </cell>
          <cell r="D8209">
            <v>20.91</v>
          </cell>
          <cell r="E8209">
            <v>9.1999999999999993</v>
          </cell>
          <cell r="H8209">
            <v>45633</v>
          </cell>
          <cell r="I8209">
            <v>0.79</v>
          </cell>
          <cell r="J8209">
            <v>22.432222222222222</v>
          </cell>
        </row>
        <row r="8210">
          <cell r="B8210">
            <v>28.14</v>
          </cell>
          <cell r="C8210">
            <v>56.36</v>
          </cell>
          <cell r="D8210">
            <v>20.71</v>
          </cell>
          <cell r="E8210">
            <v>9.49</v>
          </cell>
          <cell r="H8210">
            <v>45634</v>
          </cell>
          <cell r="I8210">
            <v>0.7777777777777779</v>
          </cell>
          <cell r="J8210">
            <v>22.242222222222225</v>
          </cell>
        </row>
        <row r="8211">
          <cell r="B8211">
            <v>26.21</v>
          </cell>
          <cell r="C8211">
            <v>47.37</v>
          </cell>
          <cell r="D8211">
            <v>19.91</v>
          </cell>
          <cell r="E8211">
            <v>9.4499999999999993</v>
          </cell>
          <cell r="H8211">
            <v>45634</v>
          </cell>
          <cell r="I8211">
            <v>0.76555555555555566</v>
          </cell>
          <cell r="J8211">
            <v>22.31111111111111</v>
          </cell>
        </row>
        <row r="8212">
          <cell r="B8212">
            <v>23.86</v>
          </cell>
          <cell r="C8212">
            <v>42.24</v>
          </cell>
          <cell r="D8212">
            <v>19.829999999999998</v>
          </cell>
          <cell r="E8212">
            <v>9.3699999999999992</v>
          </cell>
          <cell r="H8212">
            <v>45634</v>
          </cell>
          <cell r="I8212">
            <v>0.7433333333333334</v>
          </cell>
          <cell r="J8212">
            <v>22.533333333333335</v>
          </cell>
        </row>
        <row r="8213">
          <cell r="B8213">
            <v>23.02</v>
          </cell>
          <cell r="C8213">
            <v>39.26</v>
          </cell>
          <cell r="D8213">
            <v>20.25</v>
          </cell>
          <cell r="E8213">
            <v>9.0500000000000007</v>
          </cell>
          <cell r="H8213">
            <v>45634</v>
          </cell>
          <cell r="I8213">
            <v>0.71333333333333337</v>
          </cell>
          <cell r="J8213">
            <v>22.730000000000004</v>
          </cell>
        </row>
        <row r="8214">
          <cell r="B8214">
            <v>23</v>
          </cell>
          <cell r="C8214">
            <v>40.659999999999997</v>
          </cell>
          <cell r="D8214">
            <v>20.62</v>
          </cell>
          <cell r="E8214">
            <v>9.16</v>
          </cell>
          <cell r="H8214">
            <v>45634</v>
          </cell>
          <cell r="I8214">
            <v>0.67666666666666664</v>
          </cell>
          <cell r="J8214">
            <v>22.762222222222224</v>
          </cell>
        </row>
        <row r="8215">
          <cell r="B8215">
            <v>22.91</v>
          </cell>
          <cell r="C8215">
            <v>39.54</v>
          </cell>
          <cell r="D8215">
            <v>20.54</v>
          </cell>
          <cell r="E8215">
            <v>9.16</v>
          </cell>
          <cell r="H8215">
            <v>45634</v>
          </cell>
          <cell r="I8215">
            <v>0.64222222222222214</v>
          </cell>
          <cell r="J8215">
            <v>22.81666666666667</v>
          </cell>
        </row>
        <row r="8216">
          <cell r="B8216">
            <v>23.8</v>
          </cell>
          <cell r="C8216">
            <v>42.41</v>
          </cell>
          <cell r="D8216">
            <v>20.72</v>
          </cell>
          <cell r="E8216">
            <v>9.25</v>
          </cell>
          <cell r="H8216">
            <v>45634</v>
          </cell>
          <cell r="I8216">
            <v>0.62222222222222223</v>
          </cell>
          <cell r="J8216">
            <v>22.865555555555559</v>
          </cell>
        </row>
        <row r="8217">
          <cell r="B8217">
            <v>26.01</v>
          </cell>
          <cell r="C8217">
            <v>49.03</v>
          </cell>
          <cell r="D8217">
            <v>21.27</v>
          </cell>
          <cell r="E8217">
            <v>9.3000000000000007</v>
          </cell>
          <cell r="H8217">
            <v>45634</v>
          </cell>
          <cell r="I8217">
            <v>0.61777777777777787</v>
          </cell>
          <cell r="J8217">
            <v>22.790000000000003</v>
          </cell>
        </row>
        <row r="8218">
          <cell r="B8218">
            <v>24.9</v>
          </cell>
          <cell r="C8218">
            <v>55.53</v>
          </cell>
          <cell r="D8218">
            <v>21.5</v>
          </cell>
          <cell r="E8218">
            <v>9.8000000000000007</v>
          </cell>
          <cell r="H8218">
            <v>45634</v>
          </cell>
          <cell r="I8218">
            <v>0.61777777777777787</v>
          </cell>
          <cell r="J8218">
            <v>22.942222222222224</v>
          </cell>
        </row>
        <row r="8219">
          <cell r="B8219">
            <v>25.69</v>
          </cell>
          <cell r="C8219">
            <v>54.39</v>
          </cell>
          <cell r="D8219">
            <v>20.94</v>
          </cell>
          <cell r="E8219">
            <v>9.68</v>
          </cell>
          <cell r="H8219">
            <v>45634</v>
          </cell>
          <cell r="I8219">
            <v>0.62</v>
          </cell>
          <cell r="J8219">
            <v>23.277777777777779</v>
          </cell>
        </row>
        <row r="8220">
          <cell r="B8220">
            <v>25.82</v>
          </cell>
          <cell r="C8220">
            <v>52</v>
          </cell>
          <cell r="D8220">
            <v>19.600000000000001</v>
          </cell>
          <cell r="E8220">
            <v>9.83</v>
          </cell>
          <cell r="H8220">
            <v>45634</v>
          </cell>
          <cell r="I8220">
            <v>0.62333333333333341</v>
          </cell>
          <cell r="J8220">
            <v>23.694444444444443</v>
          </cell>
        </row>
        <row r="8221">
          <cell r="B8221">
            <v>24.73</v>
          </cell>
          <cell r="C8221">
            <v>49.08</v>
          </cell>
          <cell r="D8221">
            <v>19.399999999999999</v>
          </cell>
          <cell r="E8221">
            <v>9.3000000000000007</v>
          </cell>
          <cell r="H8221">
            <v>45634</v>
          </cell>
          <cell r="I8221">
            <v>0.62666666666666671</v>
          </cell>
          <cell r="J8221">
            <v>24.232222222222219</v>
          </cell>
        </row>
        <row r="8222">
          <cell r="B8222">
            <v>23.11</v>
          </cell>
          <cell r="C8222">
            <v>48.41</v>
          </cell>
          <cell r="D8222">
            <v>19.45</v>
          </cell>
          <cell r="E8222">
            <v>9.64</v>
          </cell>
          <cell r="H8222">
            <v>45634</v>
          </cell>
          <cell r="I8222">
            <v>0.62666666666666659</v>
          </cell>
          <cell r="J8222">
            <v>25.154444444444444</v>
          </cell>
        </row>
        <row r="8223">
          <cell r="B8223">
            <v>22.36</v>
          </cell>
          <cell r="C8223">
            <v>46.35</v>
          </cell>
          <cell r="D8223">
            <v>19.5</v>
          </cell>
          <cell r="E8223">
            <v>10.3</v>
          </cell>
          <cell r="H8223">
            <v>45634</v>
          </cell>
          <cell r="I8223">
            <v>0.63111111111111107</v>
          </cell>
          <cell r="J8223">
            <v>26.346666666666664</v>
          </cell>
        </row>
        <row r="8224">
          <cell r="B8224">
            <v>21.82</v>
          </cell>
          <cell r="C8224">
            <v>47.18</v>
          </cell>
          <cell r="D8224">
            <v>19.75</v>
          </cell>
          <cell r="E8224">
            <v>9.76</v>
          </cell>
          <cell r="H8224">
            <v>45634</v>
          </cell>
          <cell r="I8224">
            <v>0.64111111111111108</v>
          </cell>
          <cell r="J8224">
            <v>27.294444444444441</v>
          </cell>
        </row>
        <row r="8225">
          <cell r="B8225">
            <v>23.26</v>
          </cell>
          <cell r="C8225">
            <v>47.54</v>
          </cell>
          <cell r="D8225">
            <v>19.57</v>
          </cell>
          <cell r="E8225">
            <v>9.4</v>
          </cell>
          <cell r="H8225">
            <v>45634</v>
          </cell>
          <cell r="I8225">
            <v>0.64666666666666672</v>
          </cell>
          <cell r="J8225">
            <v>28.157777777777778</v>
          </cell>
        </row>
        <row r="8226">
          <cell r="B8226">
            <v>22.83</v>
          </cell>
          <cell r="C8226">
            <v>47.93</v>
          </cell>
          <cell r="D8226">
            <v>19.78</v>
          </cell>
          <cell r="E8226">
            <v>9.7200000000000006</v>
          </cell>
          <cell r="H8226">
            <v>45634</v>
          </cell>
          <cell r="I8226">
            <v>0.65222222222222226</v>
          </cell>
          <cell r="J8226">
            <v>28.803333333333335</v>
          </cell>
        </row>
        <row r="8227">
          <cell r="B8227">
            <v>23.46</v>
          </cell>
          <cell r="C8227">
            <v>51.2</v>
          </cell>
          <cell r="D8227">
            <v>17.829999999999998</v>
          </cell>
          <cell r="E8227">
            <v>9.76</v>
          </cell>
          <cell r="H8227">
            <v>45634</v>
          </cell>
          <cell r="I8227">
            <v>0.65888888888888897</v>
          </cell>
          <cell r="J8227">
            <v>29.073333333333338</v>
          </cell>
        </row>
        <row r="8228">
          <cell r="B8228">
            <v>26.02</v>
          </cell>
          <cell r="C8228">
            <v>55.55</v>
          </cell>
          <cell r="D8228">
            <v>18.3</v>
          </cell>
          <cell r="E8228">
            <v>9.9</v>
          </cell>
          <cell r="H8228">
            <v>45634</v>
          </cell>
          <cell r="I8228">
            <v>0.66666666666666663</v>
          </cell>
          <cell r="J8228">
            <v>28.903333333333332</v>
          </cell>
        </row>
        <row r="8229">
          <cell r="B8229">
            <v>27.1</v>
          </cell>
          <cell r="C8229">
            <v>56.55</v>
          </cell>
          <cell r="D8229">
            <v>18.260000000000002</v>
          </cell>
          <cell r="E8229">
            <v>9.58</v>
          </cell>
          <cell r="H8229">
            <v>45634</v>
          </cell>
          <cell r="I8229">
            <v>0.68</v>
          </cell>
          <cell r="J8229">
            <v>28.477777777777774</v>
          </cell>
        </row>
        <row r="8230">
          <cell r="B8230">
            <v>30.98</v>
          </cell>
          <cell r="C8230">
            <v>63.99</v>
          </cell>
          <cell r="D8230">
            <v>18.5</v>
          </cell>
          <cell r="E8230">
            <v>10.1</v>
          </cell>
          <cell r="H8230">
            <v>45634</v>
          </cell>
          <cell r="I8230">
            <v>0.69444444444444453</v>
          </cell>
          <cell r="J8230">
            <v>27.867777777777778</v>
          </cell>
        </row>
        <row r="8231">
          <cell r="B8231">
            <v>33.26</v>
          </cell>
          <cell r="C8231">
            <v>66.41</v>
          </cell>
          <cell r="D8231">
            <v>18.5</v>
          </cell>
          <cell r="E8231">
            <v>9.85</v>
          </cell>
          <cell r="H8231">
            <v>45634</v>
          </cell>
          <cell r="I8231">
            <v>0.70555555555555549</v>
          </cell>
          <cell r="J8231">
            <v>27.066666666666666</v>
          </cell>
        </row>
        <row r="8232">
          <cell r="B8232">
            <v>35.24</v>
          </cell>
          <cell r="C8232">
            <v>69.14</v>
          </cell>
          <cell r="D8232">
            <v>18.97</v>
          </cell>
          <cell r="E8232">
            <v>9.84</v>
          </cell>
          <cell r="H8232">
            <v>45634</v>
          </cell>
          <cell r="I8232">
            <v>0.71666666666666656</v>
          </cell>
          <cell r="J8232">
            <v>26.010000000000005</v>
          </cell>
        </row>
        <row r="8233">
          <cell r="B8233">
            <v>34.799999999999997</v>
          </cell>
          <cell r="C8233">
            <v>68.38</v>
          </cell>
          <cell r="D8233">
            <v>18.39</v>
          </cell>
          <cell r="E8233">
            <v>10.1</v>
          </cell>
          <cell r="H8233">
            <v>45634</v>
          </cell>
          <cell r="I8233">
            <v>0.71666666666666656</v>
          </cell>
          <cell r="J8233">
            <v>25.207777777777778</v>
          </cell>
        </row>
        <row r="8234">
          <cell r="B8234">
            <v>35.479999999999997</v>
          </cell>
          <cell r="C8234">
            <v>66.02</v>
          </cell>
          <cell r="D8234">
            <v>18</v>
          </cell>
          <cell r="E8234">
            <v>9.24</v>
          </cell>
          <cell r="H8234">
            <v>45635</v>
          </cell>
          <cell r="I8234">
            <v>0.71222222222222209</v>
          </cell>
          <cell r="J8234">
            <v>24.435555555555553</v>
          </cell>
        </row>
        <row r="8235">
          <cell r="B8235">
            <v>30.16</v>
          </cell>
          <cell r="C8235">
            <v>56.57</v>
          </cell>
          <cell r="D8235">
            <v>16.649999999999999</v>
          </cell>
          <cell r="E8235">
            <v>9.0299999999999994</v>
          </cell>
          <cell r="H8235">
            <v>45635</v>
          </cell>
          <cell r="I8235">
            <v>0.7</v>
          </cell>
          <cell r="J8235">
            <v>24.095555555555556</v>
          </cell>
        </row>
        <row r="8236">
          <cell r="B8236">
            <v>24.95</v>
          </cell>
          <cell r="C8236">
            <v>48.56</v>
          </cell>
          <cell r="D8236">
            <v>16.489999999999998</v>
          </cell>
          <cell r="E8236">
            <v>9.58</v>
          </cell>
          <cell r="H8236">
            <v>45635</v>
          </cell>
          <cell r="I8236">
            <v>0.68555555555555547</v>
          </cell>
          <cell r="J8236">
            <v>23.952222222222225</v>
          </cell>
        </row>
        <row r="8237">
          <cell r="B8237">
            <v>24.49</v>
          </cell>
          <cell r="C8237">
            <v>44.89</v>
          </cell>
          <cell r="D8237">
            <v>16.309999999999999</v>
          </cell>
          <cell r="E8237">
            <v>9.4</v>
          </cell>
          <cell r="H8237">
            <v>45635</v>
          </cell>
          <cell r="I8237">
            <v>0.67222222222222217</v>
          </cell>
          <cell r="J8237">
            <v>23.981111111111115</v>
          </cell>
        </row>
        <row r="8238">
          <cell r="B8238">
            <v>23.28</v>
          </cell>
          <cell r="C8238">
            <v>44.75</v>
          </cell>
          <cell r="D8238">
            <v>16.41</v>
          </cell>
          <cell r="E8238">
            <v>9.8000000000000007</v>
          </cell>
          <cell r="H8238">
            <v>45635</v>
          </cell>
          <cell r="I8238">
            <v>0.66444444444444439</v>
          </cell>
          <cell r="J8238">
            <v>24.101111111111113</v>
          </cell>
        </row>
        <row r="8239">
          <cell r="B8239">
            <v>25.29</v>
          </cell>
          <cell r="C8239">
            <v>49.7</v>
          </cell>
          <cell r="D8239">
            <v>16.53</v>
          </cell>
          <cell r="E8239">
            <v>9.64</v>
          </cell>
          <cell r="H8239">
            <v>45635</v>
          </cell>
          <cell r="I8239">
            <v>0.64666666666666661</v>
          </cell>
          <cell r="J8239">
            <v>24.231111111111108</v>
          </cell>
        </row>
        <row r="8240">
          <cell r="B8240">
            <v>29.15</v>
          </cell>
          <cell r="C8240">
            <v>54.48</v>
          </cell>
          <cell r="D8240">
            <v>17.02</v>
          </cell>
          <cell r="E8240">
            <v>10.3</v>
          </cell>
          <cell r="H8240">
            <v>45635</v>
          </cell>
          <cell r="I8240">
            <v>0.63888888888888895</v>
          </cell>
          <cell r="J8240">
            <v>24.291111111111107</v>
          </cell>
        </row>
        <row r="8241">
          <cell r="B8241">
            <v>33.53</v>
          </cell>
          <cell r="C8241">
            <v>67.14</v>
          </cell>
          <cell r="D8241">
            <v>17.54</v>
          </cell>
          <cell r="E8241">
            <v>10.11</v>
          </cell>
          <cell r="H8241">
            <v>45635</v>
          </cell>
          <cell r="I8241">
            <v>0.63222222222222224</v>
          </cell>
          <cell r="J8241">
            <v>24.362222222222222</v>
          </cell>
        </row>
        <row r="8242">
          <cell r="B8242">
            <v>39.78</v>
          </cell>
          <cell r="C8242">
            <v>102.21</v>
          </cell>
          <cell r="D8242">
            <v>17.75</v>
          </cell>
          <cell r="E8242">
            <v>11.24</v>
          </cell>
          <cell r="H8242">
            <v>45635</v>
          </cell>
          <cell r="I8242">
            <v>0.64</v>
          </cell>
          <cell r="J8242">
            <v>24.612222222222222</v>
          </cell>
        </row>
        <row r="8243">
          <cell r="B8243">
            <v>41.18</v>
          </cell>
          <cell r="C8243">
            <v>78.36</v>
          </cell>
          <cell r="D8243">
            <v>18.2</v>
          </cell>
          <cell r="E8243">
            <v>10.4</v>
          </cell>
          <cell r="H8243">
            <v>45635</v>
          </cell>
          <cell r="I8243">
            <v>0.65222222222222215</v>
          </cell>
          <cell r="J8243">
            <v>25.004444444444442</v>
          </cell>
        </row>
        <row r="8244">
          <cell r="B8244">
            <v>38.86</v>
          </cell>
          <cell r="C8244">
            <v>77.319999999999993</v>
          </cell>
          <cell r="D8244">
            <v>19.2</v>
          </cell>
          <cell r="E8244">
            <v>10.15</v>
          </cell>
          <cell r="H8244">
            <v>45635</v>
          </cell>
          <cell r="I8244">
            <v>0.66555555555555546</v>
          </cell>
          <cell r="J8244">
            <v>25.682222222222226</v>
          </cell>
        </row>
        <row r="8245">
          <cell r="B8245">
            <v>35.44</v>
          </cell>
          <cell r="C8245">
            <v>70.67</v>
          </cell>
          <cell r="D8245">
            <v>19.98</v>
          </cell>
          <cell r="E8245">
            <v>9.56</v>
          </cell>
          <cell r="H8245">
            <v>45635</v>
          </cell>
          <cell r="I8245">
            <v>0.69222222222222218</v>
          </cell>
          <cell r="J8245">
            <v>26.638888888888889</v>
          </cell>
        </row>
        <row r="8246">
          <cell r="B8246">
            <v>36.520000000000003</v>
          </cell>
          <cell r="C8246">
            <v>68.95</v>
          </cell>
          <cell r="D8246">
            <v>20.02</v>
          </cell>
          <cell r="E8246">
            <v>9.4499999999999993</v>
          </cell>
          <cell r="H8246">
            <v>45635</v>
          </cell>
          <cell r="I8246">
            <v>0.70777777777777784</v>
          </cell>
          <cell r="J8246">
            <v>27.898888888888887</v>
          </cell>
        </row>
        <row r="8247">
          <cell r="B8247">
            <v>36.119999999999997</v>
          </cell>
          <cell r="C8247">
            <v>71.709999999999994</v>
          </cell>
          <cell r="D8247">
            <v>19.78</v>
          </cell>
          <cell r="E8247">
            <v>10.050000000000001</v>
          </cell>
          <cell r="H8247">
            <v>45635</v>
          </cell>
          <cell r="I8247">
            <v>0.71111111111111114</v>
          </cell>
          <cell r="J8247">
            <v>29.161111111111111</v>
          </cell>
        </row>
        <row r="8248">
          <cell r="B8248">
            <v>34.380000000000003</v>
          </cell>
          <cell r="C8248">
            <v>71.040000000000006</v>
          </cell>
          <cell r="D8248">
            <v>19.739999999999998</v>
          </cell>
          <cell r="E8248">
            <v>10.01</v>
          </cell>
          <cell r="H8248">
            <v>45635</v>
          </cell>
          <cell r="I8248">
            <v>0.73888888888888893</v>
          </cell>
          <cell r="J8248">
            <v>30.361111111111111</v>
          </cell>
        </row>
        <row r="8249">
          <cell r="B8249">
            <v>35.119999999999997</v>
          </cell>
          <cell r="C8249">
            <v>76.739999999999995</v>
          </cell>
          <cell r="D8249">
            <v>20.68</v>
          </cell>
          <cell r="E8249">
            <v>10.17</v>
          </cell>
          <cell r="H8249">
            <v>45635</v>
          </cell>
          <cell r="I8249">
            <v>0.75</v>
          </cell>
          <cell r="J8249">
            <v>31.201111111111111</v>
          </cell>
        </row>
        <row r="8250">
          <cell r="B8250">
            <v>36.97</v>
          </cell>
          <cell r="C8250">
            <v>80.52</v>
          </cell>
          <cell r="D8250">
            <v>21.41</v>
          </cell>
          <cell r="E8250">
            <v>10.210000000000001</v>
          </cell>
          <cell r="H8250">
            <v>45635</v>
          </cell>
          <cell r="I8250">
            <v>0.76222222222222213</v>
          </cell>
          <cell r="J8250">
            <v>31.650000000000002</v>
          </cell>
        </row>
        <row r="8251">
          <cell r="B8251">
            <v>37.799999999999997</v>
          </cell>
          <cell r="C8251">
            <v>79.87</v>
          </cell>
          <cell r="D8251">
            <v>22.97</v>
          </cell>
          <cell r="E8251">
            <v>9.2899999999999991</v>
          </cell>
          <cell r="H8251">
            <v>45635</v>
          </cell>
          <cell r="I8251">
            <v>0.77444444444444438</v>
          </cell>
          <cell r="J8251">
            <v>31.597777777777779</v>
          </cell>
        </row>
        <row r="8252">
          <cell r="B8252">
            <v>40.61</v>
          </cell>
          <cell r="C8252">
            <v>88.18</v>
          </cell>
          <cell r="D8252">
            <v>24.99</v>
          </cell>
          <cell r="E8252">
            <v>9.59</v>
          </cell>
          <cell r="H8252">
            <v>45635</v>
          </cell>
          <cell r="I8252">
            <v>0.81777777777777771</v>
          </cell>
          <cell r="J8252">
            <v>31.008888888888887</v>
          </cell>
        </row>
        <row r="8253">
          <cell r="B8253">
            <v>45.16</v>
          </cell>
          <cell r="C8253">
            <v>102.61</v>
          </cell>
          <cell r="D8253">
            <v>25.56</v>
          </cell>
          <cell r="E8253">
            <v>9.2899999999999991</v>
          </cell>
          <cell r="H8253">
            <v>45635</v>
          </cell>
          <cell r="I8253">
            <v>0.87222222222222223</v>
          </cell>
          <cell r="J8253">
            <v>29.948888888888884</v>
          </cell>
        </row>
        <row r="8254">
          <cell r="B8254">
            <v>48.77</v>
          </cell>
          <cell r="C8254">
            <v>103.5</v>
          </cell>
          <cell r="D8254">
            <v>24.11</v>
          </cell>
          <cell r="E8254">
            <v>9.4</v>
          </cell>
          <cell r="H8254">
            <v>45635</v>
          </cell>
          <cell r="I8254">
            <v>0.8933333333333332</v>
          </cell>
          <cell r="J8254">
            <v>28.695555555555554</v>
          </cell>
        </row>
        <row r="8255">
          <cell r="B8255">
            <v>46.84</v>
          </cell>
          <cell r="C8255">
            <v>92.9</v>
          </cell>
          <cell r="D8255">
            <v>23.04</v>
          </cell>
          <cell r="E8255">
            <v>8.7899999999999991</v>
          </cell>
          <cell r="H8255">
            <v>45635</v>
          </cell>
          <cell r="I8255">
            <v>0.90777777777777779</v>
          </cell>
          <cell r="J8255">
            <v>27.133333333333333</v>
          </cell>
        </row>
        <row r="8256">
          <cell r="B8256">
            <v>44.83</v>
          </cell>
          <cell r="C8256">
            <v>84.08</v>
          </cell>
          <cell r="D8256">
            <v>22.35</v>
          </cell>
          <cell r="E8256">
            <v>8.86</v>
          </cell>
          <cell r="H8256">
            <v>45635</v>
          </cell>
          <cell r="I8256">
            <v>0.9144444444444445</v>
          </cell>
          <cell r="J8256">
            <v>25.652222222222221</v>
          </cell>
        </row>
        <row r="8257">
          <cell r="B8257">
            <v>46.71</v>
          </cell>
          <cell r="C8257">
            <v>82.99</v>
          </cell>
          <cell r="D8257">
            <v>21.56</v>
          </cell>
          <cell r="E8257">
            <v>8.49</v>
          </cell>
          <cell r="H8257">
            <v>45635</v>
          </cell>
          <cell r="I8257">
            <v>0.8966666666666665</v>
          </cell>
          <cell r="J8257">
            <v>24.246666666666663</v>
          </cell>
        </row>
        <row r="8258">
          <cell r="B8258">
            <v>48.73</v>
          </cell>
          <cell r="C8258">
            <v>79.81</v>
          </cell>
          <cell r="D8258">
            <v>21.49</v>
          </cell>
          <cell r="E8258">
            <v>9.17</v>
          </cell>
          <cell r="H8258">
            <v>45636</v>
          </cell>
          <cell r="I8258">
            <v>0.88555555555555543</v>
          </cell>
          <cell r="J8258">
            <v>23.425555555555555</v>
          </cell>
        </row>
        <row r="8259">
          <cell r="B8259">
            <v>49.71</v>
          </cell>
          <cell r="C8259">
            <v>78.44</v>
          </cell>
          <cell r="D8259">
            <v>20.98</v>
          </cell>
          <cell r="E8259">
            <v>8.75</v>
          </cell>
          <cell r="H8259">
            <v>45636</v>
          </cell>
          <cell r="I8259">
            <v>0.86999999999999988</v>
          </cell>
          <cell r="J8259">
            <v>23.095555555555556</v>
          </cell>
        </row>
        <row r="8260">
          <cell r="B8260">
            <v>54.17</v>
          </cell>
          <cell r="C8260">
            <v>84.2</v>
          </cell>
          <cell r="D8260">
            <v>21.03</v>
          </cell>
          <cell r="E8260">
            <v>8.58</v>
          </cell>
          <cell r="H8260">
            <v>45636</v>
          </cell>
          <cell r="I8260">
            <v>0.84444444444444433</v>
          </cell>
          <cell r="J8260">
            <v>23.311111111111114</v>
          </cell>
        </row>
        <row r="8261">
          <cell r="B8261">
            <v>54.98</v>
          </cell>
          <cell r="C8261">
            <v>87.12</v>
          </cell>
          <cell r="D8261">
            <v>20.86</v>
          </cell>
          <cell r="E8261">
            <v>8.58</v>
          </cell>
          <cell r="H8261">
            <v>45636</v>
          </cell>
          <cell r="I8261">
            <v>0.78999999999999992</v>
          </cell>
          <cell r="J8261">
            <v>24.057777777777773</v>
          </cell>
        </row>
        <row r="8262">
          <cell r="B8262">
            <v>54.01</v>
          </cell>
          <cell r="C8262">
            <v>85.93</v>
          </cell>
          <cell r="D8262">
            <v>20.88</v>
          </cell>
          <cell r="E8262">
            <v>8.65</v>
          </cell>
          <cell r="H8262">
            <v>45636</v>
          </cell>
          <cell r="I8262">
            <v>0.72555555555555551</v>
          </cell>
          <cell r="J8262">
            <v>24.819999999999997</v>
          </cell>
        </row>
        <row r="8263">
          <cell r="B8263">
            <v>50.54</v>
          </cell>
          <cell r="C8263">
            <v>82.23</v>
          </cell>
          <cell r="D8263">
            <v>20.73</v>
          </cell>
          <cell r="E8263">
            <v>8.8699999999999992</v>
          </cell>
          <cell r="H8263">
            <v>45636</v>
          </cell>
          <cell r="I8263">
            <v>0.69</v>
          </cell>
          <cell r="J8263">
            <v>25.407777777777781</v>
          </cell>
        </row>
        <row r="8264">
          <cell r="B8264">
            <v>55.25</v>
          </cell>
          <cell r="C8264">
            <v>80.89</v>
          </cell>
          <cell r="D8264">
            <v>21.41</v>
          </cell>
          <cell r="E8264">
            <v>8.81</v>
          </cell>
          <cell r="H8264">
            <v>45636</v>
          </cell>
          <cell r="I8264">
            <v>0.68222222222222217</v>
          </cell>
          <cell r="J8264">
            <v>25.566666666666663</v>
          </cell>
        </row>
        <row r="8265">
          <cell r="B8265">
            <v>64.45</v>
          </cell>
          <cell r="C8265">
            <v>86.37</v>
          </cell>
          <cell r="D8265">
            <v>21.36</v>
          </cell>
          <cell r="E8265">
            <v>8.73</v>
          </cell>
          <cell r="H8265">
            <v>45636</v>
          </cell>
          <cell r="I8265">
            <v>0.69444444444444442</v>
          </cell>
          <cell r="J8265">
            <v>25.555555555555557</v>
          </cell>
        </row>
        <row r="8266">
          <cell r="B8266">
            <v>50.92</v>
          </cell>
          <cell r="C8266">
            <v>97.99</v>
          </cell>
          <cell r="D8266">
            <v>21.71</v>
          </cell>
          <cell r="E8266">
            <v>9.27</v>
          </cell>
          <cell r="H8266">
            <v>45636</v>
          </cell>
          <cell r="I8266">
            <v>0.71666666666666667</v>
          </cell>
          <cell r="J8266">
            <v>25.635555555555552</v>
          </cell>
        </row>
        <row r="8267">
          <cell r="B8267">
            <v>49.14</v>
          </cell>
          <cell r="C8267">
            <v>94.12</v>
          </cell>
          <cell r="D8267">
            <v>21.9</v>
          </cell>
          <cell r="E8267">
            <v>8.93</v>
          </cell>
          <cell r="H8267">
            <v>45636</v>
          </cell>
          <cell r="I8267">
            <v>0.74888888888888894</v>
          </cell>
          <cell r="J8267">
            <v>25.744444444444444</v>
          </cell>
        </row>
        <row r="8268">
          <cell r="B8268">
            <v>45.2</v>
          </cell>
          <cell r="C8268">
            <v>83.9</v>
          </cell>
          <cell r="D8268">
            <v>19.8</v>
          </cell>
          <cell r="E8268">
            <v>9.19</v>
          </cell>
          <cell r="H8268">
            <v>45636</v>
          </cell>
          <cell r="I8268">
            <v>0.77666666666666673</v>
          </cell>
          <cell r="J8268">
            <v>25.972222222222221</v>
          </cell>
        </row>
        <row r="8269">
          <cell r="B8269">
            <v>43.75</v>
          </cell>
          <cell r="C8269">
            <v>80.98</v>
          </cell>
          <cell r="D8269">
            <v>18.16</v>
          </cell>
          <cell r="E8269">
            <v>8.89</v>
          </cell>
          <cell r="H8269">
            <v>45636</v>
          </cell>
          <cell r="I8269">
            <v>0.78999999999999992</v>
          </cell>
          <cell r="J8269">
            <v>26.082222222222221</v>
          </cell>
        </row>
        <row r="8270">
          <cell r="B8270">
            <v>34.840000000000003</v>
          </cell>
          <cell r="C8270">
            <v>69.63</v>
          </cell>
          <cell r="D8270">
            <v>18.36</v>
          </cell>
          <cell r="E8270">
            <v>8.85</v>
          </cell>
          <cell r="H8270">
            <v>45636</v>
          </cell>
          <cell r="I8270">
            <v>0.80333333333333323</v>
          </cell>
          <cell r="J8270">
            <v>26.075555555555557</v>
          </cell>
        </row>
        <row r="8271">
          <cell r="B8271">
            <v>34.369999999999997</v>
          </cell>
          <cell r="C8271">
            <v>66.75</v>
          </cell>
          <cell r="D8271">
            <v>18.88</v>
          </cell>
          <cell r="E8271">
            <v>8.9700000000000006</v>
          </cell>
          <cell r="H8271">
            <v>45636</v>
          </cell>
          <cell r="I8271">
            <v>0.8288888888888889</v>
          </cell>
          <cell r="J8271">
            <v>26.014444444444443</v>
          </cell>
        </row>
        <row r="8272">
          <cell r="B8272">
            <v>34.79</v>
          </cell>
          <cell r="C8272">
            <v>63.31</v>
          </cell>
          <cell r="D8272">
            <v>19.29</v>
          </cell>
          <cell r="E8272">
            <v>9.27</v>
          </cell>
          <cell r="H8272">
            <v>45636</v>
          </cell>
          <cell r="I8272">
            <v>0.83333333333333337</v>
          </cell>
          <cell r="J8272">
            <v>26.044444444444444</v>
          </cell>
        </row>
        <row r="8273">
          <cell r="B8273">
            <v>36.08</v>
          </cell>
          <cell r="C8273">
            <v>89.27</v>
          </cell>
          <cell r="D8273">
            <v>20.13</v>
          </cell>
          <cell r="E8273">
            <v>8.8000000000000007</v>
          </cell>
          <cell r="H8273">
            <v>45636</v>
          </cell>
          <cell r="I8273">
            <v>0.8322222222222222</v>
          </cell>
          <cell r="J8273">
            <v>26.405555555555551</v>
          </cell>
        </row>
        <row r="8274">
          <cell r="B8274">
            <v>37.130000000000003</v>
          </cell>
          <cell r="C8274">
            <v>154.58000000000001</v>
          </cell>
          <cell r="D8274">
            <v>21.35</v>
          </cell>
          <cell r="E8274">
            <v>8.93</v>
          </cell>
          <cell r="H8274">
            <v>45636</v>
          </cell>
          <cell r="I8274">
            <v>0.82888888888888879</v>
          </cell>
          <cell r="J8274">
            <v>26.732222222222216</v>
          </cell>
        </row>
        <row r="8275">
          <cell r="B8275">
            <v>38.950000000000003</v>
          </cell>
          <cell r="C8275">
            <v>85.76</v>
          </cell>
          <cell r="D8275">
            <v>22.18</v>
          </cell>
          <cell r="E8275">
            <v>9.6300000000000008</v>
          </cell>
          <cell r="H8275">
            <v>45636</v>
          </cell>
          <cell r="I8275">
            <v>0.85777777777777775</v>
          </cell>
          <cell r="J8275">
            <v>26.915555555555553</v>
          </cell>
        </row>
        <row r="8276">
          <cell r="B8276">
            <v>37.22</v>
          </cell>
          <cell r="C8276">
            <v>92.61</v>
          </cell>
          <cell r="D8276">
            <v>22.53</v>
          </cell>
          <cell r="E8276">
            <v>9.5299999999999994</v>
          </cell>
          <cell r="H8276">
            <v>45636</v>
          </cell>
          <cell r="I8276">
            <v>0.86111111111111116</v>
          </cell>
          <cell r="J8276">
            <v>26.854444444444443</v>
          </cell>
        </row>
        <row r="8277">
          <cell r="B8277">
            <v>43.78</v>
          </cell>
          <cell r="C8277">
            <v>95.99</v>
          </cell>
          <cell r="D8277">
            <v>22.81</v>
          </cell>
          <cell r="E8277">
            <v>9.48</v>
          </cell>
          <cell r="H8277">
            <v>45636</v>
          </cell>
          <cell r="I8277">
            <v>0.87333333333333329</v>
          </cell>
          <cell r="J8277">
            <v>26.594444444444441</v>
          </cell>
        </row>
        <row r="8278">
          <cell r="B8278">
            <v>44.05</v>
          </cell>
          <cell r="C8278">
            <v>98.68</v>
          </cell>
          <cell r="D8278">
            <v>22.27</v>
          </cell>
          <cell r="E8278">
            <v>10.51</v>
          </cell>
          <cell r="H8278">
            <v>45636</v>
          </cell>
          <cell r="I8278">
            <v>0.89111111111111108</v>
          </cell>
          <cell r="J8278">
            <v>26.235555555555557</v>
          </cell>
        </row>
        <row r="8279">
          <cell r="B8279">
            <v>48.24</v>
          </cell>
          <cell r="C8279">
            <v>93.1</v>
          </cell>
          <cell r="D8279">
            <v>21.98</v>
          </cell>
          <cell r="E8279">
            <v>9.15</v>
          </cell>
          <cell r="H8279">
            <v>45636</v>
          </cell>
          <cell r="I8279">
            <v>0.89777777777777779</v>
          </cell>
          <cell r="J8279">
            <v>25.90111111111111</v>
          </cell>
        </row>
        <row r="8280">
          <cell r="B8280">
            <v>45.41</v>
          </cell>
          <cell r="C8280">
            <v>88.85</v>
          </cell>
          <cell r="D8280">
            <v>21.55</v>
          </cell>
          <cell r="E8280">
            <v>9.02</v>
          </cell>
          <cell r="H8280">
            <v>45636</v>
          </cell>
          <cell r="I8280">
            <v>0.88111111111111107</v>
          </cell>
          <cell r="J8280">
            <v>25.591111111111111</v>
          </cell>
        </row>
        <row r="8281">
          <cell r="B8281">
            <v>44.61</v>
          </cell>
          <cell r="C8281">
            <v>83.37</v>
          </cell>
          <cell r="D8281">
            <v>21.04</v>
          </cell>
          <cell r="E8281">
            <v>8.49</v>
          </cell>
          <cell r="H8281">
            <v>45636</v>
          </cell>
          <cell r="I8281">
            <v>0.87</v>
          </cell>
          <cell r="J8281">
            <v>25.314444444444444</v>
          </cell>
        </row>
        <row r="8282">
          <cell r="B8282">
            <v>41.14</v>
          </cell>
          <cell r="C8282">
            <v>72.33</v>
          </cell>
          <cell r="D8282">
            <v>20.97</v>
          </cell>
          <cell r="E8282">
            <v>8.3800000000000008</v>
          </cell>
          <cell r="H8282">
            <v>45637</v>
          </cell>
          <cell r="I8282">
            <v>0.85777777777777786</v>
          </cell>
          <cell r="J8282">
            <v>25.097777777777779</v>
          </cell>
        </row>
        <row r="8283">
          <cell r="B8283">
            <v>36.64</v>
          </cell>
          <cell r="C8283">
            <v>69.45</v>
          </cell>
          <cell r="D8283">
            <v>20.88</v>
          </cell>
          <cell r="E8283">
            <v>8.26</v>
          </cell>
          <cell r="H8283">
            <v>45637</v>
          </cell>
          <cell r="I8283">
            <v>0.83444444444444443</v>
          </cell>
          <cell r="J8283">
            <v>25.115555555555556</v>
          </cell>
        </row>
        <row r="8284">
          <cell r="B8284">
            <v>39.340000000000003</v>
          </cell>
          <cell r="C8284">
            <v>69.27</v>
          </cell>
          <cell r="D8284">
            <v>20.78</v>
          </cell>
          <cell r="E8284">
            <v>8.68</v>
          </cell>
          <cell r="H8284">
            <v>45637</v>
          </cell>
          <cell r="I8284">
            <v>0.77555555555555555</v>
          </cell>
          <cell r="J8284">
            <v>25.354444444444447</v>
          </cell>
        </row>
        <row r="8285">
          <cell r="B8285">
            <v>38.36</v>
          </cell>
          <cell r="C8285">
            <v>65.77</v>
          </cell>
          <cell r="D8285">
            <v>20.72</v>
          </cell>
          <cell r="E8285">
            <v>8.31</v>
          </cell>
          <cell r="H8285">
            <v>45637</v>
          </cell>
          <cell r="I8285">
            <v>0.7366666666666668</v>
          </cell>
          <cell r="J8285">
            <v>25.793333333333333</v>
          </cell>
        </row>
        <row r="8286">
          <cell r="B8286">
            <v>39.020000000000003</v>
          </cell>
          <cell r="C8286">
            <v>69.650000000000006</v>
          </cell>
          <cell r="D8286">
            <v>20.86</v>
          </cell>
          <cell r="E8286">
            <v>8.24</v>
          </cell>
          <cell r="H8286">
            <v>45637</v>
          </cell>
          <cell r="I8286">
            <v>0.69333333333333336</v>
          </cell>
          <cell r="J8286">
            <v>26.206666666666667</v>
          </cell>
        </row>
        <row r="8287">
          <cell r="B8287">
            <v>44.87</v>
          </cell>
          <cell r="C8287">
            <v>76.12</v>
          </cell>
          <cell r="D8287">
            <v>20.97</v>
          </cell>
          <cell r="E8287">
            <v>8.57</v>
          </cell>
          <cell r="H8287">
            <v>45637</v>
          </cell>
          <cell r="I8287">
            <v>0.66333333333333333</v>
          </cell>
          <cell r="J8287">
            <v>26.573333333333338</v>
          </cell>
        </row>
        <row r="8288">
          <cell r="B8288">
            <v>46.51</v>
          </cell>
          <cell r="C8288">
            <v>80.38</v>
          </cell>
          <cell r="D8288">
            <v>21.34</v>
          </cell>
          <cell r="E8288">
            <v>7.89</v>
          </cell>
          <cell r="H8288">
            <v>45637</v>
          </cell>
          <cell r="I8288">
            <v>0.65</v>
          </cell>
          <cell r="J8288">
            <v>26.743333333333332</v>
          </cell>
        </row>
        <row r="8289">
          <cell r="B8289">
            <v>48.34</v>
          </cell>
          <cell r="C8289">
            <v>84.57</v>
          </cell>
          <cell r="D8289">
            <v>21.49</v>
          </cell>
          <cell r="E8289">
            <v>7.9</v>
          </cell>
          <cell r="H8289">
            <v>45637</v>
          </cell>
          <cell r="I8289">
            <v>0.65333333333333343</v>
          </cell>
          <cell r="J8289">
            <v>26.938888888888886</v>
          </cell>
        </row>
        <row r="8290">
          <cell r="B8290">
            <v>50.37</v>
          </cell>
          <cell r="C8290">
            <v>92.23</v>
          </cell>
          <cell r="D8290">
            <v>21.23</v>
          </cell>
          <cell r="E8290">
            <v>8.74</v>
          </cell>
          <cell r="H8290">
            <v>45637</v>
          </cell>
          <cell r="I8290">
            <v>0.66888888888888887</v>
          </cell>
          <cell r="J8290">
            <v>27.183333333333337</v>
          </cell>
        </row>
        <row r="8291">
          <cell r="B8291">
            <v>47.52</v>
          </cell>
          <cell r="C8291">
            <v>85.2</v>
          </cell>
          <cell r="D8291">
            <v>20.100000000000001</v>
          </cell>
          <cell r="E8291">
            <v>8.7200000000000006</v>
          </cell>
          <cell r="H8291">
            <v>45637</v>
          </cell>
          <cell r="I8291">
            <v>0.68555555555555558</v>
          </cell>
          <cell r="J8291">
            <v>27.23555555555556</v>
          </cell>
        </row>
        <row r="8292">
          <cell r="B8292">
            <v>47.65</v>
          </cell>
          <cell r="C8292">
            <v>85.43</v>
          </cell>
          <cell r="D8292">
            <v>19.75</v>
          </cell>
          <cell r="E8292">
            <v>9.2100000000000009</v>
          </cell>
          <cell r="H8292">
            <v>45637</v>
          </cell>
          <cell r="I8292">
            <v>0.70000000000000007</v>
          </cell>
          <cell r="J8292">
            <v>27.256666666666668</v>
          </cell>
        </row>
        <row r="8293">
          <cell r="B8293">
            <v>41.1</v>
          </cell>
          <cell r="C8293">
            <v>81.56</v>
          </cell>
          <cell r="D8293">
            <v>19.600000000000001</v>
          </cell>
          <cell r="E8293">
            <v>9.11</v>
          </cell>
          <cell r="H8293">
            <v>45637</v>
          </cell>
          <cell r="I8293">
            <v>0.71555555555555572</v>
          </cell>
          <cell r="J8293">
            <v>27.137777777777778</v>
          </cell>
        </row>
        <row r="8294">
          <cell r="B8294">
            <v>41</v>
          </cell>
          <cell r="C8294">
            <v>78.66</v>
          </cell>
          <cell r="D8294">
            <v>18.739999999999998</v>
          </cell>
          <cell r="E8294">
            <v>9.83</v>
          </cell>
          <cell r="H8294">
            <v>45637</v>
          </cell>
          <cell r="I8294">
            <v>0.72333333333333327</v>
          </cell>
          <cell r="J8294">
            <v>26.875555555555554</v>
          </cell>
        </row>
        <row r="8295">
          <cell r="B8295">
            <v>41.22</v>
          </cell>
          <cell r="C8295">
            <v>79.75</v>
          </cell>
          <cell r="D8295">
            <v>18.84</v>
          </cell>
          <cell r="E8295">
            <v>9.34</v>
          </cell>
          <cell r="H8295">
            <v>45637</v>
          </cell>
          <cell r="I8295">
            <v>0.73111111111111104</v>
          </cell>
          <cell r="J8295">
            <v>26.722222222222218</v>
          </cell>
        </row>
        <row r="8296">
          <cell r="B8296">
            <v>40.75</v>
          </cell>
          <cell r="C8296">
            <v>79</v>
          </cell>
          <cell r="D8296">
            <v>18.53</v>
          </cell>
          <cell r="E8296">
            <v>8.7899999999999991</v>
          </cell>
          <cell r="H8296">
            <v>45637</v>
          </cell>
          <cell r="I8296">
            <v>0.74</v>
          </cell>
          <cell r="J8296">
            <v>26.787777777777777</v>
          </cell>
        </row>
        <row r="8297">
          <cell r="B8297">
            <v>40.74</v>
          </cell>
          <cell r="C8297">
            <v>79.59</v>
          </cell>
          <cell r="D8297">
            <v>19</v>
          </cell>
          <cell r="E8297">
            <v>8.34</v>
          </cell>
          <cell r="H8297">
            <v>45637</v>
          </cell>
          <cell r="I8297">
            <v>0.74555555555555542</v>
          </cell>
          <cell r="J8297">
            <v>26.793333333333337</v>
          </cell>
        </row>
        <row r="8298">
          <cell r="B8298">
            <v>40.74</v>
          </cell>
          <cell r="C8298">
            <v>79.91</v>
          </cell>
          <cell r="D8298">
            <v>20.89</v>
          </cell>
          <cell r="E8298">
            <v>8.91</v>
          </cell>
          <cell r="H8298">
            <v>45637</v>
          </cell>
          <cell r="I8298">
            <v>0.74222222222222234</v>
          </cell>
          <cell r="J8298">
            <v>26.713333333333335</v>
          </cell>
        </row>
        <row r="8299">
          <cell r="B8299">
            <v>42.43</v>
          </cell>
          <cell r="C8299">
            <v>83.32</v>
          </cell>
          <cell r="D8299">
            <v>20.82</v>
          </cell>
          <cell r="E8299">
            <v>8.94</v>
          </cell>
          <cell r="H8299">
            <v>45637</v>
          </cell>
          <cell r="I8299">
            <v>0.7433333333333334</v>
          </cell>
          <cell r="J8299">
            <v>26.462222222222223</v>
          </cell>
        </row>
        <row r="8300">
          <cell r="B8300">
            <v>42.92</v>
          </cell>
          <cell r="C8300">
            <v>86.96</v>
          </cell>
          <cell r="D8300">
            <v>21.37</v>
          </cell>
          <cell r="E8300">
            <v>8.65</v>
          </cell>
          <cell r="H8300">
            <v>45637</v>
          </cell>
          <cell r="I8300">
            <v>0.74555555555555564</v>
          </cell>
          <cell r="J8300">
            <v>26.29</v>
          </cell>
        </row>
        <row r="8301">
          <cell r="B8301">
            <v>44.91</v>
          </cell>
          <cell r="C8301">
            <v>89.53</v>
          </cell>
          <cell r="D8301">
            <v>21.38</v>
          </cell>
          <cell r="E8301">
            <v>8.59</v>
          </cell>
          <cell r="H8301">
            <v>45637</v>
          </cell>
          <cell r="I8301">
            <v>0.76111111111111118</v>
          </cell>
          <cell r="J8301">
            <v>25.975555555555559</v>
          </cell>
        </row>
        <row r="8302">
          <cell r="B8302">
            <v>45.33</v>
          </cell>
          <cell r="C8302">
            <v>90.86</v>
          </cell>
          <cell r="D8302">
            <v>21.26</v>
          </cell>
          <cell r="E8302">
            <v>8.91</v>
          </cell>
          <cell r="H8302">
            <v>45637</v>
          </cell>
          <cell r="I8302">
            <v>0.76666666666666672</v>
          </cell>
          <cell r="J8302">
            <v>25.617777777777778</v>
          </cell>
        </row>
        <row r="8303">
          <cell r="B8303">
            <v>44.23</v>
          </cell>
          <cell r="C8303">
            <v>86.63</v>
          </cell>
          <cell r="D8303">
            <v>20.67</v>
          </cell>
          <cell r="E8303">
            <v>8.86</v>
          </cell>
          <cell r="H8303">
            <v>45637</v>
          </cell>
          <cell r="I8303">
            <v>0.76777777777777778</v>
          </cell>
          <cell r="J8303">
            <v>25.298888888888889</v>
          </cell>
        </row>
        <row r="8304">
          <cell r="B8304">
            <v>41.32</v>
          </cell>
          <cell r="C8304">
            <v>79.55</v>
          </cell>
          <cell r="D8304">
            <v>20.239999999999998</v>
          </cell>
          <cell r="E8304">
            <v>8.57</v>
          </cell>
          <cell r="H8304">
            <v>45637</v>
          </cell>
          <cell r="I8304">
            <v>0.76555555555555566</v>
          </cell>
          <cell r="J8304">
            <v>25.062222222222218</v>
          </cell>
        </row>
        <row r="8305">
          <cell r="B8305">
            <v>42.61</v>
          </cell>
          <cell r="C8305">
            <v>76.55</v>
          </cell>
          <cell r="D8305">
            <v>19.899999999999999</v>
          </cell>
          <cell r="E8305">
            <v>8.31</v>
          </cell>
          <cell r="H8305">
            <v>45637</v>
          </cell>
          <cell r="I8305">
            <v>0.75555555555555554</v>
          </cell>
          <cell r="J8305">
            <v>24.693333333333332</v>
          </cell>
        </row>
        <row r="8306">
          <cell r="B8306">
            <v>41.49</v>
          </cell>
          <cell r="C8306">
            <v>73.540000000000006</v>
          </cell>
          <cell r="D8306">
            <v>19.09</v>
          </cell>
          <cell r="E8306">
            <v>8.84</v>
          </cell>
          <cell r="H8306">
            <v>45638</v>
          </cell>
          <cell r="I8306">
            <v>0.73444444444444434</v>
          </cell>
          <cell r="J8306">
            <v>24.654444444444444</v>
          </cell>
        </row>
        <row r="8307">
          <cell r="B8307">
            <v>39.69</v>
          </cell>
          <cell r="C8307">
            <v>67.34</v>
          </cell>
          <cell r="D8307">
            <v>18.920000000000002</v>
          </cell>
          <cell r="E8307">
            <v>8.36</v>
          </cell>
          <cell r="H8307">
            <v>45638</v>
          </cell>
          <cell r="I8307">
            <v>0.72333333333333316</v>
          </cell>
          <cell r="J8307">
            <v>24.792222222222222</v>
          </cell>
        </row>
        <row r="8308">
          <cell r="B8308">
            <v>39.03</v>
          </cell>
          <cell r="C8308">
            <v>66.040000000000006</v>
          </cell>
          <cell r="D8308">
            <v>19.399999999999999</v>
          </cell>
          <cell r="E8308">
            <v>8.34</v>
          </cell>
          <cell r="H8308">
            <v>45638</v>
          </cell>
          <cell r="I8308">
            <v>0.70000000000000018</v>
          </cell>
          <cell r="J8308">
            <v>25.082222222222221</v>
          </cell>
        </row>
        <row r="8309">
          <cell r="B8309">
            <v>37.82</v>
          </cell>
          <cell r="C8309">
            <v>64.63</v>
          </cell>
          <cell r="D8309">
            <v>19.43</v>
          </cell>
          <cell r="E8309">
            <v>8.08</v>
          </cell>
          <cell r="H8309">
            <v>45638</v>
          </cell>
          <cell r="I8309">
            <v>0.67111111111111132</v>
          </cell>
          <cell r="J8309">
            <v>25.477777777777774</v>
          </cell>
        </row>
        <row r="8310">
          <cell r="B8310">
            <v>39.57</v>
          </cell>
          <cell r="C8310">
            <v>65.62</v>
          </cell>
          <cell r="D8310">
            <v>19.36</v>
          </cell>
          <cell r="E8310">
            <v>7.6</v>
          </cell>
          <cell r="H8310">
            <v>45638</v>
          </cell>
          <cell r="I8310">
            <v>0.64222222222222225</v>
          </cell>
          <cell r="J8310">
            <v>25.836666666666666</v>
          </cell>
        </row>
        <row r="8311">
          <cell r="B8311">
            <v>40.340000000000003</v>
          </cell>
          <cell r="C8311">
            <v>69.819999999999993</v>
          </cell>
          <cell r="D8311">
            <v>19.8</v>
          </cell>
          <cell r="E8311">
            <v>7.55</v>
          </cell>
          <cell r="H8311">
            <v>45638</v>
          </cell>
          <cell r="I8311">
            <v>0.62666666666666659</v>
          </cell>
          <cell r="J8311">
            <v>26.105555555555554</v>
          </cell>
        </row>
        <row r="8312">
          <cell r="B8312">
            <v>40.799999999999997</v>
          </cell>
          <cell r="C8312">
            <v>71.040000000000006</v>
          </cell>
          <cell r="D8312">
            <v>19.600000000000001</v>
          </cell>
          <cell r="E8312">
            <v>7.87</v>
          </cell>
          <cell r="H8312">
            <v>45638</v>
          </cell>
          <cell r="I8312">
            <v>0.62777777777777777</v>
          </cell>
          <cell r="J8312">
            <v>26.261111111111109</v>
          </cell>
        </row>
        <row r="8313">
          <cell r="B8313">
            <v>44.79</v>
          </cell>
          <cell r="C8313">
            <v>81.819999999999993</v>
          </cell>
          <cell r="D8313">
            <v>22.1</v>
          </cell>
          <cell r="E8313">
            <v>8.25</v>
          </cell>
          <cell r="H8313">
            <v>45638</v>
          </cell>
          <cell r="I8313">
            <v>0.64</v>
          </cell>
          <cell r="J8313">
            <v>26.274444444444445</v>
          </cell>
        </row>
        <row r="8314">
          <cell r="B8314">
            <v>48.93</v>
          </cell>
          <cell r="C8314">
            <v>91.08</v>
          </cell>
          <cell r="D8314">
            <v>22.23</v>
          </cell>
          <cell r="E8314">
            <v>8.25</v>
          </cell>
          <cell r="H8314">
            <v>45638</v>
          </cell>
          <cell r="I8314">
            <v>0.6677777777777778</v>
          </cell>
          <cell r="J8314">
            <v>26.201111111111111</v>
          </cell>
        </row>
        <row r="8315">
          <cell r="B8315">
            <v>48.33</v>
          </cell>
          <cell r="C8315">
            <v>90.37</v>
          </cell>
          <cell r="D8315">
            <v>22.17</v>
          </cell>
          <cell r="E8315">
            <v>8.36</v>
          </cell>
          <cell r="H8315">
            <v>45638</v>
          </cell>
          <cell r="I8315">
            <v>0.71777777777777774</v>
          </cell>
          <cell r="J8315">
            <v>26.044444444444441</v>
          </cell>
        </row>
        <row r="8316">
          <cell r="B8316">
            <v>47.12</v>
          </cell>
          <cell r="C8316">
            <v>86.97</v>
          </cell>
          <cell r="D8316">
            <v>22.09</v>
          </cell>
          <cell r="E8316">
            <v>8.8800000000000008</v>
          </cell>
          <cell r="H8316">
            <v>45638</v>
          </cell>
          <cell r="I8316">
            <v>0.7633333333333332</v>
          </cell>
          <cell r="J8316">
            <v>25.764444444444443</v>
          </cell>
        </row>
        <row r="8317">
          <cell r="B8317">
            <v>40.229999999999997</v>
          </cell>
          <cell r="C8317">
            <v>75.97</v>
          </cell>
          <cell r="D8317">
            <v>22.62</v>
          </cell>
          <cell r="E8317">
            <v>8.8000000000000007</v>
          </cell>
          <cell r="H8317">
            <v>45638</v>
          </cell>
          <cell r="I8317">
            <v>0.80222222222222206</v>
          </cell>
          <cell r="J8317">
            <v>25.285555555555558</v>
          </cell>
        </row>
        <row r="8318">
          <cell r="B8318">
            <v>36.97</v>
          </cell>
          <cell r="C8318">
            <v>84.62</v>
          </cell>
          <cell r="D8318">
            <v>22.28</v>
          </cell>
          <cell r="E8318">
            <v>8.6</v>
          </cell>
          <cell r="H8318">
            <v>45638</v>
          </cell>
          <cell r="I8318">
            <v>0.83333333333333337</v>
          </cell>
          <cell r="J8318">
            <v>24.880000000000003</v>
          </cell>
        </row>
        <row r="8319">
          <cell r="B8319">
            <v>40.04</v>
          </cell>
          <cell r="C8319">
            <v>87.56</v>
          </cell>
          <cell r="D8319">
            <v>22.59</v>
          </cell>
          <cell r="E8319">
            <v>8.76</v>
          </cell>
          <cell r="H8319">
            <v>45638</v>
          </cell>
          <cell r="I8319">
            <v>0.85555555555555551</v>
          </cell>
          <cell r="J8319">
            <v>24.580000000000002</v>
          </cell>
        </row>
        <row r="8320">
          <cell r="B8320">
            <v>31.72</v>
          </cell>
          <cell r="C8320">
            <v>55.52</v>
          </cell>
          <cell r="D8320">
            <v>23.29</v>
          </cell>
          <cell r="E8320">
            <v>8.59</v>
          </cell>
          <cell r="H8320">
            <v>45638</v>
          </cell>
          <cell r="I8320">
            <v>0.87555555555555542</v>
          </cell>
          <cell r="J8320">
            <v>24.310000000000002</v>
          </cell>
        </row>
        <row r="8321">
          <cell r="B8321">
            <v>27.31</v>
          </cell>
          <cell r="C8321">
            <v>61.01</v>
          </cell>
          <cell r="D8321">
            <v>23.21</v>
          </cell>
          <cell r="E8321">
            <v>8.23</v>
          </cell>
          <cell r="H8321">
            <v>45638</v>
          </cell>
          <cell r="I8321">
            <v>0.89777777777777779</v>
          </cell>
          <cell r="J8321">
            <v>24.116666666666667</v>
          </cell>
        </row>
        <row r="8322">
          <cell r="B8322">
            <v>26.81</v>
          </cell>
          <cell r="C8322">
            <v>56.05</v>
          </cell>
          <cell r="D8322">
            <v>22.87</v>
          </cell>
          <cell r="E8322">
            <v>8.4600000000000009</v>
          </cell>
          <cell r="H8322">
            <v>45638</v>
          </cell>
          <cell r="I8322">
            <v>0.92666666666666664</v>
          </cell>
          <cell r="J8322">
            <v>24.003333333333334</v>
          </cell>
        </row>
        <row r="8323">
          <cell r="B8323">
            <v>22.56</v>
          </cell>
          <cell r="C8323">
            <v>52.06</v>
          </cell>
          <cell r="D8323">
            <v>23.32</v>
          </cell>
          <cell r="E8323">
            <v>8.59</v>
          </cell>
          <cell r="H8323">
            <v>45638</v>
          </cell>
          <cell r="I8323">
            <v>0.92444444444444451</v>
          </cell>
          <cell r="J8323">
            <v>23.773333333333333</v>
          </cell>
        </row>
        <row r="8324">
          <cell r="B8324">
            <v>25.41</v>
          </cell>
          <cell r="C8324">
            <v>44.38</v>
          </cell>
          <cell r="D8324">
            <v>23.58</v>
          </cell>
          <cell r="E8324">
            <v>9.23</v>
          </cell>
          <cell r="H8324">
            <v>45638</v>
          </cell>
          <cell r="I8324">
            <v>0.9144444444444445</v>
          </cell>
          <cell r="J8324">
            <v>23.59</v>
          </cell>
        </row>
        <row r="8325">
          <cell r="B8325">
            <v>20.5</v>
          </cell>
          <cell r="C8325">
            <v>41</v>
          </cell>
          <cell r="D8325">
            <v>23.72</v>
          </cell>
          <cell r="E8325">
            <v>8.77</v>
          </cell>
          <cell r="H8325">
            <v>45638</v>
          </cell>
          <cell r="I8325">
            <v>0.9177777777777778</v>
          </cell>
          <cell r="J8325">
            <v>23.419999999999998</v>
          </cell>
        </row>
        <row r="8326">
          <cell r="B8326">
            <v>17.53</v>
          </cell>
          <cell r="C8326">
            <v>37.43</v>
          </cell>
          <cell r="D8326">
            <v>23.63</v>
          </cell>
          <cell r="E8326">
            <v>9.42</v>
          </cell>
          <cell r="H8326">
            <v>45638</v>
          </cell>
          <cell r="I8326">
            <v>0.92111111111111099</v>
          </cell>
          <cell r="J8326">
            <v>23.249999999999993</v>
          </cell>
        </row>
        <row r="8327">
          <cell r="B8327">
            <v>18.23</v>
          </cell>
          <cell r="C8327">
            <v>35.67</v>
          </cell>
          <cell r="D8327">
            <v>23.48</v>
          </cell>
          <cell r="E8327">
            <v>8.7100000000000009</v>
          </cell>
          <cell r="H8327">
            <v>45638</v>
          </cell>
          <cell r="I8327">
            <v>0.92444444444444451</v>
          </cell>
          <cell r="J8327">
            <v>23.158888888888882</v>
          </cell>
        </row>
        <row r="8328">
          <cell r="B8328">
            <v>16.52</v>
          </cell>
          <cell r="C8328">
            <v>33.29</v>
          </cell>
          <cell r="D8328">
            <v>22.77</v>
          </cell>
          <cell r="E8328">
            <v>8.39</v>
          </cell>
          <cell r="H8328">
            <v>45638</v>
          </cell>
          <cell r="I8328">
            <v>0.92111111111111121</v>
          </cell>
          <cell r="J8328">
            <v>23.15</v>
          </cell>
        </row>
        <row r="8329">
          <cell r="B8329">
            <v>17.11</v>
          </cell>
          <cell r="C8329">
            <v>33.51</v>
          </cell>
          <cell r="D8329">
            <v>22.25</v>
          </cell>
          <cell r="E8329">
            <v>8.17</v>
          </cell>
          <cell r="H8329">
            <v>45638</v>
          </cell>
          <cell r="I8329">
            <v>0.90666666666666673</v>
          </cell>
          <cell r="J8329">
            <v>23.242222222222221</v>
          </cell>
        </row>
        <row r="8330">
          <cell r="B8330">
            <v>17.8</v>
          </cell>
          <cell r="C8330">
            <v>31.57</v>
          </cell>
          <cell r="D8330">
            <v>22.53</v>
          </cell>
          <cell r="E8330">
            <v>7.9</v>
          </cell>
          <cell r="H8330">
            <v>45639</v>
          </cell>
          <cell r="I8330">
            <v>0.87666666666666671</v>
          </cell>
          <cell r="J8330">
            <v>23.4</v>
          </cell>
        </row>
        <row r="8331">
          <cell r="B8331">
            <v>21.02</v>
          </cell>
          <cell r="C8331">
            <v>34.21</v>
          </cell>
          <cell r="D8331">
            <v>21.7</v>
          </cell>
          <cell r="E8331">
            <v>7.73</v>
          </cell>
          <cell r="H8331">
            <v>45639</v>
          </cell>
          <cell r="I8331">
            <v>0.8288888888888889</v>
          </cell>
          <cell r="J8331">
            <v>23.58</v>
          </cell>
        </row>
        <row r="8332">
          <cell r="B8332">
            <v>26.49</v>
          </cell>
          <cell r="C8332">
            <v>45.49</v>
          </cell>
          <cell r="D8332">
            <v>21.5</v>
          </cell>
          <cell r="E8332">
            <v>7.5</v>
          </cell>
          <cell r="H8332">
            <v>45639</v>
          </cell>
          <cell r="I8332">
            <v>0.79999999999999993</v>
          </cell>
          <cell r="J8332">
            <v>24.009999999999998</v>
          </cell>
        </row>
        <row r="8333">
          <cell r="B8333">
            <v>32.85</v>
          </cell>
          <cell r="C8333">
            <v>54.03</v>
          </cell>
          <cell r="D8333">
            <v>21.82</v>
          </cell>
          <cell r="E8333">
            <v>7.32</v>
          </cell>
          <cell r="H8333">
            <v>45639</v>
          </cell>
          <cell r="I8333">
            <v>0.76555555555555566</v>
          </cell>
          <cell r="J8333">
            <v>24.462222222222223</v>
          </cell>
        </row>
        <row r="8334">
          <cell r="B8334">
            <v>36.68</v>
          </cell>
          <cell r="C8334">
            <v>61.32</v>
          </cell>
          <cell r="D8334">
            <v>21.64</v>
          </cell>
          <cell r="E8334">
            <v>7.37</v>
          </cell>
          <cell r="H8334">
            <v>45639</v>
          </cell>
          <cell r="I8334">
            <v>0.72111111111111126</v>
          </cell>
          <cell r="J8334">
            <v>24.876666666666669</v>
          </cell>
        </row>
        <row r="8335">
          <cell r="B8335">
            <v>43.53</v>
          </cell>
          <cell r="C8335">
            <v>71.33</v>
          </cell>
          <cell r="D8335">
            <v>21.86</v>
          </cell>
          <cell r="E8335">
            <v>6.88</v>
          </cell>
          <cell r="H8335">
            <v>45639</v>
          </cell>
          <cell r="I8335">
            <v>0.69111111111111123</v>
          </cell>
          <cell r="J8335">
            <v>25.244444444444447</v>
          </cell>
        </row>
        <row r="8336">
          <cell r="B8336">
            <v>44.15</v>
          </cell>
          <cell r="C8336">
            <v>79.31</v>
          </cell>
          <cell r="D8336">
            <v>22.66</v>
          </cell>
          <cell r="E8336">
            <v>6.91</v>
          </cell>
          <cell r="H8336">
            <v>45639</v>
          </cell>
          <cell r="I8336">
            <v>0.66999999999999993</v>
          </cell>
          <cell r="J8336">
            <v>25.40111111111111</v>
          </cell>
        </row>
        <row r="8337">
          <cell r="B8337">
            <v>48.62</v>
          </cell>
          <cell r="C8337">
            <v>86.08</v>
          </cell>
          <cell r="D8337">
            <v>22.79</v>
          </cell>
          <cell r="E8337">
            <v>7.05</v>
          </cell>
          <cell r="H8337">
            <v>45639</v>
          </cell>
          <cell r="I8337">
            <v>0.66444444444444428</v>
          </cell>
          <cell r="J8337">
            <v>25.342222222222219</v>
          </cell>
        </row>
        <row r="8338">
          <cell r="B8338">
            <v>52.02</v>
          </cell>
          <cell r="C8338">
            <v>93.44</v>
          </cell>
          <cell r="D8338">
            <v>22.81</v>
          </cell>
          <cell r="E8338">
            <v>7.51</v>
          </cell>
          <cell r="H8338">
            <v>45639</v>
          </cell>
          <cell r="I8338">
            <v>0.68555555555555558</v>
          </cell>
          <cell r="J8338">
            <v>25.147777777777776</v>
          </cell>
        </row>
        <row r="8339">
          <cell r="B8339">
            <v>54.1</v>
          </cell>
          <cell r="C8339">
            <v>88.23</v>
          </cell>
          <cell r="D8339">
            <v>23.19</v>
          </cell>
          <cell r="E8339">
            <v>7.61</v>
          </cell>
          <cell r="H8339">
            <v>45639</v>
          </cell>
          <cell r="I8339">
            <v>0.72777777777777786</v>
          </cell>
          <cell r="J8339">
            <v>24.981111111111108</v>
          </cell>
        </row>
        <row r="8340">
          <cell r="B8340">
            <v>55.4</v>
          </cell>
          <cell r="C8340">
            <v>85.95</v>
          </cell>
          <cell r="D8340">
            <v>22.43</v>
          </cell>
          <cell r="E8340">
            <v>8.23</v>
          </cell>
          <cell r="H8340">
            <v>45639</v>
          </cell>
          <cell r="I8340">
            <v>0.76777777777777778</v>
          </cell>
          <cell r="J8340">
            <v>24.781111111111109</v>
          </cell>
        </row>
        <row r="8341">
          <cell r="B8341">
            <v>45.14</v>
          </cell>
          <cell r="C8341">
            <v>77.739999999999995</v>
          </cell>
          <cell r="D8341">
            <v>21.32</v>
          </cell>
          <cell r="E8341">
            <v>8.07</v>
          </cell>
          <cell r="H8341">
            <v>45639</v>
          </cell>
          <cell r="I8341">
            <v>0.79444444444444451</v>
          </cell>
          <cell r="J8341">
            <v>24.428888888888888</v>
          </cell>
        </row>
        <row r="8342">
          <cell r="B8342">
            <v>39.869999999999997</v>
          </cell>
          <cell r="C8342">
            <v>74.930000000000007</v>
          </cell>
          <cell r="D8342">
            <v>20.9</v>
          </cell>
          <cell r="E8342">
            <v>8.0399999999999991</v>
          </cell>
          <cell r="H8342">
            <v>45639</v>
          </cell>
          <cell r="I8342">
            <v>0.81333333333333335</v>
          </cell>
          <cell r="J8342">
            <v>23.996666666666663</v>
          </cell>
        </row>
        <row r="8343">
          <cell r="B8343">
            <v>37.6</v>
          </cell>
          <cell r="C8343">
            <v>75.95</v>
          </cell>
          <cell r="D8343">
            <v>20.46</v>
          </cell>
          <cell r="E8343">
            <v>8.09</v>
          </cell>
          <cell r="H8343">
            <v>45639</v>
          </cell>
          <cell r="I8343">
            <v>0.8288888888888889</v>
          </cell>
          <cell r="J8343">
            <v>23.627777777777776</v>
          </cell>
        </row>
        <row r="8344">
          <cell r="B8344">
            <v>40.479999999999997</v>
          </cell>
          <cell r="C8344">
            <v>79.900000000000006</v>
          </cell>
          <cell r="D8344">
            <v>18.77</v>
          </cell>
          <cell r="E8344">
            <v>8.34</v>
          </cell>
          <cell r="H8344">
            <v>45639</v>
          </cell>
          <cell r="I8344">
            <v>0.84111111111111114</v>
          </cell>
          <cell r="J8344">
            <v>23.41333333333333</v>
          </cell>
        </row>
        <row r="8345">
          <cell r="B8345">
            <v>39.71</v>
          </cell>
          <cell r="C8345">
            <v>80.09</v>
          </cell>
          <cell r="D8345">
            <v>18.440000000000001</v>
          </cell>
          <cell r="E8345">
            <v>7.87</v>
          </cell>
          <cell r="H8345">
            <v>45639</v>
          </cell>
          <cell r="I8345">
            <v>0.86888888888888893</v>
          </cell>
          <cell r="J8345">
            <v>23.258888888888887</v>
          </cell>
        </row>
        <row r="8346">
          <cell r="B8346">
            <v>38.99</v>
          </cell>
          <cell r="C8346">
            <v>122.03</v>
          </cell>
          <cell r="D8346">
            <v>18.48</v>
          </cell>
          <cell r="E8346">
            <v>7.94</v>
          </cell>
          <cell r="H8346">
            <v>45639</v>
          </cell>
          <cell r="I8346">
            <v>0.87444444444444458</v>
          </cell>
          <cell r="J8346">
            <v>23.114444444444441</v>
          </cell>
        </row>
        <row r="8347">
          <cell r="B8347">
            <v>41.38</v>
          </cell>
          <cell r="C8347">
            <v>112.67</v>
          </cell>
          <cell r="D8347">
            <v>19.25</v>
          </cell>
          <cell r="E8347">
            <v>8.0399999999999991</v>
          </cell>
          <cell r="H8347">
            <v>45639</v>
          </cell>
          <cell r="I8347">
            <v>0.87333333333333341</v>
          </cell>
          <cell r="J8347">
            <v>23.031111111111112</v>
          </cell>
        </row>
        <row r="8348">
          <cell r="B8348">
            <v>43.26</v>
          </cell>
          <cell r="C8348">
            <v>105.25</v>
          </cell>
          <cell r="D8348">
            <v>20.54</v>
          </cell>
          <cell r="E8348">
            <v>8.4</v>
          </cell>
          <cell r="H8348">
            <v>45639</v>
          </cell>
          <cell r="I8348">
            <v>0.86888888888888893</v>
          </cell>
          <cell r="J8348">
            <v>22.716666666666672</v>
          </cell>
        </row>
        <row r="8349">
          <cell r="B8349">
            <v>49.56</v>
          </cell>
          <cell r="C8349">
            <v>109</v>
          </cell>
          <cell r="D8349">
            <v>20.59</v>
          </cell>
          <cell r="E8349">
            <v>8.41</v>
          </cell>
          <cell r="H8349">
            <v>45639</v>
          </cell>
          <cell r="I8349">
            <v>0.87888888888888894</v>
          </cell>
          <cell r="J8349">
            <v>22.393333333333331</v>
          </cell>
        </row>
        <row r="8350">
          <cell r="B8350">
            <v>50.22</v>
          </cell>
          <cell r="C8350">
            <v>107</v>
          </cell>
          <cell r="D8350">
            <v>20.46</v>
          </cell>
          <cell r="E8350">
            <v>8.8000000000000007</v>
          </cell>
          <cell r="H8350">
            <v>45639</v>
          </cell>
          <cell r="I8350">
            <v>0.89</v>
          </cell>
          <cell r="J8350">
            <v>22.208888888888893</v>
          </cell>
        </row>
        <row r="8351">
          <cell r="B8351">
            <v>50.74</v>
          </cell>
          <cell r="C8351">
            <v>105.29</v>
          </cell>
          <cell r="D8351">
            <v>20.079999999999998</v>
          </cell>
          <cell r="E8351">
            <v>8.17</v>
          </cell>
          <cell r="H8351">
            <v>45639</v>
          </cell>
          <cell r="I8351">
            <v>0.90222222222222215</v>
          </cell>
          <cell r="J8351">
            <v>22.069999999999997</v>
          </cell>
        </row>
        <row r="8352">
          <cell r="B8352">
            <v>53.62</v>
          </cell>
          <cell r="C8352">
            <v>103.93</v>
          </cell>
          <cell r="D8352">
            <v>19.61</v>
          </cell>
          <cell r="E8352">
            <v>8.1300000000000008</v>
          </cell>
          <cell r="H8352">
            <v>45639</v>
          </cell>
          <cell r="I8352">
            <v>0.89999999999999991</v>
          </cell>
          <cell r="J8352">
            <v>22.005555555555553</v>
          </cell>
        </row>
        <row r="8353">
          <cell r="B8353">
            <v>55.54</v>
          </cell>
          <cell r="C8353">
            <v>99.3</v>
          </cell>
          <cell r="D8353">
            <v>18.850000000000001</v>
          </cell>
          <cell r="E8353">
            <v>7.83</v>
          </cell>
          <cell r="H8353">
            <v>45639</v>
          </cell>
          <cell r="I8353">
            <v>0.89555555555555566</v>
          </cell>
          <cell r="J8353">
            <v>22.014444444444443</v>
          </cell>
        </row>
        <row r="8354">
          <cell r="B8354">
            <v>54.31</v>
          </cell>
          <cell r="C8354">
            <v>96.03</v>
          </cell>
          <cell r="D8354">
            <v>18.739999999999998</v>
          </cell>
          <cell r="E8354">
            <v>8.06</v>
          </cell>
          <cell r="H8354">
            <v>45640</v>
          </cell>
          <cell r="I8354">
            <v>0.86999999999999988</v>
          </cell>
          <cell r="J8354">
            <v>22.108888888888888</v>
          </cell>
        </row>
        <row r="8355">
          <cell r="B8355">
            <v>56.41</v>
          </cell>
          <cell r="C8355">
            <v>92.11</v>
          </cell>
          <cell r="D8355">
            <v>17.850000000000001</v>
          </cell>
          <cell r="E8355">
            <v>8.16</v>
          </cell>
          <cell r="H8355">
            <v>45640</v>
          </cell>
          <cell r="I8355">
            <v>0.8566666666666668</v>
          </cell>
          <cell r="J8355">
            <v>22.37</v>
          </cell>
        </row>
        <row r="8356">
          <cell r="B8356">
            <v>55.99</v>
          </cell>
          <cell r="C8356">
            <v>90.78</v>
          </cell>
          <cell r="D8356">
            <v>18.05</v>
          </cell>
          <cell r="E8356">
            <v>8.39</v>
          </cell>
          <cell r="H8356">
            <v>45640</v>
          </cell>
          <cell r="I8356">
            <v>0.8322222222222222</v>
          </cell>
          <cell r="J8356">
            <v>22.752222222222223</v>
          </cell>
        </row>
        <row r="8357">
          <cell r="B8357">
            <v>56.16</v>
          </cell>
          <cell r="C8357">
            <v>88.1</v>
          </cell>
          <cell r="D8357">
            <v>18.53</v>
          </cell>
          <cell r="E8357">
            <v>8.34</v>
          </cell>
          <cell r="H8357">
            <v>45640</v>
          </cell>
          <cell r="I8357">
            <v>0.79666666666666663</v>
          </cell>
          <cell r="J8357">
            <v>23.152222222222225</v>
          </cell>
        </row>
        <row r="8358">
          <cell r="B8358">
            <v>55.74</v>
          </cell>
          <cell r="C8358">
            <v>84.98</v>
          </cell>
          <cell r="D8358">
            <v>18.43</v>
          </cell>
          <cell r="E8358">
            <v>9.1999999999999993</v>
          </cell>
          <cell r="H8358">
            <v>45640</v>
          </cell>
          <cell r="I8358">
            <v>0.75444444444444447</v>
          </cell>
          <cell r="J8358">
            <v>23.487777777777779</v>
          </cell>
        </row>
        <row r="8359">
          <cell r="B8359">
            <v>55.36</v>
          </cell>
          <cell r="C8359">
            <v>85.59</v>
          </cell>
          <cell r="D8359">
            <v>18.440000000000001</v>
          </cell>
          <cell r="E8359">
            <v>9.2200000000000006</v>
          </cell>
          <cell r="H8359">
            <v>45640</v>
          </cell>
          <cell r="I8359">
            <v>0.72666666666666679</v>
          </cell>
          <cell r="J8359">
            <v>23.735555555555557</v>
          </cell>
        </row>
        <row r="8360">
          <cell r="B8360">
            <v>55.18</v>
          </cell>
          <cell r="C8360">
            <v>86.52</v>
          </cell>
          <cell r="D8360">
            <v>18.690000000000001</v>
          </cell>
          <cell r="E8360">
            <v>8.61</v>
          </cell>
          <cell r="H8360">
            <v>45640</v>
          </cell>
          <cell r="I8360">
            <v>0.71444444444444455</v>
          </cell>
          <cell r="J8360">
            <v>23.875555555555557</v>
          </cell>
        </row>
        <row r="8361">
          <cell r="B8361">
            <v>55.14</v>
          </cell>
          <cell r="C8361">
            <v>87.14</v>
          </cell>
          <cell r="D8361">
            <v>19</v>
          </cell>
          <cell r="E8361">
            <v>8.4</v>
          </cell>
          <cell r="H8361">
            <v>45640</v>
          </cell>
          <cell r="I8361">
            <v>0.72111111111111115</v>
          </cell>
          <cell r="J8361">
            <v>23.980000000000004</v>
          </cell>
        </row>
        <row r="8362">
          <cell r="B8362">
            <v>56.79</v>
          </cell>
          <cell r="C8362">
            <v>91.45</v>
          </cell>
          <cell r="D8362">
            <v>19.57</v>
          </cell>
          <cell r="E8362">
            <v>8.89</v>
          </cell>
          <cell r="H8362">
            <v>45640</v>
          </cell>
          <cell r="I8362">
            <v>0.73111111111111116</v>
          </cell>
          <cell r="J8362">
            <v>24.053333333333335</v>
          </cell>
        </row>
        <row r="8363">
          <cell r="B8363">
            <v>51.01</v>
          </cell>
          <cell r="C8363">
            <v>89</v>
          </cell>
          <cell r="D8363">
            <v>19.350000000000001</v>
          </cell>
          <cell r="E8363">
            <v>8.9</v>
          </cell>
          <cell r="H8363">
            <v>45640</v>
          </cell>
          <cell r="I8363">
            <v>0.74666666666666659</v>
          </cell>
          <cell r="J8363">
            <v>23.97111111111111</v>
          </cell>
        </row>
        <row r="8364">
          <cell r="B8364">
            <v>45.48</v>
          </cell>
          <cell r="C8364">
            <v>82.51</v>
          </cell>
          <cell r="D8364">
            <v>18.600000000000001</v>
          </cell>
          <cell r="E8364">
            <v>9.0299999999999994</v>
          </cell>
          <cell r="H8364">
            <v>45640</v>
          </cell>
          <cell r="I8364">
            <v>0.76222222222222225</v>
          </cell>
          <cell r="J8364">
            <v>23.906666666666663</v>
          </cell>
        </row>
        <row r="8365">
          <cell r="B8365">
            <v>44.58</v>
          </cell>
          <cell r="C8365">
            <v>77.87</v>
          </cell>
          <cell r="D8365">
            <v>17.62</v>
          </cell>
          <cell r="E8365">
            <v>8.69</v>
          </cell>
          <cell r="H8365">
            <v>45640</v>
          </cell>
          <cell r="I8365">
            <v>0.77666666666666662</v>
          </cell>
          <cell r="J8365">
            <v>23.806666666666665</v>
          </cell>
        </row>
        <row r="8366">
          <cell r="B8366">
            <v>45.26</v>
          </cell>
          <cell r="C8366">
            <v>78.81</v>
          </cell>
          <cell r="D8366">
            <v>17.420000000000002</v>
          </cell>
          <cell r="E8366">
            <v>9.01</v>
          </cell>
          <cell r="H8366">
            <v>45640</v>
          </cell>
          <cell r="I8366">
            <v>0.79222222222222216</v>
          </cell>
          <cell r="J8366">
            <v>23.936666666666664</v>
          </cell>
        </row>
        <row r="8367">
          <cell r="B8367">
            <v>44.92</v>
          </cell>
          <cell r="C8367">
            <v>83.18</v>
          </cell>
          <cell r="D8367">
            <v>17.25</v>
          </cell>
          <cell r="E8367">
            <v>9.1999999999999993</v>
          </cell>
          <cell r="H8367">
            <v>45640</v>
          </cell>
          <cell r="I8367">
            <v>0.80111111111111111</v>
          </cell>
          <cell r="J8367">
            <v>24.278888888888886</v>
          </cell>
        </row>
        <row r="8368">
          <cell r="B8368">
            <v>44.02</v>
          </cell>
          <cell r="C8368">
            <v>83.76</v>
          </cell>
          <cell r="D8368">
            <v>17.84</v>
          </cell>
          <cell r="E8368">
            <v>8.8000000000000007</v>
          </cell>
          <cell r="H8368">
            <v>45640</v>
          </cell>
          <cell r="I8368">
            <v>0.81444444444444442</v>
          </cell>
          <cell r="J8368">
            <v>24.608888888888888</v>
          </cell>
        </row>
        <row r="8369">
          <cell r="B8369">
            <v>47.42</v>
          </cell>
          <cell r="C8369">
            <v>86.58</v>
          </cell>
          <cell r="D8369">
            <v>18.66</v>
          </cell>
          <cell r="E8369">
            <v>8.5299999999999994</v>
          </cell>
          <cell r="H8369">
            <v>45640</v>
          </cell>
          <cell r="I8369">
            <v>0.82111111111111112</v>
          </cell>
          <cell r="J8369">
            <v>24.873333333333331</v>
          </cell>
        </row>
        <row r="8370">
          <cell r="B8370">
            <v>51.01</v>
          </cell>
          <cell r="C8370">
            <v>90.91</v>
          </cell>
          <cell r="D8370">
            <v>19.72</v>
          </cell>
          <cell r="E8370">
            <v>10.07</v>
          </cell>
          <cell r="H8370">
            <v>45640</v>
          </cell>
          <cell r="I8370">
            <v>0.82888888888888901</v>
          </cell>
          <cell r="J8370">
            <v>25.018888888888888</v>
          </cell>
        </row>
        <row r="8371">
          <cell r="B8371">
            <v>51.94</v>
          </cell>
          <cell r="C8371">
            <v>94.45</v>
          </cell>
          <cell r="D8371">
            <v>20.14</v>
          </cell>
          <cell r="E8371">
            <v>9.6199999999999992</v>
          </cell>
          <cell r="H8371">
            <v>45640</v>
          </cell>
          <cell r="I8371">
            <v>0.83444444444444454</v>
          </cell>
          <cell r="J8371">
            <v>24.944444444444446</v>
          </cell>
        </row>
        <row r="8372">
          <cell r="B8372">
            <v>55.16</v>
          </cell>
          <cell r="C8372">
            <v>101.97</v>
          </cell>
          <cell r="D8372">
            <v>20.58</v>
          </cell>
          <cell r="E8372">
            <v>10.78</v>
          </cell>
          <cell r="H8372">
            <v>45640</v>
          </cell>
          <cell r="I8372">
            <v>0.83777777777777773</v>
          </cell>
          <cell r="J8372">
            <v>24.852222222222224</v>
          </cell>
        </row>
        <row r="8373">
          <cell r="B8373">
            <v>57.13</v>
          </cell>
          <cell r="C8373">
            <v>104.82</v>
          </cell>
          <cell r="D8373">
            <v>20.47</v>
          </cell>
          <cell r="E8373">
            <v>9.8699999999999992</v>
          </cell>
          <cell r="H8373">
            <v>45640</v>
          </cell>
          <cell r="I8373">
            <v>0.84555555555555562</v>
          </cell>
          <cell r="J8373">
            <v>24.75888888888889</v>
          </cell>
        </row>
        <row r="8374">
          <cell r="B8374">
            <v>58.02</v>
          </cell>
          <cell r="C8374">
            <v>105.76</v>
          </cell>
          <cell r="D8374">
            <v>20.27</v>
          </cell>
          <cell r="E8374">
            <v>9.15</v>
          </cell>
          <cell r="H8374">
            <v>45640</v>
          </cell>
          <cell r="I8374">
            <v>0.8488888888888888</v>
          </cell>
          <cell r="J8374">
            <v>24.674444444444447</v>
          </cell>
        </row>
        <row r="8375">
          <cell r="B8375">
            <v>59.21</v>
          </cell>
          <cell r="C8375">
            <v>105.11</v>
          </cell>
          <cell r="D8375">
            <v>19.59</v>
          </cell>
          <cell r="E8375">
            <v>9</v>
          </cell>
          <cell r="H8375">
            <v>45640</v>
          </cell>
          <cell r="I8375">
            <v>0.85000000000000009</v>
          </cell>
          <cell r="J8375">
            <v>24.68</v>
          </cell>
        </row>
        <row r="8376">
          <cell r="B8376">
            <v>59.63</v>
          </cell>
          <cell r="C8376">
            <v>102.82</v>
          </cell>
          <cell r="D8376">
            <v>19.239999999999998</v>
          </cell>
          <cell r="E8376">
            <v>9.16</v>
          </cell>
          <cell r="H8376">
            <v>45640</v>
          </cell>
          <cell r="I8376">
            <v>0.84666666666666679</v>
          </cell>
          <cell r="J8376">
            <v>24.752222222222223</v>
          </cell>
        </row>
        <row r="8377">
          <cell r="B8377">
            <v>59.45</v>
          </cell>
          <cell r="C8377">
            <v>103.25</v>
          </cell>
          <cell r="D8377">
            <v>19.3</v>
          </cell>
          <cell r="E8377">
            <v>9.01</v>
          </cell>
          <cell r="H8377">
            <v>45640</v>
          </cell>
          <cell r="I8377">
            <v>0.83555555555555561</v>
          </cell>
          <cell r="J8377">
            <v>24.637777777777778</v>
          </cell>
        </row>
        <row r="8378">
          <cell r="B8378">
            <v>61.83</v>
          </cell>
          <cell r="C8378">
            <v>104.33</v>
          </cell>
          <cell r="D8378">
            <v>19.309999999999999</v>
          </cell>
          <cell r="E8378">
            <v>9.26</v>
          </cell>
          <cell r="H8378">
            <v>45641</v>
          </cell>
          <cell r="I8378">
            <v>0.81999999999999984</v>
          </cell>
          <cell r="J8378">
            <v>24.521111111111107</v>
          </cell>
        </row>
        <row r="8379">
          <cell r="B8379">
            <v>59.67</v>
          </cell>
          <cell r="C8379">
            <v>103.5</v>
          </cell>
          <cell r="D8379">
            <v>19.04</v>
          </cell>
          <cell r="E8379">
            <v>8.6300000000000008</v>
          </cell>
          <cell r="H8379">
            <v>45641</v>
          </cell>
          <cell r="I8379">
            <v>0.7911111111111111</v>
          </cell>
          <cell r="J8379">
            <v>24.656666666666666</v>
          </cell>
        </row>
        <row r="8380">
          <cell r="B8380">
            <v>55.69</v>
          </cell>
          <cell r="C8380">
            <v>94.57</v>
          </cell>
          <cell r="D8380">
            <v>19.190000000000001</v>
          </cell>
          <cell r="E8380">
            <v>8.01</v>
          </cell>
          <cell r="H8380">
            <v>45641</v>
          </cell>
          <cell r="I8380">
            <v>0.76444444444444448</v>
          </cell>
          <cell r="J8380">
            <v>24.928888888888892</v>
          </cell>
        </row>
        <row r="8381">
          <cell r="B8381">
            <v>52.14</v>
          </cell>
          <cell r="C8381">
            <v>88.23</v>
          </cell>
          <cell r="D8381">
            <v>19.37</v>
          </cell>
          <cell r="E8381">
            <v>7.42</v>
          </cell>
          <cell r="H8381">
            <v>45641</v>
          </cell>
          <cell r="I8381">
            <v>0.74222222222222223</v>
          </cell>
          <cell r="J8381">
            <v>25.282222222222224</v>
          </cell>
        </row>
        <row r="8382">
          <cell r="B8382">
            <v>54.55</v>
          </cell>
          <cell r="C8382">
            <v>87.7</v>
          </cell>
          <cell r="D8382">
            <v>19.59</v>
          </cell>
          <cell r="E8382">
            <v>7.79</v>
          </cell>
          <cell r="H8382">
            <v>45641</v>
          </cell>
          <cell r="I8382">
            <v>0.72111111111111115</v>
          </cell>
          <cell r="J8382">
            <v>25.437777777777779</v>
          </cell>
        </row>
        <row r="8383">
          <cell r="B8383">
            <v>53.95</v>
          </cell>
          <cell r="C8383">
            <v>88.37</v>
          </cell>
          <cell r="D8383">
            <v>17.21</v>
          </cell>
          <cell r="E8383">
            <v>7.32</v>
          </cell>
          <cell r="H8383">
            <v>45641</v>
          </cell>
          <cell r="I8383">
            <v>0.71444444444444444</v>
          </cell>
          <cell r="J8383">
            <v>25.372222222222224</v>
          </cell>
        </row>
        <row r="8384">
          <cell r="B8384">
            <v>57.27</v>
          </cell>
          <cell r="C8384">
            <v>90.13</v>
          </cell>
          <cell r="D8384">
            <v>17.72</v>
          </cell>
          <cell r="E8384">
            <v>7.65</v>
          </cell>
          <cell r="H8384">
            <v>45641</v>
          </cell>
          <cell r="I8384">
            <v>0.72</v>
          </cell>
          <cell r="J8384">
            <v>25.195555555555558</v>
          </cell>
        </row>
        <row r="8385">
          <cell r="B8385">
            <v>54.13</v>
          </cell>
          <cell r="C8385">
            <v>97.76</v>
          </cell>
          <cell r="D8385">
            <v>17.52</v>
          </cell>
          <cell r="E8385">
            <v>7.73</v>
          </cell>
          <cell r="H8385">
            <v>45641</v>
          </cell>
          <cell r="I8385">
            <v>0.72555555555555551</v>
          </cell>
          <cell r="J8385">
            <v>24.988888888888894</v>
          </cell>
        </row>
        <row r="8386">
          <cell r="B8386">
            <v>50.33</v>
          </cell>
          <cell r="C8386">
            <v>90.75</v>
          </cell>
          <cell r="D8386">
            <v>17.36</v>
          </cell>
          <cell r="E8386">
            <v>8.5299999999999994</v>
          </cell>
          <cell r="H8386">
            <v>45641</v>
          </cell>
          <cell r="I8386">
            <v>0.72555555555555562</v>
          </cell>
          <cell r="J8386">
            <v>25.25888888888889</v>
          </cell>
        </row>
        <row r="8387">
          <cell r="B8387">
            <v>45.04</v>
          </cell>
          <cell r="C8387">
            <v>86.03</v>
          </cell>
          <cell r="D8387">
            <v>18.100000000000001</v>
          </cell>
          <cell r="E8387">
            <v>8.75</v>
          </cell>
          <cell r="H8387">
            <v>45641</v>
          </cell>
          <cell r="I8387">
            <v>0.72777777777777775</v>
          </cell>
          <cell r="J8387">
            <v>25.552222222222223</v>
          </cell>
        </row>
        <row r="8388">
          <cell r="B8388">
            <v>39.4</v>
          </cell>
          <cell r="C8388">
            <v>81.400000000000006</v>
          </cell>
          <cell r="D8388">
            <v>18.13</v>
          </cell>
          <cell r="E8388">
            <v>8.56</v>
          </cell>
          <cell r="H8388">
            <v>45641</v>
          </cell>
          <cell r="I8388">
            <v>0.73555555555555552</v>
          </cell>
          <cell r="J8388">
            <v>25.803333333333335</v>
          </cell>
        </row>
        <row r="8389">
          <cell r="B8389">
            <v>38.1</v>
          </cell>
          <cell r="C8389">
            <v>75.48</v>
          </cell>
          <cell r="D8389">
            <v>18.27</v>
          </cell>
          <cell r="E8389">
            <v>8.42</v>
          </cell>
          <cell r="H8389">
            <v>45641</v>
          </cell>
          <cell r="I8389">
            <v>0.74444444444444435</v>
          </cell>
          <cell r="J8389">
            <v>26.18</v>
          </cell>
        </row>
        <row r="8390">
          <cell r="B8390">
            <v>34.520000000000003</v>
          </cell>
          <cell r="C8390">
            <v>75.83</v>
          </cell>
          <cell r="D8390">
            <v>18.25</v>
          </cell>
          <cell r="E8390">
            <v>8.52</v>
          </cell>
          <cell r="H8390">
            <v>45641</v>
          </cell>
          <cell r="I8390">
            <v>0.74666666666666659</v>
          </cell>
          <cell r="J8390">
            <v>26.558888888888895</v>
          </cell>
        </row>
        <row r="8391">
          <cell r="B8391">
            <v>35.68</v>
          </cell>
          <cell r="C8391">
            <v>73.98</v>
          </cell>
          <cell r="D8391">
            <v>18.149999999999999</v>
          </cell>
          <cell r="E8391">
            <v>8.52</v>
          </cell>
          <cell r="H8391">
            <v>45641</v>
          </cell>
          <cell r="I8391">
            <v>0.74555555555555542</v>
          </cell>
          <cell r="J8391">
            <v>27.082222222222221</v>
          </cell>
        </row>
        <row r="8392">
          <cell r="B8392">
            <v>35.24</v>
          </cell>
          <cell r="C8392">
            <v>70.64</v>
          </cell>
          <cell r="D8392">
            <v>18.190000000000001</v>
          </cell>
          <cell r="E8392">
            <v>8.25</v>
          </cell>
          <cell r="H8392">
            <v>45641</v>
          </cell>
          <cell r="I8392">
            <v>0.74777777777777776</v>
          </cell>
          <cell r="J8392">
            <v>27.746666666666666</v>
          </cell>
        </row>
        <row r="8393">
          <cell r="B8393">
            <v>36.229999999999997</v>
          </cell>
          <cell r="C8393">
            <v>70.48</v>
          </cell>
          <cell r="D8393">
            <v>18.510000000000002</v>
          </cell>
          <cell r="E8393">
            <v>8.31</v>
          </cell>
          <cell r="H8393">
            <v>45641</v>
          </cell>
          <cell r="I8393">
            <v>0.73333333333333328</v>
          </cell>
          <cell r="J8393">
            <v>28.396666666666665</v>
          </cell>
        </row>
        <row r="8394">
          <cell r="B8394">
            <v>38.15</v>
          </cell>
          <cell r="C8394">
            <v>75.62</v>
          </cell>
          <cell r="D8394">
            <v>19.05</v>
          </cell>
          <cell r="E8394">
            <v>8.6</v>
          </cell>
          <cell r="H8394">
            <v>45641</v>
          </cell>
          <cell r="I8394">
            <v>0.73111111111111127</v>
          </cell>
          <cell r="J8394">
            <v>28.775555555555556</v>
          </cell>
        </row>
        <row r="8395">
          <cell r="B8395">
            <v>41.34</v>
          </cell>
          <cell r="C8395">
            <v>79.39</v>
          </cell>
          <cell r="D8395">
            <v>19.32</v>
          </cell>
          <cell r="E8395">
            <v>8.39</v>
          </cell>
          <cell r="H8395">
            <v>45641</v>
          </cell>
          <cell r="I8395">
            <v>0.7366666666666668</v>
          </cell>
          <cell r="J8395">
            <v>28.713333333333335</v>
          </cell>
        </row>
        <row r="8396">
          <cell r="B8396">
            <v>44.97</v>
          </cell>
          <cell r="C8396">
            <v>106.02</v>
          </cell>
          <cell r="D8396">
            <v>20.12</v>
          </cell>
          <cell r="E8396">
            <v>8.51</v>
          </cell>
          <cell r="H8396">
            <v>45641</v>
          </cell>
          <cell r="I8396">
            <v>0.75333333333333341</v>
          </cell>
          <cell r="J8396">
            <v>28.466666666666665</v>
          </cell>
        </row>
        <row r="8397">
          <cell r="B8397">
            <v>48.99</v>
          </cell>
          <cell r="C8397">
            <v>138.88</v>
          </cell>
          <cell r="D8397">
            <v>20.58</v>
          </cell>
          <cell r="E8397">
            <v>8.6300000000000008</v>
          </cell>
          <cell r="H8397">
            <v>45641</v>
          </cell>
          <cell r="I8397">
            <v>0.77444444444444438</v>
          </cell>
          <cell r="J8397">
            <v>28.075555555555557</v>
          </cell>
        </row>
        <row r="8398">
          <cell r="B8398">
            <v>53.56</v>
          </cell>
          <cell r="C8398">
            <v>119.63</v>
          </cell>
          <cell r="D8398">
            <v>20.440000000000001</v>
          </cell>
          <cell r="E8398">
            <v>8.1999999999999993</v>
          </cell>
          <cell r="H8398">
            <v>45641</v>
          </cell>
          <cell r="I8398">
            <v>0.79000000000000015</v>
          </cell>
          <cell r="J8398">
            <v>27.543333333333333</v>
          </cell>
        </row>
        <row r="8399">
          <cell r="B8399">
            <v>55.44</v>
          </cell>
          <cell r="C8399">
            <v>103.15</v>
          </cell>
          <cell r="D8399">
            <v>21.12</v>
          </cell>
          <cell r="E8399">
            <v>7.97</v>
          </cell>
          <cell r="H8399">
            <v>45641</v>
          </cell>
          <cell r="I8399">
            <v>0.81</v>
          </cell>
          <cell r="J8399">
            <v>26.748888888888889</v>
          </cell>
        </row>
        <row r="8400">
          <cell r="B8400">
            <v>56.3</v>
          </cell>
          <cell r="C8400">
            <v>102.24</v>
          </cell>
          <cell r="D8400">
            <v>21.42</v>
          </cell>
          <cell r="E8400">
            <v>7.92</v>
          </cell>
          <cell r="H8400">
            <v>45641</v>
          </cell>
          <cell r="I8400">
            <v>0.82666666666666666</v>
          </cell>
          <cell r="J8400">
            <v>26.031111111111112</v>
          </cell>
        </row>
        <row r="8401">
          <cell r="B8401">
            <v>58.11</v>
          </cell>
          <cell r="C8401">
            <v>99.1</v>
          </cell>
          <cell r="D8401">
            <v>20.76</v>
          </cell>
          <cell r="E8401">
            <v>7.69</v>
          </cell>
          <cell r="H8401">
            <v>45641</v>
          </cell>
          <cell r="I8401">
            <v>0.8222222222222223</v>
          </cell>
          <cell r="J8401">
            <v>25.332222222222221</v>
          </cell>
        </row>
        <row r="8402">
          <cell r="B8402">
            <v>59.43</v>
          </cell>
          <cell r="C8402">
            <v>100.79</v>
          </cell>
          <cell r="D8402">
            <v>20.67</v>
          </cell>
          <cell r="E8402">
            <v>8.17</v>
          </cell>
          <cell r="H8402">
            <v>45642</v>
          </cell>
          <cell r="I8402">
            <v>0.82111111111111101</v>
          </cell>
          <cell r="J8402">
            <v>24.727777777777778</v>
          </cell>
        </row>
        <row r="8403">
          <cell r="B8403">
            <v>57.55</v>
          </cell>
          <cell r="C8403">
            <v>96.78</v>
          </cell>
          <cell r="D8403">
            <v>20.16</v>
          </cell>
          <cell r="E8403">
            <v>7.87</v>
          </cell>
          <cell r="H8403">
            <v>45642</v>
          </cell>
          <cell r="I8403">
            <v>0.81111111111111101</v>
          </cell>
          <cell r="J8403">
            <v>24.352222222222224</v>
          </cell>
        </row>
        <row r="8404">
          <cell r="B8404">
            <v>56.13</v>
          </cell>
          <cell r="C8404">
            <v>94.22</v>
          </cell>
          <cell r="D8404">
            <v>19.940000000000001</v>
          </cell>
          <cell r="E8404">
            <v>8.27</v>
          </cell>
          <cell r="H8404">
            <v>45642</v>
          </cell>
          <cell r="I8404">
            <v>0.801111111111111</v>
          </cell>
          <cell r="J8404">
            <v>24.18</v>
          </cell>
        </row>
        <row r="8405">
          <cell r="B8405">
            <v>55.79</v>
          </cell>
          <cell r="C8405">
            <v>92.12</v>
          </cell>
          <cell r="D8405">
            <v>19.73</v>
          </cell>
          <cell r="E8405">
            <v>8.24</v>
          </cell>
          <cell r="H8405">
            <v>45642</v>
          </cell>
          <cell r="I8405">
            <v>0.77777777777777779</v>
          </cell>
          <cell r="J8405">
            <v>24.417777777777779</v>
          </cell>
        </row>
        <row r="8406">
          <cell r="B8406">
            <v>55.39</v>
          </cell>
          <cell r="C8406">
            <v>92.47</v>
          </cell>
          <cell r="D8406">
            <v>19.68</v>
          </cell>
          <cell r="E8406">
            <v>8.32</v>
          </cell>
          <cell r="H8406">
            <v>45642</v>
          </cell>
          <cell r="I8406">
            <v>0.75555555555555554</v>
          </cell>
          <cell r="J8406">
            <v>24.664444444444445</v>
          </cell>
        </row>
        <row r="8407">
          <cell r="B8407">
            <v>57.17</v>
          </cell>
          <cell r="C8407">
            <v>95.09</v>
          </cell>
          <cell r="D8407">
            <v>19.940000000000001</v>
          </cell>
          <cell r="E8407">
            <v>8.24</v>
          </cell>
          <cell r="H8407">
            <v>45642</v>
          </cell>
          <cell r="I8407">
            <v>0.73777777777777787</v>
          </cell>
          <cell r="J8407">
            <v>24.883333333333333</v>
          </cell>
        </row>
        <row r="8408">
          <cell r="B8408">
            <v>58.77</v>
          </cell>
          <cell r="C8408">
            <v>98.45</v>
          </cell>
          <cell r="D8408">
            <v>20</v>
          </cell>
          <cell r="E8408">
            <v>8.33</v>
          </cell>
          <cell r="H8408">
            <v>45642</v>
          </cell>
          <cell r="I8408">
            <v>0.72333333333333338</v>
          </cell>
          <cell r="J8408">
            <v>25.398888888888887</v>
          </cell>
        </row>
        <row r="8409">
          <cell r="B8409">
            <v>62.12</v>
          </cell>
          <cell r="C8409">
            <v>106.62</v>
          </cell>
          <cell r="D8409">
            <v>20.65</v>
          </cell>
          <cell r="E8409">
            <v>8.48</v>
          </cell>
          <cell r="H8409">
            <v>45642</v>
          </cell>
          <cell r="I8409">
            <v>0.72666666666666668</v>
          </cell>
          <cell r="J8409">
            <v>25.64555555555555</v>
          </cell>
        </row>
        <row r="8410">
          <cell r="B8410">
            <v>62.95</v>
          </cell>
          <cell r="C8410">
            <v>113.41</v>
          </cell>
          <cell r="D8410">
            <v>20.87</v>
          </cell>
          <cell r="E8410">
            <v>8.19</v>
          </cell>
          <cell r="H8410">
            <v>45642</v>
          </cell>
          <cell r="I8410">
            <v>0.75</v>
          </cell>
          <cell r="J8410">
            <v>25.937777777777775</v>
          </cell>
        </row>
        <row r="8411">
          <cell r="B8411">
            <v>63.88</v>
          </cell>
          <cell r="C8411">
            <v>113.75</v>
          </cell>
          <cell r="D8411">
            <v>20.74</v>
          </cell>
          <cell r="E8411">
            <v>8.4</v>
          </cell>
          <cell r="H8411">
            <v>45642</v>
          </cell>
          <cell r="I8411">
            <v>0.77444444444444449</v>
          </cell>
          <cell r="J8411">
            <v>26.283333333333328</v>
          </cell>
        </row>
        <row r="8412">
          <cell r="B8412">
            <v>61.54</v>
          </cell>
          <cell r="C8412">
            <v>109.47</v>
          </cell>
          <cell r="D8412">
            <v>19.11</v>
          </cell>
          <cell r="E8412">
            <v>8.61</v>
          </cell>
          <cell r="H8412">
            <v>45642</v>
          </cell>
          <cell r="I8412">
            <v>0.801111111111111</v>
          </cell>
          <cell r="J8412">
            <v>26.602222222222217</v>
          </cell>
        </row>
        <row r="8413">
          <cell r="B8413">
            <v>60.35</v>
          </cell>
          <cell r="C8413">
            <v>108.05</v>
          </cell>
          <cell r="D8413">
            <v>18.670000000000002</v>
          </cell>
          <cell r="E8413">
            <v>8.7100000000000009</v>
          </cell>
          <cell r="H8413">
            <v>45642</v>
          </cell>
          <cell r="I8413">
            <v>0.81555555555555559</v>
          </cell>
          <cell r="J8413">
            <v>27.113333333333333</v>
          </cell>
        </row>
        <row r="8414">
          <cell r="B8414">
            <v>53.14</v>
          </cell>
          <cell r="C8414">
            <v>103.24</v>
          </cell>
          <cell r="D8414">
            <v>18.09</v>
          </cell>
          <cell r="E8414">
            <v>8.5399999999999991</v>
          </cell>
          <cell r="H8414">
            <v>45642</v>
          </cell>
          <cell r="I8414">
            <v>0.82666666666666666</v>
          </cell>
          <cell r="J8414">
            <v>27.632222222222222</v>
          </cell>
        </row>
        <row r="8415">
          <cell r="B8415">
            <v>48.18</v>
          </cell>
          <cell r="C8415">
            <v>98.15</v>
          </cell>
          <cell r="D8415">
            <v>18.440000000000001</v>
          </cell>
          <cell r="E8415">
            <v>8.64</v>
          </cell>
          <cell r="H8415">
            <v>45642</v>
          </cell>
          <cell r="I8415">
            <v>0.8322222222222222</v>
          </cell>
          <cell r="J8415">
            <v>28.239999999999995</v>
          </cell>
        </row>
        <row r="8416">
          <cell r="B8416">
            <v>43.63</v>
          </cell>
          <cell r="C8416">
            <v>97.59</v>
          </cell>
          <cell r="D8416">
            <v>18.309999999999999</v>
          </cell>
          <cell r="E8416">
            <v>8.7100000000000009</v>
          </cell>
          <cell r="H8416">
            <v>45642</v>
          </cell>
          <cell r="I8416">
            <v>0.84111111111111103</v>
          </cell>
          <cell r="J8416">
            <v>28.842222222222219</v>
          </cell>
        </row>
        <row r="8417">
          <cell r="B8417">
            <v>40.86</v>
          </cell>
          <cell r="C8417">
            <v>88.88</v>
          </cell>
          <cell r="D8417">
            <v>17.03</v>
          </cell>
          <cell r="E8417">
            <v>9.02</v>
          </cell>
          <cell r="H8417">
            <v>45642</v>
          </cell>
          <cell r="I8417">
            <v>0.84222222222222209</v>
          </cell>
          <cell r="J8417">
            <v>29.195555555555561</v>
          </cell>
        </row>
        <row r="8418">
          <cell r="B8418">
            <v>42.19</v>
          </cell>
          <cell r="C8418">
            <v>91.19</v>
          </cell>
          <cell r="D8418">
            <v>17.57</v>
          </cell>
          <cell r="E8418">
            <v>8.7100000000000009</v>
          </cell>
          <cell r="H8418">
            <v>45642</v>
          </cell>
          <cell r="I8418">
            <v>0.83555555555555561</v>
          </cell>
          <cell r="J8418">
            <v>29.517777777777781</v>
          </cell>
        </row>
        <row r="8419">
          <cell r="B8419">
            <v>47.83</v>
          </cell>
          <cell r="C8419">
            <v>97.84</v>
          </cell>
          <cell r="D8419">
            <v>18.39</v>
          </cell>
          <cell r="E8419">
            <v>8.5500000000000007</v>
          </cell>
          <cell r="H8419">
            <v>45642</v>
          </cell>
          <cell r="I8419">
            <v>0.8322222222222222</v>
          </cell>
          <cell r="J8419">
            <v>29.470000000000002</v>
          </cell>
        </row>
        <row r="8420">
          <cell r="B8420">
            <v>51.85</v>
          </cell>
          <cell r="C8420">
            <v>106.56</v>
          </cell>
          <cell r="D8420">
            <v>20.76</v>
          </cell>
          <cell r="E8420">
            <v>8.6199999999999992</v>
          </cell>
          <cell r="H8420">
            <v>45642</v>
          </cell>
          <cell r="I8420">
            <v>0.86777777777777776</v>
          </cell>
          <cell r="J8420">
            <v>28.734444444444446</v>
          </cell>
        </row>
        <row r="8421">
          <cell r="B8421">
            <v>58.15</v>
          </cell>
          <cell r="C8421">
            <v>125.83</v>
          </cell>
          <cell r="D8421">
            <v>22.72</v>
          </cell>
          <cell r="E8421">
            <v>9.2100000000000009</v>
          </cell>
          <cell r="H8421">
            <v>45642</v>
          </cell>
          <cell r="I8421">
            <v>0.92222222222222228</v>
          </cell>
          <cell r="J8421">
            <v>27.658888888888889</v>
          </cell>
        </row>
        <row r="8422">
          <cell r="B8422">
            <v>67.53</v>
          </cell>
          <cell r="C8422">
            <v>142.31</v>
          </cell>
          <cell r="D8422">
            <v>21.56</v>
          </cell>
          <cell r="E8422">
            <v>8.89</v>
          </cell>
          <cell r="H8422">
            <v>45642</v>
          </cell>
          <cell r="I8422">
            <v>0.95444444444444443</v>
          </cell>
          <cell r="J8422">
            <v>26.472222222222221</v>
          </cell>
        </row>
        <row r="8423">
          <cell r="B8423">
            <v>69.459999999999994</v>
          </cell>
          <cell r="C8423">
            <v>138.28</v>
          </cell>
          <cell r="D8423">
            <v>20.079999999999998</v>
          </cell>
          <cell r="E8423">
            <v>8.74</v>
          </cell>
          <cell r="H8423">
            <v>45642</v>
          </cell>
          <cell r="I8423">
            <v>0.97000000000000008</v>
          </cell>
          <cell r="J8423">
            <v>25.477777777777778</v>
          </cell>
        </row>
        <row r="8424">
          <cell r="B8424">
            <v>71.84</v>
          </cell>
          <cell r="C8424">
            <v>128.65</v>
          </cell>
          <cell r="D8424">
            <v>19.850000000000001</v>
          </cell>
          <cell r="E8424">
            <v>8.35</v>
          </cell>
          <cell r="H8424">
            <v>45642</v>
          </cell>
          <cell r="I8424">
            <v>0.97555555555555573</v>
          </cell>
          <cell r="J8424">
            <v>24.433333333333334</v>
          </cell>
        </row>
        <row r="8425">
          <cell r="B8425">
            <v>71.209999999999994</v>
          </cell>
          <cell r="C8425">
            <v>124.3</v>
          </cell>
          <cell r="D8425">
            <v>19.170000000000002</v>
          </cell>
          <cell r="E8425">
            <v>8.56</v>
          </cell>
          <cell r="H8425">
            <v>45642</v>
          </cell>
          <cell r="I8425">
            <v>0.96888888888888891</v>
          </cell>
          <cell r="J8425">
            <v>23.688888888888886</v>
          </cell>
        </row>
        <row r="8426">
          <cell r="B8426">
            <v>72.02</v>
          </cell>
          <cell r="C8426">
            <v>120.67</v>
          </cell>
          <cell r="D8426">
            <v>18.489999999999998</v>
          </cell>
          <cell r="E8426">
            <v>8.3699999999999992</v>
          </cell>
          <cell r="H8426">
            <v>45643</v>
          </cell>
          <cell r="I8426">
            <v>0.96222222222222209</v>
          </cell>
          <cell r="J8426">
            <v>23.268888888888888</v>
          </cell>
        </row>
        <row r="8427">
          <cell r="B8427">
            <v>69.27</v>
          </cell>
          <cell r="C8427">
            <v>116.59</v>
          </cell>
          <cell r="D8427">
            <v>18.36</v>
          </cell>
          <cell r="E8427">
            <v>7.92</v>
          </cell>
          <cell r="H8427">
            <v>45643</v>
          </cell>
          <cell r="I8427">
            <v>0.94333333333333336</v>
          </cell>
          <cell r="J8427">
            <v>23.009999999999998</v>
          </cell>
        </row>
        <row r="8428">
          <cell r="B8428">
            <v>71.900000000000006</v>
          </cell>
          <cell r="C8428">
            <v>114.59</v>
          </cell>
          <cell r="D8428">
            <v>18.41</v>
          </cell>
          <cell r="E8428">
            <v>7.93</v>
          </cell>
          <cell r="H8428">
            <v>45643</v>
          </cell>
          <cell r="I8428">
            <v>0.91222222222222216</v>
          </cell>
          <cell r="J8428">
            <v>23.05222222222222</v>
          </cell>
        </row>
        <row r="8429">
          <cell r="B8429">
            <v>75.03</v>
          </cell>
          <cell r="C8429">
            <v>119.1</v>
          </cell>
          <cell r="D8429">
            <v>18.18</v>
          </cell>
          <cell r="E8429">
            <v>7.91</v>
          </cell>
          <cell r="H8429">
            <v>45643</v>
          </cell>
          <cell r="I8429">
            <v>0.84333333333333327</v>
          </cell>
          <cell r="J8429">
            <v>23.615555555555556</v>
          </cell>
        </row>
        <row r="8430">
          <cell r="B8430">
            <v>75.650000000000006</v>
          </cell>
          <cell r="C8430">
            <v>119.95</v>
          </cell>
          <cell r="D8430">
            <v>18.21</v>
          </cell>
          <cell r="E8430">
            <v>7.88</v>
          </cell>
          <cell r="H8430">
            <v>45643</v>
          </cell>
          <cell r="I8430">
            <v>0.75888888888888895</v>
          </cell>
          <cell r="J8430">
            <v>24.279999999999998</v>
          </cell>
        </row>
        <row r="8431">
          <cell r="B8431">
            <v>74.72</v>
          </cell>
          <cell r="C8431">
            <v>122.03</v>
          </cell>
          <cell r="D8431">
            <v>18.559999999999999</v>
          </cell>
          <cell r="E8431">
            <v>7.81</v>
          </cell>
          <cell r="H8431">
            <v>45643</v>
          </cell>
          <cell r="I8431">
            <v>0.72111111111111104</v>
          </cell>
          <cell r="J8431">
            <v>24.872222222222224</v>
          </cell>
        </row>
        <row r="8432">
          <cell r="B8432">
            <v>76.12</v>
          </cell>
          <cell r="C8432">
            <v>126.39</v>
          </cell>
          <cell r="D8432">
            <v>19.12</v>
          </cell>
          <cell r="E8432">
            <v>7.81</v>
          </cell>
          <cell r="H8432">
            <v>45643</v>
          </cell>
          <cell r="I8432">
            <v>0.7155555555555555</v>
          </cell>
          <cell r="J8432">
            <v>25.090000000000003</v>
          </cell>
        </row>
        <row r="8433">
          <cell r="B8433">
            <v>77.680000000000007</v>
          </cell>
          <cell r="C8433">
            <v>133.93</v>
          </cell>
          <cell r="D8433">
            <v>19.510000000000002</v>
          </cell>
          <cell r="E8433">
            <v>7.85</v>
          </cell>
          <cell r="H8433">
            <v>45643</v>
          </cell>
          <cell r="I8433">
            <v>0.72333333333333327</v>
          </cell>
          <cell r="J8433">
            <v>25.16</v>
          </cell>
        </row>
        <row r="8434">
          <cell r="B8434">
            <v>68.290000000000006</v>
          </cell>
          <cell r="C8434">
            <v>125.13</v>
          </cell>
          <cell r="D8434">
            <v>19.850000000000001</v>
          </cell>
          <cell r="E8434">
            <v>7.76</v>
          </cell>
          <cell r="H8434">
            <v>45643</v>
          </cell>
          <cell r="I8434">
            <v>0.75111111111111106</v>
          </cell>
          <cell r="J8434">
            <v>25.045555555555556</v>
          </cell>
        </row>
        <row r="8435">
          <cell r="B8435">
            <v>57.45</v>
          </cell>
          <cell r="C8435">
            <v>117.6</v>
          </cell>
          <cell r="D8435">
            <v>19.36</v>
          </cell>
          <cell r="E8435">
            <v>7.94</v>
          </cell>
          <cell r="H8435">
            <v>45643</v>
          </cell>
          <cell r="I8435">
            <v>0.77</v>
          </cell>
          <cell r="J8435">
            <v>24.808888888888887</v>
          </cell>
        </row>
        <row r="8436">
          <cell r="B8436">
            <v>43.94</v>
          </cell>
          <cell r="C8436">
            <v>91.64</v>
          </cell>
          <cell r="D8436">
            <v>19.43</v>
          </cell>
          <cell r="E8436">
            <v>8.5399999999999991</v>
          </cell>
          <cell r="H8436">
            <v>45643</v>
          </cell>
          <cell r="I8436">
            <v>0.78888888888888897</v>
          </cell>
          <cell r="J8436">
            <v>24.941111111111109</v>
          </cell>
        </row>
        <row r="8437">
          <cell r="B8437">
            <v>35.54</v>
          </cell>
          <cell r="C8437">
            <v>77.86</v>
          </cell>
          <cell r="D8437">
            <v>17.43</v>
          </cell>
          <cell r="E8437">
            <v>8.16</v>
          </cell>
          <cell r="H8437">
            <v>45643</v>
          </cell>
          <cell r="I8437">
            <v>0.8</v>
          </cell>
          <cell r="J8437">
            <v>25.13111111111111</v>
          </cell>
        </row>
        <row r="8438">
          <cell r="B8438">
            <v>35.4</v>
          </cell>
          <cell r="C8438">
            <v>80.400000000000006</v>
          </cell>
          <cell r="D8438">
            <v>17.239999999999998</v>
          </cell>
          <cell r="E8438">
            <v>8.2100000000000009</v>
          </cell>
          <cell r="H8438">
            <v>45643</v>
          </cell>
          <cell r="I8438">
            <v>0.80666666666666675</v>
          </cell>
          <cell r="J8438">
            <v>25.703333333333333</v>
          </cell>
        </row>
        <row r="8439">
          <cell r="B8439">
            <v>33.11</v>
          </cell>
          <cell r="C8439">
            <v>77.61</v>
          </cell>
          <cell r="D8439">
            <v>17.04</v>
          </cell>
          <cell r="E8439">
            <v>8.2100000000000009</v>
          </cell>
          <cell r="H8439">
            <v>45643</v>
          </cell>
          <cell r="I8439">
            <v>0.81444444444444442</v>
          </cell>
          <cell r="J8439">
            <v>26.445555555555558</v>
          </cell>
        </row>
        <row r="8440">
          <cell r="B8440">
            <v>31.22</v>
          </cell>
          <cell r="C8440">
            <v>73.02</v>
          </cell>
          <cell r="D8440">
            <v>17.14</v>
          </cell>
          <cell r="E8440">
            <v>8.07</v>
          </cell>
          <cell r="H8440">
            <v>45643</v>
          </cell>
          <cell r="I8440">
            <v>0.81333333333333335</v>
          </cell>
          <cell r="J8440">
            <v>26.815555555555555</v>
          </cell>
        </row>
        <row r="8441">
          <cell r="B8441">
            <v>28.88</v>
          </cell>
          <cell r="C8441">
            <v>71.05</v>
          </cell>
          <cell r="D8441">
            <v>19.52</v>
          </cell>
          <cell r="E8441">
            <v>8.3800000000000008</v>
          </cell>
          <cell r="H8441">
            <v>45643</v>
          </cell>
          <cell r="I8441">
            <v>0.80666666666666675</v>
          </cell>
          <cell r="J8441">
            <v>26.833333333333332</v>
          </cell>
        </row>
        <row r="8442">
          <cell r="B8442">
            <v>30.53</v>
          </cell>
          <cell r="C8442">
            <v>73.56</v>
          </cell>
          <cell r="D8442">
            <v>19.87</v>
          </cell>
          <cell r="E8442">
            <v>8.74</v>
          </cell>
          <cell r="H8442">
            <v>45643</v>
          </cell>
          <cell r="I8442">
            <v>0.80111111111111111</v>
          </cell>
          <cell r="J8442">
            <v>26.917777777777779</v>
          </cell>
        </row>
        <row r="8443">
          <cell r="B8443">
            <v>32.03</v>
          </cell>
          <cell r="C8443">
            <v>79.8</v>
          </cell>
          <cell r="D8443">
            <v>20.94</v>
          </cell>
          <cell r="E8443">
            <v>8.51</v>
          </cell>
          <cell r="H8443">
            <v>45643</v>
          </cell>
          <cell r="I8443">
            <v>0.80333333333333323</v>
          </cell>
          <cell r="J8443">
            <v>26.709999999999997</v>
          </cell>
        </row>
        <row r="8444">
          <cell r="B8444">
            <v>36.1</v>
          </cell>
          <cell r="C8444">
            <v>96.67</v>
          </cell>
          <cell r="D8444">
            <v>20.8</v>
          </cell>
          <cell r="E8444">
            <v>8.8699999999999992</v>
          </cell>
          <cell r="H8444">
            <v>45643</v>
          </cell>
          <cell r="I8444">
            <v>0.8322222222222222</v>
          </cell>
          <cell r="J8444">
            <v>26.14</v>
          </cell>
        </row>
        <row r="8445">
          <cell r="B8445">
            <v>45.02</v>
          </cell>
          <cell r="C8445">
            <v>105.76</v>
          </cell>
          <cell r="D8445">
            <v>21.06</v>
          </cell>
          <cell r="E8445">
            <v>8.7200000000000006</v>
          </cell>
          <cell r="H8445">
            <v>45643</v>
          </cell>
          <cell r="I8445">
            <v>0.86222222222222222</v>
          </cell>
          <cell r="J8445">
            <v>25.24666666666667</v>
          </cell>
        </row>
        <row r="8446">
          <cell r="B8446">
            <v>50.91</v>
          </cell>
          <cell r="C8446">
            <v>108.63</v>
          </cell>
          <cell r="D8446">
            <v>19.73</v>
          </cell>
          <cell r="E8446">
            <v>8.86</v>
          </cell>
          <cell r="H8446">
            <v>45643</v>
          </cell>
          <cell r="I8446">
            <v>0.88111111111111096</v>
          </cell>
          <cell r="J8446">
            <v>24.504444444444445</v>
          </cell>
        </row>
        <row r="8447">
          <cell r="B8447">
            <v>53.93</v>
          </cell>
          <cell r="C8447">
            <v>110.6</v>
          </cell>
          <cell r="D8447">
            <v>20.13</v>
          </cell>
          <cell r="E8447">
            <v>8.92</v>
          </cell>
          <cell r="H8447">
            <v>45643</v>
          </cell>
          <cell r="I8447">
            <v>0.91555555555555557</v>
          </cell>
          <cell r="J8447">
            <v>23.284444444444443</v>
          </cell>
        </row>
        <row r="8448">
          <cell r="B8448">
            <v>55.87</v>
          </cell>
          <cell r="C8448">
            <v>111.33</v>
          </cell>
          <cell r="D8448">
            <v>19.690000000000001</v>
          </cell>
          <cell r="E8448">
            <v>8.9600000000000009</v>
          </cell>
          <cell r="H8448">
            <v>45643</v>
          </cell>
          <cell r="I8448">
            <v>0.92666666666666664</v>
          </cell>
          <cell r="J8448">
            <v>22.08</v>
          </cell>
        </row>
        <row r="8449">
          <cell r="B8449">
            <v>53.92</v>
          </cell>
          <cell r="C8449">
            <v>105.15</v>
          </cell>
          <cell r="D8449">
            <v>19.02</v>
          </cell>
          <cell r="E8449">
            <v>8.7200000000000006</v>
          </cell>
          <cell r="H8449">
            <v>45643</v>
          </cell>
          <cell r="I8449">
            <v>0.92222222222222228</v>
          </cell>
          <cell r="J8449">
            <v>21.367777777777775</v>
          </cell>
        </row>
        <row r="8450">
          <cell r="B8450">
            <v>51.62</v>
          </cell>
          <cell r="C8450">
            <v>99.23</v>
          </cell>
          <cell r="D8450">
            <v>18.41</v>
          </cell>
          <cell r="E8450">
            <v>8.27</v>
          </cell>
          <cell r="H8450">
            <v>45644</v>
          </cell>
          <cell r="I8450">
            <v>0.9044444444444445</v>
          </cell>
          <cell r="J8450">
            <v>21.135555555555555</v>
          </cell>
        </row>
        <row r="8451">
          <cell r="B8451">
            <v>48.94</v>
          </cell>
          <cell r="C8451">
            <v>95.52</v>
          </cell>
          <cell r="D8451">
            <v>18.23</v>
          </cell>
          <cell r="E8451">
            <v>7.8</v>
          </cell>
          <cell r="H8451">
            <v>45644</v>
          </cell>
          <cell r="I8451">
            <v>0.8866666666666666</v>
          </cell>
          <cell r="J8451">
            <v>20.96777777777778</v>
          </cell>
        </row>
        <row r="8452">
          <cell r="B8452">
            <v>47.31</v>
          </cell>
          <cell r="C8452">
            <v>92.07</v>
          </cell>
          <cell r="D8452">
            <v>18.05</v>
          </cell>
          <cell r="E8452">
            <v>7.92</v>
          </cell>
          <cell r="H8452">
            <v>45644</v>
          </cell>
          <cell r="I8452">
            <v>0.84333333333333327</v>
          </cell>
          <cell r="J8452">
            <v>21.097777777777779</v>
          </cell>
        </row>
        <row r="8453">
          <cell r="B8453">
            <v>47.15</v>
          </cell>
          <cell r="C8453">
            <v>87.78</v>
          </cell>
          <cell r="D8453">
            <v>17.84</v>
          </cell>
          <cell r="E8453">
            <v>7.69</v>
          </cell>
          <cell r="H8453">
            <v>45644</v>
          </cell>
          <cell r="I8453">
            <v>0.78777777777777791</v>
          </cell>
          <cell r="J8453">
            <v>21.52</v>
          </cell>
        </row>
        <row r="8454">
          <cell r="B8454">
            <v>47.1</v>
          </cell>
          <cell r="C8454">
            <v>88.7</v>
          </cell>
          <cell r="D8454">
            <v>18.079999999999998</v>
          </cell>
          <cell r="E8454">
            <v>7.96</v>
          </cell>
          <cell r="H8454">
            <v>45644</v>
          </cell>
          <cell r="I8454">
            <v>0.74111111111111116</v>
          </cell>
          <cell r="J8454">
            <v>21.946666666666665</v>
          </cell>
        </row>
        <row r="8455">
          <cell r="B8455">
            <v>48.41</v>
          </cell>
          <cell r="C8455">
            <v>91.92</v>
          </cell>
          <cell r="D8455">
            <v>18.3</v>
          </cell>
          <cell r="E8455">
            <v>8.01</v>
          </cell>
          <cell r="H8455">
            <v>45644</v>
          </cell>
          <cell r="I8455">
            <v>0.72333333333333327</v>
          </cell>
          <cell r="J8455">
            <v>22.207777777777778</v>
          </cell>
        </row>
        <row r="8456">
          <cell r="B8456">
            <v>53.34</v>
          </cell>
          <cell r="C8456">
            <v>97.87</v>
          </cell>
          <cell r="D8456">
            <v>19.25</v>
          </cell>
          <cell r="E8456">
            <v>7.94</v>
          </cell>
          <cell r="H8456">
            <v>45644</v>
          </cell>
          <cell r="I8456">
            <v>0.71</v>
          </cell>
          <cell r="J8456">
            <v>22.614444444444448</v>
          </cell>
        </row>
        <row r="8457">
          <cell r="B8457">
            <v>56.98</v>
          </cell>
          <cell r="C8457">
            <v>110.74</v>
          </cell>
          <cell r="D8457">
            <v>19.45</v>
          </cell>
          <cell r="E8457">
            <v>7.93</v>
          </cell>
          <cell r="H8457">
            <v>45644</v>
          </cell>
          <cell r="I8457">
            <v>0.72</v>
          </cell>
          <cell r="J8457">
            <v>22.994444444444444</v>
          </cell>
        </row>
        <row r="8458">
          <cell r="B8458">
            <v>52.21</v>
          </cell>
          <cell r="C8458">
            <v>107.23</v>
          </cell>
          <cell r="D8458">
            <v>19.03</v>
          </cell>
          <cell r="E8458">
            <v>7.9</v>
          </cell>
          <cell r="H8458">
            <v>45644</v>
          </cell>
          <cell r="I8458">
            <v>0.74777777777777776</v>
          </cell>
          <cell r="J8458">
            <v>23.277777777777782</v>
          </cell>
        </row>
        <row r="8459">
          <cell r="B8459">
            <v>39.299999999999997</v>
          </cell>
          <cell r="C8459">
            <v>86.3</v>
          </cell>
          <cell r="D8459">
            <v>20.72</v>
          </cell>
          <cell r="E8459">
            <v>7.86</v>
          </cell>
          <cell r="H8459">
            <v>45644</v>
          </cell>
          <cell r="I8459">
            <v>0.78444444444444439</v>
          </cell>
          <cell r="J8459">
            <v>23.554444444444446</v>
          </cell>
        </row>
        <row r="8460">
          <cell r="B8460">
            <v>29.87</v>
          </cell>
          <cell r="C8460">
            <v>71.27</v>
          </cell>
          <cell r="D8460">
            <v>20.12</v>
          </cell>
          <cell r="E8460">
            <v>8.25</v>
          </cell>
          <cell r="H8460">
            <v>45644</v>
          </cell>
          <cell r="I8460">
            <v>0.81111111111111123</v>
          </cell>
          <cell r="J8460">
            <v>23.88666666666667</v>
          </cell>
        </row>
        <row r="8461">
          <cell r="B8461">
            <v>27.02</v>
          </cell>
          <cell r="C8461">
            <v>62.43</v>
          </cell>
          <cell r="D8461">
            <v>19.32</v>
          </cell>
          <cell r="E8461">
            <v>8.75</v>
          </cell>
          <cell r="H8461">
            <v>45644</v>
          </cell>
          <cell r="I8461">
            <v>0.83666666666666667</v>
          </cell>
          <cell r="J8461">
            <v>24.191111111111113</v>
          </cell>
        </row>
        <row r="8462">
          <cell r="B8462">
            <v>22.89</v>
          </cell>
          <cell r="C8462">
            <v>59.61</v>
          </cell>
          <cell r="D8462">
            <v>19.61</v>
          </cell>
          <cell r="E8462">
            <v>9.69</v>
          </cell>
          <cell r="H8462">
            <v>45644</v>
          </cell>
          <cell r="I8462">
            <v>0.86</v>
          </cell>
          <cell r="J8462">
            <v>24.373333333333335</v>
          </cell>
        </row>
        <row r="8463">
          <cell r="B8463">
            <v>20.74</v>
          </cell>
          <cell r="C8463">
            <v>54.7</v>
          </cell>
          <cell r="D8463">
            <v>19.649999999999999</v>
          </cell>
          <cell r="E8463">
            <v>8.69</v>
          </cell>
          <cell r="H8463">
            <v>45644</v>
          </cell>
          <cell r="I8463">
            <v>0.87111111111111106</v>
          </cell>
          <cell r="J8463">
            <v>24.672222222222224</v>
          </cell>
        </row>
        <row r="8464">
          <cell r="B8464">
            <v>21.65</v>
          </cell>
          <cell r="C8464">
            <v>56.51</v>
          </cell>
          <cell r="D8464">
            <v>19.79</v>
          </cell>
          <cell r="E8464">
            <v>8.67</v>
          </cell>
          <cell r="H8464">
            <v>45644</v>
          </cell>
          <cell r="I8464">
            <v>0.87222222222222223</v>
          </cell>
          <cell r="J8464">
            <v>24.933333333333337</v>
          </cell>
        </row>
        <row r="8465">
          <cell r="B8465">
            <v>24.36</v>
          </cell>
          <cell r="C8465">
            <v>61.08</v>
          </cell>
          <cell r="D8465">
            <v>20.02</v>
          </cell>
          <cell r="E8465">
            <v>7.94</v>
          </cell>
          <cell r="H8465">
            <v>45644</v>
          </cell>
          <cell r="I8465">
            <v>0.85666666666666658</v>
          </cell>
          <cell r="J8465">
            <v>25.161111111111111</v>
          </cell>
        </row>
        <row r="8466">
          <cell r="B8466">
            <v>23.44</v>
          </cell>
          <cell r="C8466">
            <v>61.01</v>
          </cell>
          <cell r="D8466">
            <v>20.21</v>
          </cell>
          <cell r="E8466">
            <v>8.58</v>
          </cell>
          <cell r="H8466">
            <v>45644</v>
          </cell>
          <cell r="I8466">
            <v>0.8388888888888888</v>
          </cell>
          <cell r="J8466">
            <v>25.297777777777778</v>
          </cell>
        </row>
        <row r="8467">
          <cell r="B8467">
            <v>23.55</v>
          </cell>
          <cell r="C8467">
            <v>63.21</v>
          </cell>
          <cell r="D8467">
            <v>20.52</v>
          </cell>
          <cell r="E8467">
            <v>8.58</v>
          </cell>
          <cell r="H8467">
            <v>45644</v>
          </cell>
          <cell r="I8467">
            <v>0.82111111111111112</v>
          </cell>
          <cell r="J8467">
            <v>25.362222222222222</v>
          </cell>
        </row>
        <row r="8468">
          <cell r="B8468">
            <v>26.34</v>
          </cell>
          <cell r="C8468">
            <v>69.66</v>
          </cell>
          <cell r="D8468">
            <v>21.32</v>
          </cell>
          <cell r="E8468">
            <v>9.56</v>
          </cell>
          <cell r="H8468">
            <v>45644</v>
          </cell>
          <cell r="I8468">
            <v>0.82</v>
          </cell>
          <cell r="J8468">
            <v>25.018888888888888</v>
          </cell>
        </row>
        <row r="8469">
          <cell r="B8469">
            <v>31.43</v>
          </cell>
          <cell r="C8469">
            <v>75.61</v>
          </cell>
          <cell r="D8469">
            <v>21.68</v>
          </cell>
          <cell r="E8469">
            <v>9.1</v>
          </cell>
          <cell r="H8469">
            <v>45644</v>
          </cell>
          <cell r="I8469">
            <v>0.84000000000000008</v>
          </cell>
          <cell r="J8469">
            <v>24.646666666666665</v>
          </cell>
        </row>
        <row r="8470">
          <cell r="B8470">
            <v>35.119999999999997</v>
          </cell>
          <cell r="C8470">
            <v>83.78</v>
          </cell>
          <cell r="D8470">
            <v>21.94</v>
          </cell>
          <cell r="E8470">
            <v>9.2899999999999991</v>
          </cell>
          <cell r="H8470">
            <v>45644</v>
          </cell>
          <cell r="I8470">
            <v>0.85555555555555551</v>
          </cell>
          <cell r="J8470">
            <v>24.167777777777779</v>
          </cell>
        </row>
        <row r="8471">
          <cell r="B8471">
            <v>32.200000000000003</v>
          </cell>
          <cell r="C8471">
            <v>76.16</v>
          </cell>
          <cell r="D8471">
            <v>21.18</v>
          </cell>
          <cell r="E8471">
            <v>9.1199999999999992</v>
          </cell>
          <cell r="H8471">
            <v>45644</v>
          </cell>
          <cell r="I8471">
            <v>0.85111111111111104</v>
          </cell>
          <cell r="J8471">
            <v>24.105555555555558</v>
          </cell>
        </row>
        <row r="8472">
          <cell r="B8472">
            <v>28.05</v>
          </cell>
          <cell r="C8472">
            <v>66.290000000000006</v>
          </cell>
          <cell r="D8472">
            <v>20.56</v>
          </cell>
          <cell r="E8472">
            <v>9.0399999999999991</v>
          </cell>
          <cell r="H8472">
            <v>45644</v>
          </cell>
          <cell r="I8472">
            <v>0.84666666666666657</v>
          </cell>
          <cell r="J8472">
            <v>23.88666666666667</v>
          </cell>
        </row>
        <row r="8473">
          <cell r="B8473">
            <v>25.56</v>
          </cell>
          <cell r="C8473">
            <v>60.71</v>
          </cell>
          <cell r="D8473">
            <v>20.190000000000001</v>
          </cell>
          <cell r="E8473">
            <v>8.82</v>
          </cell>
          <cell r="H8473">
            <v>45644</v>
          </cell>
          <cell r="I8473">
            <v>0.8322222222222222</v>
          </cell>
          <cell r="J8473">
            <v>23.765555555555558</v>
          </cell>
        </row>
        <row r="8474">
          <cell r="B8474">
            <v>22.94</v>
          </cell>
          <cell r="C8474">
            <v>54.35</v>
          </cell>
          <cell r="D8474">
            <v>19.72</v>
          </cell>
          <cell r="E8474">
            <v>8.92</v>
          </cell>
          <cell r="H8474">
            <v>45645</v>
          </cell>
          <cell r="I8474">
            <v>0.81555555555555548</v>
          </cell>
          <cell r="J8474">
            <v>23.683333333333337</v>
          </cell>
        </row>
        <row r="8475">
          <cell r="B8475">
            <v>18.940000000000001</v>
          </cell>
          <cell r="C8475">
            <v>46.77</v>
          </cell>
          <cell r="D8475">
            <v>19.32</v>
          </cell>
          <cell r="E8475">
            <v>8.65</v>
          </cell>
          <cell r="H8475">
            <v>45645</v>
          </cell>
          <cell r="I8475">
            <v>0.79999999999999993</v>
          </cell>
          <cell r="J8475">
            <v>23.77888888888889</v>
          </cell>
        </row>
        <row r="8476">
          <cell r="B8476">
            <v>22.68</v>
          </cell>
          <cell r="C8476">
            <v>48.09</v>
          </cell>
          <cell r="D8476">
            <v>19.54</v>
          </cell>
          <cell r="E8476">
            <v>9.01</v>
          </cell>
          <cell r="H8476">
            <v>45645</v>
          </cell>
          <cell r="I8476">
            <v>0.78</v>
          </cell>
          <cell r="J8476">
            <v>23.947777777777777</v>
          </cell>
        </row>
        <row r="8477">
          <cell r="B8477">
            <v>25.92</v>
          </cell>
          <cell r="C8477">
            <v>51.75</v>
          </cell>
          <cell r="D8477">
            <v>19.850000000000001</v>
          </cell>
          <cell r="E8477">
            <v>9.0500000000000007</v>
          </cell>
          <cell r="H8477">
            <v>45645</v>
          </cell>
          <cell r="I8477">
            <v>0.74555555555555553</v>
          </cell>
          <cell r="J8477">
            <v>24.48</v>
          </cell>
        </row>
        <row r="8478">
          <cell r="B8478">
            <v>26.05</v>
          </cell>
          <cell r="C8478">
            <v>52.64</v>
          </cell>
          <cell r="D8478">
            <v>19.21</v>
          </cell>
          <cell r="E8478">
            <v>9.33</v>
          </cell>
          <cell r="H8478">
            <v>45645</v>
          </cell>
          <cell r="I8478">
            <v>0.69777777777777783</v>
          </cell>
          <cell r="J8478">
            <v>24.86888888888889</v>
          </cell>
        </row>
        <row r="8479">
          <cell r="B8479">
            <v>28.06</v>
          </cell>
          <cell r="C8479">
            <v>55.39</v>
          </cell>
          <cell r="D8479">
            <v>19.62</v>
          </cell>
          <cell r="E8479">
            <v>9.2100000000000009</v>
          </cell>
          <cell r="H8479">
            <v>45645</v>
          </cell>
          <cell r="I8479">
            <v>0.66333333333333333</v>
          </cell>
          <cell r="J8479">
            <v>25.22666666666667</v>
          </cell>
        </row>
        <row r="8480">
          <cell r="B8480">
            <v>31.31</v>
          </cell>
          <cell r="C8480">
            <v>64.38</v>
          </cell>
          <cell r="D8480">
            <v>19.95</v>
          </cell>
          <cell r="E8480">
            <v>9.41</v>
          </cell>
          <cell r="H8480">
            <v>45645</v>
          </cell>
          <cell r="I8480">
            <v>0.6544444444444445</v>
          </cell>
          <cell r="J8480">
            <v>25.391111111111112</v>
          </cell>
        </row>
        <row r="8481">
          <cell r="B8481">
            <v>38.69</v>
          </cell>
          <cell r="C8481">
            <v>79.67</v>
          </cell>
          <cell r="D8481">
            <v>20.66</v>
          </cell>
          <cell r="E8481">
            <v>9.66</v>
          </cell>
          <cell r="H8481">
            <v>45645</v>
          </cell>
          <cell r="I8481">
            <v>0.66111111111111109</v>
          </cell>
          <cell r="J8481">
            <v>25.573333333333338</v>
          </cell>
        </row>
        <row r="8482">
          <cell r="B8482">
            <v>44.69</v>
          </cell>
          <cell r="C8482">
            <v>91.53</v>
          </cell>
          <cell r="D8482">
            <v>20.38</v>
          </cell>
          <cell r="E8482">
            <v>8.9700000000000006</v>
          </cell>
          <cell r="H8482">
            <v>45645</v>
          </cell>
          <cell r="I8482">
            <v>0.68666666666666665</v>
          </cell>
          <cell r="J8482">
            <v>25.798888888888893</v>
          </cell>
        </row>
        <row r="8483">
          <cell r="B8483">
            <v>43.11</v>
          </cell>
          <cell r="C8483">
            <v>89.61</v>
          </cell>
          <cell r="D8483">
            <v>19.66</v>
          </cell>
          <cell r="E8483">
            <v>8.8000000000000007</v>
          </cell>
          <cell r="H8483">
            <v>45645</v>
          </cell>
          <cell r="I8483">
            <v>0.72111111111111115</v>
          </cell>
          <cell r="J8483">
            <v>26.014444444444443</v>
          </cell>
        </row>
        <row r="8484">
          <cell r="B8484">
            <v>39.25</v>
          </cell>
          <cell r="C8484">
            <v>84.06</v>
          </cell>
          <cell r="D8484">
            <v>18.61</v>
          </cell>
          <cell r="E8484">
            <v>9.6300000000000008</v>
          </cell>
          <cell r="H8484">
            <v>45645</v>
          </cell>
          <cell r="I8484">
            <v>0.75444444444444447</v>
          </cell>
          <cell r="J8484">
            <v>26.085555555555558</v>
          </cell>
        </row>
        <row r="8485">
          <cell r="B8485">
            <v>37.29</v>
          </cell>
          <cell r="C8485">
            <v>78.08</v>
          </cell>
          <cell r="D8485">
            <v>19.84</v>
          </cell>
          <cell r="E8485">
            <v>8.9600000000000009</v>
          </cell>
          <cell r="H8485">
            <v>45645</v>
          </cell>
          <cell r="I8485">
            <v>0.78222222222222226</v>
          </cell>
          <cell r="J8485">
            <v>26.251111111111115</v>
          </cell>
        </row>
        <row r="8486">
          <cell r="B8486">
            <v>37.31</v>
          </cell>
          <cell r="C8486">
            <v>77.72</v>
          </cell>
          <cell r="D8486">
            <v>19.350000000000001</v>
          </cell>
          <cell r="E8486">
            <v>9.27</v>
          </cell>
          <cell r="H8486">
            <v>45645</v>
          </cell>
          <cell r="I8486">
            <v>0.79555555555555557</v>
          </cell>
          <cell r="J8486">
            <v>26.343333333333337</v>
          </cell>
        </row>
        <row r="8487">
          <cell r="B8487">
            <v>32.15</v>
          </cell>
          <cell r="C8487">
            <v>71.75</v>
          </cell>
          <cell r="D8487">
            <v>19.2</v>
          </cell>
          <cell r="E8487">
            <v>9.1199999999999992</v>
          </cell>
          <cell r="H8487">
            <v>45645</v>
          </cell>
          <cell r="I8487">
            <v>0.80666666666666675</v>
          </cell>
          <cell r="J8487">
            <v>26.543333333333337</v>
          </cell>
        </row>
        <row r="8488">
          <cell r="B8488">
            <v>27.55</v>
          </cell>
          <cell r="C8488">
            <v>64.55</v>
          </cell>
          <cell r="D8488">
            <v>18.96</v>
          </cell>
          <cell r="E8488">
            <v>9.9700000000000006</v>
          </cell>
          <cell r="H8488">
            <v>45645</v>
          </cell>
          <cell r="I8488">
            <v>0.81333333333333335</v>
          </cell>
          <cell r="J8488">
            <v>26.858888888888892</v>
          </cell>
        </row>
        <row r="8489">
          <cell r="B8489">
            <v>26.22</v>
          </cell>
          <cell r="C8489">
            <v>63.02</v>
          </cell>
          <cell r="D8489">
            <v>19.59</v>
          </cell>
          <cell r="E8489">
            <v>10.09</v>
          </cell>
          <cell r="H8489">
            <v>45645</v>
          </cell>
          <cell r="I8489">
            <v>0.81555555555555559</v>
          </cell>
          <cell r="J8489">
            <v>27.16888888888889</v>
          </cell>
        </row>
        <row r="8490">
          <cell r="B8490">
            <v>27.05</v>
          </cell>
          <cell r="C8490">
            <v>65.540000000000006</v>
          </cell>
          <cell r="D8490">
            <v>19.36</v>
          </cell>
          <cell r="E8490">
            <v>9.35</v>
          </cell>
          <cell r="H8490">
            <v>45645</v>
          </cell>
          <cell r="I8490">
            <v>0.81333333333333335</v>
          </cell>
          <cell r="J8490">
            <v>27.44222222222222</v>
          </cell>
        </row>
        <row r="8491">
          <cell r="B8491">
            <v>32.58</v>
          </cell>
          <cell r="C8491">
            <v>71.81</v>
          </cell>
          <cell r="D8491">
            <v>20.05</v>
          </cell>
          <cell r="E8491">
            <v>9.33</v>
          </cell>
          <cell r="H8491">
            <v>45645</v>
          </cell>
          <cell r="I8491">
            <v>0.81666666666666665</v>
          </cell>
          <cell r="J8491">
            <v>27.423333333333332</v>
          </cell>
        </row>
        <row r="8492">
          <cell r="B8492">
            <v>36.42</v>
          </cell>
          <cell r="C8492">
            <v>81.87</v>
          </cell>
          <cell r="D8492">
            <v>20.76</v>
          </cell>
          <cell r="E8492">
            <v>9.84</v>
          </cell>
          <cell r="H8492">
            <v>45645</v>
          </cell>
          <cell r="I8492">
            <v>0.82222222222222219</v>
          </cell>
          <cell r="J8492">
            <v>27.099999999999998</v>
          </cell>
        </row>
        <row r="8493">
          <cell r="B8493">
            <v>40.33</v>
          </cell>
          <cell r="C8493">
            <v>92.61</v>
          </cell>
          <cell r="D8493">
            <v>21.31</v>
          </cell>
          <cell r="E8493">
            <v>9.8800000000000008</v>
          </cell>
          <cell r="H8493">
            <v>45645</v>
          </cell>
          <cell r="I8493">
            <v>0.84111111111111103</v>
          </cell>
          <cell r="J8493">
            <v>26.679999999999996</v>
          </cell>
        </row>
        <row r="8494">
          <cell r="B8494">
            <v>42.59</v>
          </cell>
          <cell r="C8494">
            <v>98.17</v>
          </cell>
          <cell r="D8494">
            <v>21.31</v>
          </cell>
          <cell r="E8494">
            <v>10.08</v>
          </cell>
          <cell r="H8494">
            <v>45645</v>
          </cell>
          <cell r="I8494">
            <v>0.84555555555555562</v>
          </cell>
          <cell r="J8494">
            <v>26.198888888888884</v>
          </cell>
        </row>
        <row r="8495">
          <cell r="B8495">
            <v>37.65</v>
          </cell>
          <cell r="C8495">
            <v>84.54</v>
          </cell>
          <cell r="D8495">
            <v>20.88</v>
          </cell>
          <cell r="E8495">
            <v>10.08</v>
          </cell>
          <cell r="H8495">
            <v>45645</v>
          </cell>
          <cell r="I8495">
            <v>0.8455555555555555</v>
          </cell>
          <cell r="J8495">
            <v>25.72111111111111</v>
          </cell>
        </row>
        <row r="8496">
          <cell r="B8496">
            <v>33.04</v>
          </cell>
          <cell r="C8496">
            <v>73.37</v>
          </cell>
          <cell r="D8496">
            <v>20.79</v>
          </cell>
          <cell r="E8496">
            <v>10.32</v>
          </cell>
          <cell r="H8496">
            <v>45645</v>
          </cell>
          <cell r="I8496">
            <v>0.84333333333333327</v>
          </cell>
          <cell r="J8496">
            <v>25.227777777777774</v>
          </cell>
        </row>
        <row r="8497">
          <cell r="B8497">
            <v>31.29</v>
          </cell>
          <cell r="C8497">
            <v>67.73</v>
          </cell>
          <cell r="D8497">
            <v>20.59</v>
          </cell>
          <cell r="E8497">
            <v>9.94</v>
          </cell>
          <cell r="H8497">
            <v>45645</v>
          </cell>
          <cell r="I8497">
            <v>0.8388888888888888</v>
          </cell>
          <cell r="J8497">
            <v>24.75888888888889</v>
          </cell>
        </row>
        <row r="8498">
          <cell r="B8498">
            <v>28.94</v>
          </cell>
          <cell r="C8498">
            <v>61.42</v>
          </cell>
          <cell r="D8498">
            <v>20.309999999999999</v>
          </cell>
          <cell r="E8498">
            <v>9.4499999999999993</v>
          </cell>
          <cell r="H8498">
            <v>45646</v>
          </cell>
          <cell r="I8498">
            <v>0.82666666666666655</v>
          </cell>
          <cell r="J8498">
            <v>24.294444444444444</v>
          </cell>
        </row>
        <row r="8499">
          <cell r="B8499">
            <v>26.98</v>
          </cell>
          <cell r="C8499">
            <v>56.7</v>
          </cell>
          <cell r="D8499">
            <v>20.010000000000002</v>
          </cell>
          <cell r="E8499">
            <v>9.41</v>
          </cell>
          <cell r="H8499">
            <v>45646</v>
          </cell>
          <cell r="I8499">
            <v>0.8144444444444443</v>
          </cell>
          <cell r="J8499">
            <v>23.894444444444446</v>
          </cell>
        </row>
        <row r="8500">
          <cell r="B8500">
            <v>27.13</v>
          </cell>
          <cell r="C8500">
            <v>55.87</v>
          </cell>
          <cell r="D8500">
            <v>19.7</v>
          </cell>
          <cell r="E8500">
            <v>9.1300000000000008</v>
          </cell>
          <cell r="H8500">
            <v>45646</v>
          </cell>
          <cell r="I8500">
            <v>0.78333333333333321</v>
          </cell>
          <cell r="J8500">
            <v>23.697777777777777</v>
          </cell>
        </row>
        <row r="8501">
          <cell r="B8501">
            <v>25.17</v>
          </cell>
          <cell r="C8501">
            <v>54.32</v>
          </cell>
          <cell r="D8501">
            <v>19.64</v>
          </cell>
          <cell r="E8501">
            <v>9.09</v>
          </cell>
          <cell r="H8501">
            <v>45646</v>
          </cell>
          <cell r="I8501">
            <v>0.74444444444444446</v>
          </cell>
          <cell r="J8501">
            <v>23.83111111111111</v>
          </cell>
        </row>
        <row r="8502">
          <cell r="B8502">
            <v>26.53</v>
          </cell>
          <cell r="C8502">
            <v>58.66</v>
          </cell>
          <cell r="D8502">
            <v>19.7</v>
          </cell>
          <cell r="E8502">
            <v>9.25</v>
          </cell>
          <cell r="H8502">
            <v>45646</v>
          </cell>
          <cell r="I8502">
            <v>0.70666666666666667</v>
          </cell>
          <cell r="J8502">
            <v>23.942222222222224</v>
          </cell>
        </row>
        <row r="8503">
          <cell r="B8503">
            <v>32.56</v>
          </cell>
          <cell r="C8503">
            <v>67.180000000000007</v>
          </cell>
          <cell r="D8503">
            <v>19.96</v>
          </cell>
          <cell r="E8503">
            <v>8.8699999999999992</v>
          </cell>
          <cell r="H8503">
            <v>45646</v>
          </cell>
          <cell r="I8503">
            <v>0.68444444444444441</v>
          </cell>
          <cell r="J8503">
            <v>23.87</v>
          </cell>
        </row>
        <row r="8504">
          <cell r="B8504">
            <v>31.3</v>
          </cell>
          <cell r="C8504">
            <v>65.290000000000006</v>
          </cell>
          <cell r="D8504">
            <v>20.41</v>
          </cell>
          <cell r="E8504">
            <v>9.41</v>
          </cell>
          <cell r="H8504">
            <v>45646</v>
          </cell>
          <cell r="I8504">
            <v>0.68222222222222217</v>
          </cell>
          <cell r="J8504">
            <v>23.766666666666666</v>
          </cell>
        </row>
        <row r="8505">
          <cell r="B8505">
            <v>31.16</v>
          </cell>
          <cell r="C8505">
            <v>74.23</v>
          </cell>
          <cell r="D8505">
            <v>20.58</v>
          </cell>
          <cell r="E8505">
            <v>9.33</v>
          </cell>
          <cell r="H8505">
            <v>45646</v>
          </cell>
          <cell r="I8505">
            <v>0.68111111111111111</v>
          </cell>
          <cell r="J8505">
            <v>23.742222222222221</v>
          </cell>
        </row>
        <row r="8506">
          <cell r="B8506">
            <v>28.15</v>
          </cell>
          <cell r="C8506">
            <v>82.72</v>
          </cell>
          <cell r="D8506">
            <v>20.22</v>
          </cell>
          <cell r="E8506">
            <v>9.6199999999999992</v>
          </cell>
          <cell r="H8506">
            <v>45646</v>
          </cell>
          <cell r="I8506">
            <v>0.69</v>
          </cell>
          <cell r="J8506">
            <v>23.765555555555554</v>
          </cell>
        </row>
        <row r="8507">
          <cell r="B8507">
            <v>27.1</v>
          </cell>
          <cell r="C8507">
            <v>62.77</v>
          </cell>
          <cell r="D8507">
            <v>20.58</v>
          </cell>
          <cell r="E8507">
            <v>9.91</v>
          </cell>
          <cell r="H8507">
            <v>45646</v>
          </cell>
          <cell r="I8507">
            <v>0.71444444444444444</v>
          </cell>
          <cell r="J8507">
            <v>23.768888888888888</v>
          </cell>
        </row>
        <row r="8508">
          <cell r="B8508">
            <v>27.41</v>
          </cell>
          <cell r="C8508">
            <v>68.489999999999995</v>
          </cell>
          <cell r="D8508">
            <v>20.2</v>
          </cell>
          <cell r="E8508">
            <v>8.8699999999999992</v>
          </cell>
          <cell r="H8508">
            <v>45646</v>
          </cell>
          <cell r="I8508">
            <v>0.72777777777777775</v>
          </cell>
          <cell r="J8508">
            <v>23.856666666666666</v>
          </cell>
        </row>
        <row r="8509">
          <cell r="B8509">
            <v>26.27</v>
          </cell>
          <cell r="C8509">
            <v>64.13</v>
          </cell>
          <cell r="D8509">
            <v>18.95</v>
          </cell>
          <cell r="E8509">
            <v>8.2200000000000006</v>
          </cell>
          <cell r="H8509">
            <v>45646</v>
          </cell>
          <cell r="I8509">
            <v>0.74555555555555542</v>
          </cell>
          <cell r="J8509">
            <v>24.038888888888888</v>
          </cell>
        </row>
        <row r="8510">
          <cell r="B8510">
            <v>23.06</v>
          </cell>
          <cell r="C8510">
            <v>57.28</v>
          </cell>
          <cell r="D8510">
            <v>18.52</v>
          </cell>
          <cell r="E8510">
            <v>8.99</v>
          </cell>
          <cell r="H8510">
            <v>45646</v>
          </cell>
          <cell r="I8510">
            <v>0.75555555555555565</v>
          </cell>
          <cell r="J8510">
            <v>24.224444444444444</v>
          </cell>
        </row>
        <row r="8511">
          <cell r="B8511">
            <v>22.7</v>
          </cell>
          <cell r="C8511">
            <v>56.94</v>
          </cell>
          <cell r="D8511">
            <v>18.690000000000001</v>
          </cell>
          <cell r="E8511">
            <v>9.51</v>
          </cell>
          <cell r="H8511">
            <v>45646</v>
          </cell>
          <cell r="I8511">
            <v>0.75111111111111117</v>
          </cell>
          <cell r="J8511">
            <v>24.504444444444445</v>
          </cell>
        </row>
        <row r="8512">
          <cell r="B8512">
            <v>24.67</v>
          </cell>
          <cell r="C8512">
            <v>59.94</v>
          </cell>
          <cell r="D8512">
            <v>19.03</v>
          </cell>
          <cell r="E8512">
            <v>9.5299999999999994</v>
          </cell>
          <cell r="H8512">
            <v>45646</v>
          </cell>
          <cell r="I8512">
            <v>0.75333333333333341</v>
          </cell>
          <cell r="J8512">
            <v>24.932222222222222</v>
          </cell>
        </row>
        <row r="8513">
          <cell r="B8513">
            <v>30.83</v>
          </cell>
          <cell r="C8513">
            <v>66.62</v>
          </cell>
          <cell r="D8513">
            <v>19.350000000000001</v>
          </cell>
          <cell r="E8513">
            <v>9.27</v>
          </cell>
          <cell r="H8513">
            <v>45646</v>
          </cell>
          <cell r="I8513">
            <v>0.75444444444444458</v>
          </cell>
          <cell r="J8513">
            <v>25.401111111111113</v>
          </cell>
        </row>
        <row r="8514">
          <cell r="B8514">
            <v>33.92</v>
          </cell>
          <cell r="C8514">
            <v>72.34</v>
          </cell>
          <cell r="D8514">
            <v>19.649999999999999</v>
          </cell>
          <cell r="E8514">
            <v>9.01</v>
          </cell>
          <cell r="H8514">
            <v>45646</v>
          </cell>
          <cell r="I8514">
            <v>0.76111111111111118</v>
          </cell>
          <cell r="J8514">
            <v>25.730000000000004</v>
          </cell>
        </row>
        <row r="8515">
          <cell r="B8515">
            <v>29.93</v>
          </cell>
          <cell r="C8515">
            <v>71.77</v>
          </cell>
          <cell r="D8515">
            <v>19.97</v>
          </cell>
          <cell r="E8515">
            <v>8.81</v>
          </cell>
          <cell r="H8515">
            <v>45646</v>
          </cell>
          <cell r="I8515">
            <v>0.76333333333333342</v>
          </cell>
          <cell r="J8515">
            <v>25.942222222222224</v>
          </cell>
        </row>
        <row r="8516">
          <cell r="B8516">
            <v>32.44</v>
          </cell>
          <cell r="C8516">
            <v>78.540000000000006</v>
          </cell>
          <cell r="D8516">
            <v>21.08</v>
          </cell>
          <cell r="E8516">
            <v>9.07</v>
          </cell>
          <cell r="H8516">
            <v>45646</v>
          </cell>
          <cell r="I8516">
            <v>0.78111111111111109</v>
          </cell>
          <cell r="J8516">
            <v>25.85222222222222</v>
          </cell>
        </row>
        <row r="8517">
          <cell r="B8517">
            <v>38.72</v>
          </cell>
          <cell r="C8517">
            <v>91.88</v>
          </cell>
          <cell r="D8517">
            <v>22.28</v>
          </cell>
          <cell r="E8517">
            <v>9.39</v>
          </cell>
          <cell r="H8517">
            <v>45646</v>
          </cell>
          <cell r="I8517">
            <v>0.82777777777777783</v>
          </cell>
          <cell r="J8517">
            <v>25.572222222222223</v>
          </cell>
        </row>
        <row r="8518">
          <cell r="B8518">
            <v>41.41</v>
          </cell>
          <cell r="C8518">
            <v>99.14</v>
          </cell>
          <cell r="D8518">
            <v>22.63</v>
          </cell>
          <cell r="E8518">
            <v>9.94</v>
          </cell>
          <cell r="H8518">
            <v>45646</v>
          </cell>
          <cell r="I8518">
            <v>0.88</v>
          </cell>
          <cell r="J8518">
            <v>25.188888888888894</v>
          </cell>
        </row>
        <row r="8519">
          <cell r="B8519">
            <v>40.590000000000003</v>
          </cell>
          <cell r="C8519">
            <v>94.08</v>
          </cell>
          <cell r="D8519">
            <v>22.53</v>
          </cell>
          <cell r="E8519">
            <v>9.6999999999999993</v>
          </cell>
          <cell r="H8519">
            <v>45646</v>
          </cell>
          <cell r="I8519">
            <v>0.92222222222222228</v>
          </cell>
          <cell r="J8519">
            <v>24.755555555555556</v>
          </cell>
        </row>
        <row r="8520">
          <cell r="B8520">
            <v>38.04</v>
          </cell>
          <cell r="C8520">
            <v>85.46</v>
          </cell>
          <cell r="D8520">
            <v>22.38</v>
          </cell>
          <cell r="E8520">
            <v>9.4499999999999993</v>
          </cell>
          <cell r="H8520">
            <v>45646</v>
          </cell>
          <cell r="I8520">
            <v>0.95555555555555549</v>
          </cell>
          <cell r="J8520">
            <v>24.327777777777776</v>
          </cell>
        </row>
        <row r="8521">
          <cell r="B8521">
            <v>36.86</v>
          </cell>
          <cell r="C8521">
            <v>84.44</v>
          </cell>
          <cell r="D8521">
            <v>22.09</v>
          </cell>
          <cell r="E8521">
            <v>9.2100000000000009</v>
          </cell>
          <cell r="H8521">
            <v>45646</v>
          </cell>
          <cell r="I8521">
            <v>0.97111111111111115</v>
          </cell>
          <cell r="J8521">
            <v>23.855555555555561</v>
          </cell>
        </row>
        <row r="8522">
          <cell r="B8522">
            <v>37.99</v>
          </cell>
          <cell r="C8522">
            <v>83.51</v>
          </cell>
          <cell r="D8522">
            <v>21.88</v>
          </cell>
          <cell r="E8522">
            <v>9.4</v>
          </cell>
          <cell r="H8522">
            <v>45647</v>
          </cell>
          <cell r="I8522">
            <v>0.97333333333333327</v>
          </cell>
          <cell r="J8522">
            <v>23.385555555555559</v>
          </cell>
        </row>
        <row r="8523">
          <cell r="B8523">
            <v>35.630000000000003</v>
          </cell>
          <cell r="C8523">
            <v>79.709999999999994</v>
          </cell>
          <cell r="D8523">
            <v>21.49</v>
          </cell>
          <cell r="E8523">
            <v>9.42</v>
          </cell>
          <cell r="H8523">
            <v>45647</v>
          </cell>
          <cell r="I8523">
            <v>0.97111111111111115</v>
          </cell>
          <cell r="J8523">
            <v>23.045555555555556</v>
          </cell>
        </row>
        <row r="8524">
          <cell r="B8524">
            <v>34.18</v>
          </cell>
          <cell r="C8524">
            <v>74.66</v>
          </cell>
          <cell r="D8524">
            <v>21.11</v>
          </cell>
          <cell r="E8524">
            <v>9.01</v>
          </cell>
          <cell r="H8524">
            <v>45647</v>
          </cell>
          <cell r="I8524">
            <v>0.97555555555555551</v>
          </cell>
          <cell r="J8524">
            <v>22.757777777777775</v>
          </cell>
        </row>
        <row r="8525">
          <cell r="B8525">
            <v>33.24</v>
          </cell>
          <cell r="C8525">
            <v>73.39</v>
          </cell>
          <cell r="D8525">
            <v>21.28</v>
          </cell>
          <cell r="E8525">
            <v>8.9499999999999993</v>
          </cell>
          <cell r="H8525">
            <v>45647</v>
          </cell>
          <cell r="I8525">
            <v>0.94999999999999984</v>
          </cell>
          <cell r="J8525">
            <v>22.730000000000004</v>
          </cell>
        </row>
        <row r="8526">
          <cell r="B8526">
            <v>36.71</v>
          </cell>
          <cell r="C8526">
            <v>76.2</v>
          </cell>
          <cell r="D8526">
            <v>21.07</v>
          </cell>
          <cell r="E8526">
            <v>9.0299999999999994</v>
          </cell>
          <cell r="H8526">
            <v>45647</v>
          </cell>
          <cell r="I8526">
            <v>0.91222222222222227</v>
          </cell>
          <cell r="J8526">
            <v>22.752222222222223</v>
          </cell>
        </row>
        <row r="8527">
          <cell r="B8527">
            <v>40.06</v>
          </cell>
          <cell r="C8527">
            <v>83.67</v>
          </cell>
          <cell r="D8527">
            <v>20.89</v>
          </cell>
          <cell r="E8527">
            <v>9.19</v>
          </cell>
          <cell r="H8527">
            <v>45647</v>
          </cell>
          <cell r="I8527">
            <v>0.86444444444444457</v>
          </cell>
          <cell r="J8527">
            <v>22.749999999999996</v>
          </cell>
        </row>
        <row r="8528">
          <cell r="B8528">
            <v>44.58</v>
          </cell>
          <cell r="C8528">
            <v>90.16</v>
          </cell>
          <cell r="D8528">
            <v>21.05</v>
          </cell>
          <cell r="E8528">
            <v>8.67</v>
          </cell>
          <cell r="H8528">
            <v>45647</v>
          </cell>
          <cell r="I8528">
            <v>0.84888888888888892</v>
          </cell>
          <cell r="J8528">
            <v>22.73</v>
          </cell>
        </row>
        <row r="8529">
          <cell r="B8529">
            <v>51.09</v>
          </cell>
          <cell r="C8529">
            <v>102.74</v>
          </cell>
          <cell r="D8529">
            <v>21.63</v>
          </cell>
          <cell r="E8529">
            <v>8.7200000000000006</v>
          </cell>
          <cell r="H8529">
            <v>45647</v>
          </cell>
          <cell r="I8529">
            <v>0.85777777777777786</v>
          </cell>
          <cell r="J8529">
            <v>22.736666666666665</v>
          </cell>
        </row>
        <row r="8530">
          <cell r="B8530">
            <v>53.87</v>
          </cell>
          <cell r="C8530">
            <v>113.78</v>
          </cell>
          <cell r="D8530">
            <v>21.84</v>
          </cell>
          <cell r="E8530">
            <v>8.1999999999999993</v>
          </cell>
          <cell r="H8530">
            <v>45647</v>
          </cell>
          <cell r="I8530">
            <v>0.85666666666666669</v>
          </cell>
          <cell r="J8530">
            <v>22.851111111111109</v>
          </cell>
        </row>
        <row r="8531">
          <cell r="B8531">
            <v>41.04</v>
          </cell>
          <cell r="C8531">
            <v>90.27</v>
          </cell>
          <cell r="D8531">
            <v>20.81</v>
          </cell>
          <cell r="E8531">
            <v>7.77</v>
          </cell>
          <cell r="H8531">
            <v>45647</v>
          </cell>
          <cell r="I8531">
            <v>0.86888888888888893</v>
          </cell>
          <cell r="J8531">
            <v>23.154444444444444</v>
          </cell>
        </row>
        <row r="8532">
          <cell r="B8532">
            <v>32.619999999999997</v>
          </cell>
          <cell r="C8532">
            <v>70.760000000000005</v>
          </cell>
          <cell r="D8532">
            <v>20.43</v>
          </cell>
          <cell r="E8532">
            <v>9.34</v>
          </cell>
          <cell r="H8532">
            <v>45647</v>
          </cell>
          <cell r="I8532">
            <v>0.87444444444444436</v>
          </cell>
          <cell r="J8532">
            <v>23.592222222222219</v>
          </cell>
        </row>
        <row r="8533">
          <cell r="B8533">
            <v>25.02</v>
          </cell>
          <cell r="C8533">
            <v>56.3</v>
          </cell>
          <cell r="D8533">
            <v>19.12</v>
          </cell>
          <cell r="E8533">
            <v>8.8000000000000007</v>
          </cell>
          <cell r="H8533">
            <v>45647</v>
          </cell>
          <cell r="I8533">
            <v>0.87111111111111117</v>
          </cell>
          <cell r="J8533">
            <v>24.175555555555555</v>
          </cell>
        </row>
        <row r="8534">
          <cell r="B8534">
            <v>23.24</v>
          </cell>
          <cell r="C8534">
            <v>52.2</v>
          </cell>
          <cell r="D8534">
            <v>18.059999999999999</v>
          </cell>
          <cell r="E8534">
            <v>9.02</v>
          </cell>
          <cell r="H8534">
            <v>45647</v>
          </cell>
          <cell r="I8534">
            <v>0.86333333333333329</v>
          </cell>
          <cell r="J8534">
            <v>25.03</v>
          </cell>
        </row>
        <row r="8535">
          <cell r="B8535">
            <v>20.55</v>
          </cell>
          <cell r="C8535">
            <v>48.94</v>
          </cell>
          <cell r="D8535">
            <v>19.46</v>
          </cell>
          <cell r="E8535">
            <v>8.5500000000000007</v>
          </cell>
          <cell r="H8535">
            <v>45647</v>
          </cell>
          <cell r="I8535">
            <v>0.84666666666666668</v>
          </cell>
          <cell r="J8535">
            <v>25.924444444444447</v>
          </cell>
        </row>
        <row r="8536">
          <cell r="B8536">
            <v>21.92</v>
          </cell>
          <cell r="C8536">
            <v>48.23</v>
          </cell>
          <cell r="D8536">
            <v>19.55</v>
          </cell>
          <cell r="E8536">
            <v>8.93</v>
          </cell>
          <cell r="H8536">
            <v>45647</v>
          </cell>
          <cell r="I8536">
            <v>0.8288888888888889</v>
          </cell>
          <cell r="J8536">
            <v>26.779999999999998</v>
          </cell>
        </row>
        <row r="8537">
          <cell r="B8537">
            <v>22.29</v>
          </cell>
          <cell r="C8537">
            <v>49.36</v>
          </cell>
          <cell r="D8537">
            <v>20.02</v>
          </cell>
          <cell r="E8537">
            <v>8.74</v>
          </cell>
          <cell r="H8537">
            <v>45647</v>
          </cell>
          <cell r="I8537">
            <v>0.79666666666666675</v>
          </cell>
          <cell r="J8537">
            <v>27.601111111111109</v>
          </cell>
        </row>
        <row r="8538">
          <cell r="B8538">
            <v>23.28</v>
          </cell>
          <cell r="C8538">
            <v>54.85</v>
          </cell>
          <cell r="D8538">
            <v>20.2</v>
          </cell>
          <cell r="E8538">
            <v>8.6999999999999993</v>
          </cell>
          <cell r="H8538">
            <v>45647</v>
          </cell>
          <cell r="I8538">
            <v>0.75333333333333341</v>
          </cell>
          <cell r="J8538">
            <v>28.36333333333333</v>
          </cell>
        </row>
        <row r="8539">
          <cell r="B8539">
            <v>24.88</v>
          </cell>
          <cell r="C8539">
            <v>69.040000000000006</v>
          </cell>
          <cell r="D8539">
            <v>21.27</v>
          </cell>
          <cell r="E8539">
            <v>9.14</v>
          </cell>
          <cell r="H8539">
            <v>45647</v>
          </cell>
          <cell r="I8539">
            <v>0.74444444444444458</v>
          </cell>
          <cell r="J8539">
            <v>28.758888888888887</v>
          </cell>
        </row>
        <row r="8540">
          <cell r="B8540">
            <v>32.9</v>
          </cell>
          <cell r="C8540">
            <v>107.76</v>
          </cell>
          <cell r="D8540">
            <v>22.35</v>
          </cell>
          <cell r="E8540">
            <v>8.6</v>
          </cell>
          <cell r="H8540">
            <v>45647</v>
          </cell>
          <cell r="I8540">
            <v>0.76666666666666683</v>
          </cell>
          <cell r="J8540">
            <v>28.614444444444441</v>
          </cell>
        </row>
        <row r="8541">
          <cell r="B8541">
            <v>41.69</v>
          </cell>
          <cell r="C8541">
            <v>105.97</v>
          </cell>
          <cell r="D8541">
            <v>23.78</v>
          </cell>
          <cell r="E8541">
            <v>9.26</v>
          </cell>
          <cell r="H8541">
            <v>45647</v>
          </cell>
          <cell r="I8541">
            <v>0.83666666666666656</v>
          </cell>
          <cell r="J8541">
            <v>28.146666666666665</v>
          </cell>
        </row>
        <row r="8542">
          <cell r="B8542">
            <v>46.86</v>
          </cell>
          <cell r="C8542">
            <v>117.26</v>
          </cell>
          <cell r="D8542">
            <v>24.8</v>
          </cell>
          <cell r="E8542">
            <v>9.86</v>
          </cell>
          <cell r="H8542">
            <v>45647</v>
          </cell>
          <cell r="I8542">
            <v>0.90555555555555556</v>
          </cell>
          <cell r="J8542">
            <v>27.556666666666665</v>
          </cell>
        </row>
        <row r="8543">
          <cell r="B8543">
            <v>53.69</v>
          </cell>
          <cell r="C8543">
            <v>128.31</v>
          </cell>
          <cell r="D8543">
            <v>23.08</v>
          </cell>
          <cell r="E8543">
            <v>9.98</v>
          </cell>
          <cell r="H8543">
            <v>45647</v>
          </cell>
          <cell r="I8543">
            <v>0.93555555555555558</v>
          </cell>
          <cell r="J8543">
            <v>26.824444444444442</v>
          </cell>
        </row>
        <row r="8544">
          <cell r="B8544">
            <v>44.53</v>
          </cell>
          <cell r="C8544">
            <v>97.41</v>
          </cell>
          <cell r="D8544">
            <v>23.32</v>
          </cell>
          <cell r="E8544">
            <v>9</v>
          </cell>
          <cell r="H8544">
            <v>45647</v>
          </cell>
          <cell r="I8544">
            <v>0.96555555555555572</v>
          </cell>
          <cell r="J8544">
            <v>25.997777777777777</v>
          </cell>
        </row>
        <row r="8545">
          <cell r="B8545">
            <v>36.97</v>
          </cell>
          <cell r="C8545">
            <v>88.25</v>
          </cell>
          <cell r="D8545">
            <v>23.02</v>
          </cell>
          <cell r="E8545">
            <v>8.4700000000000006</v>
          </cell>
          <cell r="H8545">
            <v>45647</v>
          </cell>
          <cell r="I8545">
            <v>0.98222222222222244</v>
          </cell>
          <cell r="J8545">
            <v>25.251111111111111</v>
          </cell>
        </row>
        <row r="8546">
          <cell r="B8546">
            <v>39.85</v>
          </cell>
          <cell r="C8546">
            <v>80.599999999999994</v>
          </cell>
          <cell r="D8546">
            <v>22.28</v>
          </cell>
          <cell r="E8546">
            <v>8.5299999999999994</v>
          </cell>
          <cell r="H8546">
            <v>45648</v>
          </cell>
          <cell r="I8546">
            <v>0.98777777777777787</v>
          </cell>
          <cell r="J8546">
            <v>24.572222222222223</v>
          </cell>
        </row>
        <row r="8547">
          <cell r="B8547">
            <v>37.36</v>
          </cell>
          <cell r="C8547">
            <v>76.239999999999995</v>
          </cell>
          <cell r="D8547">
            <v>22.14</v>
          </cell>
          <cell r="E8547">
            <v>8.36</v>
          </cell>
          <cell r="H8547">
            <v>45648</v>
          </cell>
          <cell r="I8547">
            <v>0.98</v>
          </cell>
          <cell r="J8547">
            <v>24.01</v>
          </cell>
        </row>
        <row r="8548">
          <cell r="B8548">
            <v>33.520000000000003</v>
          </cell>
          <cell r="C8548">
            <v>68.58</v>
          </cell>
          <cell r="D8548">
            <v>22.64</v>
          </cell>
          <cell r="E8548">
            <v>8.61</v>
          </cell>
          <cell r="H8548">
            <v>45648</v>
          </cell>
          <cell r="I8548">
            <v>0.96111111111111114</v>
          </cell>
          <cell r="J8548">
            <v>23.696666666666669</v>
          </cell>
        </row>
        <row r="8549">
          <cell r="B8549">
            <v>32.99</v>
          </cell>
          <cell r="C8549">
            <v>65.5</v>
          </cell>
          <cell r="D8549">
            <v>22.54</v>
          </cell>
          <cell r="E8549">
            <v>8.61</v>
          </cell>
          <cell r="H8549">
            <v>45648</v>
          </cell>
          <cell r="I8549">
            <v>0.90888888888888908</v>
          </cell>
          <cell r="J8549">
            <v>23.787777777777777</v>
          </cell>
        </row>
        <row r="8550">
          <cell r="B8550">
            <v>33.82</v>
          </cell>
          <cell r="C8550">
            <v>62.97</v>
          </cell>
          <cell r="D8550">
            <v>22.28</v>
          </cell>
          <cell r="E8550">
            <v>8.64</v>
          </cell>
          <cell r="H8550">
            <v>45648</v>
          </cell>
          <cell r="I8550">
            <v>0.82111111111111112</v>
          </cell>
          <cell r="J8550">
            <v>23.953333333333333</v>
          </cell>
        </row>
        <row r="8551">
          <cell r="B8551">
            <v>37.11</v>
          </cell>
          <cell r="C8551">
            <v>64.66</v>
          </cell>
          <cell r="D8551">
            <v>22.52</v>
          </cell>
          <cell r="E8551">
            <v>8.6</v>
          </cell>
          <cell r="H8551">
            <v>45648</v>
          </cell>
          <cell r="I8551">
            <v>0.74</v>
          </cell>
          <cell r="J8551">
            <v>24.135555555555552</v>
          </cell>
        </row>
        <row r="8552">
          <cell r="B8552">
            <v>30.46</v>
          </cell>
          <cell r="C8552">
            <v>61.98</v>
          </cell>
          <cell r="D8552">
            <v>22.75</v>
          </cell>
          <cell r="E8552">
            <v>8.07</v>
          </cell>
          <cell r="H8552">
            <v>45648</v>
          </cell>
          <cell r="I8552">
            <v>0.72</v>
          </cell>
          <cell r="J8552">
            <v>24.13111111111111</v>
          </cell>
        </row>
        <row r="8553">
          <cell r="B8553">
            <v>39.5</v>
          </cell>
          <cell r="C8553">
            <v>75.819999999999993</v>
          </cell>
          <cell r="D8553">
            <v>23.26</v>
          </cell>
          <cell r="E8553">
            <v>8.4499999999999993</v>
          </cell>
          <cell r="H8553">
            <v>45648</v>
          </cell>
          <cell r="I8553">
            <v>0.70333333333333325</v>
          </cell>
          <cell r="J8553">
            <v>24.142222222222223</v>
          </cell>
        </row>
        <row r="8554">
          <cell r="B8554">
            <v>42.64</v>
          </cell>
          <cell r="C8554">
            <v>88.29</v>
          </cell>
          <cell r="D8554">
            <v>23.63</v>
          </cell>
          <cell r="E8554">
            <v>8.5299999999999994</v>
          </cell>
          <cell r="H8554">
            <v>45648</v>
          </cell>
          <cell r="I8554">
            <v>0.69888888888888878</v>
          </cell>
          <cell r="J8554">
            <v>24.314444444444447</v>
          </cell>
        </row>
        <row r="8555">
          <cell r="B8555">
            <v>33.56</v>
          </cell>
          <cell r="C8555">
            <v>76.400000000000006</v>
          </cell>
          <cell r="D8555">
            <v>23.36</v>
          </cell>
          <cell r="E8555">
            <v>7.86</v>
          </cell>
          <cell r="H8555">
            <v>45648</v>
          </cell>
          <cell r="I8555">
            <v>0.70666666666666655</v>
          </cell>
          <cell r="J8555">
            <v>24.667777777777776</v>
          </cell>
        </row>
        <row r="8556">
          <cell r="B8556">
            <v>33.4</v>
          </cell>
          <cell r="C8556">
            <v>73.98</v>
          </cell>
          <cell r="D8556">
            <v>20.03</v>
          </cell>
          <cell r="E8556">
            <v>7.91</v>
          </cell>
          <cell r="H8556">
            <v>45648</v>
          </cell>
          <cell r="I8556">
            <v>0.71555555555555561</v>
          </cell>
          <cell r="J8556">
            <v>25.271111111111111</v>
          </cell>
        </row>
        <row r="8557">
          <cell r="B8557">
            <v>34.72</v>
          </cell>
          <cell r="C8557">
            <v>78.209999999999994</v>
          </cell>
          <cell r="D8557">
            <v>18.32</v>
          </cell>
          <cell r="E8557">
            <v>7.56</v>
          </cell>
          <cell r="H8557">
            <v>45648</v>
          </cell>
          <cell r="I8557">
            <v>0.73111111111111104</v>
          </cell>
          <cell r="J8557">
            <v>25.81</v>
          </cell>
        </row>
        <row r="8558">
          <cell r="B8558">
            <v>32.619999999999997</v>
          </cell>
          <cell r="C8558">
            <v>71.66</v>
          </cell>
          <cell r="D8558">
            <v>18.559999999999999</v>
          </cell>
          <cell r="E8558">
            <v>8.44</v>
          </cell>
          <cell r="H8558">
            <v>45648</v>
          </cell>
          <cell r="I8558">
            <v>0.74333333333333329</v>
          </cell>
          <cell r="J8558">
            <v>26.346666666666668</v>
          </cell>
        </row>
        <row r="8559">
          <cell r="B8559">
            <v>34.450000000000003</v>
          </cell>
          <cell r="C8559">
            <v>69.099999999999994</v>
          </cell>
          <cell r="D8559">
            <v>18.690000000000001</v>
          </cell>
          <cell r="E8559">
            <v>8.64</v>
          </cell>
          <cell r="H8559">
            <v>45648</v>
          </cell>
          <cell r="I8559">
            <v>0.74666666666666659</v>
          </cell>
          <cell r="J8559">
            <v>27.220000000000002</v>
          </cell>
        </row>
        <row r="8560">
          <cell r="B8560">
            <v>32.479999999999997</v>
          </cell>
          <cell r="C8560">
            <v>65.760000000000005</v>
          </cell>
          <cell r="D8560">
            <v>18.88</v>
          </cell>
          <cell r="E8560">
            <v>8.9</v>
          </cell>
          <cell r="H8560">
            <v>45648</v>
          </cell>
          <cell r="I8560">
            <v>0.74444444444444435</v>
          </cell>
          <cell r="J8560">
            <v>28.432222222222222</v>
          </cell>
        </row>
        <row r="8561">
          <cell r="B8561">
            <v>33.24</v>
          </cell>
          <cell r="C8561">
            <v>70.69</v>
          </cell>
          <cell r="D8561">
            <v>18.8</v>
          </cell>
          <cell r="E8561">
            <v>8.89</v>
          </cell>
          <cell r="H8561">
            <v>45648</v>
          </cell>
          <cell r="I8561">
            <v>0.73555555555555552</v>
          </cell>
          <cell r="J8561">
            <v>30.295555555555559</v>
          </cell>
        </row>
        <row r="8562">
          <cell r="B8562">
            <v>35.64</v>
          </cell>
          <cell r="C8562">
            <v>75.3</v>
          </cell>
          <cell r="D8562">
            <v>18.920000000000002</v>
          </cell>
          <cell r="E8562">
            <v>9.2200000000000006</v>
          </cell>
          <cell r="H8562">
            <v>45648</v>
          </cell>
          <cell r="I8562">
            <v>0.71111111111111103</v>
          </cell>
          <cell r="J8562">
            <v>31.765555555555554</v>
          </cell>
        </row>
        <row r="8563">
          <cell r="B8563">
            <v>36.6</v>
          </cell>
          <cell r="C8563">
            <v>84.37</v>
          </cell>
          <cell r="D8563">
            <v>19.7</v>
          </cell>
          <cell r="E8563">
            <v>8.98</v>
          </cell>
          <cell r="H8563">
            <v>45648</v>
          </cell>
          <cell r="I8563">
            <v>0.72000000000000008</v>
          </cell>
          <cell r="J8563">
            <v>32.666666666666657</v>
          </cell>
        </row>
        <row r="8564">
          <cell r="B8564">
            <v>39.11</v>
          </cell>
          <cell r="C8564">
            <v>85.12</v>
          </cell>
          <cell r="D8564">
            <v>22.25</v>
          </cell>
          <cell r="E8564">
            <v>8.3000000000000007</v>
          </cell>
          <cell r="H8564">
            <v>45648</v>
          </cell>
          <cell r="I8564">
            <v>0.73555555555555552</v>
          </cell>
          <cell r="J8564">
            <v>32.803333333333327</v>
          </cell>
        </row>
        <row r="8565">
          <cell r="B8565">
            <v>41.1</v>
          </cell>
          <cell r="C8565">
            <v>83.34</v>
          </cell>
          <cell r="D8565">
            <v>22.11</v>
          </cell>
          <cell r="E8565">
            <v>8.24</v>
          </cell>
          <cell r="H8565">
            <v>45648</v>
          </cell>
          <cell r="I8565">
            <v>0.7433333333333334</v>
          </cell>
          <cell r="J8565">
            <v>32.498888888888892</v>
          </cell>
        </row>
        <row r="8566">
          <cell r="B8566">
            <v>41.47</v>
          </cell>
          <cell r="C8566">
            <v>80.650000000000006</v>
          </cell>
          <cell r="D8566">
            <v>21.3</v>
          </cell>
          <cell r="E8566">
            <v>8.86</v>
          </cell>
          <cell r="H8566">
            <v>45648</v>
          </cell>
          <cell r="I8566">
            <v>0.73444444444444446</v>
          </cell>
          <cell r="J8566">
            <v>32.343333333333334</v>
          </cell>
        </row>
        <row r="8567">
          <cell r="B8567">
            <v>38.99</v>
          </cell>
          <cell r="C8567">
            <v>76.08</v>
          </cell>
          <cell r="D8567">
            <v>20.98</v>
          </cell>
          <cell r="E8567">
            <v>8.8800000000000008</v>
          </cell>
          <cell r="H8567">
            <v>45648</v>
          </cell>
          <cell r="I8567">
            <v>0.72444444444444445</v>
          </cell>
          <cell r="J8567">
            <v>32.095555555555563</v>
          </cell>
        </row>
        <row r="8568">
          <cell r="B8568">
            <v>33.43</v>
          </cell>
          <cell r="C8568">
            <v>73.42</v>
          </cell>
          <cell r="D8568">
            <v>20.6</v>
          </cell>
          <cell r="E8568">
            <v>9.51</v>
          </cell>
          <cell r="H8568">
            <v>45648</v>
          </cell>
          <cell r="I8568">
            <v>0.72111111111111115</v>
          </cell>
          <cell r="J8568">
            <v>31.544444444444448</v>
          </cell>
        </row>
        <row r="8569">
          <cell r="B8569">
            <v>31.89</v>
          </cell>
          <cell r="C8569">
            <v>71.349999999999994</v>
          </cell>
          <cell r="D8569">
            <v>20.239999999999998</v>
          </cell>
          <cell r="E8569">
            <v>9.42</v>
          </cell>
          <cell r="H8569">
            <v>45648</v>
          </cell>
          <cell r="I8569">
            <v>0.7122222222222222</v>
          </cell>
          <cell r="J8569">
            <v>30.705555555555559</v>
          </cell>
        </row>
        <row r="8570">
          <cell r="B8570">
            <v>30.96</v>
          </cell>
          <cell r="C8570">
            <v>66.87</v>
          </cell>
          <cell r="D8570">
            <v>20.079999999999998</v>
          </cell>
          <cell r="E8570">
            <v>8.6300000000000008</v>
          </cell>
          <cell r="H8570">
            <v>45649</v>
          </cell>
          <cell r="I8570">
            <v>0.69888888888888889</v>
          </cell>
          <cell r="J8570">
            <v>29.412222222222226</v>
          </cell>
        </row>
        <row r="8571">
          <cell r="B8571">
            <v>32.85</v>
          </cell>
          <cell r="C8571">
            <v>65.37</v>
          </cell>
          <cell r="D8571">
            <v>19.8</v>
          </cell>
          <cell r="E8571">
            <v>8.51</v>
          </cell>
          <cell r="H8571">
            <v>45649</v>
          </cell>
          <cell r="I8571">
            <v>0.69555555555555548</v>
          </cell>
          <cell r="J8571">
            <v>28.514444444444443</v>
          </cell>
        </row>
        <row r="8572">
          <cell r="B8572">
            <v>32.11</v>
          </cell>
          <cell r="C8572">
            <v>64.930000000000007</v>
          </cell>
          <cell r="D8572">
            <v>19.79</v>
          </cell>
          <cell r="E8572">
            <v>8.82</v>
          </cell>
          <cell r="H8572">
            <v>45649</v>
          </cell>
          <cell r="I8572">
            <v>0.66333333333333322</v>
          </cell>
          <cell r="J8572">
            <v>27.956666666666667</v>
          </cell>
        </row>
        <row r="8573">
          <cell r="B8573">
            <v>31.49</v>
          </cell>
          <cell r="C8573">
            <v>64.59</v>
          </cell>
          <cell r="D8573">
            <v>19.510000000000002</v>
          </cell>
          <cell r="E8573">
            <v>8.7799999999999994</v>
          </cell>
          <cell r="H8573">
            <v>45649</v>
          </cell>
          <cell r="I8573">
            <v>0.62222222222222223</v>
          </cell>
          <cell r="J8573">
            <v>27.942222222222224</v>
          </cell>
        </row>
        <row r="8574">
          <cell r="B8574">
            <v>34.380000000000003</v>
          </cell>
          <cell r="C8574">
            <v>62.32</v>
          </cell>
          <cell r="D8574">
            <v>19.670000000000002</v>
          </cell>
          <cell r="E8574">
            <v>9.49</v>
          </cell>
          <cell r="H8574">
            <v>45649</v>
          </cell>
          <cell r="I8574">
            <v>0.59666666666666668</v>
          </cell>
          <cell r="J8574">
            <v>28.097777777777779</v>
          </cell>
        </row>
        <row r="8575">
          <cell r="B8575">
            <v>33.869999999999997</v>
          </cell>
          <cell r="C8575">
            <v>66.44</v>
          </cell>
          <cell r="D8575">
            <v>19.670000000000002</v>
          </cell>
          <cell r="E8575">
            <v>9.74</v>
          </cell>
          <cell r="H8575">
            <v>45649</v>
          </cell>
          <cell r="I8575">
            <v>0.59222222222222221</v>
          </cell>
          <cell r="J8575">
            <v>28.026666666666667</v>
          </cell>
        </row>
        <row r="8576">
          <cell r="B8576">
            <v>34.81</v>
          </cell>
          <cell r="C8576">
            <v>70.52</v>
          </cell>
          <cell r="D8576">
            <v>20.309999999999999</v>
          </cell>
          <cell r="E8576">
            <v>9.86</v>
          </cell>
          <cell r="H8576">
            <v>45649</v>
          </cell>
          <cell r="I8576">
            <v>0.59777777777777774</v>
          </cell>
          <cell r="J8576">
            <v>27.877777777777776</v>
          </cell>
        </row>
        <row r="8577">
          <cell r="B8577">
            <v>41.83</v>
          </cell>
          <cell r="C8577">
            <v>85.19</v>
          </cell>
          <cell r="D8577">
            <v>20.36</v>
          </cell>
          <cell r="E8577">
            <v>9.98</v>
          </cell>
          <cell r="H8577">
            <v>45649</v>
          </cell>
          <cell r="I8577">
            <v>0.60111111111111104</v>
          </cell>
          <cell r="J8577">
            <v>27.896666666666665</v>
          </cell>
        </row>
        <row r="8578">
          <cell r="B8578">
            <v>38.17</v>
          </cell>
          <cell r="C8578">
            <v>89.07</v>
          </cell>
          <cell r="D8578">
            <v>20.55</v>
          </cell>
          <cell r="E8578">
            <v>9.59</v>
          </cell>
          <cell r="H8578">
            <v>45649</v>
          </cell>
          <cell r="I8578">
            <v>0.61666666666666659</v>
          </cell>
          <cell r="J8578">
            <v>27.797777777777771</v>
          </cell>
        </row>
        <row r="8579">
          <cell r="B8579">
            <v>36.43</v>
          </cell>
          <cell r="C8579">
            <v>82.59</v>
          </cell>
          <cell r="D8579">
            <v>21.14</v>
          </cell>
          <cell r="E8579">
            <v>9.19</v>
          </cell>
          <cell r="H8579">
            <v>45649</v>
          </cell>
          <cell r="I8579">
            <v>0.63555555555555565</v>
          </cell>
          <cell r="J8579">
            <v>27.572222222222219</v>
          </cell>
        </row>
        <row r="8580">
          <cell r="B8580">
            <v>36.03</v>
          </cell>
          <cell r="C8580">
            <v>87.78</v>
          </cell>
          <cell r="D8580">
            <v>20.82</v>
          </cell>
          <cell r="E8580">
            <v>8.68</v>
          </cell>
          <cell r="H8580">
            <v>45649</v>
          </cell>
          <cell r="I8580">
            <v>0.65333333333333343</v>
          </cell>
          <cell r="J8580">
            <v>27.662222222222219</v>
          </cell>
        </row>
        <row r="8581">
          <cell r="B8581">
            <v>34.15</v>
          </cell>
          <cell r="C8581">
            <v>77.2</v>
          </cell>
          <cell r="D8581">
            <v>19.850000000000001</v>
          </cell>
          <cell r="E8581">
            <v>8.3699999999999992</v>
          </cell>
          <cell r="H8581">
            <v>45649</v>
          </cell>
          <cell r="I8581">
            <v>0.6644444444444445</v>
          </cell>
          <cell r="J8581">
            <v>27.96</v>
          </cell>
        </row>
        <row r="8582">
          <cell r="B8582">
            <v>34.85</v>
          </cell>
          <cell r="C8582">
            <v>71.08</v>
          </cell>
          <cell r="D8582">
            <v>19.760000000000002</v>
          </cell>
          <cell r="E8582">
            <v>9.07</v>
          </cell>
          <cell r="H8582">
            <v>45649</v>
          </cell>
          <cell r="I8582">
            <v>0.67555555555555569</v>
          </cell>
          <cell r="J8582">
            <v>28.398888888888891</v>
          </cell>
        </row>
        <row r="8583">
          <cell r="B8583">
            <v>38.83</v>
          </cell>
          <cell r="C8583">
            <v>72.86</v>
          </cell>
          <cell r="D8583">
            <v>19.87</v>
          </cell>
          <cell r="E8583">
            <v>8.99</v>
          </cell>
          <cell r="H8583">
            <v>45649</v>
          </cell>
          <cell r="I8583">
            <v>0.68888888888888888</v>
          </cell>
          <cell r="J8583">
            <v>28.952222222222229</v>
          </cell>
        </row>
        <row r="8584">
          <cell r="B8584">
            <v>40.200000000000003</v>
          </cell>
          <cell r="C8584">
            <v>74.319999999999993</v>
          </cell>
          <cell r="D8584">
            <v>20.12</v>
          </cell>
          <cell r="E8584">
            <v>9.2799999999999994</v>
          </cell>
          <cell r="H8584">
            <v>45649</v>
          </cell>
          <cell r="I8584">
            <v>0.70444444444444443</v>
          </cell>
          <cell r="J8584">
            <v>29.63111111111111</v>
          </cell>
        </row>
        <row r="8585">
          <cell r="B8585">
            <v>39.71</v>
          </cell>
          <cell r="C8585">
            <v>78.91</v>
          </cell>
          <cell r="D8585">
            <v>20.65</v>
          </cell>
          <cell r="E8585">
            <v>9.5500000000000007</v>
          </cell>
          <cell r="H8585">
            <v>45649</v>
          </cell>
          <cell r="I8585">
            <v>0.71666666666666667</v>
          </cell>
          <cell r="J8585">
            <v>30.065555555555559</v>
          </cell>
        </row>
        <row r="8586">
          <cell r="B8586">
            <v>39.85</v>
          </cell>
          <cell r="C8586">
            <v>81.400000000000006</v>
          </cell>
          <cell r="D8586">
            <v>20.74</v>
          </cell>
          <cell r="E8586">
            <v>9.0299999999999994</v>
          </cell>
          <cell r="H8586">
            <v>45649</v>
          </cell>
          <cell r="I8586">
            <v>0.73</v>
          </cell>
          <cell r="J8586">
            <v>30.327777777777783</v>
          </cell>
        </row>
        <row r="8587">
          <cell r="B8587">
            <v>43.11</v>
          </cell>
          <cell r="C8587">
            <v>86.81</v>
          </cell>
          <cell r="D8587">
            <v>21.84</v>
          </cell>
          <cell r="E8587">
            <v>8.4499999999999993</v>
          </cell>
          <cell r="H8587">
            <v>45649</v>
          </cell>
          <cell r="I8587">
            <v>0.74666666666666659</v>
          </cell>
          <cell r="J8587">
            <v>30.335555555555558</v>
          </cell>
        </row>
        <row r="8588">
          <cell r="B8588">
            <v>46.72</v>
          </cell>
          <cell r="C8588">
            <v>98.23</v>
          </cell>
          <cell r="D8588">
            <v>24.46</v>
          </cell>
          <cell r="E8588">
            <v>8.51</v>
          </cell>
          <cell r="H8588">
            <v>45649</v>
          </cell>
          <cell r="I8588">
            <v>0.78444444444444439</v>
          </cell>
          <cell r="J8588">
            <v>30.051111111111108</v>
          </cell>
        </row>
        <row r="8589">
          <cell r="B8589">
            <v>54.96</v>
          </cell>
          <cell r="C8589">
            <v>110.89</v>
          </cell>
          <cell r="D8589">
            <v>23.85</v>
          </cell>
          <cell r="E8589">
            <v>8.36</v>
          </cell>
          <cell r="H8589">
            <v>45649</v>
          </cell>
          <cell r="I8589">
            <v>0.81555555555555559</v>
          </cell>
          <cell r="J8589">
            <v>29.532222222222224</v>
          </cell>
        </row>
        <row r="8590">
          <cell r="B8590">
            <v>52.83</v>
          </cell>
          <cell r="C8590">
            <v>105.73</v>
          </cell>
          <cell r="D8590">
            <v>23.29</v>
          </cell>
          <cell r="E8590">
            <v>9.1999999999999993</v>
          </cell>
          <cell r="H8590">
            <v>45649</v>
          </cell>
          <cell r="I8590">
            <v>0.85111111111111115</v>
          </cell>
          <cell r="J8590">
            <v>28.726666666666663</v>
          </cell>
        </row>
        <row r="8591">
          <cell r="B8591">
            <v>57.13</v>
          </cell>
          <cell r="C8591">
            <v>106.51</v>
          </cell>
          <cell r="D8591">
            <v>22.53</v>
          </cell>
          <cell r="E8591">
            <v>9.32</v>
          </cell>
          <cell r="H8591">
            <v>45649</v>
          </cell>
          <cell r="I8591">
            <v>0.88111111111111129</v>
          </cell>
          <cell r="J8591">
            <v>27.707777777777778</v>
          </cell>
        </row>
        <row r="8592">
          <cell r="B8592">
            <v>56.17</v>
          </cell>
          <cell r="C8592">
            <v>101.41</v>
          </cell>
          <cell r="D8592">
            <v>21.59</v>
          </cell>
          <cell r="E8592">
            <v>9.7799999999999994</v>
          </cell>
          <cell r="H8592">
            <v>45649</v>
          </cell>
          <cell r="I8592">
            <v>0.88888888888888906</v>
          </cell>
          <cell r="J8592">
            <v>26.77</v>
          </cell>
        </row>
        <row r="8593">
          <cell r="B8593">
            <v>47.67</v>
          </cell>
          <cell r="C8593">
            <v>89.62</v>
          </cell>
          <cell r="D8593">
            <v>20.9</v>
          </cell>
          <cell r="E8593">
            <v>10.050000000000001</v>
          </cell>
          <cell r="H8593">
            <v>45649</v>
          </cell>
          <cell r="I8593">
            <v>0.87777777777777777</v>
          </cell>
          <cell r="J8593">
            <v>25.869999999999997</v>
          </cell>
        </row>
        <row r="8594">
          <cell r="B8594">
            <v>42.99</v>
          </cell>
          <cell r="C8594">
            <v>83.89</v>
          </cell>
          <cell r="D8594">
            <v>20.62</v>
          </cell>
          <cell r="E8594">
            <v>10.14</v>
          </cell>
          <cell r="H8594">
            <v>45650</v>
          </cell>
          <cell r="I8594">
            <v>0.86</v>
          </cell>
          <cell r="J8594">
            <v>25.37222222222222</v>
          </cell>
        </row>
        <row r="8595">
          <cell r="B8595">
            <v>37.46</v>
          </cell>
          <cell r="C8595">
            <v>78.84</v>
          </cell>
          <cell r="D8595">
            <v>20.55</v>
          </cell>
          <cell r="E8595">
            <v>10.01</v>
          </cell>
          <cell r="H8595">
            <v>45650</v>
          </cell>
          <cell r="I8595">
            <v>0.84222222222222221</v>
          </cell>
          <cell r="J8595">
            <v>24.898888888888887</v>
          </cell>
        </row>
        <row r="8596">
          <cell r="B8596">
            <v>36.549999999999997</v>
          </cell>
          <cell r="C8596">
            <v>74.22</v>
          </cell>
          <cell r="D8596">
            <v>20.420000000000002</v>
          </cell>
          <cell r="E8596">
            <v>8.8000000000000007</v>
          </cell>
          <cell r="H8596">
            <v>45650</v>
          </cell>
          <cell r="I8596">
            <v>0.8144444444444443</v>
          </cell>
          <cell r="J8596">
            <v>24.775555555555556</v>
          </cell>
        </row>
        <row r="8597">
          <cell r="B8597">
            <v>33.81</v>
          </cell>
          <cell r="C8597">
            <v>71.63</v>
          </cell>
          <cell r="D8597">
            <v>20.420000000000002</v>
          </cell>
          <cell r="E8597">
            <v>8.75</v>
          </cell>
          <cell r="H8597">
            <v>45650</v>
          </cell>
          <cell r="I8597">
            <v>0.76222222222222213</v>
          </cell>
          <cell r="J8597">
            <v>24.884444444444441</v>
          </cell>
        </row>
        <row r="8598">
          <cell r="B8598">
            <v>34.270000000000003</v>
          </cell>
          <cell r="C8598">
            <v>73.17</v>
          </cell>
          <cell r="D8598">
            <v>20.420000000000002</v>
          </cell>
          <cell r="E8598">
            <v>9.48</v>
          </cell>
          <cell r="H8598">
            <v>45650</v>
          </cell>
          <cell r="I8598">
            <v>0.72555555555555551</v>
          </cell>
          <cell r="J8598">
            <v>24.862222222222222</v>
          </cell>
        </row>
        <row r="8599">
          <cell r="B8599">
            <v>35.049999999999997</v>
          </cell>
          <cell r="C8599">
            <v>79.8</v>
          </cell>
          <cell r="D8599">
            <v>20.98</v>
          </cell>
          <cell r="E8599">
            <v>9.24</v>
          </cell>
          <cell r="H8599">
            <v>45650</v>
          </cell>
          <cell r="I8599">
            <v>0.69999999999999984</v>
          </cell>
          <cell r="J8599">
            <v>24.88</v>
          </cell>
        </row>
        <row r="8600">
          <cell r="B8600">
            <v>37.619999999999997</v>
          </cell>
          <cell r="C8600">
            <v>95.77</v>
          </cell>
          <cell r="D8600">
            <v>21.96</v>
          </cell>
          <cell r="E8600">
            <v>9.2799999999999994</v>
          </cell>
          <cell r="H8600">
            <v>45650</v>
          </cell>
          <cell r="I8600">
            <v>0.70000000000000007</v>
          </cell>
          <cell r="J8600">
            <v>24.865555555555556</v>
          </cell>
        </row>
        <row r="8601">
          <cell r="B8601">
            <v>48.73</v>
          </cell>
          <cell r="C8601">
            <v>132.80000000000001</v>
          </cell>
          <cell r="D8601">
            <v>22.24</v>
          </cell>
          <cell r="E8601">
            <v>9.64</v>
          </cell>
          <cell r="H8601">
            <v>45650</v>
          </cell>
          <cell r="I8601">
            <v>0.72111111111111115</v>
          </cell>
          <cell r="J8601">
            <v>24.634444444444441</v>
          </cell>
        </row>
        <row r="8602">
          <cell r="B8602">
            <v>66.58</v>
          </cell>
          <cell r="C8602">
            <v>123.73</v>
          </cell>
          <cell r="D8602">
            <v>21.74</v>
          </cell>
          <cell r="E8602">
            <v>10.17</v>
          </cell>
          <cell r="H8602">
            <v>45650</v>
          </cell>
          <cell r="I8602">
            <v>0.73999999999999988</v>
          </cell>
          <cell r="J8602">
            <v>24.668888888888887</v>
          </cell>
        </row>
        <row r="8603">
          <cell r="B8603">
            <v>47.85</v>
          </cell>
          <cell r="C8603">
            <v>94.68</v>
          </cell>
          <cell r="D8603">
            <v>21.3</v>
          </cell>
          <cell r="E8603">
            <v>9.7899999999999991</v>
          </cell>
          <cell r="H8603">
            <v>45650</v>
          </cell>
          <cell r="I8603">
            <v>0.75888888888888884</v>
          </cell>
          <cell r="J8603">
            <v>25.088888888888889</v>
          </cell>
        </row>
        <row r="8604">
          <cell r="B8604">
            <v>42.23</v>
          </cell>
          <cell r="C8604">
            <v>85.64</v>
          </cell>
          <cell r="D8604">
            <v>20</v>
          </cell>
          <cell r="E8604">
            <v>8.8800000000000008</v>
          </cell>
          <cell r="H8604">
            <v>45650</v>
          </cell>
          <cell r="I8604">
            <v>0.78222222222222215</v>
          </cell>
          <cell r="J8604">
            <v>25.806666666666665</v>
          </cell>
        </row>
        <row r="8605">
          <cell r="B8605">
            <v>38.96</v>
          </cell>
          <cell r="C8605">
            <v>79.42</v>
          </cell>
          <cell r="D8605">
            <v>19.940000000000001</v>
          </cell>
          <cell r="E8605">
            <v>8.7200000000000006</v>
          </cell>
          <cell r="H8605">
            <v>45650</v>
          </cell>
          <cell r="I8605">
            <v>0.7977777777777777</v>
          </cell>
          <cell r="J8605">
            <v>26.847777777777779</v>
          </cell>
        </row>
        <row r="8606">
          <cell r="B8606">
            <v>36.31</v>
          </cell>
          <cell r="C8606">
            <v>78.849999999999994</v>
          </cell>
          <cell r="D8606">
            <v>20.18</v>
          </cell>
          <cell r="E8606">
            <v>8.5500000000000007</v>
          </cell>
          <cell r="H8606">
            <v>45650</v>
          </cell>
          <cell r="I8606">
            <v>0.80666666666666653</v>
          </cell>
          <cell r="J8606">
            <v>28.097777777777779</v>
          </cell>
        </row>
        <row r="8607">
          <cell r="B8607">
            <v>37.29</v>
          </cell>
          <cell r="C8607">
            <v>83.54</v>
          </cell>
          <cell r="D8607">
            <v>18.670000000000002</v>
          </cell>
          <cell r="E8607">
            <v>8.66</v>
          </cell>
          <cell r="H8607">
            <v>45650</v>
          </cell>
          <cell r="I8607">
            <v>0.81111111111111101</v>
          </cell>
          <cell r="J8607">
            <v>29.509999999999998</v>
          </cell>
        </row>
        <row r="8608">
          <cell r="B8608">
            <v>35.01</v>
          </cell>
          <cell r="C8608">
            <v>82.08</v>
          </cell>
          <cell r="D8608">
            <v>20.309999999999999</v>
          </cell>
          <cell r="E8608">
            <v>9.3699999999999992</v>
          </cell>
          <cell r="H8608">
            <v>45650</v>
          </cell>
          <cell r="I8608">
            <v>0.81222222222222207</v>
          </cell>
          <cell r="J8608">
            <v>30.798888888888889</v>
          </cell>
        </row>
        <row r="8609">
          <cell r="B8609">
            <v>46.04</v>
          </cell>
          <cell r="C8609">
            <v>94.15</v>
          </cell>
          <cell r="D8609">
            <v>20.100000000000001</v>
          </cell>
          <cell r="E8609">
            <v>9.69</v>
          </cell>
          <cell r="H8609">
            <v>45650</v>
          </cell>
          <cell r="I8609">
            <v>0.7911111111111111</v>
          </cell>
          <cell r="J8609">
            <v>32.015555555555551</v>
          </cell>
        </row>
        <row r="8610">
          <cell r="B8610">
            <v>46.57</v>
          </cell>
          <cell r="C8610">
            <v>93.54</v>
          </cell>
          <cell r="D8610">
            <v>20.91</v>
          </cell>
          <cell r="E8610">
            <v>9.0500000000000007</v>
          </cell>
          <cell r="H8610">
            <v>45650</v>
          </cell>
          <cell r="I8610">
            <v>0.78</v>
          </cell>
          <cell r="J8610">
            <v>32.858888888888885</v>
          </cell>
        </row>
        <row r="8611">
          <cell r="B8611">
            <v>45.74</v>
          </cell>
          <cell r="C8611">
            <v>96.6</v>
          </cell>
          <cell r="D8611">
            <v>21.68</v>
          </cell>
          <cell r="E8611">
            <v>9.0299999999999994</v>
          </cell>
          <cell r="H8611">
            <v>45650</v>
          </cell>
          <cell r="I8611">
            <v>0.78444444444444439</v>
          </cell>
          <cell r="J8611">
            <v>33</v>
          </cell>
        </row>
        <row r="8612">
          <cell r="B8612">
            <v>46.08</v>
          </cell>
          <cell r="C8612">
            <v>108.64</v>
          </cell>
          <cell r="D8612">
            <v>22.56</v>
          </cell>
          <cell r="E8612">
            <v>9.0500000000000007</v>
          </cell>
          <cell r="H8612">
            <v>45650</v>
          </cell>
          <cell r="I8612">
            <v>0.80222222222222217</v>
          </cell>
          <cell r="J8612">
            <v>32.49111111111111</v>
          </cell>
        </row>
        <row r="8613">
          <cell r="B8613">
            <v>52.82</v>
          </cell>
          <cell r="C8613">
            <v>118.01</v>
          </cell>
          <cell r="D8613">
            <v>23.54</v>
          </cell>
          <cell r="E8613">
            <v>9.02</v>
          </cell>
          <cell r="H8613">
            <v>45650</v>
          </cell>
          <cell r="I8613">
            <v>0.83333333333333326</v>
          </cell>
          <cell r="J8613">
            <v>31.549999999999997</v>
          </cell>
        </row>
        <row r="8614">
          <cell r="B8614">
            <v>52.3</v>
          </cell>
          <cell r="C8614">
            <v>115.42</v>
          </cell>
          <cell r="D8614">
            <v>23.6</v>
          </cell>
          <cell r="E8614">
            <v>9.2899999999999991</v>
          </cell>
          <cell r="H8614">
            <v>45650</v>
          </cell>
          <cell r="I8614">
            <v>0.85666666666666658</v>
          </cell>
          <cell r="J8614">
            <v>30.233333333333331</v>
          </cell>
        </row>
        <row r="8615">
          <cell r="B8615">
            <v>49.54</v>
          </cell>
          <cell r="C8615">
            <v>107.97</v>
          </cell>
          <cell r="D8615">
            <v>22.26</v>
          </cell>
          <cell r="E8615">
            <v>9.15</v>
          </cell>
          <cell r="H8615">
            <v>45650</v>
          </cell>
          <cell r="I8615">
            <v>0.86555555555555552</v>
          </cell>
          <cell r="J8615">
            <v>28.917777777777772</v>
          </cell>
        </row>
        <row r="8616">
          <cell r="B8616">
            <v>40.799999999999997</v>
          </cell>
          <cell r="C8616">
            <v>89.11</v>
          </cell>
          <cell r="D8616">
            <v>21.83</v>
          </cell>
          <cell r="E8616">
            <v>9.26</v>
          </cell>
          <cell r="H8616">
            <v>45650</v>
          </cell>
          <cell r="I8616">
            <v>0.86888888888888882</v>
          </cell>
          <cell r="J8616">
            <v>27.489999999999995</v>
          </cell>
        </row>
        <row r="8617">
          <cell r="B8617">
            <v>34.369999999999997</v>
          </cell>
          <cell r="C8617">
            <v>76.48</v>
          </cell>
          <cell r="D8617">
            <v>21.57</v>
          </cell>
          <cell r="E8617">
            <v>9.58</v>
          </cell>
          <cell r="H8617">
            <v>45650</v>
          </cell>
          <cell r="I8617">
            <v>0.86555555555555541</v>
          </cell>
          <cell r="J8617">
            <v>26.398888888888891</v>
          </cell>
        </row>
        <row r="8618">
          <cell r="B8618">
            <v>30.35</v>
          </cell>
          <cell r="C8618">
            <v>65.58</v>
          </cell>
          <cell r="D8618">
            <v>21.01</v>
          </cell>
          <cell r="E8618">
            <v>9.2100000000000009</v>
          </cell>
          <cell r="H8618">
            <v>45651</v>
          </cell>
          <cell r="I8618">
            <v>0.85999999999999988</v>
          </cell>
          <cell r="J8618">
            <v>25.463333333333331</v>
          </cell>
        </row>
        <row r="8619">
          <cell r="B8619">
            <v>27.94</v>
          </cell>
          <cell r="C8619">
            <v>60</v>
          </cell>
          <cell r="D8619">
            <v>20.71</v>
          </cell>
          <cell r="E8619">
            <v>9.2899999999999991</v>
          </cell>
          <cell r="H8619">
            <v>45651</v>
          </cell>
          <cell r="I8619">
            <v>0.84222222222222221</v>
          </cell>
          <cell r="J8619">
            <v>24.861111111111111</v>
          </cell>
        </row>
        <row r="8620">
          <cell r="B8620">
            <v>28.2</v>
          </cell>
          <cell r="C8620">
            <v>57.14</v>
          </cell>
          <cell r="D8620">
            <v>20.83</v>
          </cell>
          <cell r="E8620">
            <v>9.44</v>
          </cell>
          <cell r="H8620">
            <v>45651</v>
          </cell>
          <cell r="I8620">
            <v>0.81555555555555548</v>
          </cell>
          <cell r="J8620">
            <v>24.596666666666668</v>
          </cell>
        </row>
        <row r="8621">
          <cell r="B8621">
            <v>29.36</v>
          </cell>
          <cell r="C8621">
            <v>59.24</v>
          </cell>
          <cell r="D8621">
            <v>20.59</v>
          </cell>
          <cell r="E8621">
            <v>9.23</v>
          </cell>
          <cell r="H8621">
            <v>45651</v>
          </cell>
          <cell r="I8621">
            <v>0.78111111111111109</v>
          </cell>
          <cell r="J8621">
            <v>24.571111111111112</v>
          </cell>
        </row>
        <row r="8622">
          <cell r="B8622">
            <v>28.76</v>
          </cell>
          <cell r="C8622">
            <v>61.06</v>
          </cell>
          <cell r="D8622">
            <v>20.63</v>
          </cell>
          <cell r="E8622">
            <v>8.6300000000000008</v>
          </cell>
          <cell r="H8622">
            <v>45651</v>
          </cell>
          <cell r="I8622">
            <v>0.72888888888888892</v>
          </cell>
          <cell r="J8622">
            <v>24.646666666666665</v>
          </cell>
        </row>
        <row r="8623">
          <cell r="B8623">
            <v>28.31</v>
          </cell>
          <cell r="C8623">
            <v>59.15</v>
          </cell>
          <cell r="D8623">
            <v>20.68</v>
          </cell>
          <cell r="E8623">
            <v>8.6</v>
          </cell>
          <cell r="H8623">
            <v>45651</v>
          </cell>
          <cell r="I8623">
            <v>0.69888888888888889</v>
          </cell>
          <cell r="J8623">
            <v>24.623333333333335</v>
          </cell>
        </row>
        <row r="8624">
          <cell r="B8624">
            <v>32.369999999999997</v>
          </cell>
          <cell r="C8624">
            <v>66.17</v>
          </cell>
          <cell r="D8624">
            <v>20.86</v>
          </cell>
          <cell r="E8624">
            <v>8.91</v>
          </cell>
          <cell r="H8624">
            <v>45651</v>
          </cell>
          <cell r="I8624">
            <v>0.69</v>
          </cell>
          <cell r="J8624">
            <v>24.406666666666666</v>
          </cell>
        </row>
        <row r="8625">
          <cell r="B8625">
            <v>35.35</v>
          </cell>
          <cell r="C8625">
            <v>69.650000000000006</v>
          </cell>
          <cell r="D8625">
            <v>21.19</v>
          </cell>
          <cell r="E8625">
            <v>9.0500000000000007</v>
          </cell>
          <cell r="H8625">
            <v>45651</v>
          </cell>
          <cell r="I8625">
            <v>0.68777777777777771</v>
          </cell>
          <cell r="J8625">
            <v>24.284444444444446</v>
          </cell>
        </row>
        <row r="8626">
          <cell r="B8626">
            <v>42.07</v>
          </cell>
          <cell r="C8626">
            <v>73.510000000000005</v>
          </cell>
          <cell r="D8626">
            <v>19.309999999999999</v>
          </cell>
          <cell r="E8626">
            <v>8.7799999999999994</v>
          </cell>
          <cell r="H8626">
            <v>45651</v>
          </cell>
          <cell r="I8626">
            <v>0.68555555555555558</v>
          </cell>
          <cell r="J8626">
            <v>24.203333333333333</v>
          </cell>
        </row>
        <row r="8627">
          <cell r="B8627">
            <v>42.09</v>
          </cell>
          <cell r="C8627">
            <v>74.650000000000006</v>
          </cell>
          <cell r="D8627">
            <v>19.350000000000001</v>
          </cell>
          <cell r="E8627">
            <v>8.4700000000000006</v>
          </cell>
          <cell r="H8627">
            <v>45651</v>
          </cell>
          <cell r="I8627">
            <v>0.69555555555555548</v>
          </cell>
          <cell r="J8627">
            <v>24.317777777777778</v>
          </cell>
        </row>
        <row r="8628">
          <cell r="B8628">
            <v>37.29</v>
          </cell>
          <cell r="C8628">
            <v>72.78</v>
          </cell>
          <cell r="D8628">
            <v>20.079999999999998</v>
          </cell>
          <cell r="E8628">
            <v>9.42</v>
          </cell>
          <cell r="H8628">
            <v>45651</v>
          </cell>
          <cell r="I8628">
            <v>0.70555555555555549</v>
          </cell>
          <cell r="J8628">
            <v>24.604444444444439</v>
          </cell>
        </row>
        <row r="8629">
          <cell r="B8629">
            <v>32.549999999999997</v>
          </cell>
          <cell r="C8629">
            <v>67.63</v>
          </cell>
          <cell r="D8629">
            <v>19.87</v>
          </cell>
          <cell r="E8629">
            <v>9.24</v>
          </cell>
          <cell r="H8629">
            <v>45651</v>
          </cell>
          <cell r="I8629">
            <v>0.71888888888888891</v>
          </cell>
          <cell r="J8629">
            <v>25.04111111111111</v>
          </cell>
        </row>
        <row r="8630">
          <cell r="B8630">
            <v>33.71</v>
          </cell>
          <cell r="C8630">
            <v>66.98</v>
          </cell>
          <cell r="D8630">
            <v>19.78</v>
          </cell>
          <cell r="E8630">
            <v>9.4600000000000009</v>
          </cell>
          <cell r="H8630">
            <v>45651</v>
          </cell>
          <cell r="I8630">
            <v>0.72777777777777763</v>
          </cell>
          <cell r="J8630">
            <v>25.66333333333333</v>
          </cell>
        </row>
        <row r="8631">
          <cell r="B8631">
            <v>32.340000000000003</v>
          </cell>
          <cell r="C8631">
            <v>66.760000000000005</v>
          </cell>
          <cell r="D8631">
            <v>19.89</v>
          </cell>
          <cell r="E8631">
            <v>9.5</v>
          </cell>
          <cell r="H8631">
            <v>45651</v>
          </cell>
          <cell r="I8631">
            <v>0.73222222222222211</v>
          </cell>
          <cell r="J8631">
            <v>26.44222222222222</v>
          </cell>
        </row>
        <row r="8632">
          <cell r="B8632">
            <v>32.58</v>
          </cell>
          <cell r="C8632">
            <v>66.319999999999993</v>
          </cell>
          <cell r="D8632">
            <v>19.98</v>
          </cell>
          <cell r="E8632">
            <v>9.33</v>
          </cell>
          <cell r="H8632">
            <v>45651</v>
          </cell>
          <cell r="I8632">
            <v>0.73111111111111116</v>
          </cell>
          <cell r="J8632">
            <v>27.311111111111114</v>
          </cell>
        </row>
        <row r="8633">
          <cell r="B8633">
            <v>34.6</v>
          </cell>
          <cell r="C8633">
            <v>64.33</v>
          </cell>
          <cell r="D8633">
            <v>20.09</v>
          </cell>
          <cell r="E8633">
            <v>9.01</v>
          </cell>
          <cell r="H8633">
            <v>45651</v>
          </cell>
          <cell r="I8633">
            <v>0.73111111111111104</v>
          </cell>
          <cell r="J8633">
            <v>28.017777777777773</v>
          </cell>
        </row>
        <row r="8634">
          <cell r="B8634">
            <v>31.93</v>
          </cell>
          <cell r="C8634">
            <v>65.37</v>
          </cell>
          <cell r="D8634">
            <v>20.149999999999999</v>
          </cell>
          <cell r="E8634">
            <v>9.06</v>
          </cell>
          <cell r="H8634">
            <v>45651</v>
          </cell>
          <cell r="I8634">
            <v>0.73333333333333328</v>
          </cell>
          <cell r="J8634">
            <v>28.48</v>
          </cell>
        </row>
        <row r="8635">
          <cell r="B8635">
            <v>31.64</v>
          </cell>
          <cell r="C8635">
            <v>68.239999999999995</v>
          </cell>
          <cell r="D8635">
            <v>20.66</v>
          </cell>
          <cell r="E8635">
            <v>9.18</v>
          </cell>
          <cell r="H8635">
            <v>45651</v>
          </cell>
          <cell r="I8635">
            <v>0.74555555555555553</v>
          </cell>
          <cell r="J8635">
            <v>28.596666666666668</v>
          </cell>
        </row>
        <row r="8636">
          <cell r="B8636">
            <v>33.04</v>
          </cell>
          <cell r="C8636">
            <v>72.760000000000005</v>
          </cell>
          <cell r="D8636">
            <v>21.31</v>
          </cell>
          <cell r="E8636">
            <v>9.34</v>
          </cell>
          <cell r="H8636">
            <v>45651</v>
          </cell>
          <cell r="I8636">
            <v>0.75888888888888895</v>
          </cell>
          <cell r="J8636">
            <v>28.545555555555552</v>
          </cell>
        </row>
        <row r="8637">
          <cell r="B8637">
            <v>37.81</v>
          </cell>
          <cell r="C8637">
            <v>78.12</v>
          </cell>
          <cell r="D8637">
            <v>21.83</v>
          </cell>
          <cell r="E8637">
            <v>9.1999999999999993</v>
          </cell>
          <cell r="H8637">
            <v>45651</v>
          </cell>
          <cell r="I8637">
            <v>0.78222222222222215</v>
          </cell>
          <cell r="J8637">
            <v>28.142222222222223</v>
          </cell>
        </row>
        <row r="8638">
          <cell r="B8638">
            <v>40.96</v>
          </cell>
          <cell r="C8638">
            <v>81.760000000000005</v>
          </cell>
          <cell r="D8638">
            <v>21.74</v>
          </cell>
          <cell r="E8638">
            <v>9.4499999999999993</v>
          </cell>
          <cell r="H8638">
            <v>45651</v>
          </cell>
          <cell r="I8638">
            <v>0.79666666666666652</v>
          </cell>
          <cell r="J8638">
            <v>27.69222222222222</v>
          </cell>
        </row>
        <row r="8639">
          <cell r="B8639">
            <v>33.19</v>
          </cell>
          <cell r="C8639">
            <v>71.03</v>
          </cell>
          <cell r="D8639">
            <v>21.78</v>
          </cell>
          <cell r="E8639">
            <v>9.18</v>
          </cell>
          <cell r="H8639">
            <v>45651</v>
          </cell>
          <cell r="I8639">
            <v>0.81333333333333324</v>
          </cell>
          <cell r="J8639">
            <v>27.015555555555554</v>
          </cell>
        </row>
        <row r="8640">
          <cell r="B8640">
            <v>28.8</v>
          </cell>
          <cell r="C8640">
            <v>64.290000000000006</v>
          </cell>
          <cell r="D8640">
            <v>21.09</v>
          </cell>
          <cell r="E8640">
            <v>9.2100000000000009</v>
          </cell>
          <cell r="H8640">
            <v>45651</v>
          </cell>
          <cell r="I8640">
            <v>0.81999999999999984</v>
          </cell>
          <cell r="J8640">
            <v>26.288888888888891</v>
          </cell>
        </row>
        <row r="8641">
          <cell r="B8641">
            <v>28.58</v>
          </cell>
          <cell r="C8641">
            <v>55.76</v>
          </cell>
          <cell r="D8641">
            <v>20.82</v>
          </cell>
          <cell r="E8641">
            <v>9.07</v>
          </cell>
          <cell r="H8641">
            <v>45651</v>
          </cell>
          <cell r="I8641">
            <v>0.82333333333333314</v>
          </cell>
          <cell r="J8641">
            <v>25.542222222222222</v>
          </cell>
        </row>
        <row r="8642">
          <cell r="B8642">
            <v>26</v>
          </cell>
          <cell r="C8642">
            <v>51.32</v>
          </cell>
          <cell r="D8642">
            <v>20.6</v>
          </cell>
          <cell r="E8642">
            <v>8.98</v>
          </cell>
          <cell r="H8642">
            <v>45652</v>
          </cell>
          <cell r="I8642">
            <v>0.81555555555555559</v>
          </cell>
          <cell r="J8642">
            <v>25.048888888888889</v>
          </cell>
        </row>
        <row r="8643">
          <cell r="B8643">
            <v>23.01</v>
          </cell>
          <cell r="C8643">
            <v>46.82</v>
          </cell>
          <cell r="D8643">
            <v>20.22</v>
          </cell>
          <cell r="E8643">
            <v>8.98</v>
          </cell>
          <cell r="H8643">
            <v>45652</v>
          </cell>
          <cell r="I8643">
            <v>0.80333333333333334</v>
          </cell>
          <cell r="J8643">
            <v>24.796666666666667</v>
          </cell>
        </row>
        <row r="8644">
          <cell r="B8644">
            <v>18.82</v>
          </cell>
          <cell r="C8644">
            <v>40.06</v>
          </cell>
          <cell r="D8644">
            <v>20.010000000000002</v>
          </cell>
          <cell r="E8644">
            <v>9.41</v>
          </cell>
          <cell r="H8644">
            <v>45652</v>
          </cell>
          <cell r="I8644">
            <v>0.78111111111111109</v>
          </cell>
          <cell r="J8644">
            <v>24.818888888888889</v>
          </cell>
        </row>
        <row r="8645">
          <cell r="B8645">
            <v>17.28</v>
          </cell>
          <cell r="C8645">
            <v>37.64</v>
          </cell>
          <cell r="D8645">
            <v>19.88</v>
          </cell>
          <cell r="E8645">
            <v>9.4499999999999993</v>
          </cell>
          <cell r="H8645">
            <v>45652</v>
          </cell>
          <cell r="I8645">
            <v>0.75111111111111128</v>
          </cell>
          <cell r="J8645">
            <v>24.883333333333333</v>
          </cell>
        </row>
        <row r="8646">
          <cell r="B8646">
            <v>17.239999999999998</v>
          </cell>
          <cell r="C8646">
            <v>38.15</v>
          </cell>
          <cell r="D8646">
            <v>19.95</v>
          </cell>
          <cell r="E8646">
            <v>9.58</v>
          </cell>
          <cell r="H8646">
            <v>45652</v>
          </cell>
          <cell r="I8646">
            <v>0.71000000000000008</v>
          </cell>
          <cell r="J8646">
            <v>25.081111111111106</v>
          </cell>
        </row>
        <row r="8647">
          <cell r="B8647">
            <v>15.51</v>
          </cell>
          <cell r="C8647">
            <v>35.43</v>
          </cell>
          <cell r="D8647">
            <v>19.77</v>
          </cell>
          <cell r="E8647">
            <v>9.56</v>
          </cell>
          <cell r="H8647">
            <v>45652</v>
          </cell>
          <cell r="I8647">
            <v>0.68333333333333335</v>
          </cell>
          <cell r="J8647">
            <v>25.165555555555553</v>
          </cell>
        </row>
        <row r="8648">
          <cell r="B8648">
            <v>14.63</v>
          </cell>
          <cell r="C8648">
            <v>36.72</v>
          </cell>
          <cell r="D8648">
            <v>20.399999999999999</v>
          </cell>
          <cell r="E8648">
            <v>9.3000000000000007</v>
          </cell>
          <cell r="H8648">
            <v>45652</v>
          </cell>
          <cell r="I8648">
            <v>0.6644444444444445</v>
          </cell>
          <cell r="J8648">
            <v>25.223333333333333</v>
          </cell>
        </row>
        <row r="8649">
          <cell r="B8649">
            <v>19.55</v>
          </cell>
          <cell r="C8649">
            <v>43.58</v>
          </cell>
          <cell r="D8649">
            <v>20.61</v>
          </cell>
          <cell r="E8649">
            <v>9.1199999999999992</v>
          </cell>
          <cell r="H8649">
            <v>45652</v>
          </cell>
          <cell r="I8649">
            <v>0.66222222222222227</v>
          </cell>
          <cell r="J8649">
            <v>25.2</v>
          </cell>
        </row>
        <row r="8650">
          <cell r="B8650">
            <v>22.2</v>
          </cell>
          <cell r="C8650">
            <v>48.97</v>
          </cell>
          <cell r="D8650">
            <v>20.79</v>
          </cell>
          <cell r="E8650">
            <v>9.0399999999999991</v>
          </cell>
          <cell r="H8650">
            <v>45652</v>
          </cell>
          <cell r="I8650">
            <v>0.67555555555555558</v>
          </cell>
          <cell r="J8650">
            <v>25.225555555555552</v>
          </cell>
        </row>
        <row r="8651">
          <cell r="B8651">
            <v>20.58</v>
          </cell>
          <cell r="C8651">
            <v>50.32</v>
          </cell>
          <cell r="D8651">
            <v>20.68</v>
          </cell>
          <cell r="E8651">
            <v>9.06</v>
          </cell>
          <cell r="H8651">
            <v>45652</v>
          </cell>
          <cell r="I8651">
            <v>0.70111111111111102</v>
          </cell>
          <cell r="J8651">
            <v>25.278888888888886</v>
          </cell>
        </row>
        <row r="8652">
          <cell r="B8652">
            <v>18.989999999999998</v>
          </cell>
          <cell r="C8652">
            <v>50.68</v>
          </cell>
          <cell r="D8652">
            <v>19.97</v>
          </cell>
          <cell r="E8652">
            <v>9.43</v>
          </cell>
          <cell r="H8652">
            <v>45652</v>
          </cell>
          <cell r="I8652">
            <v>0.7188888888888888</v>
          </cell>
          <cell r="J8652">
            <v>25.388888888888886</v>
          </cell>
        </row>
        <row r="8653">
          <cell r="B8653">
            <v>18.45</v>
          </cell>
          <cell r="C8653">
            <v>48.59</v>
          </cell>
          <cell r="D8653">
            <v>19.29</v>
          </cell>
          <cell r="E8653">
            <v>9.82</v>
          </cell>
          <cell r="H8653">
            <v>45652</v>
          </cell>
          <cell r="I8653">
            <v>0.73888888888888882</v>
          </cell>
          <cell r="J8653">
            <v>25.385555555555552</v>
          </cell>
        </row>
        <row r="8654">
          <cell r="B8654">
            <v>20.260000000000002</v>
          </cell>
          <cell r="C8654">
            <v>49.37</v>
          </cell>
          <cell r="D8654">
            <v>19.18</v>
          </cell>
          <cell r="E8654">
            <v>10.18</v>
          </cell>
          <cell r="H8654">
            <v>45652</v>
          </cell>
          <cell r="I8654">
            <v>0.75</v>
          </cell>
          <cell r="J8654">
            <v>25.21444444444445</v>
          </cell>
        </row>
        <row r="8655">
          <cell r="B8655">
            <v>22.46</v>
          </cell>
          <cell r="C8655">
            <v>48.62</v>
          </cell>
          <cell r="D8655">
            <v>19.73</v>
          </cell>
          <cell r="E8655">
            <v>10.01</v>
          </cell>
          <cell r="H8655">
            <v>45652</v>
          </cell>
          <cell r="I8655">
            <v>0.76444444444444437</v>
          </cell>
          <cell r="J8655">
            <v>25.071111111111115</v>
          </cell>
        </row>
        <row r="8656">
          <cell r="B8656">
            <v>18.690000000000001</v>
          </cell>
          <cell r="C8656">
            <v>46.16</v>
          </cell>
          <cell r="D8656">
            <v>19.96</v>
          </cell>
          <cell r="E8656">
            <v>9.75</v>
          </cell>
          <cell r="H8656">
            <v>45652</v>
          </cell>
          <cell r="I8656">
            <v>0.78333333333333344</v>
          </cell>
          <cell r="J8656">
            <v>25.071111111111112</v>
          </cell>
        </row>
        <row r="8657">
          <cell r="B8657">
            <v>19.23</v>
          </cell>
          <cell r="C8657">
            <v>50.49</v>
          </cell>
          <cell r="D8657">
            <v>20.13</v>
          </cell>
          <cell r="E8657">
            <v>9.94</v>
          </cell>
          <cell r="H8657">
            <v>45652</v>
          </cell>
          <cell r="I8657">
            <v>0.77999999999999992</v>
          </cell>
          <cell r="J8657">
            <v>25.06</v>
          </cell>
        </row>
        <row r="8658">
          <cell r="B8658">
            <v>19.98</v>
          </cell>
          <cell r="C8658">
            <v>51.61</v>
          </cell>
          <cell r="D8658">
            <v>20.239999999999998</v>
          </cell>
          <cell r="E8658">
            <v>9.67</v>
          </cell>
          <cell r="H8658">
            <v>45652</v>
          </cell>
          <cell r="I8658">
            <v>0.79666666666666652</v>
          </cell>
          <cell r="J8658">
            <v>25.08</v>
          </cell>
        </row>
        <row r="8659">
          <cell r="B8659">
            <v>22.92</v>
          </cell>
          <cell r="C8659">
            <v>50.58</v>
          </cell>
          <cell r="D8659">
            <v>20.399999999999999</v>
          </cell>
          <cell r="E8659">
            <v>9.4499999999999993</v>
          </cell>
          <cell r="H8659">
            <v>45652</v>
          </cell>
          <cell r="I8659">
            <v>0.79555555555555546</v>
          </cell>
          <cell r="J8659">
            <v>25.037777777777777</v>
          </cell>
        </row>
        <row r="8660">
          <cell r="B8660">
            <v>25.38</v>
          </cell>
          <cell r="C8660">
            <v>51.4</v>
          </cell>
          <cell r="D8660">
            <v>20.64</v>
          </cell>
          <cell r="E8660">
            <v>9.5500000000000007</v>
          </cell>
          <cell r="H8660">
            <v>45652</v>
          </cell>
          <cell r="I8660">
            <v>0.801111111111111</v>
          </cell>
          <cell r="J8660">
            <v>24.87222222222222</v>
          </cell>
        </row>
        <row r="8661">
          <cell r="B8661">
            <v>27.34</v>
          </cell>
          <cell r="C8661">
            <v>55.59</v>
          </cell>
          <cell r="D8661">
            <v>20.9</v>
          </cell>
          <cell r="E8661">
            <v>9.69</v>
          </cell>
          <cell r="H8661">
            <v>45652</v>
          </cell>
          <cell r="I8661">
            <v>0.80777777777777771</v>
          </cell>
          <cell r="J8661">
            <v>24.732222222222219</v>
          </cell>
        </row>
        <row r="8662">
          <cell r="B8662">
            <v>27.41</v>
          </cell>
          <cell r="C8662">
            <v>51.91</v>
          </cell>
          <cell r="D8662">
            <v>20.61</v>
          </cell>
          <cell r="E8662">
            <v>9.27</v>
          </cell>
          <cell r="H8662">
            <v>45652</v>
          </cell>
          <cell r="I8662">
            <v>0.81</v>
          </cell>
          <cell r="J8662">
            <v>24.552222222222223</v>
          </cell>
        </row>
        <row r="8663">
          <cell r="B8663">
            <v>29.78</v>
          </cell>
          <cell r="C8663">
            <v>54.53</v>
          </cell>
          <cell r="D8663">
            <v>20.64</v>
          </cell>
          <cell r="E8663">
            <v>9.0500000000000007</v>
          </cell>
          <cell r="H8663">
            <v>45652</v>
          </cell>
          <cell r="I8663">
            <v>0.81</v>
          </cell>
          <cell r="J8663">
            <v>24.456666666666663</v>
          </cell>
        </row>
        <row r="8664">
          <cell r="B8664">
            <v>27.66</v>
          </cell>
          <cell r="C8664">
            <v>54.38</v>
          </cell>
          <cell r="D8664">
            <v>20.39</v>
          </cell>
          <cell r="E8664">
            <v>9.26</v>
          </cell>
          <cell r="H8664">
            <v>45652</v>
          </cell>
          <cell r="I8664">
            <v>0.79777777777777781</v>
          </cell>
          <cell r="J8664">
            <v>24.412222222222219</v>
          </cell>
        </row>
        <row r="8665">
          <cell r="B8665">
            <v>27.23</v>
          </cell>
          <cell r="C8665">
            <v>52.85</v>
          </cell>
          <cell r="D8665">
            <v>19.989999999999998</v>
          </cell>
          <cell r="E8665">
            <v>9.1199999999999992</v>
          </cell>
          <cell r="H8665">
            <v>45652</v>
          </cell>
          <cell r="I8665">
            <v>0.77333333333333332</v>
          </cell>
          <cell r="J8665">
            <v>24.304444444444442</v>
          </cell>
        </row>
        <row r="8666">
          <cell r="B8666">
            <v>27.94</v>
          </cell>
          <cell r="C8666">
            <v>50.36</v>
          </cell>
          <cell r="D8666">
            <v>19.78</v>
          </cell>
          <cell r="E8666">
            <v>9.36</v>
          </cell>
          <cell r="H8666">
            <v>45653</v>
          </cell>
          <cell r="I8666">
            <v>0.76111111111111118</v>
          </cell>
          <cell r="J8666">
            <v>24.216666666666665</v>
          </cell>
        </row>
        <row r="8667">
          <cell r="B8667">
            <v>26.21</v>
          </cell>
          <cell r="C8667">
            <v>48.73</v>
          </cell>
          <cell r="D8667">
            <v>19.440000000000001</v>
          </cell>
          <cell r="E8667">
            <v>8.84</v>
          </cell>
          <cell r="H8667">
            <v>45653</v>
          </cell>
          <cell r="I8667">
            <v>0.73111111111111116</v>
          </cell>
          <cell r="J8667">
            <v>24.087777777777781</v>
          </cell>
        </row>
        <row r="8668">
          <cell r="B8668">
            <v>26.85</v>
          </cell>
          <cell r="C8668">
            <v>50.15</v>
          </cell>
          <cell r="D8668">
            <v>19.510000000000002</v>
          </cell>
          <cell r="E8668">
            <v>9.0399999999999991</v>
          </cell>
          <cell r="H8668">
            <v>45653</v>
          </cell>
          <cell r="I8668">
            <v>0.70444444444444443</v>
          </cell>
          <cell r="J8668">
            <v>24.034444444444446</v>
          </cell>
        </row>
        <row r="8669">
          <cell r="B8669">
            <v>26.24</v>
          </cell>
          <cell r="C8669">
            <v>48.94</v>
          </cell>
          <cell r="D8669">
            <v>19.510000000000002</v>
          </cell>
          <cell r="E8669">
            <v>9.15</v>
          </cell>
          <cell r="H8669">
            <v>45653</v>
          </cell>
          <cell r="I8669">
            <v>0.66888888888888898</v>
          </cell>
          <cell r="J8669">
            <v>24.06666666666667</v>
          </cell>
        </row>
        <row r="8670">
          <cell r="B8670">
            <v>25.79</v>
          </cell>
          <cell r="C8670">
            <v>48</v>
          </cell>
          <cell r="D8670">
            <v>19.62</v>
          </cell>
          <cell r="E8670">
            <v>8.82</v>
          </cell>
          <cell r="H8670">
            <v>45653</v>
          </cell>
          <cell r="I8670">
            <v>0.64000000000000012</v>
          </cell>
          <cell r="J8670">
            <v>23.953333333333333</v>
          </cell>
        </row>
        <row r="8671">
          <cell r="B8671">
            <v>25.35</v>
          </cell>
          <cell r="C8671">
            <v>47.38</v>
          </cell>
          <cell r="D8671">
            <v>19.96</v>
          </cell>
          <cell r="E8671">
            <v>8.5</v>
          </cell>
          <cell r="H8671">
            <v>45653</v>
          </cell>
          <cell r="I8671">
            <v>0.62222222222222223</v>
          </cell>
          <cell r="J8671">
            <v>23.788888888888888</v>
          </cell>
        </row>
        <row r="8672">
          <cell r="B8672">
            <v>26.17</v>
          </cell>
          <cell r="C8672">
            <v>51.7</v>
          </cell>
          <cell r="D8672">
            <v>20.03</v>
          </cell>
          <cell r="E8672">
            <v>8.4600000000000009</v>
          </cell>
          <cell r="H8672">
            <v>45653</v>
          </cell>
          <cell r="I8672">
            <v>0.62111111111111117</v>
          </cell>
          <cell r="J8672">
            <v>23.627777777777776</v>
          </cell>
        </row>
        <row r="8673">
          <cell r="B8673">
            <v>29.83</v>
          </cell>
          <cell r="C8673">
            <v>55.87</v>
          </cell>
          <cell r="D8673">
            <v>20.11</v>
          </cell>
          <cell r="E8673">
            <v>8.36</v>
          </cell>
          <cell r="H8673">
            <v>45653</v>
          </cell>
          <cell r="I8673">
            <v>0.6366666666666666</v>
          </cell>
          <cell r="J8673">
            <v>23.385555555555552</v>
          </cell>
        </row>
        <row r="8674">
          <cell r="B8674">
            <v>31.91</v>
          </cell>
          <cell r="C8674">
            <v>61.22</v>
          </cell>
          <cell r="D8674">
            <v>20.350000000000001</v>
          </cell>
          <cell r="E8674">
            <v>9.1199999999999992</v>
          </cell>
          <cell r="H8674">
            <v>45653</v>
          </cell>
          <cell r="I8674">
            <v>0.65444444444444438</v>
          </cell>
          <cell r="J8674">
            <v>23.219999999999995</v>
          </cell>
        </row>
        <row r="8675">
          <cell r="B8675">
            <v>30.34</v>
          </cell>
          <cell r="C8675">
            <v>60.69</v>
          </cell>
          <cell r="D8675">
            <v>20.22</v>
          </cell>
          <cell r="E8675">
            <v>9.02</v>
          </cell>
          <cell r="H8675">
            <v>45653</v>
          </cell>
          <cell r="I8675">
            <v>0.67888888888888888</v>
          </cell>
          <cell r="J8675">
            <v>23.163333333333334</v>
          </cell>
        </row>
        <row r="8676">
          <cell r="B8676">
            <v>26.44</v>
          </cell>
          <cell r="C8676">
            <v>56.7</v>
          </cell>
          <cell r="D8676">
            <v>19.86</v>
          </cell>
          <cell r="E8676">
            <v>9.39</v>
          </cell>
          <cell r="H8676">
            <v>45653</v>
          </cell>
          <cell r="I8676">
            <v>0.69444444444444431</v>
          </cell>
          <cell r="J8676">
            <v>23.268888888888888</v>
          </cell>
        </row>
        <row r="8677">
          <cell r="B8677">
            <v>25.26</v>
          </cell>
          <cell r="C8677">
            <v>53.36</v>
          </cell>
          <cell r="D8677">
            <v>19.510000000000002</v>
          </cell>
          <cell r="E8677">
            <v>9.23</v>
          </cell>
          <cell r="H8677">
            <v>45653</v>
          </cell>
          <cell r="I8677">
            <v>0.7155555555555555</v>
          </cell>
          <cell r="J8677">
            <v>23.353333333333332</v>
          </cell>
        </row>
        <row r="8678">
          <cell r="B8678">
            <v>24.87</v>
          </cell>
          <cell r="C8678">
            <v>51.96</v>
          </cell>
          <cell r="D8678">
            <v>19.45</v>
          </cell>
          <cell r="E8678">
            <v>8.6999999999999993</v>
          </cell>
          <cell r="H8678">
            <v>45653</v>
          </cell>
          <cell r="I8678">
            <v>0.73777777777777787</v>
          </cell>
          <cell r="J8678">
            <v>23.346666666666668</v>
          </cell>
        </row>
        <row r="8679">
          <cell r="B8679">
            <v>22.14</v>
          </cell>
          <cell r="C8679">
            <v>45.61</v>
          </cell>
          <cell r="D8679">
            <v>19.78</v>
          </cell>
          <cell r="E8679">
            <v>8.77</v>
          </cell>
          <cell r="H8679">
            <v>45653</v>
          </cell>
          <cell r="I8679">
            <v>0.75111111111111106</v>
          </cell>
          <cell r="J8679">
            <v>23.37777777777778</v>
          </cell>
        </row>
        <row r="8680">
          <cell r="B8680">
            <v>18.600000000000001</v>
          </cell>
          <cell r="C8680">
            <v>39.19</v>
          </cell>
          <cell r="D8680">
            <v>19.84</v>
          </cell>
          <cell r="E8680">
            <v>9.06</v>
          </cell>
          <cell r="H8680">
            <v>45653</v>
          </cell>
          <cell r="I8680">
            <v>0.76</v>
          </cell>
          <cell r="J8680">
            <v>23.468888888888891</v>
          </cell>
        </row>
        <row r="8681">
          <cell r="B8681">
            <v>19.48</v>
          </cell>
          <cell r="C8681">
            <v>41.27</v>
          </cell>
          <cell r="D8681">
            <v>19.96</v>
          </cell>
          <cell r="E8681">
            <v>9.1300000000000008</v>
          </cell>
          <cell r="H8681">
            <v>45653</v>
          </cell>
          <cell r="I8681">
            <v>0.76555555555555566</v>
          </cell>
          <cell r="J8681">
            <v>23.572222222222223</v>
          </cell>
        </row>
        <row r="8682">
          <cell r="B8682">
            <v>20.07</v>
          </cell>
          <cell r="C8682">
            <v>42.89</v>
          </cell>
          <cell r="D8682">
            <v>20.49</v>
          </cell>
          <cell r="E8682">
            <v>9.44</v>
          </cell>
          <cell r="H8682">
            <v>45653</v>
          </cell>
          <cell r="I8682">
            <v>0.76777777777777789</v>
          </cell>
          <cell r="J8682">
            <v>23.753333333333334</v>
          </cell>
        </row>
        <row r="8683">
          <cell r="B8683">
            <v>21.72</v>
          </cell>
          <cell r="C8683">
            <v>47.49</v>
          </cell>
          <cell r="D8683">
            <v>20.25</v>
          </cell>
          <cell r="E8683">
            <v>9.3800000000000008</v>
          </cell>
          <cell r="H8683">
            <v>45653</v>
          </cell>
          <cell r="I8683">
            <v>0.76222222222222225</v>
          </cell>
          <cell r="J8683">
            <v>23.875555555555557</v>
          </cell>
        </row>
        <row r="8684">
          <cell r="B8684">
            <v>22.39</v>
          </cell>
          <cell r="C8684">
            <v>47.94</v>
          </cell>
          <cell r="D8684">
            <v>20.56</v>
          </cell>
          <cell r="E8684">
            <v>9.75</v>
          </cell>
          <cell r="H8684">
            <v>45653</v>
          </cell>
          <cell r="I8684">
            <v>0.76666666666666672</v>
          </cell>
          <cell r="J8684">
            <v>23.878888888888884</v>
          </cell>
        </row>
        <row r="8685">
          <cell r="B8685">
            <v>23.96</v>
          </cell>
          <cell r="C8685">
            <v>50.33</v>
          </cell>
          <cell r="D8685">
            <v>20.74</v>
          </cell>
          <cell r="E8685">
            <v>9.68</v>
          </cell>
          <cell r="H8685">
            <v>45653</v>
          </cell>
          <cell r="I8685">
            <v>0.78222222222222237</v>
          </cell>
          <cell r="J8685">
            <v>23.688888888888886</v>
          </cell>
        </row>
        <row r="8686">
          <cell r="B8686">
            <v>26.27</v>
          </cell>
          <cell r="C8686">
            <v>52.46</v>
          </cell>
          <cell r="D8686">
            <v>20.54</v>
          </cell>
          <cell r="E8686">
            <v>9.68</v>
          </cell>
          <cell r="H8686">
            <v>45653</v>
          </cell>
          <cell r="I8686">
            <v>0.7811111111111112</v>
          </cell>
          <cell r="J8686">
            <v>23.51</v>
          </cell>
        </row>
        <row r="8687">
          <cell r="B8687">
            <v>27.23</v>
          </cell>
          <cell r="C8687">
            <v>54.29</v>
          </cell>
          <cell r="D8687">
            <v>20.48</v>
          </cell>
          <cell r="E8687">
            <v>9.3699999999999992</v>
          </cell>
          <cell r="H8687">
            <v>45653</v>
          </cell>
          <cell r="I8687">
            <v>0.76888888888888896</v>
          </cell>
          <cell r="J8687">
            <v>23.46</v>
          </cell>
        </row>
        <row r="8688">
          <cell r="B8688">
            <v>26.45</v>
          </cell>
          <cell r="C8688">
            <v>53.16</v>
          </cell>
          <cell r="D8688">
            <v>20.22</v>
          </cell>
          <cell r="E8688">
            <v>9.4</v>
          </cell>
          <cell r="H8688">
            <v>45653</v>
          </cell>
          <cell r="I8688">
            <v>0.75888888888888895</v>
          </cell>
          <cell r="J8688">
            <v>23.447777777777777</v>
          </cell>
        </row>
        <row r="8689">
          <cell r="B8689">
            <v>24.74</v>
          </cell>
          <cell r="C8689">
            <v>50.79</v>
          </cell>
          <cell r="D8689">
            <v>20.079999999999998</v>
          </cell>
          <cell r="E8689">
            <v>9.1199999999999992</v>
          </cell>
          <cell r="H8689">
            <v>45653</v>
          </cell>
          <cell r="I8689">
            <v>0.74333333333333329</v>
          </cell>
          <cell r="J8689">
            <v>23.507777777777775</v>
          </cell>
        </row>
        <row r="8690">
          <cell r="B8690">
            <v>23.99</v>
          </cell>
          <cell r="C8690">
            <v>48.17</v>
          </cell>
          <cell r="D8690">
            <v>19.690000000000001</v>
          </cell>
          <cell r="E8690">
            <v>9.33</v>
          </cell>
          <cell r="H8690">
            <v>45654</v>
          </cell>
          <cell r="I8690">
            <v>0.72666666666666657</v>
          </cell>
          <cell r="J8690">
            <v>23.611111111111111</v>
          </cell>
        </row>
        <row r="8691">
          <cell r="B8691">
            <v>24.34</v>
          </cell>
          <cell r="C8691">
            <v>48.34</v>
          </cell>
          <cell r="D8691">
            <v>19.55</v>
          </cell>
          <cell r="E8691">
            <v>9.61</v>
          </cell>
          <cell r="H8691">
            <v>45654</v>
          </cell>
          <cell r="I8691">
            <v>0.70444444444444432</v>
          </cell>
          <cell r="J8691">
            <v>23.794444444444444</v>
          </cell>
        </row>
        <row r="8692">
          <cell r="B8692">
            <v>23.96</v>
          </cell>
          <cell r="C8692">
            <v>48.78</v>
          </cell>
          <cell r="D8692">
            <v>19.579999999999998</v>
          </cell>
          <cell r="E8692">
            <v>9.32</v>
          </cell>
          <cell r="H8692">
            <v>45654</v>
          </cell>
          <cell r="I8692">
            <v>0.69</v>
          </cell>
          <cell r="J8692">
            <v>23.89</v>
          </cell>
        </row>
        <row r="8693">
          <cell r="B8693">
            <v>26.39</v>
          </cell>
          <cell r="C8693">
            <v>49.56</v>
          </cell>
          <cell r="D8693">
            <v>19.57</v>
          </cell>
          <cell r="E8693">
            <v>8.94</v>
          </cell>
          <cell r="H8693">
            <v>45654</v>
          </cell>
          <cell r="I8693">
            <v>0.66111111111111109</v>
          </cell>
          <cell r="J8693">
            <v>24.07</v>
          </cell>
        </row>
        <row r="8694">
          <cell r="B8694">
            <v>26.52</v>
          </cell>
          <cell r="C8694">
            <v>50.41</v>
          </cell>
          <cell r="D8694">
            <v>19.59</v>
          </cell>
          <cell r="E8694">
            <v>9.3699999999999992</v>
          </cell>
          <cell r="H8694">
            <v>45654</v>
          </cell>
          <cell r="I8694">
            <v>0.63111111111111118</v>
          </cell>
          <cell r="J8694">
            <v>24.277777777777779</v>
          </cell>
        </row>
        <row r="8695">
          <cell r="B8695">
            <v>26.49</v>
          </cell>
          <cell r="C8695">
            <v>52.76</v>
          </cell>
          <cell r="D8695">
            <v>19.64</v>
          </cell>
          <cell r="E8695">
            <v>9.17</v>
          </cell>
          <cell r="H8695">
            <v>45654</v>
          </cell>
          <cell r="I8695">
            <v>0.61555555555555552</v>
          </cell>
          <cell r="J8695">
            <v>24.43</v>
          </cell>
        </row>
        <row r="8696">
          <cell r="B8696">
            <v>30.79</v>
          </cell>
          <cell r="C8696">
            <v>57.61</v>
          </cell>
          <cell r="D8696">
            <v>19.899999999999999</v>
          </cell>
          <cell r="E8696">
            <v>9.08</v>
          </cell>
          <cell r="H8696">
            <v>45654</v>
          </cell>
          <cell r="I8696">
            <v>0.61222222222222222</v>
          </cell>
          <cell r="J8696">
            <v>24.603333333333328</v>
          </cell>
        </row>
        <row r="8697">
          <cell r="B8697">
            <v>35.44</v>
          </cell>
          <cell r="C8697">
            <v>65.05</v>
          </cell>
          <cell r="D8697">
            <v>19.73</v>
          </cell>
          <cell r="E8697">
            <v>9.0299999999999994</v>
          </cell>
          <cell r="H8697">
            <v>45654</v>
          </cell>
          <cell r="I8697">
            <v>0.62111111111111095</v>
          </cell>
          <cell r="J8697">
            <v>24.726666666666663</v>
          </cell>
        </row>
        <row r="8698">
          <cell r="B8698">
            <v>37.99</v>
          </cell>
          <cell r="C8698">
            <v>69.87</v>
          </cell>
          <cell r="D8698">
            <v>20.05</v>
          </cell>
          <cell r="E8698">
            <v>9.82</v>
          </cell>
          <cell r="H8698">
            <v>45654</v>
          </cell>
          <cell r="I8698">
            <v>0.64</v>
          </cell>
          <cell r="J8698">
            <v>24.837777777777777</v>
          </cell>
        </row>
        <row r="8699">
          <cell r="B8699">
            <v>38.159999999999997</v>
          </cell>
          <cell r="C8699">
            <v>71.760000000000005</v>
          </cell>
          <cell r="D8699">
            <v>19.77</v>
          </cell>
          <cell r="E8699">
            <v>9.74</v>
          </cell>
          <cell r="H8699">
            <v>45654</v>
          </cell>
          <cell r="I8699">
            <v>0.6544444444444445</v>
          </cell>
          <cell r="J8699">
            <v>24.966666666666669</v>
          </cell>
        </row>
        <row r="8700">
          <cell r="B8700">
            <v>35.83</v>
          </cell>
          <cell r="C8700">
            <v>70.650000000000006</v>
          </cell>
          <cell r="D8700">
            <v>19.36</v>
          </cell>
          <cell r="E8700">
            <v>9.9600000000000009</v>
          </cell>
          <cell r="H8700">
            <v>45654</v>
          </cell>
          <cell r="I8700">
            <v>0.67444444444444451</v>
          </cell>
          <cell r="J8700">
            <v>24.995555555555558</v>
          </cell>
        </row>
        <row r="8701">
          <cell r="B8701">
            <v>32.75</v>
          </cell>
          <cell r="C8701">
            <v>66</v>
          </cell>
          <cell r="D8701">
            <v>19.329999999999998</v>
          </cell>
          <cell r="E8701">
            <v>10.09</v>
          </cell>
          <cell r="H8701">
            <v>45654</v>
          </cell>
          <cell r="I8701">
            <v>0.68777777777777771</v>
          </cell>
          <cell r="J8701">
            <v>25.191111111111113</v>
          </cell>
        </row>
        <row r="8702">
          <cell r="B8702">
            <v>29.82</v>
          </cell>
          <cell r="C8702">
            <v>61.72</v>
          </cell>
          <cell r="D8702">
            <v>19.579999999999998</v>
          </cell>
          <cell r="E8702">
            <v>9.92</v>
          </cell>
          <cell r="H8702">
            <v>45654</v>
          </cell>
          <cell r="I8702">
            <v>0.70555555555555549</v>
          </cell>
          <cell r="J8702">
            <v>25.355555555555561</v>
          </cell>
        </row>
        <row r="8703">
          <cell r="B8703">
            <v>30.13</v>
          </cell>
          <cell r="C8703">
            <v>63.3</v>
          </cell>
          <cell r="D8703">
            <v>19.66</v>
          </cell>
          <cell r="E8703">
            <v>9.4700000000000006</v>
          </cell>
          <cell r="H8703">
            <v>45654</v>
          </cell>
          <cell r="I8703">
            <v>0.71333333333333337</v>
          </cell>
          <cell r="J8703">
            <v>25.526666666666671</v>
          </cell>
        </row>
        <row r="8704">
          <cell r="B8704">
            <v>29.54</v>
          </cell>
          <cell r="C8704">
            <v>62.21</v>
          </cell>
          <cell r="D8704">
            <v>19.89</v>
          </cell>
          <cell r="E8704">
            <v>8.9600000000000009</v>
          </cell>
          <cell r="H8704">
            <v>45654</v>
          </cell>
          <cell r="I8704">
            <v>0.71666666666666667</v>
          </cell>
          <cell r="J8704">
            <v>25.704444444444444</v>
          </cell>
        </row>
        <row r="8705">
          <cell r="B8705">
            <v>29.44</v>
          </cell>
          <cell r="C8705">
            <v>62.81</v>
          </cell>
          <cell r="D8705">
            <v>20.010000000000002</v>
          </cell>
          <cell r="E8705">
            <v>8.86</v>
          </cell>
          <cell r="H8705">
            <v>45654</v>
          </cell>
          <cell r="I8705">
            <v>0.7122222222222222</v>
          </cell>
          <cell r="J8705">
            <v>25.858888888888892</v>
          </cell>
        </row>
        <row r="8706">
          <cell r="B8706">
            <v>29.75</v>
          </cell>
          <cell r="C8706">
            <v>64.8</v>
          </cell>
          <cell r="D8706">
            <v>20.7</v>
          </cell>
          <cell r="E8706">
            <v>9.82</v>
          </cell>
          <cell r="H8706">
            <v>45654</v>
          </cell>
          <cell r="I8706">
            <v>0.70777777777777773</v>
          </cell>
          <cell r="J8706">
            <v>25.990000000000002</v>
          </cell>
        </row>
        <row r="8707">
          <cell r="B8707">
            <v>29.88</v>
          </cell>
          <cell r="C8707">
            <v>67.38</v>
          </cell>
          <cell r="D8707">
            <v>21.07</v>
          </cell>
          <cell r="E8707">
            <v>10.06</v>
          </cell>
          <cell r="H8707">
            <v>45654</v>
          </cell>
          <cell r="I8707">
            <v>0.70444444444444443</v>
          </cell>
          <cell r="J8707">
            <v>25.97666666666667</v>
          </cell>
        </row>
        <row r="8708">
          <cell r="B8708">
            <v>33.24</v>
          </cell>
          <cell r="C8708">
            <v>74.81</v>
          </cell>
          <cell r="D8708">
            <v>22.31</v>
          </cell>
          <cell r="E8708">
            <v>9.89</v>
          </cell>
          <cell r="H8708">
            <v>45654</v>
          </cell>
          <cell r="I8708">
            <v>0.72333333333333327</v>
          </cell>
          <cell r="J8708">
            <v>25.644444444444446</v>
          </cell>
        </row>
        <row r="8709">
          <cell r="B8709">
            <v>44.38</v>
          </cell>
          <cell r="C8709">
            <v>91.16</v>
          </cell>
          <cell r="D8709">
            <v>23.31</v>
          </cell>
          <cell r="E8709">
            <v>10.62</v>
          </cell>
          <cell r="H8709">
            <v>45654</v>
          </cell>
          <cell r="I8709">
            <v>0.74888888888888894</v>
          </cell>
          <cell r="J8709">
            <v>25.254444444444445</v>
          </cell>
        </row>
        <row r="8710">
          <cell r="B8710">
            <v>46.36</v>
          </cell>
          <cell r="C8710">
            <v>98.23</v>
          </cell>
          <cell r="D8710">
            <v>24.65</v>
          </cell>
          <cell r="E8710">
            <v>10.47</v>
          </cell>
          <cell r="H8710">
            <v>45654</v>
          </cell>
          <cell r="I8710">
            <v>0.7711111111111113</v>
          </cell>
          <cell r="J8710">
            <v>24.793333333333337</v>
          </cell>
        </row>
        <row r="8711">
          <cell r="B8711">
            <v>47.75</v>
          </cell>
          <cell r="C8711">
            <v>95.37</v>
          </cell>
          <cell r="D8711">
            <v>24.05</v>
          </cell>
          <cell r="E8711">
            <v>9.64</v>
          </cell>
          <cell r="H8711">
            <v>45654</v>
          </cell>
          <cell r="I8711">
            <v>0.78333333333333344</v>
          </cell>
          <cell r="J8711">
            <v>24.44</v>
          </cell>
        </row>
        <row r="8712">
          <cell r="B8712">
            <v>45.57</v>
          </cell>
          <cell r="C8712">
            <v>91.67</v>
          </cell>
          <cell r="D8712">
            <v>23.06</v>
          </cell>
          <cell r="E8712">
            <v>9.92</v>
          </cell>
          <cell r="H8712">
            <v>45654</v>
          </cell>
          <cell r="I8712">
            <v>0.78888888888888886</v>
          </cell>
          <cell r="J8712">
            <v>24.163333333333338</v>
          </cell>
        </row>
        <row r="8713">
          <cell r="B8713">
            <v>43.78</v>
          </cell>
          <cell r="C8713">
            <v>86.43</v>
          </cell>
          <cell r="D8713">
            <v>22.24</v>
          </cell>
          <cell r="E8713">
            <v>9.5399999999999991</v>
          </cell>
          <cell r="H8713">
            <v>45654</v>
          </cell>
          <cell r="I8713">
            <v>0.78666666666666663</v>
          </cell>
          <cell r="J8713">
            <v>23.90666666666667</v>
          </cell>
        </row>
        <row r="8714">
          <cell r="B8714">
            <v>40.11</v>
          </cell>
          <cell r="C8714">
            <v>79.150000000000006</v>
          </cell>
          <cell r="D8714">
            <v>21.83</v>
          </cell>
          <cell r="E8714">
            <v>9.64</v>
          </cell>
          <cell r="H8714">
            <v>45655</v>
          </cell>
          <cell r="I8714">
            <v>0.79</v>
          </cell>
          <cell r="J8714">
            <v>23.646666666666668</v>
          </cell>
        </row>
        <row r="8715">
          <cell r="B8715">
            <v>35.450000000000003</v>
          </cell>
          <cell r="C8715">
            <v>68.94</v>
          </cell>
          <cell r="D8715">
            <v>21.75</v>
          </cell>
          <cell r="E8715">
            <v>9.5399999999999991</v>
          </cell>
          <cell r="H8715">
            <v>45655</v>
          </cell>
          <cell r="I8715">
            <v>0.79</v>
          </cell>
          <cell r="J8715">
            <v>23.422222222222224</v>
          </cell>
        </row>
        <row r="8716">
          <cell r="B8716">
            <v>33.93</v>
          </cell>
          <cell r="C8716">
            <v>63.78</v>
          </cell>
          <cell r="D8716">
            <v>21.87</v>
          </cell>
          <cell r="E8716">
            <v>9.65</v>
          </cell>
          <cell r="H8716">
            <v>45655</v>
          </cell>
          <cell r="I8716">
            <v>0.80222222222222217</v>
          </cell>
          <cell r="J8716">
            <v>23.466666666666669</v>
          </cell>
        </row>
        <row r="8717">
          <cell r="B8717">
            <v>33.14</v>
          </cell>
          <cell r="C8717">
            <v>61.94</v>
          </cell>
          <cell r="D8717">
            <v>21.54</v>
          </cell>
          <cell r="E8717">
            <v>9.75</v>
          </cell>
          <cell r="H8717">
            <v>45655</v>
          </cell>
          <cell r="I8717">
            <v>0.77111111111111108</v>
          </cell>
          <cell r="J8717">
            <v>23.814444444444447</v>
          </cell>
        </row>
        <row r="8718">
          <cell r="B8718">
            <v>29.2</v>
          </cell>
          <cell r="C8718">
            <v>59.71</v>
          </cell>
          <cell r="D8718">
            <v>21.57</v>
          </cell>
          <cell r="E8718">
            <v>9.58</v>
          </cell>
          <cell r="H8718">
            <v>45655</v>
          </cell>
          <cell r="I8718">
            <v>0.73666666666666669</v>
          </cell>
          <cell r="J8718">
            <v>24.213333333333331</v>
          </cell>
        </row>
        <row r="8719">
          <cell r="B8719">
            <v>27.27</v>
          </cell>
          <cell r="C8719">
            <v>57.53</v>
          </cell>
          <cell r="D8719">
            <v>22</v>
          </cell>
          <cell r="E8719">
            <v>9.32</v>
          </cell>
          <cell r="H8719">
            <v>45655</v>
          </cell>
          <cell r="I8719">
            <v>0.71666666666666656</v>
          </cell>
          <cell r="J8719">
            <v>24.534444444444446</v>
          </cell>
        </row>
        <row r="8720">
          <cell r="B8720">
            <v>31.51</v>
          </cell>
          <cell r="C8720">
            <v>61.16</v>
          </cell>
          <cell r="D8720">
            <v>22.01</v>
          </cell>
          <cell r="E8720">
            <v>9.41</v>
          </cell>
          <cell r="H8720">
            <v>45655</v>
          </cell>
          <cell r="I8720">
            <v>0.71333333333333337</v>
          </cell>
          <cell r="J8720">
            <v>24.723333333333333</v>
          </cell>
        </row>
        <row r="8721">
          <cell r="B8721">
            <v>31.1</v>
          </cell>
          <cell r="C8721">
            <v>60.46</v>
          </cell>
          <cell r="D8721">
            <v>20.54</v>
          </cell>
          <cell r="E8721">
            <v>8.75</v>
          </cell>
          <cell r="H8721">
            <v>45655</v>
          </cell>
          <cell r="I8721">
            <v>0.7088888888888889</v>
          </cell>
          <cell r="J8721">
            <v>24.923333333333332</v>
          </cell>
        </row>
        <row r="8722">
          <cell r="B8722">
            <v>32.15</v>
          </cell>
          <cell r="C8722">
            <v>62.4</v>
          </cell>
          <cell r="D8722">
            <v>20.53</v>
          </cell>
          <cell r="E8722">
            <v>9.23</v>
          </cell>
          <cell r="H8722">
            <v>45655</v>
          </cell>
          <cell r="I8722">
            <v>0.71444444444444444</v>
          </cell>
          <cell r="J8722">
            <v>25.217777777777776</v>
          </cell>
        </row>
        <row r="8723">
          <cell r="B8723">
            <v>32.21</v>
          </cell>
          <cell r="C8723">
            <v>61.89</v>
          </cell>
          <cell r="D8723">
            <v>21.12</v>
          </cell>
          <cell r="E8723">
            <v>9.3800000000000008</v>
          </cell>
          <cell r="H8723">
            <v>45655</v>
          </cell>
          <cell r="I8723">
            <v>0.7155555555555555</v>
          </cell>
          <cell r="J8723">
            <v>25.518888888888885</v>
          </cell>
        </row>
        <row r="8724">
          <cell r="B8724">
            <v>31.96</v>
          </cell>
          <cell r="C8724">
            <v>60.7</v>
          </cell>
          <cell r="D8724">
            <v>20.86</v>
          </cell>
          <cell r="E8724">
            <v>9.57</v>
          </cell>
          <cell r="H8724">
            <v>45655</v>
          </cell>
          <cell r="I8724">
            <v>0.71888888888888891</v>
          </cell>
          <cell r="J8724">
            <v>25.858888888888888</v>
          </cell>
        </row>
        <row r="8725">
          <cell r="B8725">
            <v>33.08</v>
          </cell>
          <cell r="C8725">
            <v>60.36</v>
          </cell>
          <cell r="D8725">
            <v>20.71</v>
          </cell>
          <cell r="E8725">
            <v>9.34</v>
          </cell>
          <cell r="H8725">
            <v>45655</v>
          </cell>
          <cell r="I8725">
            <v>0.70333333333333337</v>
          </cell>
          <cell r="J8725">
            <v>26.164444444444442</v>
          </cell>
        </row>
        <row r="8726">
          <cell r="B8726">
            <v>32.29</v>
          </cell>
          <cell r="C8726">
            <v>58.38</v>
          </cell>
          <cell r="D8726">
            <v>21.35</v>
          </cell>
          <cell r="E8726">
            <v>9.35</v>
          </cell>
          <cell r="H8726">
            <v>45655</v>
          </cell>
          <cell r="I8726">
            <v>0.7088888888888889</v>
          </cell>
          <cell r="J8726">
            <v>26.557777777777776</v>
          </cell>
        </row>
        <row r="8727">
          <cell r="B8727">
            <v>31.31</v>
          </cell>
          <cell r="C8727">
            <v>55.88</v>
          </cell>
          <cell r="D8727">
            <v>21.64</v>
          </cell>
          <cell r="E8727">
            <v>9.19</v>
          </cell>
          <cell r="H8727">
            <v>45655</v>
          </cell>
          <cell r="I8727">
            <v>0.7088888888888889</v>
          </cell>
          <cell r="J8727">
            <v>26.961111111111109</v>
          </cell>
        </row>
        <row r="8728">
          <cell r="B8728">
            <v>28.13</v>
          </cell>
          <cell r="C8728">
            <v>54.53</v>
          </cell>
          <cell r="D8728">
            <v>21.58</v>
          </cell>
          <cell r="E8728">
            <v>8.69</v>
          </cell>
          <cell r="H8728">
            <v>45655</v>
          </cell>
          <cell r="I8728">
            <v>0.70111111111111102</v>
          </cell>
          <cell r="J8728">
            <v>27.40111111111111</v>
          </cell>
        </row>
        <row r="8729">
          <cell r="B8729">
            <v>25.03</v>
          </cell>
          <cell r="C8729">
            <v>50.92</v>
          </cell>
          <cell r="D8729">
            <v>21.91</v>
          </cell>
          <cell r="E8729">
            <v>8.91</v>
          </cell>
          <cell r="H8729">
            <v>45655</v>
          </cell>
          <cell r="I8729">
            <v>0.68333333333333335</v>
          </cell>
          <cell r="J8729">
            <v>27.65</v>
          </cell>
        </row>
        <row r="8730">
          <cell r="B8730">
            <v>22.98</v>
          </cell>
          <cell r="C8730">
            <v>49.28</v>
          </cell>
          <cell r="D8730">
            <v>22.05</v>
          </cell>
          <cell r="E8730">
            <v>9.6</v>
          </cell>
          <cell r="H8730">
            <v>45655</v>
          </cell>
          <cell r="I8730">
            <v>0.67444444444444451</v>
          </cell>
          <cell r="J8730">
            <v>27.82</v>
          </cell>
        </row>
        <row r="8731">
          <cell r="B8731">
            <v>24.65</v>
          </cell>
          <cell r="C8731">
            <v>49.79</v>
          </cell>
          <cell r="D8731">
            <v>22.5</v>
          </cell>
          <cell r="E8731">
            <v>9.65</v>
          </cell>
          <cell r="H8731">
            <v>45655</v>
          </cell>
          <cell r="I8731">
            <v>0.67444444444444451</v>
          </cell>
          <cell r="J8731">
            <v>27.817777777777778</v>
          </cell>
        </row>
        <row r="8732">
          <cell r="B8732">
            <v>27.69</v>
          </cell>
          <cell r="C8732">
            <v>57.05</v>
          </cell>
          <cell r="D8732">
            <v>23.23</v>
          </cell>
          <cell r="E8732">
            <v>9.4</v>
          </cell>
          <cell r="H8732">
            <v>45655</v>
          </cell>
          <cell r="I8732">
            <v>0.68666666666666676</v>
          </cell>
          <cell r="J8732">
            <v>27.668888888888894</v>
          </cell>
        </row>
        <row r="8733">
          <cell r="B8733">
            <v>32.6</v>
          </cell>
          <cell r="C8733">
            <v>64.680000000000007</v>
          </cell>
          <cell r="D8733">
            <v>23.4</v>
          </cell>
          <cell r="E8733">
            <v>9.34</v>
          </cell>
          <cell r="H8733">
            <v>45655</v>
          </cell>
          <cell r="I8733">
            <v>0.69777777777777772</v>
          </cell>
          <cell r="J8733">
            <v>27.395555555555557</v>
          </cell>
        </row>
        <row r="8734">
          <cell r="B8734">
            <v>34.78</v>
          </cell>
          <cell r="C8734">
            <v>66.12</v>
          </cell>
          <cell r="D8734">
            <v>23.28</v>
          </cell>
          <cell r="E8734">
            <v>9.32</v>
          </cell>
          <cell r="H8734">
            <v>45655</v>
          </cell>
          <cell r="I8734">
            <v>0.70777777777777784</v>
          </cell>
          <cell r="J8734">
            <v>26.977777777777778</v>
          </cell>
        </row>
        <row r="8735">
          <cell r="B8735">
            <v>35.04</v>
          </cell>
          <cell r="C8735">
            <v>65.83</v>
          </cell>
          <cell r="D8735">
            <v>23.32</v>
          </cell>
          <cell r="E8735">
            <v>9.19</v>
          </cell>
          <cell r="H8735">
            <v>45655</v>
          </cell>
          <cell r="I8735">
            <v>0.71666666666666667</v>
          </cell>
          <cell r="J8735">
            <v>26.40111111111111</v>
          </cell>
        </row>
        <row r="8736">
          <cell r="B8736">
            <v>34.340000000000003</v>
          </cell>
          <cell r="C8736">
            <v>65.63</v>
          </cell>
          <cell r="D8736">
            <v>23.02</v>
          </cell>
          <cell r="E8736">
            <v>9.0500000000000007</v>
          </cell>
          <cell r="H8736">
            <v>45655</v>
          </cell>
          <cell r="I8736">
            <v>0.72333333333333338</v>
          </cell>
          <cell r="J8736">
            <v>25.88111111111111</v>
          </cell>
        </row>
        <row r="8737">
          <cell r="B8737">
            <v>33.99</v>
          </cell>
          <cell r="C8737">
            <v>64.64</v>
          </cell>
          <cell r="D8737">
            <v>23.02</v>
          </cell>
          <cell r="E8737">
            <v>8.98</v>
          </cell>
          <cell r="H8737">
            <v>45655</v>
          </cell>
          <cell r="I8737">
            <v>0.72777777777777786</v>
          </cell>
          <cell r="J8737">
            <v>25.36888888888889</v>
          </cell>
        </row>
        <row r="8738">
          <cell r="B8738">
            <v>32.270000000000003</v>
          </cell>
          <cell r="C8738">
            <v>62.68</v>
          </cell>
          <cell r="D8738">
            <v>22.64</v>
          </cell>
          <cell r="E8738">
            <v>9.26</v>
          </cell>
          <cell r="H8738">
            <v>45656</v>
          </cell>
          <cell r="I8738">
            <v>0.72777777777777786</v>
          </cell>
          <cell r="J8738">
            <v>25.13111111111111</v>
          </cell>
        </row>
        <row r="8739">
          <cell r="B8739">
            <v>30.72</v>
          </cell>
          <cell r="C8739">
            <v>58.56</v>
          </cell>
          <cell r="D8739">
            <v>22.09</v>
          </cell>
          <cell r="E8739">
            <v>9.25</v>
          </cell>
          <cell r="H8739">
            <v>45656</v>
          </cell>
          <cell r="I8739">
            <v>0.72666666666666668</v>
          </cell>
          <cell r="J8739">
            <v>24.907777777777774</v>
          </cell>
        </row>
        <row r="8740">
          <cell r="B8740">
            <v>29.27</v>
          </cell>
          <cell r="C8740">
            <v>56.73</v>
          </cell>
          <cell r="D8740">
            <v>22.08</v>
          </cell>
          <cell r="E8740">
            <v>8.89</v>
          </cell>
          <cell r="H8740">
            <v>45656</v>
          </cell>
          <cell r="I8740">
            <v>0.72333333333333338</v>
          </cell>
          <cell r="J8740">
            <v>24.72111111111111</v>
          </cell>
        </row>
        <row r="8741">
          <cell r="B8741">
            <v>28.21</v>
          </cell>
          <cell r="C8741">
            <v>55.22</v>
          </cell>
          <cell r="D8741">
            <v>21.64</v>
          </cell>
          <cell r="E8741">
            <v>8.76</v>
          </cell>
          <cell r="H8741">
            <v>45656</v>
          </cell>
          <cell r="I8741">
            <v>0.70888888888888901</v>
          </cell>
          <cell r="J8741">
            <v>24.766666666666666</v>
          </cell>
        </row>
        <row r="8742">
          <cell r="B8742">
            <v>28.76</v>
          </cell>
          <cell r="C8742">
            <v>53.46</v>
          </cell>
          <cell r="D8742">
            <v>21.87</v>
          </cell>
          <cell r="E8742">
            <v>9.24</v>
          </cell>
          <cell r="H8742">
            <v>45656</v>
          </cell>
          <cell r="I8742">
            <v>0.69</v>
          </cell>
          <cell r="J8742">
            <v>24.876666666666665</v>
          </cell>
        </row>
        <row r="8743">
          <cell r="B8743">
            <v>30.29</v>
          </cell>
          <cell r="C8743">
            <v>54.41</v>
          </cell>
          <cell r="D8743">
            <v>21.83</v>
          </cell>
          <cell r="E8743">
            <v>9.1</v>
          </cell>
          <cell r="H8743">
            <v>45656</v>
          </cell>
          <cell r="I8743">
            <v>0.69111111111111123</v>
          </cell>
          <cell r="J8743">
            <v>24.96777777777778</v>
          </cell>
        </row>
        <row r="8744">
          <cell r="B8744">
            <v>31.62</v>
          </cell>
          <cell r="C8744">
            <v>58.15</v>
          </cell>
          <cell r="D8744">
            <v>22.34</v>
          </cell>
          <cell r="E8744">
            <v>8.86</v>
          </cell>
          <cell r="H8744">
            <v>45656</v>
          </cell>
          <cell r="I8744">
            <v>0.68444444444444441</v>
          </cell>
          <cell r="J8744">
            <v>25.077777777777779</v>
          </cell>
        </row>
        <row r="8745">
          <cell r="B8745">
            <v>32.4</v>
          </cell>
          <cell r="C8745">
            <v>64.349999999999994</v>
          </cell>
          <cell r="D8745">
            <v>22.53</v>
          </cell>
          <cell r="E8745">
            <v>8.8000000000000007</v>
          </cell>
          <cell r="H8745">
            <v>45656</v>
          </cell>
          <cell r="I8745">
            <v>0.68555555555555558</v>
          </cell>
          <cell r="J8745">
            <v>25.14</v>
          </cell>
        </row>
        <row r="8746">
          <cell r="B8746">
            <v>30.63</v>
          </cell>
          <cell r="C8746">
            <v>69.12</v>
          </cell>
          <cell r="D8746">
            <v>22.78</v>
          </cell>
          <cell r="E8746">
            <v>8.8699999999999992</v>
          </cell>
          <cell r="H8746">
            <v>45656</v>
          </cell>
          <cell r="I8746">
            <v>0.698888888888889</v>
          </cell>
          <cell r="J8746">
            <v>25.236666666666665</v>
          </cell>
        </row>
        <row r="8747">
          <cell r="B8747">
            <v>33.01</v>
          </cell>
          <cell r="C8747">
            <v>74.599999999999994</v>
          </cell>
          <cell r="D8747">
            <v>22.79</v>
          </cell>
          <cell r="E8747">
            <v>9.24</v>
          </cell>
          <cell r="H8747">
            <v>45656</v>
          </cell>
          <cell r="I8747">
            <v>0.72000000000000008</v>
          </cell>
          <cell r="J8747">
            <v>25.342222222222219</v>
          </cell>
        </row>
        <row r="8748">
          <cell r="B8748">
            <v>30.94</v>
          </cell>
          <cell r="C8748">
            <v>74.98</v>
          </cell>
          <cell r="D8748">
            <v>21.23</v>
          </cell>
          <cell r="E8748">
            <v>9.2200000000000006</v>
          </cell>
          <cell r="H8748">
            <v>45656</v>
          </cell>
          <cell r="I8748">
            <v>0.74222222222222223</v>
          </cell>
          <cell r="J8748">
            <v>25.465555555555554</v>
          </cell>
        </row>
        <row r="8749">
          <cell r="B8749">
            <v>28.91</v>
          </cell>
          <cell r="C8749">
            <v>70.72</v>
          </cell>
          <cell r="D8749">
            <v>20.239999999999998</v>
          </cell>
          <cell r="E8749">
            <v>9.35</v>
          </cell>
          <cell r="H8749">
            <v>45656</v>
          </cell>
          <cell r="I8749">
            <v>0.75222222222222213</v>
          </cell>
          <cell r="J8749">
            <v>25.620000000000005</v>
          </cell>
        </row>
        <row r="8750">
          <cell r="B8750">
            <v>26.39</v>
          </cell>
          <cell r="C8750">
            <v>62.9</v>
          </cell>
          <cell r="D8750">
            <v>20.22</v>
          </cell>
          <cell r="E8750">
            <v>8.6</v>
          </cell>
          <cell r="H8750">
            <v>45656</v>
          </cell>
          <cell r="I8750">
            <v>0.76555555555555566</v>
          </cell>
          <cell r="J8750">
            <v>25.644444444444449</v>
          </cell>
        </row>
        <row r="8751">
          <cell r="B8751">
            <v>25.58</v>
          </cell>
          <cell r="C8751">
            <v>60.48</v>
          </cell>
          <cell r="D8751">
            <v>21.18</v>
          </cell>
          <cell r="E8751">
            <v>7.67</v>
          </cell>
          <cell r="H8751">
            <v>45656</v>
          </cell>
          <cell r="I8751">
            <v>0.77444444444444438</v>
          </cell>
          <cell r="J8751">
            <v>25.675555555555558</v>
          </cell>
        </row>
        <row r="8752">
          <cell r="B8752">
            <v>24.94</v>
          </cell>
          <cell r="C8752">
            <v>64.14</v>
          </cell>
          <cell r="D8752">
            <v>19.829999999999998</v>
          </cell>
          <cell r="E8752">
            <v>8.73</v>
          </cell>
          <cell r="H8752">
            <v>45656</v>
          </cell>
          <cell r="I8752">
            <v>0.76666666666666661</v>
          </cell>
          <cell r="J8752">
            <v>25.841111111111115</v>
          </cell>
        </row>
        <row r="8753">
          <cell r="B8753">
            <v>25.51</v>
          </cell>
          <cell r="C8753">
            <v>64.27</v>
          </cell>
          <cell r="D8753">
            <v>20.059999999999999</v>
          </cell>
          <cell r="E8753">
            <v>8.61</v>
          </cell>
          <cell r="H8753">
            <v>45656</v>
          </cell>
          <cell r="I8753">
            <v>0.76444444444444448</v>
          </cell>
          <cell r="J8753">
            <v>26.026666666666664</v>
          </cell>
        </row>
        <row r="8754">
          <cell r="B8754">
            <v>26.24</v>
          </cell>
          <cell r="C8754">
            <v>66.78</v>
          </cell>
          <cell r="D8754">
            <v>20.8</v>
          </cell>
          <cell r="E8754">
            <v>9.92</v>
          </cell>
          <cell r="H8754">
            <v>45656</v>
          </cell>
          <cell r="I8754">
            <v>0.7566666666666666</v>
          </cell>
          <cell r="J8754">
            <v>26.189999999999998</v>
          </cell>
        </row>
        <row r="8755">
          <cell r="B8755">
            <v>32.119999999999997</v>
          </cell>
          <cell r="C8755">
            <v>70.53</v>
          </cell>
          <cell r="D8755">
            <v>21.78</v>
          </cell>
          <cell r="E8755">
            <v>10.29</v>
          </cell>
          <cell r="H8755">
            <v>45656</v>
          </cell>
          <cell r="I8755">
            <v>0.75</v>
          </cell>
          <cell r="J8755">
            <v>26.364444444444441</v>
          </cell>
        </row>
        <row r="8756">
          <cell r="B8756">
            <v>35.71</v>
          </cell>
          <cell r="C8756">
            <v>73.760000000000005</v>
          </cell>
          <cell r="D8756">
            <v>22.37</v>
          </cell>
          <cell r="E8756">
            <v>9.9499999999999993</v>
          </cell>
          <cell r="H8756">
            <v>45656</v>
          </cell>
          <cell r="I8756">
            <v>0.75</v>
          </cell>
          <cell r="J8756">
            <v>26.397777777777772</v>
          </cell>
        </row>
        <row r="8757">
          <cell r="B8757">
            <v>37.6</v>
          </cell>
          <cell r="C8757">
            <v>77.72</v>
          </cell>
          <cell r="D8757">
            <v>22.86</v>
          </cell>
          <cell r="E8757">
            <v>9.76</v>
          </cell>
          <cell r="H8757">
            <v>45656</v>
          </cell>
          <cell r="I8757">
            <v>0.7566666666666666</v>
          </cell>
          <cell r="J8757">
            <v>26.299999999999997</v>
          </cell>
        </row>
        <row r="8758">
          <cell r="B8758">
            <v>36.590000000000003</v>
          </cell>
          <cell r="C8758">
            <v>76.56</v>
          </cell>
          <cell r="D8758">
            <v>22.68</v>
          </cell>
          <cell r="E8758">
            <v>10.130000000000001</v>
          </cell>
          <cell r="H8758">
            <v>45656</v>
          </cell>
          <cell r="I8758">
            <v>0.75777777777777777</v>
          </cell>
          <cell r="J8758">
            <v>26.25</v>
          </cell>
        </row>
        <row r="8759">
          <cell r="B8759">
            <v>36.72</v>
          </cell>
          <cell r="C8759">
            <v>74.040000000000006</v>
          </cell>
          <cell r="D8759">
            <v>22.37</v>
          </cell>
          <cell r="E8759">
            <v>9.3800000000000008</v>
          </cell>
          <cell r="H8759">
            <v>45656</v>
          </cell>
          <cell r="I8759">
            <v>0.75333333333333341</v>
          </cell>
          <cell r="J8759">
            <v>26.275555555555556</v>
          </cell>
        </row>
        <row r="8760">
          <cell r="B8760">
            <v>37.56</v>
          </cell>
          <cell r="C8760">
            <v>72.56</v>
          </cell>
          <cell r="D8760">
            <v>22.51</v>
          </cell>
          <cell r="E8760">
            <v>9.76</v>
          </cell>
          <cell r="H8760">
            <v>45656</v>
          </cell>
          <cell r="I8760">
            <v>0.75</v>
          </cell>
          <cell r="J8760">
            <v>26.34</v>
          </cell>
        </row>
        <row r="8761">
          <cell r="B8761">
            <v>34.380000000000003</v>
          </cell>
          <cell r="C8761">
            <v>71.87</v>
          </cell>
          <cell r="D8761">
            <v>22.54</v>
          </cell>
          <cell r="E8761">
            <v>9.82</v>
          </cell>
          <cell r="H8761">
            <v>45656</v>
          </cell>
          <cell r="I8761">
            <v>0.73777777777777775</v>
          </cell>
          <cell r="J8761">
            <v>26.286666666666669</v>
          </cell>
        </row>
        <row r="8762">
          <cell r="B8762">
            <v>32.71</v>
          </cell>
          <cell r="C8762">
            <v>68.260000000000005</v>
          </cell>
          <cell r="D8762">
            <v>21.9</v>
          </cell>
          <cell r="E8762">
            <v>10.01</v>
          </cell>
          <cell r="H8762">
            <v>45657</v>
          </cell>
          <cell r="I8762">
            <v>0.73</v>
          </cell>
          <cell r="J8762">
            <v>26.177777777777777</v>
          </cell>
        </row>
        <row r="8763">
          <cell r="B8763">
            <v>32.92</v>
          </cell>
          <cell r="C8763">
            <v>64.23</v>
          </cell>
          <cell r="D8763">
            <v>21.61</v>
          </cell>
          <cell r="E8763">
            <v>9.5399999999999991</v>
          </cell>
          <cell r="H8763">
            <v>45657</v>
          </cell>
          <cell r="I8763">
            <v>0.71888888888888891</v>
          </cell>
          <cell r="J8763">
            <v>26.075555555555557</v>
          </cell>
        </row>
        <row r="8764">
          <cell r="B8764">
            <v>32</v>
          </cell>
          <cell r="C8764">
            <v>61.77</v>
          </cell>
          <cell r="D8764">
            <v>21.74</v>
          </cell>
          <cell r="E8764">
            <v>10.45</v>
          </cell>
          <cell r="H8764">
            <v>45657</v>
          </cell>
          <cell r="I8764">
            <v>0.70111111111111102</v>
          </cell>
          <cell r="J8764">
            <v>25.975555555555555</v>
          </cell>
        </row>
        <row r="8765">
          <cell r="B8765">
            <v>28.45</v>
          </cell>
          <cell r="C8765">
            <v>58.33</v>
          </cell>
          <cell r="D8765">
            <v>21.59</v>
          </cell>
          <cell r="E8765">
            <v>10.79</v>
          </cell>
          <cell r="H8765">
            <v>45657</v>
          </cell>
          <cell r="I8765">
            <v>0.67333333333333334</v>
          </cell>
          <cell r="J8765">
            <v>25.904444444444447</v>
          </cell>
        </row>
        <row r="8766">
          <cell r="B8766">
            <v>28.68</v>
          </cell>
          <cell r="C8766">
            <v>59.46</v>
          </cell>
          <cell r="D8766">
            <v>21.95</v>
          </cell>
          <cell r="E8766">
            <v>10.210000000000001</v>
          </cell>
          <cell r="H8766">
            <v>45657</v>
          </cell>
          <cell r="I8766">
            <v>0.64555555555555555</v>
          </cell>
          <cell r="J8766">
            <v>25.838888888888889</v>
          </cell>
        </row>
        <row r="8767">
          <cell r="B8767">
            <v>29.03</v>
          </cell>
          <cell r="C8767">
            <v>62.2</v>
          </cell>
          <cell r="D8767">
            <v>22.31</v>
          </cell>
          <cell r="E8767">
            <v>9.25</v>
          </cell>
          <cell r="H8767">
            <v>45657</v>
          </cell>
          <cell r="I8767">
            <v>0.63222222222222224</v>
          </cell>
          <cell r="J8767">
            <v>25.748888888888889</v>
          </cell>
        </row>
        <row r="8768">
          <cell r="B8768">
            <v>26.63</v>
          </cell>
          <cell r="C8768">
            <v>60.42</v>
          </cell>
          <cell r="D8768">
            <v>22.22</v>
          </cell>
          <cell r="E8768">
            <v>9.2799999999999994</v>
          </cell>
          <cell r="H8768">
            <v>45657</v>
          </cell>
          <cell r="I8768">
            <v>0.63666666666666671</v>
          </cell>
          <cell r="J8768">
            <v>25.606666666666669</v>
          </cell>
        </row>
        <row r="8769">
          <cell r="B8769">
            <v>33.520000000000003</v>
          </cell>
          <cell r="C8769">
            <v>68.510000000000005</v>
          </cell>
          <cell r="D8769">
            <v>22.22</v>
          </cell>
          <cell r="E8769">
            <v>9.52</v>
          </cell>
          <cell r="H8769">
            <v>45657</v>
          </cell>
          <cell r="I8769">
            <v>0.64222222222222214</v>
          </cell>
          <cell r="J8769">
            <v>25.566666666666663</v>
          </cell>
        </row>
        <row r="8770">
          <cell r="B8770">
            <v>38.19</v>
          </cell>
          <cell r="C8770">
            <v>75.67</v>
          </cell>
          <cell r="D8770">
            <v>21.84</v>
          </cell>
          <cell r="E8770">
            <v>9.64</v>
          </cell>
          <cell r="H8770">
            <v>45657</v>
          </cell>
          <cell r="I8770">
            <v>0.65333333333333343</v>
          </cell>
          <cell r="J8770">
            <v>25.684444444444441</v>
          </cell>
        </row>
        <row r="8771">
          <cell r="B8771">
            <v>37.090000000000003</v>
          </cell>
          <cell r="C8771">
            <v>72.47</v>
          </cell>
          <cell r="D8771">
            <v>21.9</v>
          </cell>
          <cell r="E8771">
            <v>9.6300000000000008</v>
          </cell>
          <cell r="H8771">
            <v>45657</v>
          </cell>
          <cell r="I8771">
            <v>0.6744444444444444</v>
          </cell>
          <cell r="J8771">
            <v>25.878888888888888</v>
          </cell>
        </row>
        <row r="8772">
          <cell r="B8772">
            <v>33.86</v>
          </cell>
          <cell r="C8772">
            <v>68.37</v>
          </cell>
          <cell r="D8772">
            <v>21.44</v>
          </cell>
          <cell r="E8772">
            <v>10.16</v>
          </cell>
          <cell r="H8772">
            <v>45657</v>
          </cell>
          <cell r="I8772">
            <v>0.68777777777777771</v>
          </cell>
          <cell r="J8772">
            <v>26.101111111111109</v>
          </cell>
        </row>
        <row r="8773">
          <cell r="B8773">
            <v>23.81</v>
          </cell>
          <cell r="C8773">
            <v>60.21</v>
          </cell>
          <cell r="D8773">
            <v>20.11</v>
          </cell>
          <cell r="E8773">
            <v>10.5</v>
          </cell>
          <cell r="H8773">
            <v>45657</v>
          </cell>
          <cell r="I8773">
            <v>0.69777777777777772</v>
          </cell>
          <cell r="J8773">
            <v>26.217777777777776</v>
          </cell>
        </row>
        <row r="8774">
          <cell r="B8774">
            <v>22.89</v>
          </cell>
          <cell r="C8774">
            <v>57.94</v>
          </cell>
          <cell r="D8774">
            <v>20.309999999999999</v>
          </cell>
          <cell r="E8774">
            <v>10.33</v>
          </cell>
          <cell r="H8774">
            <v>45657</v>
          </cell>
          <cell r="I8774">
            <v>0.7122222222222222</v>
          </cell>
          <cell r="J8774">
            <v>26.412222222222219</v>
          </cell>
        </row>
        <row r="8775">
          <cell r="B8775">
            <v>21.42</v>
          </cell>
          <cell r="C8775">
            <v>54.41</v>
          </cell>
          <cell r="D8775">
            <v>20.79</v>
          </cell>
          <cell r="E8775">
            <v>9.25</v>
          </cell>
          <cell r="H8775">
            <v>45657</v>
          </cell>
          <cell r="I8775">
            <v>0.7188888888888888</v>
          </cell>
          <cell r="J8775">
            <v>26.635555555555555</v>
          </cell>
        </row>
        <row r="8776">
          <cell r="B8776">
            <v>22.35</v>
          </cell>
          <cell r="C8776">
            <v>55.75</v>
          </cell>
          <cell r="D8776">
            <v>20.88</v>
          </cell>
          <cell r="E8776">
            <v>9.4600000000000009</v>
          </cell>
          <cell r="H8776">
            <v>45657</v>
          </cell>
          <cell r="I8776">
            <v>0.71777777777777774</v>
          </cell>
          <cell r="J8776">
            <v>26.87222222222222</v>
          </cell>
        </row>
        <row r="8777">
          <cell r="B8777">
            <v>22.08</v>
          </cell>
          <cell r="C8777">
            <v>55.87</v>
          </cell>
          <cell r="D8777">
            <v>20.89</v>
          </cell>
          <cell r="E8777">
            <v>9.32</v>
          </cell>
          <cell r="H8777">
            <v>45657</v>
          </cell>
          <cell r="I8777">
            <v>0.70111111111111113</v>
          </cell>
          <cell r="J8777">
            <v>27.056666666666661</v>
          </cell>
        </row>
        <row r="8778">
          <cell r="B8778">
            <v>20.36</v>
          </cell>
          <cell r="C8778">
            <v>54.48</v>
          </cell>
          <cell r="D8778">
            <v>22.03</v>
          </cell>
          <cell r="E8778">
            <v>9.5299999999999994</v>
          </cell>
          <cell r="H8778">
            <v>45657</v>
          </cell>
          <cell r="I8778">
            <v>0.69111111111111123</v>
          </cell>
          <cell r="J8778">
            <v>27.159999999999997</v>
          </cell>
        </row>
        <row r="8779">
          <cell r="B8779">
            <v>21.79</v>
          </cell>
          <cell r="C8779">
            <v>57.21</v>
          </cell>
          <cell r="D8779">
            <v>22.89</v>
          </cell>
          <cell r="E8779">
            <v>10.25</v>
          </cell>
          <cell r="H8779">
            <v>45657</v>
          </cell>
          <cell r="I8779">
            <v>0.68444444444444441</v>
          </cell>
          <cell r="J8779">
            <v>27.055555555555557</v>
          </cell>
        </row>
        <row r="8780">
          <cell r="B8780">
            <v>27.02</v>
          </cell>
          <cell r="C8780">
            <v>66.11</v>
          </cell>
          <cell r="D8780">
            <v>23.76</v>
          </cell>
          <cell r="E8780">
            <v>10.55</v>
          </cell>
          <cell r="H8780">
            <v>45657</v>
          </cell>
          <cell r="I8780">
            <v>0.67666666666666664</v>
          </cell>
          <cell r="J8780">
            <v>26.727777777777774</v>
          </cell>
        </row>
        <row r="8781">
          <cell r="B8781">
            <v>34.659999999999997</v>
          </cell>
          <cell r="C8781">
            <v>74.89</v>
          </cell>
          <cell r="D8781">
            <v>23.99</v>
          </cell>
          <cell r="E8781">
            <v>9.59</v>
          </cell>
          <cell r="H8781">
            <v>45657</v>
          </cell>
          <cell r="I8781">
            <v>0.68111111111111111</v>
          </cell>
          <cell r="J8781">
            <v>26.344444444444449</v>
          </cell>
        </row>
        <row r="8782">
          <cell r="B8782">
            <v>38.71</v>
          </cell>
          <cell r="C8782">
            <v>79.02</v>
          </cell>
          <cell r="D8782">
            <v>23.65</v>
          </cell>
          <cell r="E8782">
            <v>9.89</v>
          </cell>
          <cell r="H8782">
            <v>45657</v>
          </cell>
          <cell r="I8782">
            <v>0.68333333333333335</v>
          </cell>
          <cell r="J8782">
            <v>26.076666666666668</v>
          </cell>
        </row>
        <row r="8783">
          <cell r="B8783">
            <v>42.65</v>
          </cell>
          <cell r="C8783">
            <v>81.93</v>
          </cell>
          <cell r="D8783">
            <v>23.2</v>
          </cell>
          <cell r="E8783">
            <v>9.65</v>
          </cell>
          <cell r="H8783">
            <v>45657</v>
          </cell>
          <cell r="I8783">
            <v>0.68222222222222229</v>
          </cell>
          <cell r="J8783">
            <v>25.807777777777783</v>
          </cell>
        </row>
        <row r="8784">
          <cell r="B8784">
            <v>45.91</v>
          </cell>
          <cell r="C8784">
            <v>84.68</v>
          </cell>
          <cell r="D8784">
            <v>22.75</v>
          </cell>
          <cell r="E8784">
            <v>9.61</v>
          </cell>
          <cell r="H8784">
            <v>45657</v>
          </cell>
          <cell r="I8784">
            <v>0.68111111111111111</v>
          </cell>
          <cell r="J8784">
            <v>25.606666666666669</v>
          </cell>
        </row>
        <row r="8785">
          <cell r="B8785">
            <v>44.51</v>
          </cell>
          <cell r="C8785">
            <v>85.85</v>
          </cell>
          <cell r="D8785">
            <v>22.28</v>
          </cell>
          <cell r="E8785">
            <v>9.36</v>
          </cell>
          <cell r="H8785">
            <v>45657</v>
          </cell>
          <cell r="I8785">
            <v>0.68666666666666665</v>
          </cell>
          <cell r="J8785">
            <v>25.551111111111108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B742F0-2F97-48D6-A5AF-3DF44553F289}" name="DAILY_DATA" displayName="DAILY_DATA" ref="A1:P367" totalsRowShown="0" headerRowDxfId="10">
  <autoFilter ref="A1:P367" xr:uid="{BB1F1A2A-600F-4717-ADD5-D6C0EB0B2D07}"/>
  <tableColumns count="16">
    <tableColumn id="1" xr3:uid="{B1CED68C-D602-40E2-AB7E-6FDA639D2235}" name="DATE" dataDxfId="9"/>
    <tableColumn id="2" xr3:uid="{87FB65EB-D5DE-4DE0-8F22-F3F82EE80A89}" name="PM2.5">
      <calculatedColumnFormula>ROUND(AVERAGEIFS([1]HOURLY_DATA!B2:B8785,[1]HOURLY_DATA!H2:H8785,Daily_AQI!A2),0)</calculatedColumnFormula>
    </tableColumn>
    <tableColumn id="3" xr3:uid="{1C966CFB-70AF-4FF7-8521-F0B54789F5D6}" name="PM10">
      <calculatedColumnFormula>ROUND(AVERAGEIFS([1]HOURLY_DATA!C2:C8785,[1]HOURLY_DATA!H2:H8785,Daily_AQI!A2),0)</calculatedColumnFormula>
    </tableColumn>
    <tableColumn id="4" xr3:uid="{6AD98033-BFE3-4C7C-A42C-2E0CB4310711}" name="NO2">
      <calculatedColumnFormula>ROUND(AVERAGEIFS([1]HOURLY_DATA!D2:D8785,[1]HOURLY_DATA!H2:H8785,Daily_AQI!A2),0)</calculatedColumnFormula>
    </tableColumn>
    <tableColumn id="5" xr3:uid="{F423408D-6C6C-4024-AF82-FA3C639BE87C}" name="SO2">
      <calculatedColumnFormula>ROUND(AVERAGEIFS([1]HOURLY_DATA!E2:E8785,[1]HOURLY_DATA!H2:H8785,Daily_AQI!A2),0)</calculatedColumnFormula>
    </tableColumn>
    <tableColumn id="6" xr3:uid="{0088844E-7E55-4618-84B8-90ED94BC1948}" name="CO">
      <calculatedColumnFormula>ROUND(AVERAGEIFS([1]HOURLY_DATA!I2:I8785,[1]HOURLY_DATA!H2:H8785,Daily_AQI!A2),2)</calculatedColumnFormula>
    </tableColumn>
    <tableColumn id="7" xr3:uid="{4199AAD0-5268-4914-91C0-E16CE6491687}" name="Ozone">
      <calculatedColumnFormula>ROUND(AVERAGEIFS([1]HOURLY_DATA!J2:J8785,[1]HOURLY_DATA!H2:H8785,Daily_AQI!A2),0)</calculatedColumnFormula>
    </tableColumn>
    <tableColumn id="8" xr3:uid="{0F1A86AC-3232-4A60-AB7D-8668AFA791CA}" name="AQI_PM2.5" dataDxfId="8">
      <calculatedColumnFormula>ROUND(((_xlfn.XLOOKUP(B2,[1]!PM2.5[BLO],[1]!PM2.5[IHI],,-1) - _xlfn.XLOOKUP(B2,[1]!PM2.5[BLO],[1]!PM2.5[ILO],,-1))
/
(_xlfn.XLOOKUP(B2,[1]!PM2.5[BLO],[1]!PM2.5[BHI],,-1) - _xlfn.XLOOKUP(B2,[1]!PM2.5[BLO],[1]!PM2.5[BLO],,-1)))
*
(B2 - _xlfn.XLOOKUP(B2,[1]!PM2.5[BLO],[1]!PM2.5[BLO],,-1))
+
_xlfn.XLOOKUP(B2,[1]!PM2.5[BLO],[1]!PM2.5[ILO],,-1),2)</calculatedColumnFormula>
    </tableColumn>
    <tableColumn id="9" xr3:uid="{62C9B6E0-DAF6-4A4A-86A9-B69EACB4E352}" name="AQI_PM10" dataDxfId="7">
      <calculatedColumnFormula>ROUND(((_xlfn.XLOOKUP(C2,[1]!PM_10[BLO],[1]!PM_10[IHI],,-1) - _xlfn.XLOOKUP(C2,[1]!PM_10[BLO],[1]!PM_10[ILO],,-1))
/
(_xlfn.XLOOKUP(C2,[1]!PM_10[BLO],[1]!PM_10[BHI],,-1) - _xlfn.XLOOKUP(C2,[1]!PM_10[BLO],[1]!PM_10[BLO],,-1)))
*
( C2 - _xlfn.XLOOKUP(C2,[1]!PM_10[BLO],[1]!PM_10[BLO],,-1))
+
_xlfn.XLOOKUP(C2,[1]!PM_10[BLO],[1]!PM_10[ILO],,-1),2)</calculatedColumnFormula>
    </tableColumn>
    <tableColumn id="10" xr3:uid="{D7CC4B80-A015-4A12-8B66-CE8F67E00A10}" name="AQI_NO2" dataDxfId="6">
      <calculatedColumnFormula>ROUND((( _xlfn.XLOOKUP(D2,[1]!NO_2[BLO],[1]!NO_2[IHI],,-1) - _xlfn.XLOOKUP(D2,[1]!NO_2[BLO],[1]!NO_2[ILO],,-1))
/
( _xlfn.XLOOKUP(D2,[1]!NO_2[BLO],[1]!NO_2[BHI],,-1) - _xlfn.XLOOKUP(D2,[1]!NO_2[BLO],[1]!NO_2[BLO],,-1) ))
*
( D2 - _xlfn.XLOOKUP(D2,[1]!NO_2[BLO],[1]!NO_2[BLO],,-1))
+
_xlfn.XLOOKUP(D2,[1]!NO_2[BLO],[1]!NO_2[ILO],,-1),2)</calculatedColumnFormula>
    </tableColumn>
    <tableColumn id="11" xr3:uid="{32F024C6-F731-429E-8503-EB2BFEC0A93D}" name="AQI_SO2" dataDxfId="5">
      <calculatedColumnFormula>ROUND(( ( _xlfn.XLOOKUP(E2,[1]!SO_2[BLO],[1]!SO_2[IHI],,-1)  - _xlfn.XLOOKUP(E2,[1]!SO_2[BLO],[1]!SO_2[ILO],,-1) )
/
( _xlfn.XLOOKUP(E2,[1]!SO_2[BLO],[1]!SO_2[BHI],,-1)- _xlfn.XLOOKUP(E2,[1]!SO_2[BLO],[1]!SO_2[BLO],,-1) ))
*
( E2 - _xlfn.XLOOKUP(E2,[1]!SO_2[BLO],[1]!SO_2[BLO],,-1) )
+
_xlfn.XLOOKUP(E2,[1]!SO_2[BLO],[1]!SO_2[ILO],,-1),2)</calculatedColumnFormula>
    </tableColumn>
    <tableColumn id="12" xr3:uid="{182D8240-9A1F-4296-A291-5ACE4ACCC960}" name="AQI_CO" dataDxfId="4">
      <calculatedColumnFormula>( ( _xlfn.XLOOKUP(F2,[1]!CO[BLO],[1]!CO[IHI],,-1)
- _xlfn.XLOOKUP(F2,[1]!CO[BLO],[1]!CO[ILO],,-1) )
/
( _xlfn.XLOOKUP(F2,[1]!CO[BLO],[1]!CO[BHI],,-1) - _xlfn.XLOOKUP(F2,[1]!CO[BLO],[1]!CO[BLO],,-1)))
*
( F2 - _xlfn.XLOOKUP(F2,[1]!CO[BLO],[1]!CO[BLO],,-1) )
+
_xlfn.XLOOKUP(F2,[1]!CO[BLO],[1]!CO[ILO],,-1)</calculatedColumnFormula>
    </tableColumn>
    <tableColumn id="13" xr3:uid="{7648D914-9D6E-4C5B-85EA-08C532D67C57}" name="AQI_O3" dataDxfId="3">
      <calculatedColumnFormula>(( _xlfn.XLOOKUP(G2,[1]!O_3[BLO],[1]!O_3[IHI],,-1) - _xlfn.XLOOKUP(G2,[1]!O_3[BLO],[1]!O_3[ILO],,-1))
/
( _xlfn.XLOOKUP(G2,[1]!O_3[BLO],[1]!O_3[BHI],,-1) - _xlfn.XLOOKUP(G2,[1]!O_3[BLO],[1]!O_3[BLO],,-1)))
*
( G2 - _xlfn.XLOOKUP(G2,[1]!O_3[BLO],[1]!O_3[BLO],,-1))
+
_xlfn.XLOOKUP(G2,[1]!O_3[BLO],[1]!O_3[ILO],,-1)</calculatedColumnFormula>
    </tableColumn>
    <tableColumn id="14" xr3:uid="{29FED695-F641-495B-8E03-71C0CF47DAEE}" name="OVERALL_AQI" dataDxfId="2">
      <calculatedColumnFormula>MAX(DAILY_DATA[[#This Row],[AQI_PM2.5]:[AQI_O3]])</calculatedColumnFormula>
    </tableColumn>
    <tableColumn id="15" xr3:uid="{D83EE75E-A8D0-412B-B5BE-B237BFB9B32A}" name="CATEGORY" dataDxfId="1">
      <calculatedColumnFormula>_xlfn.XLOOKUP(DAILY_DATA[[#This Row],[OVERALL_AQI]],[1]!CATEGORY[AQI_LO],[1]!CATEGORY[CATEGORY],,-1)</calculatedColumnFormula>
    </tableColumn>
    <tableColumn id="16" xr3:uid="{6F64E28F-9459-4915-97FB-4F5D7074B4BC}" name="DOMINAN_ POLLUTANT" dataDxfId="0">
      <calculatedColumnFormula array="1">INDEX(
{"PM2.5","PM10","NO2","SO2","CO","O3"},
MATCH(N2,H2:M2,0)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0130-B5C7-40B4-918C-838DB8ED200D}">
  <dimension ref="A1:P367"/>
  <sheetViews>
    <sheetView tabSelected="1" zoomScale="145" zoomScaleNormal="145" workbookViewId="0">
      <selection activeCell="F11" sqref="F11"/>
    </sheetView>
  </sheetViews>
  <sheetFormatPr defaultRowHeight="15" x14ac:dyDescent="0.25"/>
  <cols>
    <col min="1" max="1" width="11" style="4" bestFit="1" customWidth="1"/>
    <col min="8" max="8" width="14.140625" customWidth="1"/>
    <col min="9" max="9" width="14.28515625" customWidth="1"/>
    <col min="10" max="10" width="10" customWidth="1"/>
    <col min="11" max="11" width="9.7109375" customWidth="1"/>
    <col min="14" max="14" width="18.7109375" customWidth="1"/>
    <col min="15" max="15" width="12.42578125" customWidth="1"/>
    <col min="16" max="16" width="22.1406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 x14ac:dyDescent="0.25">
      <c r="A2" s="4">
        <v>45292</v>
      </c>
      <c r="B2">
        <f>ROUND(AVERAGEIFS([1]HOURLY_DATA!B2:B8785,[1]HOURLY_DATA!H2:H8785,Daily_AQI!A2),0)</f>
        <v>42</v>
      </c>
      <c r="C2">
        <f>ROUND(AVERAGEIFS([1]HOURLY_DATA!C2:C8785,[1]HOURLY_DATA!H2:H8785,Daily_AQI!A2),0)</f>
        <v>88</v>
      </c>
      <c r="D2">
        <f>ROUND(AVERAGEIFS([1]HOURLY_DATA!D2:D8785,[1]HOURLY_DATA!H2:H8785,Daily_AQI!A2),0)</f>
        <v>18</v>
      </c>
      <c r="E2">
        <f>ROUND(AVERAGEIFS([1]HOURLY_DATA!E2:E8785,[1]HOURLY_DATA!H2:H8785,Daily_AQI!A2),0)</f>
        <v>8</v>
      </c>
      <c r="F2">
        <f>ROUND(AVERAGEIFS([1]HOURLY_DATA!I2:I8785,[1]HOURLY_DATA!H2:H8785,Daily_AQI!A2),2)</f>
        <v>0.62</v>
      </c>
      <c r="G2">
        <f>ROUND(AVERAGEIFS([1]HOURLY_DATA!J2:J8785,[1]HOURLY_DATA!H2:H8785,Daily_AQI!A2),0)</f>
        <v>34</v>
      </c>
      <c r="H2">
        <f>ROUND(((_xlfn.XLOOKUP(B2,[1]!PM2.5[BLO],[1]!PM2.5[IHI],,-1) - _xlfn.XLOOKUP(B2,[1]!PM2.5[BLO],[1]!PM2.5[ILO],,-1))
/
(_xlfn.XLOOKUP(B2,[1]!PM2.5[BLO],[1]!PM2.5[BHI],,-1) - _xlfn.XLOOKUP(B2,[1]!PM2.5[BLO],[1]!PM2.5[BLO],,-1)))
*
(B2 - _xlfn.XLOOKUP(B2,[1]!PM2.5[BLO],[1]!PM2.5[BLO],,-1))
+
_xlfn.XLOOKUP(B2,[1]!PM2.5[BLO],[1]!PM2.5[ILO],,-1),2)</f>
        <v>69.59</v>
      </c>
      <c r="I2">
        <f>ROUND(((_xlfn.XLOOKUP(C2,[1]!PM_10[BLO],[1]!PM_10[IHI],,-1) - _xlfn.XLOOKUP(C2,[1]!PM_10[BLO],[1]!PM_10[ILO],,-1))
/
(_xlfn.XLOOKUP(C2,[1]!PM_10[BLO],[1]!PM_10[BHI],,-1) - _xlfn.XLOOKUP(C2,[1]!PM_10[BLO],[1]!PM_10[BLO],,-1)))
*
( C2 - _xlfn.XLOOKUP(C2,[1]!PM_10[BLO],[1]!PM_10[BLO],,-1))
+
_xlfn.XLOOKUP(C2,[1]!PM_10[BLO],[1]!PM_10[ILO],,-1),2)</f>
        <v>88</v>
      </c>
      <c r="J2">
        <f>ROUND((( _xlfn.XLOOKUP(D2,[1]!NO_2[BLO],[1]!NO_2[IHI],,-1) - _xlfn.XLOOKUP(D2,[1]!NO_2[BLO],[1]!NO_2[ILO],,-1))
/
( _xlfn.XLOOKUP(D2,[1]!NO_2[BLO],[1]!NO_2[BHI],,-1) - _xlfn.XLOOKUP(D2,[1]!NO_2[BLO],[1]!NO_2[BLO],,-1) ))
*
( D2 - _xlfn.XLOOKUP(D2,[1]!NO_2[BLO],[1]!NO_2[BLO],,-1))
+
_xlfn.XLOOKUP(D2,[1]!NO_2[BLO],[1]!NO_2[ILO],,-1),2)</f>
        <v>22.5</v>
      </c>
      <c r="K2">
        <f>ROUND(( ( _xlfn.XLOOKUP(E2,[1]!SO_2[BLO],[1]!SO_2[IHI],,-1)  - _xlfn.XLOOKUP(E2,[1]!SO_2[BLO],[1]!SO_2[ILO],,-1) )
/
( _xlfn.XLOOKUP(E2,[1]!SO_2[BLO],[1]!SO_2[BHI],,-1)- _xlfn.XLOOKUP(E2,[1]!SO_2[BLO],[1]!SO_2[BLO],,-1) ))
*
( E2 - _xlfn.XLOOKUP(E2,[1]!SO_2[BLO],[1]!SO_2[BLO],,-1) )
+
_xlfn.XLOOKUP(E2,[1]!SO_2[BLO],[1]!SO_2[ILO],,-1),2)</f>
        <v>10</v>
      </c>
      <c r="L2">
        <f>( ( _xlfn.XLOOKUP(F2,[1]!CO[BLO],[1]!CO[IHI],,-1)
- _xlfn.XLOOKUP(F2,[1]!CO[BLO],[1]!CO[ILO],,-1) )
/
( _xlfn.XLOOKUP(F2,[1]!CO[BLO],[1]!CO[BHI],,-1) - _xlfn.XLOOKUP(F2,[1]!CO[BLO],[1]!CO[BLO],,-1)))
*
( F2 - _xlfn.XLOOKUP(F2,[1]!CO[BLO],[1]!CO[BLO],,-1) )
+
_xlfn.XLOOKUP(F2,[1]!CO[BLO],[1]!CO[ILO],,-1)</f>
        <v>31</v>
      </c>
      <c r="M2">
        <f>(( _xlfn.XLOOKUP(G2,[1]!O_3[BLO],[1]!O_3[IHI],,-1) - _xlfn.XLOOKUP(G2,[1]!O_3[BLO],[1]!O_3[ILO],,-1))
/
( _xlfn.XLOOKUP(G2,[1]!O_3[BLO],[1]!O_3[BHI],,-1) - _xlfn.XLOOKUP(G2,[1]!O_3[BLO],[1]!O_3[BLO],,-1)))
*
( G2 - _xlfn.XLOOKUP(G2,[1]!O_3[BLO],[1]!O_3[BLO],,-1))
+
_xlfn.XLOOKUP(G2,[1]!O_3[BLO],[1]!O_3[ILO],,-1)</f>
        <v>34</v>
      </c>
      <c r="N2">
        <f>MAX(DAILY_DATA[[#This Row],[AQI_PM2.5]:[AQI_O3]])</f>
        <v>88</v>
      </c>
      <c r="O2" t="str">
        <f>_xlfn.XLOOKUP(DAILY_DATA[[#This Row],[OVERALL_AQI]],[1]!CATEGORY[AQI_LO],[1]!CATEGORY[CATEGORY],,-1)</f>
        <v>Satisfactory</v>
      </c>
      <c r="P2" t="str" cm="1">
        <f t="array" ref="P2">INDEX(
{"PM2.5","PM10","NO2","SO2","CO","O3"},
MATCH(N2,H2:M2,0)
)</f>
        <v>PM10</v>
      </c>
    </row>
    <row r="3" spans="1:16" x14ac:dyDescent="0.25">
      <c r="A3" s="4">
        <v>45293</v>
      </c>
      <c r="B3">
        <f>ROUND(AVERAGEIFS([1]HOURLY_DATA!B3:B8786,[1]HOURLY_DATA!H3:H8786,Daily_AQI!A3),0)</f>
        <v>45</v>
      </c>
      <c r="C3">
        <f>ROUND(AVERAGEIFS([1]HOURLY_DATA!C3:C8786,[1]HOURLY_DATA!H3:H8786,Daily_AQI!A3),0)</f>
        <v>96</v>
      </c>
      <c r="D3">
        <f>ROUND(AVERAGEIFS([1]HOURLY_DATA!D3:D8786,[1]HOURLY_DATA!H3:H8786,Daily_AQI!A3),0)</f>
        <v>18</v>
      </c>
      <c r="E3">
        <f>ROUND(AVERAGEIFS([1]HOURLY_DATA!E3:E8786,[1]HOURLY_DATA!H3:H8786,Daily_AQI!A3),0)</f>
        <v>7</v>
      </c>
      <c r="F3">
        <f>ROUND(AVERAGEIFS([1]HOURLY_DATA!I3:I8786,[1]HOURLY_DATA!H3:H8786,Daily_AQI!A3),2)</f>
        <v>0.66</v>
      </c>
      <c r="G3">
        <f>ROUND(AVERAGEIFS([1]HOURLY_DATA!J3:J8786,[1]HOURLY_DATA!H3:H8786,Daily_AQI!A3),0)</f>
        <v>35</v>
      </c>
      <c r="H3">
        <f>ROUND(((_xlfn.XLOOKUP(B3,[1]!PM2.5[BLO],[1]!PM2.5[IHI],,-1) - _xlfn.XLOOKUP(B3,[1]!PM2.5[BLO],[1]!PM2.5[ILO],,-1))
/
(_xlfn.XLOOKUP(B3,[1]!PM2.5[BLO],[1]!PM2.5[BHI],,-1) - _xlfn.XLOOKUP(B3,[1]!PM2.5[BLO],[1]!PM2.5[BLO],,-1)))
*
(B3 - _xlfn.XLOOKUP(B3,[1]!PM2.5[BLO],[1]!PM2.5[BLO],,-1))
+
_xlfn.XLOOKUP(B3,[1]!PM2.5[BLO],[1]!PM2.5[ILO],,-1),2)</f>
        <v>74.66</v>
      </c>
      <c r="I3">
        <f>ROUND(((_xlfn.XLOOKUP(C3,[1]!PM_10[BLO],[1]!PM_10[IHI],,-1) - _xlfn.XLOOKUP(C3,[1]!PM_10[BLO],[1]!PM_10[ILO],,-1))
/
(_xlfn.XLOOKUP(C3,[1]!PM_10[BLO],[1]!PM_10[BHI],,-1) - _xlfn.XLOOKUP(C3,[1]!PM_10[BLO],[1]!PM_10[BLO],,-1)))
*
( C3 - _xlfn.XLOOKUP(C3,[1]!PM_10[BLO],[1]!PM_10[BLO],,-1))
+
_xlfn.XLOOKUP(C3,[1]!PM_10[BLO],[1]!PM_10[ILO],,-1),2)</f>
        <v>96</v>
      </c>
      <c r="J3">
        <f>ROUND((( _xlfn.XLOOKUP(D3,[1]!NO_2[BLO],[1]!NO_2[IHI],,-1) - _xlfn.XLOOKUP(D3,[1]!NO_2[BLO],[1]!NO_2[ILO],,-1))
/
( _xlfn.XLOOKUP(D3,[1]!NO_2[BLO],[1]!NO_2[BHI],,-1) - _xlfn.XLOOKUP(D3,[1]!NO_2[BLO],[1]!NO_2[BLO],,-1) ))
*
( D3 - _xlfn.XLOOKUP(D3,[1]!NO_2[BLO],[1]!NO_2[BLO],,-1))
+
_xlfn.XLOOKUP(D3,[1]!NO_2[BLO],[1]!NO_2[ILO],,-1),2)</f>
        <v>22.5</v>
      </c>
      <c r="K3">
        <f>ROUND(( ( _xlfn.XLOOKUP(E3,[1]!SO_2[BLO],[1]!SO_2[IHI],,-1)  - _xlfn.XLOOKUP(E3,[1]!SO_2[BLO],[1]!SO_2[ILO],,-1) )
/
( _xlfn.XLOOKUP(E3,[1]!SO_2[BLO],[1]!SO_2[BHI],,-1)- _xlfn.XLOOKUP(E3,[1]!SO_2[BLO],[1]!SO_2[BLO],,-1) ))
*
( E3 - _xlfn.XLOOKUP(E3,[1]!SO_2[BLO],[1]!SO_2[BLO],,-1) )
+
_xlfn.XLOOKUP(E3,[1]!SO_2[BLO],[1]!SO_2[ILO],,-1),2)</f>
        <v>8.75</v>
      </c>
      <c r="L3">
        <f>( ( _xlfn.XLOOKUP(F3,[1]!CO[BLO],[1]!CO[IHI],,-1)
- _xlfn.XLOOKUP(F3,[1]!CO[BLO],[1]!CO[ILO],,-1) )
/
( _xlfn.XLOOKUP(F3,[1]!CO[BLO],[1]!CO[BHI],,-1) - _xlfn.XLOOKUP(F3,[1]!CO[BLO],[1]!CO[BLO],,-1)))
*
( F3 - _xlfn.XLOOKUP(F3,[1]!CO[BLO],[1]!CO[BLO],,-1) )
+
_xlfn.XLOOKUP(F3,[1]!CO[BLO],[1]!CO[ILO],,-1)</f>
        <v>33</v>
      </c>
      <c r="M3">
        <f>(( _xlfn.XLOOKUP(G3,[1]!O_3[BLO],[1]!O_3[IHI],,-1) - _xlfn.XLOOKUP(G3,[1]!O_3[BLO],[1]!O_3[ILO],,-1))
/
( _xlfn.XLOOKUP(G3,[1]!O_3[BLO],[1]!O_3[BHI],,-1) - _xlfn.XLOOKUP(G3,[1]!O_3[BLO],[1]!O_3[BLO],,-1)))
*
( G3 - _xlfn.XLOOKUP(G3,[1]!O_3[BLO],[1]!O_3[BLO],,-1))
+
_xlfn.XLOOKUP(G3,[1]!O_3[BLO],[1]!O_3[ILO],,-1)</f>
        <v>35</v>
      </c>
      <c r="N3">
        <f>MAX(DAILY_DATA[[#This Row],[AQI_PM2.5]:[AQI_O3]])</f>
        <v>96</v>
      </c>
      <c r="O3" t="str">
        <f>_xlfn.XLOOKUP(DAILY_DATA[[#This Row],[OVERALL_AQI]],[1]!CATEGORY[AQI_LO],[1]!CATEGORY[CATEGORY],,-1)</f>
        <v>Satisfactory</v>
      </c>
      <c r="P3" t="str" cm="1">
        <f t="array" ref="P3">INDEX(
{"PM2.5","PM10","NO2","SO2","CO","O3"},
MATCH(N3,H3:M3,0)
)</f>
        <v>PM10</v>
      </c>
    </row>
    <row r="4" spans="1:16" x14ac:dyDescent="0.25">
      <c r="A4" s="4">
        <v>45294</v>
      </c>
      <c r="B4">
        <f>ROUND(AVERAGEIFS([1]HOURLY_DATA!B4:B8787,[1]HOURLY_DATA!H4:H8787,Daily_AQI!A4),0)</f>
        <v>44</v>
      </c>
      <c r="C4">
        <f>ROUND(AVERAGEIFS([1]HOURLY_DATA!C4:C8787,[1]HOURLY_DATA!H4:H8787,Daily_AQI!A4),0)</f>
        <v>96</v>
      </c>
      <c r="D4">
        <f>ROUND(AVERAGEIFS([1]HOURLY_DATA!D4:D8787,[1]HOURLY_DATA!H4:H8787,Daily_AQI!A4),0)</f>
        <v>18</v>
      </c>
      <c r="E4">
        <f>ROUND(AVERAGEIFS([1]HOURLY_DATA!E4:E8787,[1]HOURLY_DATA!H4:H8787,Daily_AQI!A4),0)</f>
        <v>8</v>
      </c>
      <c r="F4">
        <f>ROUND(AVERAGEIFS([1]HOURLY_DATA!I4:I8787,[1]HOURLY_DATA!H4:H8787,Daily_AQI!A4),2)</f>
        <v>0.62</v>
      </c>
      <c r="G4">
        <f>ROUND(AVERAGEIFS([1]HOURLY_DATA!J4:J8787,[1]HOURLY_DATA!H4:H8787,Daily_AQI!A4),0)</f>
        <v>37</v>
      </c>
      <c r="H4">
        <f>ROUND(((_xlfn.XLOOKUP(B4,[1]!PM2.5[BLO],[1]!PM2.5[IHI],,-1) - _xlfn.XLOOKUP(B4,[1]!PM2.5[BLO],[1]!PM2.5[ILO],,-1))
/
(_xlfn.XLOOKUP(B4,[1]!PM2.5[BLO],[1]!PM2.5[BHI],,-1) - _xlfn.XLOOKUP(B4,[1]!PM2.5[BLO],[1]!PM2.5[BLO],,-1)))
*
(B4 - _xlfn.XLOOKUP(B4,[1]!PM2.5[BLO],[1]!PM2.5[BLO],,-1))
+
_xlfn.XLOOKUP(B4,[1]!PM2.5[BLO],[1]!PM2.5[ILO],,-1),2)</f>
        <v>72.97</v>
      </c>
      <c r="I4">
        <f>ROUND(((_xlfn.XLOOKUP(C4,[1]!PM_10[BLO],[1]!PM_10[IHI],,-1) - _xlfn.XLOOKUP(C4,[1]!PM_10[BLO],[1]!PM_10[ILO],,-1))
/
(_xlfn.XLOOKUP(C4,[1]!PM_10[BLO],[1]!PM_10[BHI],,-1) - _xlfn.XLOOKUP(C4,[1]!PM_10[BLO],[1]!PM_10[BLO],,-1)))
*
( C4 - _xlfn.XLOOKUP(C4,[1]!PM_10[BLO],[1]!PM_10[BLO],,-1))
+
_xlfn.XLOOKUP(C4,[1]!PM_10[BLO],[1]!PM_10[ILO],,-1),2)</f>
        <v>96</v>
      </c>
      <c r="J4">
        <f>ROUND((( _xlfn.XLOOKUP(D4,[1]!NO_2[BLO],[1]!NO_2[IHI],,-1) - _xlfn.XLOOKUP(D4,[1]!NO_2[BLO],[1]!NO_2[ILO],,-1))
/
( _xlfn.XLOOKUP(D4,[1]!NO_2[BLO],[1]!NO_2[BHI],,-1) - _xlfn.XLOOKUP(D4,[1]!NO_2[BLO],[1]!NO_2[BLO],,-1) ))
*
( D4 - _xlfn.XLOOKUP(D4,[1]!NO_2[BLO],[1]!NO_2[BLO],,-1))
+
_xlfn.XLOOKUP(D4,[1]!NO_2[BLO],[1]!NO_2[ILO],,-1),2)</f>
        <v>22.5</v>
      </c>
      <c r="K4">
        <f>ROUND(( ( _xlfn.XLOOKUP(E4,[1]!SO_2[BLO],[1]!SO_2[IHI],,-1)  - _xlfn.XLOOKUP(E4,[1]!SO_2[BLO],[1]!SO_2[ILO],,-1) )
/
( _xlfn.XLOOKUP(E4,[1]!SO_2[BLO],[1]!SO_2[BHI],,-1)- _xlfn.XLOOKUP(E4,[1]!SO_2[BLO],[1]!SO_2[BLO],,-1) ))
*
( E4 - _xlfn.XLOOKUP(E4,[1]!SO_2[BLO],[1]!SO_2[BLO],,-1) )
+
_xlfn.XLOOKUP(E4,[1]!SO_2[BLO],[1]!SO_2[ILO],,-1),2)</f>
        <v>10</v>
      </c>
      <c r="L4">
        <f>( ( _xlfn.XLOOKUP(F4,[1]!CO[BLO],[1]!CO[IHI],,-1)
- _xlfn.XLOOKUP(F4,[1]!CO[BLO],[1]!CO[ILO],,-1) )
/
( _xlfn.XLOOKUP(F4,[1]!CO[BLO],[1]!CO[BHI],,-1) - _xlfn.XLOOKUP(F4,[1]!CO[BLO],[1]!CO[BLO],,-1)))
*
( F4 - _xlfn.XLOOKUP(F4,[1]!CO[BLO],[1]!CO[BLO],,-1) )
+
_xlfn.XLOOKUP(F4,[1]!CO[BLO],[1]!CO[ILO],,-1)</f>
        <v>31</v>
      </c>
      <c r="M4">
        <f>(( _xlfn.XLOOKUP(G4,[1]!O_3[BLO],[1]!O_3[IHI],,-1) - _xlfn.XLOOKUP(G4,[1]!O_3[BLO],[1]!O_3[ILO],,-1))
/
( _xlfn.XLOOKUP(G4,[1]!O_3[BLO],[1]!O_3[BHI],,-1) - _xlfn.XLOOKUP(G4,[1]!O_3[BLO],[1]!O_3[BLO],,-1)))
*
( G4 - _xlfn.XLOOKUP(G4,[1]!O_3[BLO],[1]!O_3[BLO],,-1))
+
_xlfn.XLOOKUP(G4,[1]!O_3[BLO],[1]!O_3[ILO],,-1)</f>
        <v>37</v>
      </c>
      <c r="N4">
        <f>MAX(DAILY_DATA[[#This Row],[AQI_PM2.5]:[AQI_O3]])</f>
        <v>96</v>
      </c>
      <c r="O4" t="str">
        <f>_xlfn.XLOOKUP(DAILY_DATA[[#This Row],[OVERALL_AQI]],[1]!CATEGORY[AQI_LO],[1]!CATEGORY[CATEGORY],,-1)</f>
        <v>Satisfactory</v>
      </c>
      <c r="P4" t="str" cm="1">
        <f t="array" ref="P4">INDEX(
{"PM2.5","PM10","NO2","SO2","CO","O3"},
MATCH(N4,H4:M4,0)
)</f>
        <v>PM10</v>
      </c>
    </row>
    <row r="5" spans="1:16" x14ac:dyDescent="0.25">
      <c r="A5" s="4">
        <v>45295</v>
      </c>
      <c r="B5">
        <f>ROUND(AVERAGEIFS([1]HOURLY_DATA!B5:B8788,[1]HOURLY_DATA!H5:H8788,Daily_AQI!A5),0)</f>
        <v>48</v>
      </c>
      <c r="C5">
        <f>ROUND(AVERAGEIFS([1]HOURLY_DATA!C5:C8788,[1]HOURLY_DATA!H5:H8788,Daily_AQI!A5),0)</f>
        <v>110</v>
      </c>
      <c r="D5">
        <f>ROUND(AVERAGEIFS([1]HOURLY_DATA!D5:D8788,[1]HOURLY_DATA!H5:H8788,Daily_AQI!A5),0)</f>
        <v>18</v>
      </c>
      <c r="E5">
        <f>ROUND(AVERAGEIFS([1]HOURLY_DATA!E5:E8788,[1]HOURLY_DATA!H5:H8788,Daily_AQI!A5),0)</f>
        <v>8</v>
      </c>
      <c r="F5">
        <f>ROUND(AVERAGEIFS([1]HOURLY_DATA!I5:I8788,[1]HOURLY_DATA!H5:H8788,Daily_AQI!A5),2)</f>
        <v>0.67</v>
      </c>
      <c r="G5">
        <f>ROUND(AVERAGEIFS([1]HOURLY_DATA!J5:J8788,[1]HOURLY_DATA!H5:H8788,Daily_AQI!A5),0)</f>
        <v>34</v>
      </c>
      <c r="H5">
        <f>ROUND(((_xlfn.XLOOKUP(B5,[1]!PM2.5[BLO],[1]!PM2.5[IHI],,-1) - _xlfn.XLOOKUP(B5,[1]!PM2.5[BLO],[1]!PM2.5[ILO],,-1))
/
(_xlfn.XLOOKUP(B5,[1]!PM2.5[BLO],[1]!PM2.5[BHI],,-1) - _xlfn.XLOOKUP(B5,[1]!PM2.5[BLO],[1]!PM2.5[BLO],,-1)))
*
(B5 - _xlfn.XLOOKUP(B5,[1]!PM2.5[BLO],[1]!PM2.5[BLO],,-1))
+
_xlfn.XLOOKUP(B5,[1]!PM2.5[BLO],[1]!PM2.5[ILO],,-1),2)</f>
        <v>79.72</v>
      </c>
      <c r="I5">
        <f>ROUND(((_xlfn.XLOOKUP(C5,[1]!PM_10[BLO],[1]!PM_10[IHI],,-1) - _xlfn.XLOOKUP(C5,[1]!PM_10[BLO],[1]!PM_10[ILO],,-1))
/
(_xlfn.XLOOKUP(C5,[1]!PM_10[BLO],[1]!PM_10[BHI],,-1) - _xlfn.XLOOKUP(C5,[1]!PM_10[BLO],[1]!PM_10[BLO],,-1)))
*
( C5 - _xlfn.XLOOKUP(C5,[1]!PM_10[BLO],[1]!PM_10[BLO],,-1))
+
_xlfn.XLOOKUP(C5,[1]!PM_10[BLO],[1]!PM_10[ILO],,-1),2)</f>
        <v>106.98</v>
      </c>
      <c r="J5">
        <f>ROUND((( _xlfn.XLOOKUP(D5,[1]!NO_2[BLO],[1]!NO_2[IHI],,-1) - _xlfn.XLOOKUP(D5,[1]!NO_2[BLO],[1]!NO_2[ILO],,-1))
/
( _xlfn.XLOOKUP(D5,[1]!NO_2[BLO],[1]!NO_2[BHI],,-1) - _xlfn.XLOOKUP(D5,[1]!NO_2[BLO],[1]!NO_2[BLO],,-1) ))
*
( D5 - _xlfn.XLOOKUP(D5,[1]!NO_2[BLO],[1]!NO_2[BLO],,-1))
+
_xlfn.XLOOKUP(D5,[1]!NO_2[BLO],[1]!NO_2[ILO],,-1),2)</f>
        <v>22.5</v>
      </c>
      <c r="K5">
        <f>ROUND(( ( _xlfn.XLOOKUP(E5,[1]!SO_2[BLO],[1]!SO_2[IHI],,-1)  - _xlfn.XLOOKUP(E5,[1]!SO_2[BLO],[1]!SO_2[ILO],,-1) )
/
( _xlfn.XLOOKUP(E5,[1]!SO_2[BLO],[1]!SO_2[BHI],,-1)- _xlfn.XLOOKUP(E5,[1]!SO_2[BLO],[1]!SO_2[BLO],,-1) ))
*
( E5 - _xlfn.XLOOKUP(E5,[1]!SO_2[BLO],[1]!SO_2[BLO],,-1) )
+
_xlfn.XLOOKUP(E5,[1]!SO_2[BLO],[1]!SO_2[ILO],,-1),2)</f>
        <v>10</v>
      </c>
      <c r="L5">
        <f>( ( _xlfn.XLOOKUP(F5,[1]!CO[BLO],[1]!CO[IHI],,-1)
- _xlfn.XLOOKUP(F5,[1]!CO[BLO],[1]!CO[ILO],,-1) )
/
( _xlfn.XLOOKUP(F5,[1]!CO[BLO],[1]!CO[BHI],,-1) - _xlfn.XLOOKUP(F5,[1]!CO[BLO],[1]!CO[BLO],,-1)))
*
( F5 - _xlfn.XLOOKUP(F5,[1]!CO[BLO],[1]!CO[BLO],,-1) )
+
_xlfn.XLOOKUP(F5,[1]!CO[BLO],[1]!CO[ILO],,-1)</f>
        <v>33.5</v>
      </c>
      <c r="M5">
        <f>(( _xlfn.XLOOKUP(G5,[1]!O_3[BLO],[1]!O_3[IHI],,-1) - _xlfn.XLOOKUP(G5,[1]!O_3[BLO],[1]!O_3[ILO],,-1))
/
( _xlfn.XLOOKUP(G5,[1]!O_3[BLO],[1]!O_3[BHI],,-1) - _xlfn.XLOOKUP(G5,[1]!O_3[BLO],[1]!O_3[BLO],,-1)))
*
( G5 - _xlfn.XLOOKUP(G5,[1]!O_3[BLO],[1]!O_3[BLO],,-1))
+
_xlfn.XLOOKUP(G5,[1]!O_3[BLO],[1]!O_3[ILO],,-1)</f>
        <v>34</v>
      </c>
      <c r="N5">
        <f>MAX(DAILY_DATA[[#This Row],[AQI_PM2.5]:[AQI_O3]])</f>
        <v>106.98</v>
      </c>
      <c r="O5" t="str">
        <f>_xlfn.XLOOKUP(DAILY_DATA[[#This Row],[OVERALL_AQI]],[1]!CATEGORY[AQI_LO],[1]!CATEGORY[CATEGORY],,-1)</f>
        <v>Moderate</v>
      </c>
      <c r="P5" t="str" cm="1">
        <f t="array" ref="P5">INDEX(
{"PM2.5","PM10","NO2","SO2","CO","O3"},
MATCH(N5,H5:M5,0)
)</f>
        <v>PM10</v>
      </c>
    </row>
    <row r="6" spans="1:16" x14ac:dyDescent="0.25">
      <c r="A6" s="4">
        <v>45296</v>
      </c>
      <c r="B6">
        <f>ROUND(AVERAGEIFS([1]HOURLY_DATA!B6:B8789,[1]HOURLY_DATA!H6:H8789,Daily_AQI!A6),0)</f>
        <v>38</v>
      </c>
      <c r="C6">
        <f>ROUND(AVERAGEIFS([1]HOURLY_DATA!C6:C8789,[1]HOURLY_DATA!H6:H8789,Daily_AQI!A6),0)</f>
        <v>87</v>
      </c>
      <c r="D6">
        <f>ROUND(AVERAGEIFS([1]HOURLY_DATA!D6:D8789,[1]HOURLY_DATA!H6:H8789,Daily_AQI!A6),0)</f>
        <v>18</v>
      </c>
      <c r="E6">
        <f>ROUND(AVERAGEIFS([1]HOURLY_DATA!E6:E8789,[1]HOURLY_DATA!H6:H8789,Daily_AQI!A6),0)</f>
        <v>8</v>
      </c>
      <c r="F6">
        <f>ROUND(AVERAGEIFS([1]HOURLY_DATA!I6:I8789,[1]HOURLY_DATA!H6:H8789,Daily_AQI!A6),2)</f>
        <v>0.69</v>
      </c>
      <c r="G6">
        <f>ROUND(AVERAGEIFS([1]HOURLY_DATA!J6:J8789,[1]HOURLY_DATA!H6:H8789,Daily_AQI!A6),0)</f>
        <v>31</v>
      </c>
      <c r="H6">
        <f>ROUND(((_xlfn.XLOOKUP(B6,[1]!PM2.5[BLO],[1]!PM2.5[IHI],,-1) - _xlfn.XLOOKUP(B6,[1]!PM2.5[BLO],[1]!PM2.5[ILO],,-1))
/
(_xlfn.XLOOKUP(B6,[1]!PM2.5[BLO],[1]!PM2.5[BHI],,-1) - _xlfn.XLOOKUP(B6,[1]!PM2.5[BLO],[1]!PM2.5[BLO],,-1)))
*
(B6 - _xlfn.XLOOKUP(B6,[1]!PM2.5[BLO],[1]!PM2.5[BLO],,-1))
+
_xlfn.XLOOKUP(B6,[1]!PM2.5[BLO],[1]!PM2.5[ILO],,-1),2)</f>
        <v>62.83</v>
      </c>
      <c r="I6">
        <f>ROUND(((_xlfn.XLOOKUP(C6,[1]!PM_10[BLO],[1]!PM_10[IHI],,-1) - _xlfn.XLOOKUP(C6,[1]!PM_10[BLO],[1]!PM_10[ILO],,-1))
/
(_xlfn.XLOOKUP(C6,[1]!PM_10[BLO],[1]!PM_10[BHI],,-1) - _xlfn.XLOOKUP(C6,[1]!PM_10[BLO],[1]!PM_10[BLO],,-1)))
*
( C6 - _xlfn.XLOOKUP(C6,[1]!PM_10[BLO],[1]!PM_10[BLO],,-1))
+
_xlfn.XLOOKUP(C6,[1]!PM_10[BLO],[1]!PM_10[ILO],,-1),2)</f>
        <v>87</v>
      </c>
      <c r="J6">
        <f>ROUND((( _xlfn.XLOOKUP(D6,[1]!NO_2[BLO],[1]!NO_2[IHI],,-1) - _xlfn.XLOOKUP(D6,[1]!NO_2[BLO],[1]!NO_2[ILO],,-1))
/
( _xlfn.XLOOKUP(D6,[1]!NO_2[BLO],[1]!NO_2[BHI],,-1) - _xlfn.XLOOKUP(D6,[1]!NO_2[BLO],[1]!NO_2[BLO],,-1) ))
*
( D6 - _xlfn.XLOOKUP(D6,[1]!NO_2[BLO],[1]!NO_2[BLO],,-1))
+
_xlfn.XLOOKUP(D6,[1]!NO_2[BLO],[1]!NO_2[ILO],,-1),2)</f>
        <v>22.5</v>
      </c>
      <c r="K6">
        <f>ROUND(( ( _xlfn.XLOOKUP(E6,[1]!SO_2[BLO],[1]!SO_2[IHI],,-1)  - _xlfn.XLOOKUP(E6,[1]!SO_2[BLO],[1]!SO_2[ILO],,-1) )
/
( _xlfn.XLOOKUP(E6,[1]!SO_2[BLO],[1]!SO_2[BHI],,-1)- _xlfn.XLOOKUP(E6,[1]!SO_2[BLO],[1]!SO_2[BLO],,-1) ))
*
( E6 - _xlfn.XLOOKUP(E6,[1]!SO_2[BLO],[1]!SO_2[BLO],,-1) )
+
_xlfn.XLOOKUP(E6,[1]!SO_2[BLO],[1]!SO_2[ILO],,-1),2)</f>
        <v>10</v>
      </c>
      <c r="L6">
        <f>( ( _xlfn.XLOOKUP(F6,[1]!CO[BLO],[1]!CO[IHI],,-1)
- _xlfn.XLOOKUP(F6,[1]!CO[BLO],[1]!CO[ILO],,-1) )
/
( _xlfn.XLOOKUP(F6,[1]!CO[BLO],[1]!CO[BHI],,-1) - _xlfn.XLOOKUP(F6,[1]!CO[BLO],[1]!CO[BLO],,-1)))
*
( F6 - _xlfn.XLOOKUP(F6,[1]!CO[BLO],[1]!CO[BLO],,-1) )
+
_xlfn.XLOOKUP(F6,[1]!CO[BLO],[1]!CO[ILO],,-1)</f>
        <v>34.5</v>
      </c>
      <c r="M6">
        <f>(( _xlfn.XLOOKUP(G6,[1]!O_3[BLO],[1]!O_3[IHI],,-1) - _xlfn.XLOOKUP(G6,[1]!O_3[BLO],[1]!O_3[ILO],,-1))
/
( _xlfn.XLOOKUP(G6,[1]!O_3[BLO],[1]!O_3[BHI],,-1) - _xlfn.XLOOKUP(G6,[1]!O_3[BLO],[1]!O_3[BLO],,-1)))
*
( G6 - _xlfn.XLOOKUP(G6,[1]!O_3[BLO],[1]!O_3[BLO],,-1))
+
_xlfn.XLOOKUP(G6,[1]!O_3[BLO],[1]!O_3[ILO],,-1)</f>
        <v>31</v>
      </c>
      <c r="N6">
        <f>MAX(DAILY_DATA[[#This Row],[AQI_PM2.5]:[AQI_O3]])</f>
        <v>87</v>
      </c>
      <c r="O6" t="str">
        <f>_xlfn.XLOOKUP(DAILY_DATA[[#This Row],[OVERALL_AQI]],[1]!CATEGORY[AQI_LO],[1]!CATEGORY[CATEGORY],,-1)</f>
        <v>Satisfactory</v>
      </c>
      <c r="P6" t="str" cm="1">
        <f t="array" ref="P6">INDEX(
{"PM2.5","PM10","NO2","SO2","CO","O3"},
MATCH(N6,H6:M6,0)
)</f>
        <v>PM10</v>
      </c>
    </row>
    <row r="7" spans="1:16" x14ac:dyDescent="0.25">
      <c r="A7" s="4">
        <v>45297</v>
      </c>
      <c r="B7">
        <f>ROUND(AVERAGEIFS([1]HOURLY_DATA!B7:B8790,[1]HOURLY_DATA!H7:H8790,Daily_AQI!A7),0)</f>
        <v>33</v>
      </c>
      <c r="C7">
        <f>ROUND(AVERAGEIFS([1]HOURLY_DATA!C7:C8790,[1]HOURLY_DATA!H7:H8790,Daily_AQI!A7),0)</f>
        <v>83</v>
      </c>
      <c r="D7">
        <f>ROUND(AVERAGEIFS([1]HOURLY_DATA!D7:D8790,[1]HOURLY_DATA!H7:H8790,Daily_AQI!A7),0)</f>
        <v>19</v>
      </c>
      <c r="E7">
        <f>ROUND(AVERAGEIFS([1]HOURLY_DATA!E7:E8790,[1]HOURLY_DATA!H7:H8790,Daily_AQI!A7),0)</f>
        <v>7</v>
      </c>
      <c r="F7">
        <f>ROUND(AVERAGEIFS([1]HOURLY_DATA!I7:I8790,[1]HOURLY_DATA!H7:H8790,Daily_AQI!A7),2)</f>
        <v>0.66</v>
      </c>
      <c r="G7">
        <f>ROUND(AVERAGEIFS([1]HOURLY_DATA!J7:J8790,[1]HOURLY_DATA!H7:H8790,Daily_AQI!A7),0)</f>
        <v>29</v>
      </c>
      <c r="H7">
        <f>ROUND(((_xlfn.XLOOKUP(B7,[1]!PM2.5[BLO],[1]!PM2.5[IHI],,-1) - _xlfn.XLOOKUP(B7,[1]!PM2.5[BLO],[1]!PM2.5[ILO],,-1))
/
(_xlfn.XLOOKUP(B7,[1]!PM2.5[BLO],[1]!PM2.5[BHI],,-1) - _xlfn.XLOOKUP(B7,[1]!PM2.5[BLO],[1]!PM2.5[BLO],,-1)))
*
(B7 - _xlfn.XLOOKUP(B7,[1]!PM2.5[BLO],[1]!PM2.5[BLO],,-1))
+
_xlfn.XLOOKUP(B7,[1]!PM2.5[BLO],[1]!PM2.5[ILO],,-1),2)</f>
        <v>54.38</v>
      </c>
      <c r="I7">
        <f>ROUND(((_xlfn.XLOOKUP(C7,[1]!PM_10[BLO],[1]!PM_10[IHI],,-1) - _xlfn.XLOOKUP(C7,[1]!PM_10[BLO],[1]!PM_10[ILO],,-1))
/
(_xlfn.XLOOKUP(C7,[1]!PM_10[BLO],[1]!PM_10[BHI],,-1) - _xlfn.XLOOKUP(C7,[1]!PM_10[BLO],[1]!PM_10[BLO],,-1)))
*
( C7 - _xlfn.XLOOKUP(C7,[1]!PM_10[BLO],[1]!PM_10[BLO],,-1))
+
_xlfn.XLOOKUP(C7,[1]!PM_10[BLO],[1]!PM_10[ILO],,-1),2)</f>
        <v>83</v>
      </c>
      <c r="J7">
        <f>ROUND((( _xlfn.XLOOKUP(D7,[1]!NO_2[BLO],[1]!NO_2[IHI],,-1) - _xlfn.XLOOKUP(D7,[1]!NO_2[BLO],[1]!NO_2[ILO],,-1))
/
( _xlfn.XLOOKUP(D7,[1]!NO_2[BLO],[1]!NO_2[BHI],,-1) - _xlfn.XLOOKUP(D7,[1]!NO_2[BLO],[1]!NO_2[BLO],,-1) ))
*
( D7 - _xlfn.XLOOKUP(D7,[1]!NO_2[BLO],[1]!NO_2[BLO],,-1))
+
_xlfn.XLOOKUP(D7,[1]!NO_2[BLO],[1]!NO_2[ILO],,-1),2)</f>
        <v>23.75</v>
      </c>
      <c r="K7">
        <f>ROUND(( ( _xlfn.XLOOKUP(E7,[1]!SO_2[BLO],[1]!SO_2[IHI],,-1)  - _xlfn.XLOOKUP(E7,[1]!SO_2[BLO],[1]!SO_2[ILO],,-1) )
/
( _xlfn.XLOOKUP(E7,[1]!SO_2[BLO],[1]!SO_2[BHI],,-1)- _xlfn.XLOOKUP(E7,[1]!SO_2[BLO],[1]!SO_2[BLO],,-1) ))
*
( E7 - _xlfn.XLOOKUP(E7,[1]!SO_2[BLO],[1]!SO_2[BLO],,-1) )
+
_xlfn.XLOOKUP(E7,[1]!SO_2[BLO],[1]!SO_2[ILO],,-1),2)</f>
        <v>8.75</v>
      </c>
      <c r="L7">
        <f>( ( _xlfn.XLOOKUP(F7,[1]!CO[BLO],[1]!CO[IHI],,-1)
- _xlfn.XLOOKUP(F7,[1]!CO[BLO],[1]!CO[ILO],,-1) )
/
( _xlfn.XLOOKUP(F7,[1]!CO[BLO],[1]!CO[BHI],,-1) - _xlfn.XLOOKUP(F7,[1]!CO[BLO],[1]!CO[BLO],,-1)))
*
( F7 - _xlfn.XLOOKUP(F7,[1]!CO[BLO],[1]!CO[BLO],,-1) )
+
_xlfn.XLOOKUP(F7,[1]!CO[BLO],[1]!CO[ILO],,-1)</f>
        <v>33</v>
      </c>
      <c r="M7">
        <f>(( _xlfn.XLOOKUP(G7,[1]!O_3[BLO],[1]!O_3[IHI],,-1) - _xlfn.XLOOKUP(G7,[1]!O_3[BLO],[1]!O_3[ILO],,-1))
/
( _xlfn.XLOOKUP(G7,[1]!O_3[BLO],[1]!O_3[BHI],,-1) - _xlfn.XLOOKUP(G7,[1]!O_3[BLO],[1]!O_3[BLO],,-1)))
*
( G7 - _xlfn.XLOOKUP(G7,[1]!O_3[BLO],[1]!O_3[BLO],,-1))
+
_xlfn.XLOOKUP(G7,[1]!O_3[BLO],[1]!O_3[ILO],,-1)</f>
        <v>29</v>
      </c>
      <c r="N7">
        <f>MAX(DAILY_DATA[[#This Row],[AQI_PM2.5]:[AQI_O3]])</f>
        <v>83</v>
      </c>
      <c r="O7" t="str">
        <f>_xlfn.XLOOKUP(DAILY_DATA[[#This Row],[OVERALL_AQI]],[1]!CATEGORY[AQI_LO],[1]!CATEGORY[CATEGORY],,-1)</f>
        <v>Satisfactory</v>
      </c>
      <c r="P7" t="str" cm="1">
        <f t="array" ref="P7">INDEX(
{"PM2.5","PM10","NO2","SO2","CO","O3"},
MATCH(N7,H7:M7,0)
)</f>
        <v>PM10</v>
      </c>
    </row>
    <row r="8" spans="1:16" x14ac:dyDescent="0.25">
      <c r="A8" s="4">
        <v>45298</v>
      </c>
      <c r="B8">
        <f>ROUND(AVERAGEIFS([1]HOURLY_DATA!B8:B8791,[1]HOURLY_DATA!H8:H8791,Daily_AQI!A8),0)</f>
        <v>28</v>
      </c>
      <c r="C8">
        <f>ROUND(AVERAGEIFS([1]HOURLY_DATA!C8:C8791,[1]HOURLY_DATA!H8:H8791,Daily_AQI!A8),0)</f>
        <v>66</v>
      </c>
      <c r="D8">
        <f>ROUND(AVERAGEIFS([1]HOURLY_DATA!D8:D8791,[1]HOURLY_DATA!H8:H8791,Daily_AQI!A8),0)</f>
        <v>18</v>
      </c>
      <c r="E8">
        <f>ROUND(AVERAGEIFS([1]HOURLY_DATA!E8:E8791,[1]HOURLY_DATA!H8:H8791,Daily_AQI!A8),0)</f>
        <v>7</v>
      </c>
      <c r="F8">
        <f>ROUND(AVERAGEIFS([1]HOURLY_DATA!I8:I8791,[1]HOURLY_DATA!H8:H8791,Daily_AQI!A8),2)</f>
        <v>0.62</v>
      </c>
      <c r="G8">
        <f>ROUND(AVERAGEIFS([1]HOURLY_DATA!J8:J8791,[1]HOURLY_DATA!H8:H8791,Daily_AQI!A8),0)</f>
        <v>27</v>
      </c>
      <c r="H8">
        <f>ROUND(((_xlfn.XLOOKUP(B8,[1]!PM2.5[BLO],[1]!PM2.5[IHI],,-1) - _xlfn.XLOOKUP(B8,[1]!PM2.5[BLO],[1]!PM2.5[ILO],,-1))
/
(_xlfn.XLOOKUP(B8,[1]!PM2.5[BLO],[1]!PM2.5[BHI],,-1) - _xlfn.XLOOKUP(B8,[1]!PM2.5[BLO],[1]!PM2.5[BLO],,-1)))
*
(B8 - _xlfn.XLOOKUP(B8,[1]!PM2.5[BLO],[1]!PM2.5[BLO],,-1))
+
_xlfn.XLOOKUP(B8,[1]!PM2.5[BLO],[1]!PM2.5[ILO],,-1),2)</f>
        <v>46.67</v>
      </c>
      <c r="I8">
        <f>ROUND(((_xlfn.XLOOKUP(C8,[1]!PM_10[BLO],[1]!PM_10[IHI],,-1) - _xlfn.XLOOKUP(C8,[1]!PM_10[BLO],[1]!PM_10[ILO],,-1))
/
(_xlfn.XLOOKUP(C8,[1]!PM_10[BLO],[1]!PM_10[BHI],,-1) - _xlfn.XLOOKUP(C8,[1]!PM_10[BLO],[1]!PM_10[BLO],,-1)))
*
( C8 - _xlfn.XLOOKUP(C8,[1]!PM_10[BLO],[1]!PM_10[BLO],,-1))
+
_xlfn.XLOOKUP(C8,[1]!PM_10[BLO],[1]!PM_10[ILO],,-1),2)</f>
        <v>66</v>
      </c>
      <c r="J8">
        <f>ROUND((( _xlfn.XLOOKUP(D8,[1]!NO_2[BLO],[1]!NO_2[IHI],,-1) - _xlfn.XLOOKUP(D8,[1]!NO_2[BLO],[1]!NO_2[ILO],,-1))
/
( _xlfn.XLOOKUP(D8,[1]!NO_2[BLO],[1]!NO_2[BHI],,-1) - _xlfn.XLOOKUP(D8,[1]!NO_2[BLO],[1]!NO_2[BLO],,-1) ))
*
( D8 - _xlfn.XLOOKUP(D8,[1]!NO_2[BLO],[1]!NO_2[BLO],,-1))
+
_xlfn.XLOOKUP(D8,[1]!NO_2[BLO],[1]!NO_2[ILO],,-1),2)</f>
        <v>22.5</v>
      </c>
      <c r="K8">
        <f>ROUND(( ( _xlfn.XLOOKUP(E8,[1]!SO_2[BLO],[1]!SO_2[IHI],,-1)  - _xlfn.XLOOKUP(E8,[1]!SO_2[BLO],[1]!SO_2[ILO],,-1) )
/
( _xlfn.XLOOKUP(E8,[1]!SO_2[BLO],[1]!SO_2[BHI],,-1)- _xlfn.XLOOKUP(E8,[1]!SO_2[BLO],[1]!SO_2[BLO],,-1) ))
*
( E8 - _xlfn.XLOOKUP(E8,[1]!SO_2[BLO],[1]!SO_2[BLO],,-1) )
+
_xlfn.XLOOKUP(E8,[1]!SO_2[BLO],[1]!SO_2[ILO],,-1),2)</f>
        <v>8.75</v>
      </c>
      <c r="L8">
        <f>( ( _xlfn.XLOOKUP(F8,[1]!CO[BLO],[1]!CO[IHI],,-1)
- _xlfn.XLOOKUP(F8,[1]!CO[BLO],[1]!CO[ILO],,-1) )
/
( _xlfn.XLOOKUP(F8,[1]!CO[BLO],[1]!CO[BHI],,-1) - _xlfn.XLOOKUP(F8,[1]!CO[BLO],[1]!CO[BLO],,-1)))
*
( F8 - _xlfn.XLOOKUP(F8,[1]!CO[BLO],[1]!CO[BLO],,-1) )
+
_xlfn.XLOOKUP(F8,[1]!CO[BLO],[1]!CO[ILO],,-1)</f>
        <v>31</v>
      </c>
      <c r="M8">
        <f>(( _xlfn.XLOOKUP(G8,[1]!O_3[BLO],[1]!O_3[IHI],,-1) - _xlfn.XLOOKUP(G8,[1]!O_3[BLO],[1]!O_3[ILO],,-1))
/
( _xlfn.XLOOKUP(G8,[1]!O_3[BLO],[1]!O_3[BHI],,-1) - _xlfn.XLOOKUP(G8,[1]!O_3[BLO],[1]!O_3[BLO],,-1)))
*
( G8 - _xlfn.XLOOKUP(G8,[1]!O_3[BLO],[1]!O_3[BLO],,-1))
+
_xlfn.XLOOKUP(G8,[1]!O_3[BLO],[1]!O_3[ILO],,-1)</f>
        <v>27</v>
      </c>
      <c r="N8">
        <f>MAX(DAILY_DATA[[#This Row],[AQI_PM2.5]:[AQI_O3]])</f>
        <v>66</v>
      </c>
      <c r="O8" t="str">
        <f>_xlfn.XLOOKUP(DAILY_DATA[[#This Row],[OVERALL_AQI]],[1]!CATEGORY[AQI_LO],[1]!CATEGORY[CATEGORY],,-1)</f>
        <v>Satisfactory</v>
      </c>
      <c r="P8" t="str" cm="1">
        <f t="array" ref="P8">INDEX(
{"PM2.5","PM10","NO2","SO2","CO","O3"},
MATCH(N8,H8:M8,0)
)</f>
        <v>PM10</v>
      </c>
    </row>
    <row r="9" spans="1:16" x14ac:dyDescent="0.25">
      <c r="A9" s="4">
        <v>45299</v>
      </c>
      <c r="B9">
        <f>ROUND(AVERAGEIFS([1]HOURLY_DATA!B9:B8792,[1]HOURLY_DATA!H9:H8792,Daily_AQI!A9),0)</f>
        <v>22</v>
      </c>
      <c r="C9">
        <f>ROUND(AVERAGEIFS([1]HOURLY_DATA!C9:C8792,[1]HOURLY_DATA!H9:H8792,Daily_AQI!A9),0)</f>
        <v>53</v>
      </c>
      <c r="D9">
        <f>ROUND(AVERAGEIFS([1]HOURLY_DATA!D9:D8792,[1]HOURLY_DATA!H9:H8792,Daily_AQI!A9),0)</f>
        <v>17</v>
      </c>
      <c r="E9">
        <f>ROUND(AVERAGEIFS([1]HOURLY_DATA!E9:E8792,[1]HOURLY_DATA!H9:H8792,Daily_AQI!A9),0)</f>
        <v>7</v>
      </c>
      <c r="F9">
        <f>ROUND(AVERAGEIFS([1]HOURLY_DATA!I9:I8792,[1]HOURLY_DATA!H9:H8792,Daily_AQI!A9),2)</f>
        <v>0.64</v>
      </c>
      <c r="G9">
        <f>ROUND(AVERAGEIFS([1]HOURLY_DATA!J9:J8792,[1]HOURLY_DATA!H9:H8792,Daily_AQI!A9),0)</f>
        <v>23</v>
      </c>
      <c r="H9">
        <f>ROUND(((_xlfn.XLOOKUP(B9,[1]!PM2.5[BLO],[1]!PM2.5[IHI],,-1) - _xlfn.XLOOKUP(B9,[1]!PM2.5[BLO],[1]!PM2.5[ILO],,-1))
/
(_xlfn.XLOOKUP(B9,[1]!PM2.5[BLO],[1]!PM2.5[BHI],,-1) - _xlfn.XLOOKUP(B9,[1]!PM2.5[BLO],[1]!PM2.5[BLO],,-1)))
*
(B9 - _xlfn.XLOOKUP(B9,[1]!PM2.5[BLO],[1]!PM2.5[BLO],,-1))
+
_xlfn.XLOOKUP(B9,[1]!PM2.5[BLO],[1]!PM2.5[ILO],,-1),2)</f>
        <v>36.67</v>
      </c>
      <c r="I9">
        <f>ROUND(((_xlfn.XLOOKUP(C9,[1]!PM_10[BLO],[1]!PM_10[IHI],,-1) - _xlfn.XLOOKUP(C9,[1]!PM_10[BLO],[1]!PM_10[ILO],,-1))
/
(_xlfn.XLOOKUP(C9,[1]!PM_10[BLO],[1]!PM_10[BHI],,-1) - _xlfn.XLOOKUP(C9,[1]!PM_10[BLO],[1]!PM_10[BLO],,-1)))
*
( C9 - _xlfn.XLOOKUP(C9,[1]!PM_10[BLO],[1]!PM_10[BLO],,-1))
+
_xlfn.XLOOKUP(C9,[1]!PM_10[BLO],[1]!PM_10[ILO],,-1),2)</f>
        <v>53</v>
      </c>
      <c r="J9">
        <f>ROUND((( _xlfn.XLOOKUP(D9,[1]!NO_2[BLO],[1]!NO_2[IHI],,-1) - _xlfn.XLOOKUP(D9,[1]!NO_2[BLO],[1]!NO_2[ILO],,-1))
/
( _xlfn.XLOOKUP(D9,[1]!NO_2[BLO],[1]!NO_2[BHI],,-1) - _xlfn.XLOOKUP(D9,[1]!NO_2[BLO],[1]!NO_2[BLO],,-1) ))
*
( D9 - _xlfn.XLOOKUP(D9,[1]!NO_2[BLO],[1]!NO_2[BLO],,-1))
+
_xlfn.XLOOKUP(D9,[1]!NO_2[BLO],[1]!NO_2[ILO],,-1),2)</f>
        <v>21.25</v>
      </c>
      <c r="K9">
        <f>ROUND(( ( _xlfn.XLOOKUP(E9,[1]!SO_2[BLO],[1]!SO_2[IHI],,-1)  - _xlfn.XLOOKUP(E9,[1]!SO_2[BLO],[1]!SO_2[ILO],,-1) )
/
( _xlfn.XLOOKUP(E9,[1]!SO_2[BLO],[1]!SO_2[BHI],,-1)- _xlfn.XLOOKUP(E9,[1]!SO_2[BLO],[1]!SO_2[BLO],,-1) ))
*
( E9 - _xlfn.XLOOKUP(E9,[1]!SO_2[BLO],[1]!SO_2[BLO],,-1) )
+
_xlfn.XLOOKUP(E9,[1]!SO_2[BLO],[1]!SO_2[ILO],,-1),2)</f>
        <v>8.75</v>
      </c>
      <c r="L9">
        <f>( ( _xlfn.XLOOKUP(F9,[1]!CO[BLO],[1]!CO[IHI],,-1)
- _xlfn.XLOOKUP(F9,[1]!CO[BLO],[1]!CO[ILO],,-1) )
/
( _xlfn.XLOOKUP(F9,[1]!CO[BLO],[1]!CO[BHI],,-1) - _xlfn.XLOOKUP(F9,[1]!CO[BLO],[1]!CO[BLO],,-1)))
*
( F9 - _xlfn.XLOOKUP(F9,[1]!CO[BLO],[1]!CO[BLO],,-1) )
+
_xlfn.XLOOKUP(F9,[1]!CO[BLO],[1]!CO[ILO],,-1)</f>
        <v>32</v>
      </c>
      <c r="M9">
        <f>(( _xlfn.XLOOKUP(G9,[1]!O_3[BLO],[1]!O_3[IHI],,-1) - _xlfn.XLOOKUP(G9,[1]!O_3[BLO],[1]!O_3[ILO],,-1))
/
( _xlfn.XLOOKUP(G9,[1]!O_3[BLO],[1]!O_3[BHI],,-1) - _xlfn.XLOOKUP(G9,[1]!O_3[BLO],[1]!O_3[BLO],,-1)))
*
( G9 - _xlfn.XLOOKUP(G9,[1]!O_3[BLO],[1]!O_3[BLO],,-1))
+
_xlfn.XLOOKUP(G9,[1]!O_3[BLO],[1]!O_3[ILO],,-1)</f>
        <v>23</v>
      </c>
      <c r="N9">
        <f>MAX(DAILY_DATA[[#This Row],[AQI_PM2.5]:[AQI_O3]])</f>
        <v>53</v>
      </c>
      <c r="O9" t="str">
        <f>_xlfn.XLOOKUP(DAILY_DATA[[#This Row],[OVERALL_AQI]],[1]!CATEGORY[AQI_LO],[1]!CATEGORY[CATEGORY],,-1)</f>
        <v>Satisfactory</v>
      </c>
      <c r="P9" t="str" cm="1">
        <f t="array" ref="P9">INDEX(
{"PM2.5","PM10","NO2","SO2","CO","O3"},
MATCH(N9,H9:M9,0)
)</f>
        <v>PM10</v>
      </c>
    </row>
    <row r="10" spans="1:16" x14ac:dyDescent="0.25">
      <c r="A10" s="4">
        <v>45300</v>
      </c>
      <c r="B10">
        <f>ROUND(AVERAGEIFS([1]HOURLY_DATA!B10:B8793,[1]HOURLY_DATA!H10:H8793,Daily_AQI!A10),0)</f>
        <v>84</v>
      </c>
      <c r="C10">
        <f>ROUND(AVERAGEIFS([1]HOURLY_DATA!C10:C8793,[1]HOURLY_DATA!H10:H8793,Daily_AQI!A10),0)</f>
        <v>74</v>
      </c>
      <c r="D10">
        <f>ROUND(AVERAGEIFS([1]HOURLY_DATA!D10:D8793,[1]HOURLY_DATA!H10:H8793,Daily_AQI!A10),0)</f>
        <v>17</v>
      </c>
      <c r="E10">
        <f>ROUND(AVERAGEIFS([1]HOURLY_DATA!E10:E8793,[1]HOURLY_DATA!H10:H8793,Daily_AQI!A10),0)</f>
        <v>7</v>
      </c>
      <c r="F10">
        <f>ROUND(AVERAGEIFS([1]HOURLY_DATA!I10:I8793,[1]HOURLY_DATA!H10:H8793,Daily_AQI!A10),2)</f>
        <v>0.61</v>
      </c>
      <c r="G10">
        <f>ROUND(AVERAGEIFS([1]HOURLY_DATA!J10:J8793,[1]HOURLY_DATA!H10:H8793,Daily_AQI!A10),0)</f>
        <v>24</v>
      </c>
      <c r="H10">
        <f>ROUND(((_xlfn.XLOOKUP(B10,[1]!PM2.5[BLO],[1]!PM2.5[IHI],,-1) - _xlfn.XLOOKUP(B10,[1]!PM2.5[BLO],[1]!PM2.5[ILO],,-1))
/
(_xlfn.XLOOKUP(B10,[1]!PM2.5[BLO],[1]!PM2.5[BHI],,-1) - _xlfn.XLOOKUP(B10,[1]!PM2.5[BLO],[1]!PM2.5[BLO],,-1)))
*
(B10 - _xlfn.XLOOKUP(B10,[1]!PM2.5[BLO],[1]!PM2.5[BLO],,-1))
+
_xlfn.XLOOKUP(B10,[1]!PM2.5[BLO],[1]!PM2.5[ILO],,-1),2)</f>
        <v>179.52</v>
      </c>
      <c r="I10">
        <f>ROUND(((_xlfn.XLOOKUP(C10,[1]!PM_10[BLO],[1]!PM_10[IHI],,-1) - _xlfn.XLOOKUP(C10,[1]!PM_10[BLO],[1]!PM_10[ILO],,-1))
/
(_xlfn.XLOOKUP(C10,[1]!PM_10[BLO],[1]!PM_10[BHI],,-1) - _xlfn.XLOOKUP(C10,[1]!PM_10[BLO],[1]!PM_10[BLO],,-1)))
*
( C10 - _xlfn.XLOOKUP(C10,[1]!PM_10[BLO],[1]!PM_10[BLO],,-1))
+
_xlfn.XLOOKUP(C10,[1]!PM_10[BLO],[1]!PM_10[ILO],,-1),2)</f>
        <v>74</v>
      </c>
      <c r="J10">
        <f>ROUND((( _xlfn.XLOOKUP(D10,[1]!NO_2[BLO],[1]!NO_2[IHI],,-1) - _xlfn.XLOOKUP(D10,[1]!NO_2[BLO],[1]!NO_2[ILO],,-1))
/
( _xlfn.XLOOKUP(D10,[1]!NO_2[BLO],[1]!NO_2[BHI],,-1) - _xlfn.XLOOKUP(D10,[1]!NO_2[BLO],[1]!NO_2[BLO],,-1) ))
*
( D10 - _xlfn.XLOOKUP(D10,[1]!NO_2[BLO],[1]!NO_2[BLO],,-1))
+
_xlfn.XLOOKUP(D10,[1]!NO_2[BLO],[1]!NO_2[ILO],,-1),2)</f>
        <v>21.25</v>
      </c>
      <c r="K10">
        <f>ROUND(( ( _xlfn.XLOOKUP(E10,[1]!SO_2[BLO],[1]!SO_2[IHI],,-1)  - _xlfn.XLOOKUP(E10,[1]!SO_2[BLO],[1]!SO_2[ILO],,-1) )
/
( _xlfn.XLOOKUP(E10,[1]!SO_2[BLO],[1]!SO_2[BHI],,-1)- _xlfn.XLOOKUP(E10,[1]!SO_2[BLO],[1]!SO_2[BLO],,-1) ))
*
( E10 - _xlfn.XLOOKUP(E10,[1]!SO_2[BLO],[1]!SO_2[BLO],,-1) )
+
_xlfn.XLOOKUP(E10,[1]!SO_2[BLO],[1]!SO_2[ILO],,-1),2)</f>
        <v>8.75</v>
      </c>
      <c r="L10">
        <f>( ( _xlfn.XLOOKUP(F10,[1]!CO[BLO],[1]!CO[IHI],,-1)
- _xlfn.XLOOKUP(F10,[1]!CO[BLO],[1]!CO[ILO],,-1) )
/
( _xlfn.XLOOKUP(F10,[1]!CO[BLO],[1]!CO[BHI],,-1) - _xlfn.XLOOKUP(F10,[1]!CO[BLO],[1]!CO[BLO],,-1)))
*
( F10 - _xlfn.XLOOKUP(F10,[1]!CO[BLO],[1]!CO[BLO],,-1) )
+
_xlfn.XLOOKUP(F10,[1]!CO[BLO],[1]!CO[ILO],,-1)</f>
        <v>30.5</v>
      </c>
      <c r="M10">
        <f>(( _xlfn.XLOOKUP(G10,[1]!O_3[BLO],[1]!O_3[IHI],,-1) - _xlfn.XLOOKUP(G10,[1]!O_3[BLO],[1]!O_3[ILO],,-1))
/
( _xlfn.XLOOKUP(G10,[1]!O_3[BLO],[1]!O_3[BHI],,-1) - _xlfn.XLOOKUP(G10,[1]!O_3[BLO],[1]!O_3[BLO],,-1)))
*
( G10 - _xlfn.XLOOKUP(G10,[1]!O_3[BLO],[1]!O_3[BLO],,-1))
+
_xlfn.XLOOKUP(G10,[1]!O_3[BLO],[1]!O_3[ILO],,-1)</f>
        <v>24</v>
      </c>
      <c r="N10">
        <f>MAX(DAILY_DATA[[#This Row],[AQI_PM2.5]:[AQI_O3]])</f>
        <v>179.52</v>
      </c>
      <c r="O10" t="str">
        <f>_xlfn.XLOOKUP(DAILY_DATA[[#This Row],[OVERALL_AQI]],[1]!CATEGORY[AQI_LO],[1]!CATEGORY[CATEGORY],,-1)</f>
        <v>Moderate</v>
      </c>
      <c r="P10" t="str" cm="1">
        <f t="array" ref="P10">INDEX(
{"PM2.5","PM10","NO2","SO2","CO","O3"},
MATCH(N10,H10:M10,0)
)</f>
        <v>PM2.5</v>
      </c>
    </row>
    <row r="11" spans="1:16" x14ac:dyDescent="0.25">
      <c r="A11" s="4">
        <v>45301</v>
      </c>
      <c r="B11">
        <f>ROUND(AVERAGEIFS([1]HOURLY_DATA!B11:B8794,[1]HOURLY_DATA!H11:H8794,Daily_AQI!A11),0)</f>
        <v>86</v>
      </c>
      <c r="C11">
        <f>ROUND(AVERAGEIFS([1]HOURLY_DATA!C11:C8794,[1]HOURLY_DATA!H11:H8794,Daily_AQI!A11),0)</f>
        <v>87</v>
      </c>
      <c r="D11">
        <f>ROUND(AVERAGEIFS([1]HOURLY_DATA!D11:D8794,[1]HOURLY_DATA!H11:H8794,Daily_AQI!A11),0)</f>
        <v>17</v>
      </c>
      <c r="E11">
        <f>ROUND(AVERAGEIFS([1]HOURLY_DATA!E11:E8794,[1]HOURLY_DATA!H11:H8794,Daily_AQI!A11),0)</f>
        <v>8</v>
      </c>
      <c r="F11">
        <f>ROUND(AVERAGEIFS([1]HOURLY_DATA!I11:I8794,[1]HOURLY_DATA!H11:H8794,Daily_AQI!A11),2)</f>
        <v>0.62</v>
      </c>
      <c r="G11">
        <f>ROUND(AVERAGEIFS([1]HOURLY_DATA!J11:J8794,[1]HOURLY_DATA!H11:H8794,Daily_AQI!A11),0)</f>
        <v>28</v>
      </c>
      <c r="H11">
        <f>ROUND(((_xlfn.XLOOKUP(B11,[1]!PM2.5[BLO],[1]!PM2.5[IHI],,-1) - _xlfn.XLOOKUP(B11,[1]!PM2.5[BLO],[1]!PM2.5[ILO],,-1))
/
(_xlfn.XLOOKUP(B11,[1]!PM2.5[BLO],[1]!PM2.5[BHI],,-1) - _xlfn.XLOOKUP(B11,[1]!PM2.5[BLO],[1]!PM2.5[BLO],,-1)))
*
(B11 - _xlfn.XLOOKUP(B11,[1]!PM2.5[BLO],[1]!PM2.5[BLO],,-1))
+
_xlfn.XLOOKUP(B11,[1]!PM2.5[BLO],[1]!PM2.5[ILO],,-1),2)</f>
        <v>186.34</v>
      </c>
      <c r="I11">
        <f>ROUND(((_xlfn.XLOOKUP(C11,[1]!PM_10[BLO],[1]!PM_10[IHI],,-1) - _xlfn.XLOOKUP(C11,[1]!PM_10[BLO],[1]!PM_10[ILO],,-1))
/
(_xlfn.XLOOKUP(C11,[1]!PM_10[BLO],[1]!PM_10[BHI],,-1) - _xlfn.XLOOKUP(C11,[1]!PM_10[BLO],[1]!PM_10[BLO],,-1)))
*
( C11 - _xlfn.XLOOKUP(C11,[1]!PM_10[BLO],[1]!PM_10[BLO],,-1))
+
_xlfn.XLOOKUP(C11,[1]!PM_10[BLO],[1]!PM_10[ILO],,-1),2)</f>
        <v>87</v>
      </c>
      <c r="J11">
        <f>ROUND((( _xlfn.XLOOKUP(D11,[1]!NO_2[BLO],[1]!NO_2[IHI],,-1) - _xlfn.XLOOKUP(D11,[1]!NO_2[BLO],[1]!NO_2[ILO],,-1))
/
( _xlfn.XLOOKUP(D11,[1]!NO_2[BLO],[1]!NO_2[BHI],,-1) - _xlfn.XLOOKUP(D11,[1]!NO_2[BLO],[1]!NO_2[BLO],,-1) ))
*
( D11 - _xlfn.XLOOKUP(D11,[1]!NO_2[BLO],[1]!NO_2[BLO],,-1))
+
_xlfn.XLOOKUP(D11,[1]!NO_2[BLO],[1]!NO_2[ILO],,-1),2)</f>
        <v>21.25</v>
      </c>
      <c r="K11">
        <f>ROUND(( ( _xlfn.XLOOKUP(E11,[1]!SO_2[BLO],[1]!SO_2[IHI],,-1)  - _xlfn.XLOOKUP(E11,[1]!SO_2[BLO],[1]!SO_2[ILO],,-1) )
/
( _xlfn.XLOOKUP(E11,[1]!SO_2[BLO],[1]!SO_2[BHI],,-1)- _xlfn.XLOOKUP(E11,[1]!SO_2[BLO],[1]!SO_2[BLO],,-1) ))
*
( E11 - _xlfn.XLOOKUP(E11,[1]!SO_2[BLO],[1]!SO_2[BLO],,-1) )
+
_xlfn.XLOOKUP(E11,[1]!SO_2[BLO],[1]!SO_2[ILO],,-1),2)</f>
        <v>10</v>
      </c>
      <c r="L11">
        <f>( ( _xlfn.XLOOKUP(F11,[1]!CO[BLO],[1]!CO[IHI],,-1)
- _xlfn.XLOOKUP(F11,[1]!CO[BLO],[1]!CO[ILO],,-1) )
/
( _xlfn.XLOOKUP(F11,[1]!CO[BLO],[1]!CO[BHI],,-1) - _xlfn.XLOOKUP(F11,[1]!CO[BLO],[1]!CO[BLO],,-1)))
*
( F11 - _xlfn.XLOOKUP(F11,[1]!CO[BLO],[1]!CO[BLO],,-1) )
+
_xlfn.XLOOKUP(F11,[1]!CO[BLO],[1]!CO[ILO],,-1)</f>
        <v>31</v>
      </c>
      <c r="M11">
        <f>(( _xlfn.XLOOKUP(G11,[1]!O_3[BLO],[1]!O_3[IHI],,-1) - _xlfn.XLOOKUP(G11,[1]!O_3[BLO],[1]!O_3[ILO],,-1))
/
( _xlfn.XLOOKUP(G11,[1]!O_3[BLO],[1]!O_3[BHI],,-1) - _xlfn.XLOOKUP(G11,[1]!O_3[BLO],[1]!O_3[BLO],,-1)))
*
( G11 - _xlfn.XLOOKUP(G11,[1]!O_3[BLO],[1]!O_3[BLO],,-1))
+
_xlfn.XLOOKUP(G11,[1]!O_3[BLO],[1]!O_3[ILO],,-1)</f>
        <v>28</v>
      </c>
      <c r="N11">
        <f>MAX(DAILY_DATA[[#This Row],[AQI_PM2.5]:[AQI_O3]])</f>
        <v>186.34</v>
      </c>
      <c r="O11" t="str">
        <f>_xlfn.XLOOKUP(DAILY_DATA[[#This Row],[OVERALL_AQI]],[1]!CATEGORY[AQI_LO],[1]!CATEGORY[CATEGORY],,-1)</f>
        <v>Moderate</v>
      </c>
      <c r="P11" t="str" cm="1">
        <f t="array" ref="P11">INDEX(
{"PM2.5","PM10","NO2","SO2","CO","O3"},
MATCH(N11,H11:M11,0)
)</f>
        <v>PM2.5</v>
      </c>
    </row>
    <row r="12" spans="1:16" x14ac:dyDescent="0.25">
      <c r="A12" s="4">
        <v>45302</v>
      </c>
      <c r="B12">
        <f>ROUND(AVERAGEIFS([1]HOURLY_DATA!B12:B8795,[1]HOURLY_DATA!H12:H8795,Daily_AQI!A12),0)</f>
        <v>39</v>
      </c>
      <c r="C12">
        <f>ROUND(AVERAGEIFS([1]HOURLY_DATA!C12:C8795,[1]HOURLY_DATA!H12:H8795,Daily_AQI!A12),0)</f>
        <v>92</v>
      </c>
      <c r="D12">
        <f>ROUND(AVERAGEIFS([1]HOURLY_DATA!D12:D8795,[1]HOURLY_DATA!H12:H8795,Daily_AQI!A12),0)</f>
        <v>17</v>
      </c>
      <c r="E12">
        <f>ROUND(AVERAGEIFS([1]HOURLY_DATA!E12:E8795,[1]HOURLY_DATA!H12:H8795,Daily_AQI!A12),0)</f>
        <v>8</v>
      </c>
      <c r="F12">
        <f>ROUND(AVERAGEIFS([1]HOURLY_DATA!I12:I8795,[1]HOURLY_DATA!H12:H8795,Daily_AQI!A12),2)</f>
        <v>0.67</v>
      </c>
      <c r="G12">
        <f>ROUND(AVERAGEIFS([1]HOURLY_DATA!J12:J8795,[1]HOURLY_DATA!H12:H8795,Daily_AQI!A12),0)</f>
        <v>31</v>
      </c>
      <c r="H12">
        <f>ROUND(((_xlfn.XLOOKUP(B12,[1]!PM2.5[BLO],[1]!PM2.5[IHI],,-1) - _xlfn.XLOOKUP(B12,[1]!PM2.5[BLO],[1]!PM2.5[ILO],,-1))
/
(_xlfn.XLOOKUP(B12,[1]!PM2.5[BLO],[1]!PM2.5[BHI],,-1) - _xlfn.XLOOKUP(B12,[1]!PM2.5[BLO],[1]!PM2.5[BLO],,-1)))
*
(B12 - _xlfn.XLOOKUP(B12,[1]!PM2.5[BLO],[1]!PM2.5[BLO],,-1))
+
_xlfn.XLOOKUP(B12,[1]!PM2.5[BLO],[1]!PM2.5[ILO],,-1),2)</f>
        <v>64.52</v>
      </c>
      <c r="I12">
        <f>ROUND(((_xlfn.XLOOKUP(C12,[1]!PM_10[BLO],[1]!PM_10[IHI],,-1) - _xlfn.XLOOKUP(C12,[1]!PM_10[BLO],[1]!PM_10[ILO],,-1))
/
(_xlfn.XLOOKUP(C12,[1]!PM_10[BLO],[1]!PM_10[BHI],,-1) - _xlfn.XLOOKUP(C12,[1]!PM_10[BLO],[1]!PM_10[BLO],,-1)))
*
( C12 - _xlfn.XLOOKUP(C12,[1]!PM_10[BLO],[1]!PM_10[BLO],,-1))
+
_xlfn.XLOOKUP(C12,[1]!PM_10[BLO],[1]!PM_10[ILO],,-1),2)</f>
        <v>92</v>
      </c>
      <c r="J12">
        <f>ROUND((( _xlfn.XLOOKUP(D12,[1]!NO_2[BLO],[1]!NO_2[IHI],,-1) - _xlfn.XLOOKUP(D12,[1]!NO_2[BLO],[1]!NO_2[ILO],,-1))
/
( _xlfn.XLOOKUP(D12,[1]!NO_2[BLO],[1]!NO_2[BHI],,-1) - _xlfn.XLOOKUP(D12,[1]!NO_2[BLO],[1]!NO_2[BLO],,-1) ))
*
( D12 - _xlfn.XLOOKUP(D12,[1]!NO_2[BLO],[1]!NO_2[BLO],,-1))
+
_xlfn.XLOOKUP(D12,[1]!NO_2[BLO],[1]!NO_2[ILO],,-1),2)</f>
        <v>21.25</v>
      </c>
      <c r="K12">
        <f>ROUND(( ( _xlfn.XLOOKUP(E12,[1]!SO_2[BLO],[1]!SO_2[IHI],,-1)  - _xlfn.XLOOKUP(E12,[1]!SO_2[BLO],[1]!SO_2[ILO],,-1) )
/
( _xlfn.XLOOKUP(E12,[1]!SO_2[BLO],[1]!SO_2[BHI],,-1)- _xlfn.XLOOKUP(E12,[1]!SO_2[BLO],[1]!SO_2[BLO],,-1) ))
*
( E12 - _xlfn.XLOOKUP(E12,[1]!SO_2[BLO],[1]!SO_2[BLO],,-1) )
+
_xlfn.XLOOKUP(E12,[1]!SO_2[BLO],[1]!SO_2[ILO],,-1),2)</f>
        <v>10</v>
      </c>
      <c r="L12">
        <f>( ( _xlfn.XLOOKUP(F12,[1]!CO[BLO],[1]!CO[IHI],,-1)
- _xlfn.XLOOKUP(F12,[1]!CO[BLO],[1]!CO[ILO],,-1) )
/
( _xlfn.XLOOKUP(F12,[1]!CO[BLO],[1]!CO[BHI],,-1) - _xlfn.XLOOKUP(F12,[1]!CO[BLO],[1]!CO[BLO],,-1)))
*
( F12 - _xlfn.XLOOKUP(F12,[1]!CO[BLO],[1]!CO[BLO],,-1) )
+
_xlfn.XLOOKUP(F12,[1]!CO[BLO],[1]!CO[ILO],,-1)</f>
        <v>33.5</v>
      </c>
      <c r="M12">
        <f>(( _xlfn.XLOOKUP(G12,[1]!O_3[BLO],[1]!O_3[IHI],,-1) - _xlfn.XLOOKUP(G12,[1]!O_3[BLO],[1]!O_3[ILO],,-1))
/
( _xlfn.XLOOKUP(G12,[1]!O_3[BLO],[1]!O_3[BHI],,-1) - _xlfn.XLOOKUP(G12,[1]!O_3[BLO],[1]!O_3[BLO],,-1)))
*
( G12 - _xlfn.XLOOKUP(G12,[1]!O_3[BLO],[1]!O_3[BLO],,-1))
+
_xlfn.XLOOKUP(G12,[1]!O_3[BLO],[1]!O_3[ILO],,-1)</f>
        <v>31</v>
      </c>
      <c r="N12">
        <f>MAX(DAILY_DATA[[#This Row],[AQI_PM2.5]:[AQI_O3]])</f>
        <v>92</v>
      </c>
      <c r="O12" t="str">
        <f>_xlfn.XLOOKUP(DAILY_DATA[[#This Row],[OVERALL_AQI]],[1]!CATEGORY[AQI_LO],[1]!CATEGORY[CATEGORY],,-1)</f>
        <v>Satisfactory</v>
      </c>
      <c r="P12" t="str" cm="1">
        <f t="array" ref="P12">INDEX(
{"PM2.5","PM10","NO2","SO2","CO","O3"},
MATCH(N12,H12:M12,0)
)</f>
        <v>PM10</v>
      </c>
    </row>
    <row r="13" spans="1:16" x14ac:dyDescent="0.25">
      <c r="A13" s="4">
        <v>45303</v>
      </c>
      <c r="B13">
        <f>ROUND(AVERAGEIFS([1]HOURLY_DATA!B13:B8796,[1]HOURLY_DATA!H13:H8796,Daily_AQI!A13),0)</f>
        <v>44</v>
      </c>
      <c r="C13">
        <f>ROUND(AVERAGEIFS([1]HOURLY_DATA!C13:C8796,[1]HOURLY_DATA!H13:H8796,Daily_AQI!A13),0)</f>
        <v>93</v>
      </c>
      <c r="D13">
        <f>ROUND(AVERAGEIFS([1]HOURLY_DATA!D13:D8796,[1]HOURLY_DATA!H13:H8796,Daily_AQI!A13),0)</f>
        <v>17</v>
      </c>
      <c r="E13">
        <f>ROUND(AVERAGEIFS([1]HOURLY_DATA!E13:E8796,[1]HOURLY_DATA!H13:H8796,Daily_AQI!A13),0)</f>
        <v>8</v>
      </c>
      <c r="F13">
        <f>ROUND(AVERAGEIFS([1]HOURLY_DATA!I13:I8796,[1]HOURLY_DATA!H13:H8796,Daily_AQI!A13),2)</f>
        <v>0.6</v>
      </c>
      <c r="G13">
        <f>ROUND(AVERAGEIFS([1]HOURLY_DATA!J13:J8796,[1]HOURLY_DATA!H13:H8796,Daily_AQI!A13),0)</f>
        <v>32</v>
      </c>
      <c r="H13">
        <f>ROUND(((_xlfn.XLOOKUP(B13,[1]!PM2.5[BLO],[1]!PM2.5[IHI],,-1) - _xlfn.XLOOKUP(B13,[1]!PM2.5[BLO],[1]!PM2.5[ILO],,-1))
/
(_xlfn.XLOOKUP(B13,[1]!PM2.5[BLO],[1]!PM2.5[BHI],,-1) - _xlfn.XLOOKUP(B13,[1]!PM2.5[BLO],[1]!PM2.5[BLO],,-1)))
*
(B13 - _xlfn.XLOOKUP(B13,[1]!PM2.5[BLO],[1]!PM2.5[BLO],,-1))
+
_xlfn.XLOOKUP(B13,[1]!PM2.5[BLO],[1]!PM2.5[ILO],,-1),2)</f>
        <v>72.97</v>
      </c>
      <c r="I13">
        <f>ROUND(((_xlfn.XLOOKUP(C13,[1]!PM_10[BLO],[1]!PM_10[IHI],,-1) - _xlfn.XLOOKUP(C13,[1]!PM_10[BLO],[1]!PM_10[ILO],,-1))
/
(_xlfn.XLOOKUP(C13,[1]!PM_10[BLO],[1]!PM_10[BHI],,-1) - _xlfn.XLOOKUP(C13,[1]!PM_10[BLO],[1]!PM_10[BLO],,-1)))
*
( C13 - _xlfn.XLOOKUP(C13,[1]!PM_10[BLO],[1]!PM_10[BLO],,-1))
+
_xlfn.XLOOKUP(C13,[1]!PM_10[BLO],[1]!PM_10[ILO],,-1),2)</f>
        <v>93</v>
      </c>
      <c r="J13">
        <f>ROUND((( _xlfn.XLOOKUP(D13,[1]!NO_2[BLO],[1]!NO_2[IHI],,-1) - _xlfn.XLOOKUP(D13,[1]!NO_2[BLO],[1]!NO_2[ILO],,-1))
/
( _xlfn.XLOOKUP(D13,[1]!NO_2[BLO],[1]!NO_2[BHI],,-1) - _xlfn.XLOOKUP(D13,[1]!NO_2[BLO],[1]!NO_2[BLO],,-1) ))
*
( D13 - _xlfn.XLOOKUP(D13,[1]!NO_2[BLO],[1]!NO_2[BLO],,-1))
+
_xlfn.XLOOKUP(D13,[1]!NO_2[BLO],[1]!NO_2[ILO],,-1),2)</f>
        <v>21.25</v>
      </c>
      <c r="K13">
        <f>ROUND(( ( _xlfn.XLOOKUP(E13,[1]!SO_2[BLO],[1]!SO_2[IHI],,-1)  - _xlfn.XLOOKUP(E13,[1]!SO_2[BLO],[1]!SO_2[ILO],,-1) )
/
( _xlfn.XLOOKUP(E13,[1]!SO_2[BLO],[1]!SO_2[BHI],,-1)- _xlfn.XLOOKUP(E13,[1]!SO_2[BLO],[1]!SO_2[BLO],,-1) ))
*
( E13 - _xlfn.XLOOKUP(E13,[1]!SO_2[BLO],[1]!SO_2[BLO],,-1) )
+
_xlfn.XLOOKUP(E13,[1]!SO_2[BLO],[1]!SO_2[ILO],,-1),2)</f>
        <v>10</v>
      </c>
      <c r="L13">
        <f>( ( _xlfn.XLOOKUP(F13,[1]!CO[BLO],[1]!CO[IHI],,-1)
- _xlfn.XLOOKUP(F13,[1]!CO[BLO],[1]!CO[ILO],,-1) )
/
( _xlfn.XLOOKUP(F13,[1]!CO[BLO],[1]!CO[BHI],,-1) - _xlfn.XLOOKUP(F13,[1]!CO[BLO],[1]!CO[BLO],,-1)))
*
( F13 - _xlfn.XLOOKUP(F13,[1]!CO[BLO],[1]!CO[BLO],,-1) )
+
_xlfn.XLOOKUP(F13,[1]!CO[BLO],[1]!CO[ILO],,-1)</f>
        <v>30</v>
      </c>
      <c r="M13">
        <f>(( _xlfn.XLOOKUP(G13,[1]!O_3[BLO],[1]!O_3[IHI],,-1) - _xlfn.XLOOKUP(G13,[1]!O_3[BLO],[1]!O_3[ILO],,-1))
/
( _xlfn.XLOOKUP(G13,[1]!O_3[BLO],[1]!O_3[BHI],,-1) - _xlfn.XLOOKUP(G13,[1]!O_3[BLO],[1]!O_3[BLO],,-1)))
*
( G13 - _xlfn.XLOOKUP(G13,[1]!O_3[BLO],[1]!O_3[BLO],,-1))
+
_xlfn.XLOOKUP(G13,[1]!O_3[BLO],[1]!O_3[ILO],,-1)</f>
        <v>32</v>
      </c>
      <c r="N13">
        <f>MAX(DAILY_DATA[[#This Row],[AQI_PM2.5]:[AQI_O3]])</f>
        <v>93</v>
      </c>
      <c r="O13" t="str">
        <f>_xlfn.XLOOKUP(DAILY_DATA[[#This Row],[OVERALL_AQI]],[1]!CATEGORY[AQI_LO],[1]!CATEGORY[CATEGORY],,-1)</f>
        <v>Satisfactory</v>
      </c>
      <c r="P13" t="str" cm="1">
        <f t="array" ref="P13">INDEX(
{"PM2.5","PM10","NO2","SO2","CO","O3"},
MATCH(N13,H13:M13,0)
)</f>
        <v>PM10</v>
      </c>
    </row>
    <row r="14" spans="1:16" x14ac:dyDescent="0.25">
      <c r="A14" s="4">
        <v>45304</v>
      </c>
      <c r="B14">
        <f>ROUND(AVERAGEIFS([1]HOURLY_DATA!B14:B8797,[1]HOURLY_DATA!H14:H8797,Daily_AQI!A14),0)</f>
        <v>54</v>
      </c>
      <c r="C14">
        <f>ROUND(AVERAGEIFS([1]HOURLY_DATA!C14:C8797,[1]HOURLY_DATA!H14:H8797,Daily_AQI!A14),0)</f>
        <v>112</v>
      </c>
      <c r="D14">
        <f>ROUND(AVERAGEIFS([1]HOURLY_DATA!D14:D8797,[1]HOURLY_DATA!H14:H8797,Daily_AQI!A14),0)</f>
        <v>18</v>
      </c>
      <c r="E14">
        <f>ROUND(AVERAGEIFS([1]HOURLY_DATA!E14:E8797,[1]HOURLY_DATA!H14:H8797,Daily_AQI!A14),0)</f>
        <v>8</v>
      </c>
      <c r="F14">
        <f>ROUND(AVERAGEIFS([1]HOURLY_DATA!I14:I8797,[1]HOURLY_DATA!H14:H8797,Daily_AQI!A14),2)</f>
        <v>0.69</v>
      </c>
      <c r="G14">
        <f>ROUND(AVERAGEIFS([1]HOURLY_DATA!J14:J8797,[1]HOURLY_DATA!H14:H8797,Daily_AQI!A14),0)</f>
        <v>33</v>
      </c>
      <c r="H14">
        <f>ROUND(((_xlfn.XLOOKUP(B14,[1]!PM2.5[BLO],[1]!PM2.5[IHI],,-1) - _xlfn.XLOOKUP(B14,[1]!PM2.5[BLO],[1]!PM2.5[ILO],,-1))
/
(_xlfn.XLOOKUP(B14,[1]!PM2.5[BLO],[1]!PM2.5[BHI],,-1) - _xlfn.XLOOKUP(B14,[1]!PM2.5[BLO],[1]!PM2.5[BLO],,-1)))
*
(B14 - _xlfn.XLOOKUP(B14,[1]!PM2.5[BLO],[1]!PM2.5[BLO],,-1))
+
_xlfn.XLOOKUP(B14,[1]!PM2.5[BLO],[1]!PM2.5[ILO],,-1),2)</f>
        <v>89.86</v>
      </c>
      <c r="I14">
        <f>ROUND(((_xlfn.XLOOKUP(C14,[1]!PM_10[BLO],[1]!PM_10[IHI],,-1) - _xlfn.XLOOKUP(C14,[1]!PM_10[BLO],[1]!PM_10[ILO],,-1))
/
(_xlfn.XLOOKUP(C14,[1]!PM_10[BLO],[1]!PM_10[BHI],,-1) - _xlfn.XLOOKUP(C14,[1]!PM_10[BLO],[1]!PM_10[BLO],,-1)))
*
( C14 - _xlfn.XLOOKUP(C14,[1]!PM_10[BLO],[1]!PM_10[BLO],,-1))
+
_xlfn.XLOOKUP(C14,[1]!PM_10[BLO],[1]!PM_10[ILO],,-1),2)</f>
        <v>108.31</v>
      </c>
      <c r="J14">
        <f>ROUND((( _xlfn.XLOOKUP(D14,[1]!NO_2[BLO],[1]!NO_2[IHI],,-1) - _xlfn.XLOOKUP(D14,[1]!NO_2[BLO],[1]!NO_2[ILO],,-1))
/
( _xlfn.XLOOKUP(D14,[1]!NO_2[BLO],[1]!NO_2[BHI],,-1) - _xlfn.XLOOKUP(D14,[1]!NO_2[BLO],[1]!NO_2[BLO],,-1) ))
*
( D14 - _xlfn.XLOOKUP(D14,[1]!NO_2[BLO],[1]!NO_2[BLO],,-1))
+
_xlfn.XLOOKUP(D14,[1]!NO_2[BLO],[1]!NO_2[ILO],,-1),2)</f>
        <v>22.5</v>
      </c>
      <c r="K14">
        <f>ROUND(( ( _xlfn.XLOOKUP(E14,[1]!SO_2[BLO],[1]!SO_2[IHI],,-1)  - _xlfn.XLOOKUP(E14,[1]!SO_2[BLO],[1]!SO_2[ILO],,-1) )
/
( _xlfn.XLOOKUP(E14,[1]!SO_2[BLO],[1]!SO_2[BHI],,-1)- _xlfn.XLOOKUP(E14,[1]!SO_2[BLO],[1]!SO_2[BLO],,-1) ))
*
( E14 - _xlfn.XLOOKUP(E14,[1]!SO_2[BLO],[1]!SO_2[BLO],,-1) )
+
_xlfn.XLOOKUP(E14,[1]!SO_2[BLO],[1]!SO_2[ILO],,-1),2)</f>
        <v>10</v>
      </c>
      <c r="L14">
        <f>( ( _xlfn.XLOOKUP(F14,[1]!CO[BLO],[1]!CO[IHI],,-1)
- _xlfn.XLOOKUP(F14,[1]!CO[BLO],[1]!CO[ILO],,-1) )
/
( _xlfn.XLOOKUP(F14,[1]!CO[BLO],[1]!CO[BHI],,-1) - _xlfn.XLOOKUP(F14,[1]!CO[BLO],[1]!CO[BLO],,-1)))
*
( F14 - _xlfn.XLOOKUP(F14,[1]!CO[BLO],[1]!CO[BLO],,-1) )
+
_xlfn.XLOOKUP(F14,[1]!CO[BLO],[1]!CO[ILO],,-1)</f>
        <v>34.5</v>
      </c>
      <c r="M14">
        <f>(( _xlfn.XLOOKUP(G14,[1]!O_3[BLO],[1]!O_3[IHI],,-1) - _xlfn.XLOOKUP(G14,[1]!O_3[BLO],[1]!O_3[ILO],,-1))
/
( _xlfn.XLOOKUP(G14,[1]!O_3[BLO],[1]!O_3[BHI],,-1) - _xlfn.XLOOKUP(G14,[1]!O_3[BLO],[1]!O_3[BLO],,-1)))
*
( G14 - _xlfn.XLOOKUP(G14,[1]!O_3[BLO],[1]!O_3[BLO],,-1))
+
_xlfn.XLOOKUP(G14,[1]!O_3[BLO],[1]!O_3[ILO],,-1)</f>
        <v>33</v>
      </c>
      <c r="N14">
        <f>MAX(DAILY_DATA[[#This Row],[AQI_PM2.5]:[AQI_O3]])</f>
        <v>108.31</v>
      </c>
      <c r="O14" t="str">
        <f>_xlfn.XLOOKUP(DAILY_DATA[[#This Row],[OVERALL_AQI]],[1]!CATEGORY[AQI_LO],[1]!CATEGORY[CATEGORY],,-1)</f>
        <v>Moderate</v>
      </c>
      <c r="P14" t="str" cm="1">
        <f t="array" ref="P14">INDEX(
{"PM2.5","PM10","NO2","SO2","CO","O3"},
MATCH(N14,H14:M14,0)
)</f>
        <v>PM10</v>
      </c>
    </row>
    <row r="15" spans="1:16" x14ac:dyDescent="0.25">
      <c r="A15" s="4">
        <v>45305</v>
      </c>
      <c r="B15">
        <f>ROUND(AVERAGEIFS([1]HOURLY_DATA!B15:B8798,[1]HOURLY_DATA!H15:H8798,Daily_AQI!A15),0)</f>
        <v>62</v>
      </c>
      <c r="C15">
        <f>ROUND(AVERAGEIFS([1]HOURLY_DATA!C15:C8798,[1]HOURLY_DATA!H15:H8798,Daily_AQI!A15),0)</f>
        <v>130</v>
      </c>
      <c r="D15">
        <f>ROUND(AVERAGEIFS([1]HOURLY_DATA!D15:D8798,[1]HOURLY_DATA!H15:H8798,Daily_AQI!A15),0)</f>
        <v>18</v>
      </c>
      <c r="E15">
        <f>ROUND(AVERAGEIFS([1]HOURLY_DATA!E15:E8798,[1]HOURLY_DATA!H15:H8798,Daily_AQI!A15),0)</f>
        <v>9</v>
      </c>
      <c r="F15">
        <f>ROUND(AVERAGEIFS([1]HOURLY_DATA!I15:I8798,[1]HOURLY_DATA!H15:H8798,Daily_AQI!A15),2)</f>
        <v>0.78</v>
      </c>
      <c r="G15">
        <f>ROUND(AVERAGEIFS([1]HOURLY_DATA!J15:J8798,[1]HOURLY_DATA!H15:H8798,Daily_AQI!A15),0)</f>
        <v>32</v>
      </c>
      <c r="H15">
        <f>ROUND(((_xlfn.XLOOKUP(B15,[1]!PM2.5[BLO],[1]!PM2.5[IHI],,-1) - _xlfn.XLOOKUP(B15,[1]!PM2.5[BLO],[1]!PM2.5[ILO],,-1))
/
(_xlfn.XLOOKUP(B15,[1]!PM2.5[BLO],[1]!PM2.5[BHI],,-1) - _xlfn.XLOOKUP(B15,[1]!PM2.5[BLO],[1]!PM2.5[BLO],,-1)))
*
(B15 - _xlfn.XLOOKUP(B15,[1]!PM2.5[BLO],[1]!PM2.5[BLO],,-1))
+
_xlfn.XLOOKUP(B15,[1]!PM2.5[BLO],[1]!PM2.5[ILO],,-1),2)</f>
        <v>104.41</v>
      </c>
      <c r="I15">
        <f>ROUND(((_xlfn.XLOOKUP(C15,[1]!PM_10[BLO],[1]!PM_10[IHI],,-1) - _xlfn.XLOOKUP(C15,[1]!PM_10[BLO],[1]!PM_10[ILO],,-1))
/
(_xlfn.XLOOKUP(C15,[1]!PM_10[BLO],[1]!PM_10[BHI],,-1) - _xlfn.XLOOKUP(C15,[1]!PM_10[BLO],[1]!PM_10[BLO],,-1)))
*
( C15 - _xlfn.XLOOKUP(C15,[1]!PM_10[BLO],[1]!PM_10[BLO],,-1))
+
_xlfn.XLOOKUP(C15,[1]!PM_10[BLO],[1]!PM_10[ILO],,-1),2)</f>
        <v>120.27</v>
      </c>
      <c r="J15">
        <f>ROUND((( _xlfn.XLOOKUP(D15,[1]!NO_2[BLO],[1]!NO_2[IHI],,-1) - _xlfn.XLOOKUP(D15,[1]!NO_2[BLO],[1]!NO_2[ILO],,-1))
/
( _xlfn.XLOOKUP(D15,[1]!NO_2[BLO],[1]!NO_2[BHI],,-1) - _xlfn.XLOOKUP(D15,[1]!NO_2[BLO],[1]!NO_2[BLO],,-1) ))
*
( D15 - _xlfn.XLOOKUP(D15,[1]!NO_2[BLO],[1]!NO_2[BLO],,-1))
+
_xlfn.XLOOKUP(D15,[1]!NO_2[BLO],[1]!NO_2[ILO],,-1),2)</f>
        <v>22.5</v>
      </c>
      <c r="K15">
        <f>ROUND(( ( _xlfn.XLOOKUP(E15,[1]!SO_2[BLO],[1]!SO_2[IHI],,-1)  - _xlfn.XLOOKUP(E15,[1]!SO_2[BLO],[1]!SO_2[ILO],,-1) )
/
( _xlfn.XLOOKUP(E15,[1]!SO_2[BLO],[1]!SO_2[BHI],,-1)- _xlfn.XLOOKUP(E15,[1]!SO_2[BLO],[1]!SO_2[BLO],,-1) ))
*
( E15 - _xlfn.XLOOKUP(E15,[1]!SO_2[BLO],[1]!SO_2[BLO],,-1) )
+
_xlfn.XLOOKUP(E15,[1]!SO_2[BLO],[1]!SO_2[ILO],,-1),2)</f>
        <v>11.25</v>
      </c>
      <c r="L15">
        <f>( ( _xlfn.XLOOKUP(F15,[1]!CO[BLO],[1]!CO[IHI],,-1)
- _xlfn.XLOOKUP(F15,[1]!CO[BLO],[1]!CO[ILO],,-1) )
/
( _xlfn.XLOOKUP(F15,[1]!CO[BLO],[1]!CO[BHI],,-1) - _xlfn.XLOOKUP(F15,[1]!CO[BLO],[1]!CO[BLO],,-1)))
*
( F15 - _xlfn.XLOOKUP(F15,[1]!CO[BLO],[1]!CO[BLO],,-1) )
+
_xlfn.XLOOKUP(F15,[1]!CO[BLO],[1]!CO[ILO],,-1)</f>
        <v>39</v>
      </c>
      <c r="M15">
        <f>(( _xlfn.XLOOKUP(G15,[1]!O_3[BLO],[1]!O_3[IHI],,-1) - _xlfn.XLOOKUP(G15,[1]!O_3[BLO],[1]!O_3[ILO],,-1))
/
( _xlfn.XLOOKUP(G15,[1]!O_3[BLO],[1]!O_3[BHI],,-1) - _xlfn.XLOOKUP(G15,[1]!O_3[BLO],[1]!O_3[BLO],,-1)))
*
( G15 - _xlfn.XLOOKUP(G15,[1]!O_3[BLO],[1]!O_3[BLO],,-1))
+
_xlfn.XLOOKUP(G15,[1]!O_3[BLO],[1]!O_3[ILO],,-1)</f>
        <v>32</v>
      </c>
      <c r="N15">
        <f>MAX(DAILY_DATA[[#This Row],[AQI_PM2.5]:[AQI_O3]])</f>
        <v>120.27</v>
      </c>
      <c r="O15" t="str">
        <f>_xlfn.XLOOKUP(DAILY_DATA[[#This Row],[OVERALL_AQI]],[1]!CATEGORY[AQI_LO],[1]!CATEGORY[CATEGORY],,-1)</f>
        <v>Moderate</v>
      </c>
      <c r="P15" t="str" cm="1">
        <f t="array" ref="P15">INDEX(
{"PM2.5","PM10","NO2","SO2","CO","O3"},
MATCH(N15,H15:M15,0)
)</f>
        <v>PM10</v>
      </c>
    </row>
    <row r="16" spans="1:16" x14ac:dyDescent="0.25">
      <c r="A16" s="4">
        <v>45306</v>
      </c>
      <c r="B16">
        <f>ROUND(AVERAGEIFS([1]HOURLY_DATA!B16:B8799,[1]HOURLY_DATA!H16:H8799,Daily_AQI!A16),0)</f>
        <v>56</v>
      </c>
      <c r="C16">
        <f>ROUND(AVERAGEIFS([1]HOURLY_DATA!C16:C8799,[1]HOURLY_DATA!H16:H8799,Daily_AQI!A16),0)</f>
        <v>129</v>
      </c>
      <c r="D16">
        <f>ROUND(AVERAGEIFS([1]HOURLY_DATA!D16:D8799,[1]HOURLY_DATA!H16:H8799,Daily_AQI!A16),0)</f>
        <v>18</v>
      </c>
      <c r="E16">
        <f>ROUND(AVERAGEIFS([1]HOURLY_DATA!E16:E8799,[1]HOURLY_DATA!H16:H8799,Daily_AQI!A16),0)</f>
        <v>9</v>
      </c>
      <c r="F16">
        <f>ROUND(AVERAGEIFS([1]HOURLY_DATA!I16:I8799,[1]HOURLY_DATA!H16:H8799,Daily_AQI!A16),2)</f>
        <v>0.72</v>
      </c>
      <c r="G16">
        <f>ROUND(AVERAGEIFS([1]HOURLY_DATA!J16:J8799,[1]HOURLY_DATA!H16:H8799,Daily_AQI!A16),0)</f>
        <v>37</v>
      </c>
      <c r="H16">
        <f>ROUND(((_xlfn.XLOOKUP(B16,[1]!PM2.5[BLO],[1]!PM2.5[IHI],,-1) - _xlfn.XLOOKUP(B16,[1]!PM2.5[BLO],[1]!PM2.5[ILO],,-1))
/
(_xlfn.XLOOKUP(B16,[1]!PM2.5[BLO],[1]!PM2.5[BHI],,-1) - _xlfn.XLOOKUP(B16,[1]!PM2.5[BLO],[1]!PM2.5[BLO],,-1)))
*
(B16 - _xlfn.XLOOKUP(B16,[1]!PM2.5[BLO],[1]!PM2.5[BLO],,-1))
+
_xlfn.XLOOKUP(B16,[1]!PM2.5[BLO],[1]!PM2.5[ILO],,-1),2)</f>
        <v>93.24</v>
      </c>
      <c r="I16">
        <f>ROUND(((_xlfn.XLOOKUP(C16,[1]!PM_10[BLO],[1]!PM_10[IHI],,-1) - _xlfn.XLOOKUP(C16,[1]!PM_10[BLO],[1]!PM_10[ILO],,-1))
/
(_xlfn.XLOOKUP(C16,[1]!PM_10[BLO],[1]!PM_10[BHI],,-1) - _xlfn.XLOOKUP(C16,[1]!PM_10[BLO],[1]!PM_10[BLO],,-1)))
*
( C16 - _xlfn.XLOOKUP(C16,[1]!PM_10[BLO],[1]!PM_10[BLO],,-1))
+
_xlfn.XLOOKUP(C16,[1]!PM_10[BLO],[1]!PM_10[ILO],,-1),2)</f>
        <v>119.6</v>
      </c>
      <c r="J16">
        <f>ROUND((( _xlfn.XLOOKUP(D16,[1]!NO_2[BLO],[1]!NO_2[IHI],,-1) - _xlfn.XLOOKUP(D16,[1]!NO_2[BLO],[1]!NO_2[ILO],,-1))
/
( _xlfn.XLOOKUP(D16,[1]!NO_2[BLO],[1]!NO_2[BHI],,-1) - _xlfn.XLOOKUP(D16,[1]!NO_2[BLO],[1]!NO_2[BLO],,-1) ))
*
( D16 - _xlfn.XLOOKUP(D16,[1]!NO_2[BLO],[1]!NO_2[BLO],,-1))
+
_xlfn.XLOOKUP(D16,[1]!NO_2[BLO],[1]!NO_2[ILO],,-1),2)</f>
        <v>22.5</v>
      </c>
      <c r="K16">
        <f>ROUND(( ( _xlfn.XLOOKUP(E16,[1]!SO_2[BLO],[1]!SO_2[IHI],,-1)  - _xlfn.XLOOKUP(E16,[1]!SO_2[BLO],[1]!SO_2[ILO],,-1) )
/
( _xlfn.XLOOKUP(E16,[1]!SO_2[BLO],[1]!SO_2[BHI],,-1)- _xlfn.XLOOKUP(E16,[1]!SO_2[BLO],[1]!SO_2[BLO],,-1) ))
*
( E16 - _xlfn.XLOOKUP(E16,[1]!SO_2[BLO],[1]!SO_2[BLO],,-1) )
+
_xlfn.XLOOKUP(E16,[1]!SO_2[BLO],[1]!SO_2[ILO],,-1),2)</f>
        <v>11.25</v>
      </c>
      <c r="L16">
        <f>( ( _xlfn.XLOOKUP(F16,[1]!CO[BLO],[1]!CO[IHI],,-1)
- _xlfn.XLOOKUP(F16,[1]!CO[BLO],[1]!CO[ILO],,-1) )
/
( _xlfn.XLOOKUP(F16,[1]!CO[BLO],[1]!CO[BHI],,-1) - _xlfn.XLOOKUP(F16,[1]!CO[BLO],[1]!CO[BLO],,-1)))
*
( F16 - _xlfn.XLOOKUP(F16,[1]!CO[BLO],[1]!CO[BLO],,-1) )
+
_xlfn.XLOOKUP(F16,[1]!CO[BLO],[1]!CO[ILO],,-1)</f>
        <v>36</v>
      </c>
      <c r="M16">
        <f>(( _xlfn.XLOOKUP(G16,[1]!O_3[BLO],[1]!O_3[IHI],,-1) - _xlfn.XLOOKUP(G16,[1]!O_3[BLO],[1]!O_3[ILO],,-1))
/
( _xlfn.XLOOKUP(G16,[1]!O_3[BLO],[1]!O_3[BHI],,-1) - _xlfn.XLOOKUP(G16,[1]!O_3[BLO],[1]!O_3[BLO],,-1)))
*
( G16 - _xlfn.XLOOKUP(G16,[1]!O_3[BLO],[1]!O_3[BLO],,-1))
+
_xlfn.XLOOKUP(G16,[1]!O_3[BLO],[1]!O_3[ILO],,-1)</f>
        <v>37</v>
      </c>
      <c r="N16">
        <f>MAX(DAILY_DATA[[#This Row],[AQI_PM2.5]:[AQI_O3]])</f>
        <v>119.6</v>
      </c>
      <c r="O16" t="str">
        <f>_xlfn.XLOOKUP(DAILY_DATA[[#This Row],[OVERALL_AQI]],[1]!CATEGORY[AQI_LO],[1]!CATEGORY[CATEGORY],,-1)</f>
        <v>Moderate</v>
      </c>
      <c r="P16" t="str" cm="1">
        <f t="array" ref="P16">INDEX(
{"PM2.5","PM10","NO2","SO2","CO","O3"},
MATCH(N16,H16:M16,0)
)</f>
        <v>PM10</v>
      </c>
    </row>
    <row r="17" spans="1:16" x14ac:dyDescent="0.25">
      <c r="A17" s="4">
        <v>45307</v>
      </c>
      <c r="B17">
        <f>ROUND(AVERAGEIFS([1]HOURLY_DATA!B17:B8800,[1]HOURLY_DATA!H17:H8800,Daily_AQI!A17),0)</f>
        <v>55</v>
      </c>
      <c r="C17">
        <f>ROUND(AVERAGEIFS([1]HOURLY_DATA!C17:C8800,[1]HOURLY_DATA!H17:H8800,Daily_AQI!A17),0)</f>
        <v>152</v>
      </c>
      <c r="D17">
        <f>ROUND(AVERAGEIFS([1]HOURLY_DATA!D17:D8800,[1]HOURLY_DATA!H17:H8800,Daily_AQI!A17),0)</f>
        <v>18</v>
      </c>
      <c r="E17">
        <f>ROUND(AVERAGEIFS([1]HOURLY_DATA!E17:E8800,[1]HOURLY_DATA!H17:H8800,Daily_AQI!A17),0)</f>
        <v>8</v>
      </c>
      <c r="F17">
        <f>ROUND(AVERAGEIFS([1]HOURLY_DATA!I17:I8800,[1]HOURLY_DATA!H17:H8800,Daily_AQI!A17),2)</f>
        <v>0.71</v>
      </c>
      <c r="G17">
        <f>ROUND(AVERAGEIFS([1]HOURLY_DATA!J17:J8800,[1]HOURLY_DATA!H17:H8800,Daily_AQI!A17),0)</f>
        <v>41</v>
      </c>
      <c r="H17">
        <f>ROUND(((_xlfn.XLOOKUP(B17,[1]!PM2.5[BLO],[1]!PM2.5[IHI],,-1) - _xlfn.XLOOKUP(B17,[1]!PM2.5[BLO],[1]!PM2.5[ILO],,-1))
/
(_xlfn.XLOOKUP(B17,[1]!PM2.5[BLO],[1]!PM2.5[BHI],,-1) - _xlfn.XLOOKUP(B17,[1]!PM2.5[BLO],[1]!PM2.5[BLO],,-1)))
*
(B17 - _xlfn.XLOOKUP(B17,[1]!PM2.5[BLO],[1]!PM2.5[BLO],,-1))
+
_xlfn.XLOOKUP(B17,[1]!PM2.5[BLO],[1]!PM2.5[ILO],,-1),2)</f>
        <v>91.55</v>
      </c>
      <c r="I17">
        <f>ROUND(((_xlfn.XLOOKUP(C17,[1]!PM_10[BLO],[1]!PM_10[IHI],,-1) - _xlfn.XLOOKUP(C17,[1]!PM_10[BLO],[1]!PM_10[ILO],,-1))
/
(_xlfn.XLOOKUP(C17,[1]!PM_10[BLO],[1]!PM_10[BHI],,-1) - _xlfn.XLOOKUP(C17,[1]!PM_10[BLO],[1]!PM_10[BLO],,-1)))
*
( C17 - _xlfn.XLOOKUP(C17,[1]!PM_10[BLO],[1]!PM_10[BLO],,-1))
+
_xlfn.XLOOKUP(C17,[1]!PM_10[BLO],[1]!PM_10[ILO],,-1),2)</f>
        <v>134.88999999999999</v>
      </c>
      <c r="J17">
        <f>ROUND((( _xlfn.XLOOKUP(D17,[1]!NO_2[BLO],[1]!NO_2[IHI],,-1) - _xlfn.XLOOKUP(D17,[1]!NO_2[BLO],[1]!NO_2[ILO],,-1))
/
( _xlfn.XLOOKUP(D17,[1]!NO_2[BLO],[1]!NO_2[BHI],,-1) - _xlfn.XLOOKUP(D17,[1]!NO_2[BLO],[1]!NO_2[BLO],,-1) ))
*
( D17 - _xlfn.XLOOKUP(D17,[1]!NO_2[BLO],[1]!NO_2[BLO],,-1))
+
_xlfn.XLOOKUP(D17,[1]!NO_2[BLO],[1]!NO_2[ILO],,-1),2)</f>
        <v>22.5</v>
      </c>
      <c r="K17">
        <f>ROUND(( ( _xlfn.XLOOKUP(E17,[1]!SO_2[BLO],[1]!SO_2[IHI],,-1)  - _xlfn.XLOOKUP(E17,[1]!SO_2[BLO],[1]!SO_2[ILO],,-1) )
/
( _xlfn.XLOOKUP(E17,[1]!SO_2[BLO],[1]!SO_2[BHI],,-1)- _xlfn.XLOOKUP(E17,[1]!SO_2[BLO],[1]!SO_2[BLO],,-1) ))
*
( E17 - _xlfn.XLOOKUP(E17,[1]!SO_2[BLO],[1]!SO_2[BLO],,-1) )
+
_xlfn.XLOOKUP(E17,[1]!SO_2[BLO],[1]!SO_2[ILO],,-1),2)</f>
        <v>10</v>
      </c>
      <c r="L17">
        <f>( ( _xlfn.XLOOKUP(F17,[1]!CO[BLO],[1]!CO[IHI],,-1)
- _xlfn.XLOOKUP(F17,[1]!CO[BLO],[1]!CO[ILO],,-1) )
/
( _xlfn.XLOOKUP(F17,[1]!CO[BLO],[1]!CO[BHI],,-1) - _xlfn.XLOOKUP(F17,[1]!CO[BLO],[1]!CO[BLO],,-1)))
*
( F17 - _xlfn.XLOOKUP(F17,[1]!CO[BLO],[1]!CO[BLO],,-1) )
+
_xlfn.XLOOKUP(F17,[1]!CO[BLO],[1]!CO[ILO],,-1)</f>
        <v>35.5</v>
      </c>
      <c r="M17">
        <f>(( _xlfn.XLOOKUP(G17,[1]!O_3[BLO],[1]!O_3[IHI],,-1) - _xlfn.XLOOKUP(G17,[1]!O_3[BLO],[1]!O_3[ILO],,-1))
/
( _xlfn.XLOOKUP(G17,[1]!O_3[BLO],[1]!O_3[BHI],,-1) - _xlfn.XLOOKUP(G17,[1]!O_3[BLO],[1]!O_3[BLO],,-1)))
*
( G17 - _xlfn.XLOOKUP(G17,[1]!O_3[BLO],[1]!O_3[BLO],,-1))
+
_xlfn.XLOOKUP(G17,[1]!O_3[BLO],[1]!O_3[ILO],,-1)</f>
        <v>41</v>
      </c>
      <c r="N17">
        <f>MAX(DAILY_DATA[[#This Row],[AQI_PM2.5]:[AQI_O3]])</f>
        <v>134.88999999999999</v>
      </c>
      <c r="O17" t="str">
        <f>_xlfn.XLOOKUP(DAILY_DATA[[#This Row],[OVERALL_AQI]],[1]!CATEGORY[AQI_LO],[1]!CATEGORY[CATEGORY],,-1)</f>
        <v>Moderate</v>
      </c>
      <c r="P17" t="str" cm="1">
        <f t="array" ref="P17">INDEX(
{"PM2.5","PM10","NO2","SO2","CO","O3"},
MATCH(N17,H17:M17,0)
)</f>
        <v>PM10</v>
      </c>
    </row>
    <row r="18" spans="1:16" x14ac:dyDescent="0.25">
      <c r="A18" s="4">
        <v>45308</v>
      </c>
      <c r="B18">
        <f>ROUND(AVERAGEIFS([1]HOURLY_DATA!B18:B8801,[1]HOURLY_DATA!H18:H8801,Daily_AQI!A18),0)</f>
        <v>52</v>
      </c>
      <c r="C18">
        <f>ROUND(AVERAGEIFS([1]HOURLY_DATA!C18:C8801,[1]HOURLY_DATA!H18:H8801,Daily_AQI!A18),0)</f>
        <v>117</v>
      </c>
      <c r="D18">
        <f>ROUND(AVERAGEIFS([1]HOURLY_DATA!D18:D8801,[1]HOURLY_DATA!H18:H8801,Daily_AQI!A18),0)</f>
        <v>17</v>
      </c>
      <c r="E18">
        <f>ROUND(AVERAGEIFS([1]HOURLY_DATA!E18:E8801,[1]HOURLY_DATA!H18:H8801,Daily_AQI!A18),0)</f>
        <v>8</v>
      </c>
      <c r="F18">
        <f>ROUND(AVERAGEIFS([1]HOURLY_DATA!I18:I8801,[1]HOURLY_DATA!H18:H8801,Daily_AQI!A18),2)</f>
        <v>0.75</v>
      </c>
      <c r="G18">
        <f>ROUND(AVERAGEIFS([1]HOURLY_DATA!J18:J8801,[1]HOURLY_DATA!H18:H8801,Daily_AQI!A18),0)</f>
        <v>38</v>
      </c>
      <c r="H18">
        <f>ROUND(((_xlfn.XLOOKUP(B18,[1]!PM2.5[BLO],[1]!PM2.5[IHI],,-1) - _xlfn.XLOOKUP(B18,[1]!PM2.5[BLO],[1]!PM2.5[ILO],,-1))
/
(_xlfn.XLOOKUP(B18,[1]!PM2.5[BLO],[1]!PM2.5[BHI],,-1) - _xlfn.XLOOKUP(B18,[1]!PM2.5[BLO],[1]!PM2.5[BLO],,-1)))
*
(B18 - _xlfn.XLOOKUP(B18,[1]!PM2.5[BLO],[1]!PM2.5[BLO],,-1))
+
_xlfn.XLOOKUP(B18,[1]!PM2.5[BLO],[1]!PM2.5[ILO],,-1),2)</f>
        <v>86.48</v>
      </c>
      <c r="I18">
        <f>ROUND(((_xlfn.XLOOKUP(C18,[1]!PM_10[BLO],[1]!PM_10[IHI],,-1) - _xlfn.XLOOKUP(C18,[1]!PM_10[BLO],[1]!PM_10[ILO],,-1))
/
(_xlfn.XLOOKUP(C18,[1]!PM_10[BLO],[1]!PM_10[BHI],,-1) - _xlfn.XLOOKUP(C18,[1]!PM_10[BLO],[1]!PM_10[BLO],,-1)))
*
( C18 - _xlfn.XLOOKUP(C18,[1]!PM_10[BLO],[1]!PM_10[BLO],,-1))
+
_xlfn.XLOOKUP(C18,[1]!PM_10[BLO],[1]!PM_10[ILO],,-1),2)</f>
        <v>111.63</v>
      </c>
      <c r="J18">
        <f>ROUND((( _xlfn.XLOOKUP(D18,[1]!NO_2[BLO],[1]!NO_2[IHI],,-1) - _xlfn.XLOOKUP(D18,[1]!NO_2[BLO],[1]!NO_2[ILO],,-1))
/
( _xlfn.XLOOKUP(D18,[1]!NO_2[BLO],[1]!NO_2[BHI],,-1) - _xlfn.XLOOKUP(D18,[1]!NO_2[BLO],[1]!NO_2[BLO],,-1) ))
*
( D18 - _xlfn.XLOOKUP(D18,[1]!NO_2[BLO],[1]!NO_2[BLO],,-1))
+
_xlfn.XLOOKUP(D18,[1]!NO_2[BLO],[1]!NO_2[ILO],,-1),2)</f>
        <v>21.25</v>
      </c>
      <c r="K18">
        <f>ROUND(( ( _xlfn.XLOOKUP(E18,[1]!SO_2[BLO],[1]!SO_2[IHI],,-1)  - _xlfn.XLOOKUP(E18,[1]!SO_2[BLO],[1]!SO_2[ILO],,-1) )
/
( _xlfn.XLOOKUP(E18,[1]!SO_2[BLO],[1]!SO_2[BHI],,-1)- _xlfn.XLOOKUP(E18,[1]!SO_2[BLO],[1]!SO_2[BLO],,-1) ))
*
( E18 - _xlfn.XLOOKUP(E18,[1]!SO_2[BLO],[1]!SO_2[BLO],,-1) )
+
_xlfn.XLOOKUP(E18,[1]!SO_2[BLO],[1]!SO_2[ILO],,-1),2)</f>
        <v>10</v>
      </c>
      <c r="L18">
        <f>( ( _xlfn.XLOOKUP(F18,[1]!CO[BLO],[1]!CO[IHI],,-1)
- _xlfn.XLOOKUP(F18,[1]!CO[BLO],[1]!CO[ILO],,-1) )
/
( _xlfn.XLOOKUP(F18,[1]!CO[BLO],[1]!CO[BHI],,-1) - _xlfn.XLOOKUP(F18,[1]!CO[BLO],[1]!CO[BLO],,-1)))
*
( F18 - _xlfn.XLOOKUP(F18,[1]!CO[BLO],[1]!CO[BLO],,-1) )
+
_xlfn.XLOOKUP(F18,[1]!CO[BLO],[1]!CO[ILO],,-1)</f>
        <v>37.5</v>
      </c>
      <c r="M18">
        <f>(( _xlfn.XLOOKUP(G18,[1]!O_3[BLO],[1]!O_3[IHI],,-1) - _xlfn.XLOOKUP(G18,[1]!O_3[BLO],[1]!O_3[ILO],,-1))
/
( _xlfn.XLOOKUP(G18,[1]!O_3[BLO],[1]!O_3[BHI],,-1) - _xlfn.XLOOKUP(G18,[1]!O_3[BLO],[1]!O_3[BLO],,-1)))
*
( G18 - _xlfn.XLOOKUP(G18,[1]!O_3[BLO],[1]!O_3[BLO],,-1))
+
_xlfn.XLOOKUP(G18,[1]!O_3[BLO],[1]!O_3[ILO],,-1)</f>
        <v>38</v>
      </c>
      <c r="N18">
        <f>MAX(DAILY_DATA[[#This Row],[AQI_PM2.5]:[AQI_O3]])</f>
        <v>111.63</v>
      </c>
      <c r="O18" t="str">
        <f>_xlfn.XLOOKUP(DAILY_DATA[[#This Row],[OVERALL_AQI]],[1]!CATEGORY[AQI_LO],[1]!CATEGORY[CATEGORY],,-1)</f>
        <v>Moderate</v>
      </c>
      <c r="P18" t="str" cm="1">
        <f t="array" ref="P18">INDEX(
{"PM2.5","PM10","NO2","SO2","CO","O3"},
MATCH(N18,H18:M18,0)
)</f>
        <v>PM10</v>
      </c>
    </row>
    <row r="19" spans="1:16" x14ac:dyDescent="0.25">
      <c r="A19" s="4">
        <v>45309</v>
      </c>
      <c r="B19">
        <f>ROUND(AVERAGEIFS([1]HOURLY_DATA!B19:B8802,[1]HOURLY_DATA!H19:H8802,Daily_AQI!A19),0)</f>
        <v>49</v>
      </c>
      <c r="C19">
        <f>ROUND(AVERAGEIFS([1]HOURLY_DATA!C19:C8802,[1]HOURLY_DATA!H19:H8802,Daily_AQI!A19),0)</f>
        <v>110</v>
      </c>
      <c r="D19">
        <f>ROUND(AVERAGEIFS([1]HOURLY_DATA!D19:D8802,[1]HOURLY_DATA!H19:H8802,Daily_AQI!A19),0)</f>
        <v>17</v>
      </c>
      <c r="E19">
        <f>ROUND(AVERAGEIFS([1]HOURLY_DATA!E19:E8802,[1]HOURLY_DATA!H19:H8802,Daily_AQI!A19),0)</f>
        <v>9</v>
      </c>
      <c r="F19">
        <f>ROUND(AVERAGEIFS([1]HOURLY_DATA!I19:I8802,[1]HOURLY_DATA!H19:H8802,Daily_AQI!A19),2)</f>
        <v>0.69</v>
      </c>
      <c r="G19">
        <f>ROUND(AVERAGEIFS([1]HOURLY_DATA!J19:J8802,[1]HOURLY_DATA!H19:H8802,Daily_AQI!A19),0)</f>
        <v>34</v>
      </c>
      <c r="H19">
        <f>ROUND(((_xlfn.XLOOKUP(B19,[1]!PM2.5[BLO],[1]!PM2.5[IHI],,-1) - _xlfn.XLOOKUP(B19,[1]!PM2.5[BLO],[1]!PM2.5[ILO],,-1))
/
(_xlfn.XLOOKUP(B19,[1]!PM2.5[BLO],[1]!PM2.5[BHI],,-1) - _xlfn.XLOOKUP(B19,[1]!PM2.5[BLO],[1]!PM2.5[BLO],,-1)))
*
(B19 - _xlfn.XLOOKUP(B19,[1]!PM2.5[BLO],[1]!PM2.5[BLO],,-1))
+
_xlfn.XLOOKUP(B19,[1]!PM2.5[BLO],[1]!PM2.5[ILO],,-1),2)</f>
        <v>81.41</v>
      </c>
      <c r="I19">
        <f>ROUND(((_xlfn.XLOOKUP(C19,[1]!PM_10[BLO],[1]!PM_10[IHI],,-1) - _xlfn.XLOOKUP(C19,[1]!PM_10[BLO],[1]!PM_10[ILO],,-1))
/
(_xlfn.XLOOKUP(C19,[1]!PM_10[BLO],[1]!PM_10[BHI],,-1) - _xlfn.XLOOKUP(C19,[1]!PM_10[BLO],[1]!PM_10[BLO],,-1)))
*
( C19 - _xlfn.XLOOKUP(C19,[1]!PM_10[BLO],[1]!PM_10[BLO],,-1))
+
_xlfn.XLOOKUP(C19,[1]!PM_10[BLO],[1]!PM_10[ILO],,-1),2)</f>
        <v>106.98</v>
      </c>
      <c r="J19">
        <f>ROUND((( _xlfn.XLOOKUP(D19,[1]!NO_2[BLO],[1]!NO_2[IHI],,-1) - _xlfn.XLOOKUP(D19,[1]!NO_2[BLO],[1]!NO_2[ILO],,-1))
/
( _xlfn.XLOOKUP(D19,[1]!NO_2[BLO],[1]!NO_2[BHI],,-1) - _xlfn.XLOOKUP(D19,[1]!NO_2[BLO],[1]!NO_2[BLO],,-1) ))
*
( D19 - _xlfn.XLOOKUP(D19,[1]!NO_2[BLO],[1]!NO_2[BLO],,-1))
+
_xlfn.XLOOKUP(D19,[1]!NO_2[BLO],[1]!NO_2[ILO],,-1),2)</f>
        <v>21.25</v>
      </c>
      <c r="K19">
        <f>ROUND(( ( _xlfn.XLOOKUP(E19,[1]!SO_2[BLO],[1]!SO_2[IHI],,-1)  - _xlfn.XLOOKUP(E19,[1]!SO_2[BLO],[1]!SO_2[ILO],,-1) )
/
( _xlfn.XLOOKUP(E19,[1]!SO_2[BLO],[1]!SO_2[BHI],,-1)- _xlfn.XLOOKUP(E19,[1]!SO_2[BLO],[1]!SO_2[BLO],,-1) ))
*
( E19 - _xlfn.XLOOKUP(E19,[1]!SO_2[BLO],[1]!SO_2[BLO],,-1) )
+
_xlfn.XLOOKUP(E19,[1]!SO_2[BLO],[1]!SO_2[ILO],,-1),2)</f>
        <v>11.25</v>
      </c>
      <c r="L19">
        <f>( ( _xlfn.XLOOKUP(F19,[1]!CO[BLO],[1]!CO[IHI],,-1)
- _xlfn.XLOOKUP(F19,[1]!CO[BLO],[1]!CO[ILO],,-1) )
/
( _xlfn.XLOOKUP(F19,[1]!CO[BLO],[1]!CO[BHI],,-1) - _xlfn.XLOOKUP(F19,[1]!CO[BLO],[1]!CO[BLO],,-1)))
*
( F19 - _xlfn.XLOOKUP(F19,[1]!CO[BLO],[1]!CO[BLO],,-1) )
+
_xlfn.XLOOKUP(F19,[1]!CO[BLO],[1]!CO[ILO],,-1)</f>
        <v>34.5</v>
      </c>
      <c r="M19">
        <f>(( _xlfn.XLOOKUP(G19,[1]!O_3[BLO],[1]!O_3[IHI],,-1) - _xlfn.XLOOKUP(G19,[1]!O_3[BLO],[1]!O_3[ILO],,-1))
/
( _xlfn.XLOOKUP(G19,[1]!O_3[BLO],[1]!O_3[BHI],,-1) - _xlfn.XLOOKUP(G19,[1]!O_3[BLO],[1]!O_3[BLO],,-1)))
*
( G19 - _xlfn.XLOOKUP(G19,[1]!O_3[BLO],[1]!O_3[BLO],,-1))
+
_xlfn.XLOOKUP(G19,[1]!O_3[BLO],[1]!O_3[ILO],,-1)</f>
        <v>34</v>
      </c>
      <c r="N19">
        <f>MAX(DAILY_DATA[[#This Row],[AQI_PM2.5]:[AQI_O3]])</f>
        <v>106.98</v>
      </c>
      <c r="O19" t="str">
        <f>_xlfn.XLOOKUP(DAILY_DATA[[#This Row],[OVERALL_AQI]],[1]!CATEGORY[AQI_LO],[1]!CATEGORY[CATEGORY],,-1)</f>
        <v>Moderate</v>
      </c>
      <c r="P19" t="str" cm="1">
        <f t="array" ref="P19">INDEX(
{"PM2.5","PM10","NO2","SO2","CO","O3"},
MATCH(N19,H19:M19,0)
)</f>
        <v>PM10</v>
      </c>
    </row>
    <row r="20" spans="1:16" x14ac:dyDescent="0.25">
      <c r="A20" s="4">
        <v>45310</v>
      </c>
      <c r="B20">
        <f>ROUND(AVERAGEIFS([1]HOURLY_DATA!B20:B8803,[1]HOURLY_DATA!H20:H8803,Daily_AQI!A20),0)</f>
        <v>38</v>
      </c>
      <c r="C20">
        <f>ROUND(AVERAGEIFS([1]HOURLY_DATA!C20:C8803,[1]HOURLY_DATA!H20:H8803,Daily_AQI!A20),0)</f>
        <v>90</v>
      </c>
      <c r="D20">
        <f>ROUND(AVERAGEIFS([1]HOURLY_DATA!D20:D8803,[1]HOURLY_DATA!H20:H8803,Daily_AQI!A20),0)</f>
        <v>17</v>
      </c>
      <c r="E20">
        <f>ROUND(AVERAGEIFS([1]HOURLY_DATA!E20:E8803,[1]HOURLY_DATA!H20:H8803,Daily_AQI!A20),0)</f>
        <v>9</v>
      </c>
      <c r="F20">
        <f>ROUND(AVERAGEIFS([1]HOURLY_DATA!I20:I8803,[1]HOURLY_DATA!H20:H8803,Daily_AQI!A20),2)</f>
        <v>0.73</v>
      </c>
      <c r="G20">
        <f>ROUND(AVERAGEIFS([1]HOURLY_DATA!J20:J8803,[1]HOURLY_DATA!H20:H8803,Daily_AQI!A20),0)</f>
        <v>30</v>
      </c>
      <c r="H20">
        <f>ROUND(((_xlfn.XLOOKUP(B20,[1]!PM2.5[BLO],[1]!PM2.5[IHI],,-1) - _xlfn.XLOOKUP(B20,[1]!PM2.5[BLO],[1]!PM2.5[ILO],,-1))
/
(_xlfn.XLOOKUP(B20,[1]!PM2.5[BLO],[1]!PM2.5[BHI],,-1) - _xlfn.XLOOKUP(B20,[1]!PM2.5[BLO],[1]!PM2.5[BLO],,-1)))
*
(B20 - _xlfn.XLOOKUP(B20,[1]!PM2.5[BLO],[1]!PM2.5[BLO],,-1))
+
_xlfn.XLOOKUP(B20,[1]!PM2.5[BLO],[1]!PM2.5[ILO],,-1),2)</f>
        <v>62.83</v>
      </c>
      <c r="I20">
        <f>ROUND(((_xlfn.XLOOKUP(C20,[1]!PM_10[BLO],[1]!PM_10[IHI],,-1) - _xlfn.XLOOKUP(C20,[1]!PM_10[BLO],[1]!PM_10[ILO],,-1))
/
(_xlfn.XLOOKUP(C20,[1]!PM_10[BLO],[1]!PM_10[BHI],,-1) - _xlfn.XLOOKUP(C20,[1]!PM_10[BLO],[1]!PM_10[BLO],,-1)))
*
( C20 - _xlfn.XLOOKUP(C20,[1]!PM_10[BLO],[1]!PM_10[BLO],,-1))
+
_xlfn.XLOOKUP(C20,[1]!PM_10[BLO],[1]!PM_10[ILO],,-1),2)</f>
        <v>90</v>
      </c>
      <c r="J20">
        <f>ROUND((( _xlfn.XLOOKUP(D20,[1]!NO_2[BLO],[1]!NO_2[IHI],,-1) - _xlfn.XLOOKUP(D20,[1]!NO_2[BLO],[1]!NO_2[ILO],,-1))
/
( _xlfn.XLOOKUP(D20,[1]!NO_2[BLO],[1]!NO_2[BHI],,-1) - _xlfn.XLOOKUP(D20,[1]!NO_2[BLO],[1]!NO_2[BLO],,-1) ))
*
( D20 - _xlfn.XLOOKUP(D20,[1]!NO_2[BLO],[1]!NO_2[BLO],,-1))
+
_xlfn.XLOOKUP(D20,[1]!NO_2[BLO],[1]!NO_2[ILO],,-1),2)</f>
        <v>21.25</v>
      </c>
      <c r="K20">
        <f>ROUND(( ( _xlfn.XLOOKUP(E20,[1]!SO_2[BLO],[1]!SO_2[IHI],,-1)  - _xlfn.XLOOKUP(E20,[1]!SO_2[BLO],[1]!SO_2[ILO],,-1) )
/
( _xlfn.XLOOKUP(E20,[1]!SO_2[BLO],[1]!SO_2[BHI],,-1)- _xlfn.XLOOKUP(E20,[1]!SO_2[BLO],[1]!SO_2[BLO],,-1) ))
*
( E20 - _xlfn.XLOOKUP(E20,[1]!SO_2[BLO],[1]!SO_2[BLO],,-1) )
+
_xlfn.XLOOKUP(E20,[1]!SO_2[BLO],[1]!SO_2[ILO],,-1),2)</f>
        <v>11.25</v>
      </c>
      <c r="L20">
        <f>( ( _xlfn.XLOOKUP(F20,[1]!CO[BLO],[1]!CO[IHI],,-1)
- _xlfn.XLOOKUP(F20,[1]!CO[BLO],[1]!CO[ILO],,-1) )
/
( _xlfn.XLOOKUP(F20,[1]!CO[BLO],[1]!CO[BHI],,-1) - _xlfn.XLOOKUP(F20,[1]!CO[BLO],[1]!CO[BLO],,-1)))
*
( F20 - _xlfn.XLOOKUP(F20,[1]!CO[BLO],[1]!CO[BLO],,-1) )
+
_xlfn.XLOOKUP(F20,[1]!CO[BLO],[1]!CO[ILO],,-1)</f>
        <v>36.5</v>
      </c>
      <c r="M20">
        <f>(( _xlfn.XLOOKUP(G20,[1]!O_3[BLO],[1]!O_3[IHI],,-1) - _xlfn.XLOOKUP(G20,[1]!O_3[BLO],[1]!O_3[ILO],,-1))
/
( _xlfn.XLOOKUP(G20,[1]!O_3[BLO],[1]!O_3[BHI],,-1) - _xlfn.XLOOKUP(G20,[1]!O_3[BLO],[1]!O_3[BLO],,-1)))
*
( G20 - _xlfn.XLOOKUP(G20,[1]!O_3[BLO],[1]!O_3[BLO],,-1))
+
_xlfn.XLOOKUP(G20,[1]!O_3[BLO],[1]!O_3[ILO],,-1)</f>
        <v>30</v>
      </c>
      <c r="N20">
        <f>MAX(DAILY_DATA[[#This Row],[AQI_PM2.5]:[AQI_O3]])</f>
        <v>90</v>
      </c>
      <c r="O20" t="str">
        <f>_xlfn.XLOOKUP(DAILY_DATA[[#This Row],[OVERALL_AQI]],[1]!CATEGORY[AQI_LO],[1]!CATEGORY[CATEGORY],,-1)</f>
        <v>Satisfactory</v>
      </c>
      <c r="P20" t="str" cm="1">
        <f t="array" ref="P20">INDEX(
{"PM2.5","PM10","NO2","SO2","CO","O3"},
MATCH(N20,H20:M20,0)
)</f>
        <v>PM10</v>
      </c>
    </row>
    <row r="21" spans="1:16" x14ac:dyDescent="0.25">
      <c r="A21" s="4">
        <v>45311</v>
      </c>
      <c r="B21">
        <f>ROUND(AVERAGEIFS([1]HOURLY_DATA!B21:B8804,[1]HOURLY_DATA!H21:H8804,Daily_AQI!A21),0)</f>
        <v>41</v>
      </c>
      <c r="C21">
        <f>ROUND(AVERAGEIFS([1]HOURLY_DATA!C21:C8804,[1]HOURLY_DATA!H21:H8804,Daily_AQI!A21),0)</f>
        <v>97</v>
      </c>
      <c r="D21">
        <f>ROUND(AVERAGEIFS([1]HOURLY_DATA!D21:D8804,[1]HOURLY_DATA!H21:H8804,Daily_AQI!A21),0)</f>
        <v>17</v>
      </c>
      <c r="E21">
        <f>ROUND(AVERAGEIFS([1]HOURLY_DATA!E21:E8804,[1]HOURLY_DATA!H21:H8804,Daily_AQI!A21),0)</f>
        <v>9</v>
      </c>
      <c r="F21">
        <f>ROUND(AVERAGEIFS([1]HOURLY_DATA!I21:I8804,[1]HOURLY_DATA!H21:H8804,Daily_AQI!A21),2)</f>
        <v>0.7</v>
      </c>
      <c r="G21">
        <f>ROUND(AVERAGEIFS([1]HOURLY_DATA!J21:J8804,[1]HOURLY_DATA!H21:H8804,Daily_AQI!A21),0)</f>
        <v>36</v>
      </c>
      <c r="H21">
        <f>ROUND(((_xlfn.XLOOKUP(B21,[1]!PM2.5[BLO],[1]!PM2.5[IHI],,-1) - _xlfn.XLOOKUP(B21,[1]!PM2.5[BLO],[1]!PM2.5[ILO],,-1))
/
(_xlfn.XLOOKUP(B21,[1]!PM2.5[BLO],[1]!PM2.5[BHI],,-1) - _xlfn.XLOOKUP(B21,[1]!PM2.5[BLO],[1]!PM2.5[BLO],,-1)))
*
(B21 - _xlfn.XLOOKUP(B21,[1]!PM2.5[BLO],[1]!PM2.5[BLO],,-1))
+
_xlfn.XLOOKUP(B21,[1]!PM2.5[BLO],[1]!PM2.5[ILO],,-1),2)</f>
        <v>67.900000000000006</v>
      </c>
      <c r="I21">
        <f>ROUND(((_xlfn.XLOOKUP(C21,[1]!PM_10[BLO],[1]!PM_10[IHI],,-1) - _xlfn.XLOOKUP(C21,[1]!PM_10[BLO],[1]!PM_10[ILO],,-1))
/
(_xlfn.XLOOKUP(C21,[1]!PM_10[BLO],[1]!PM_10[BHI],,-1) - _xlfn.XLOOKUP(C21,[1]!PM_10[BLO],[1]!PM_10[BLO],,-1)))
*
( C21 - _xlfn.XLOOKUP(C21,[1]!PM_10[BLO],[1]!PM_10[BLO],,-1))
+
_xlfn.XLOOKUP(C21,[1]!PM_10[BLO],[1]!PM_10[ILO],,-1),2)</f>
        <v>97</v>
      </c>
      <c r="J21">
        <f>ROUND((( _xlfn.XLOOKUP(D21,[1]!NO_2[BLO],[1]!NO_2[IHI],,-1) - _xlfn.XLOOKUP(D21,[1]!NO_2[BLO],[1]!NO_2[ILO],,-1))
/
( _xlfn.XLOOKUP(D21,[1]!NO_2[BLO],[1]!NO_2[BHI],,-1) - _xlfn.XLOOKUP(D21,[1]!NO_2[BLO],[1]!NO_2[BLO],,-1) ))
*
( D21 - _xlfn.XLOOKUP(D21,[1]!NO_2[BLO],[1]!NO_2[BLO],,-1))
+
_xlfn.XLOOKUP(D21,[1]!NO_2[BLO],[1]!NO_2[ILO],,-1),2)</f>
        <v>21.25</v>
      </c>
      <c r="K21">
        <f>ROUND(( ( _xlfn.XLOOKUP(E21,[1]!SO_2[BLO],[1]!SO_2[IHI],,-1)  - _xlfn.XLOOKUP(E21,[1]!SO_2[BLO],[1]!SO_2[ILO],,-1) )
/
( _xlfn.XLOOKUP(E21,[1]!SO_2[BLO],[1]!SO_2[BHI],,-1)- _xlfn.XLOOKUP(E21,[1]!SO_2[BLO],[1]!SO_2[BLO],,-1) ))
*
( E21 - _xlfn.XLOOKUP(E21,[1]!SO_2[BLO],[1]!SO_2[BLO],,-1) )
+
_xlfn.XLOOKUP(E21,[1]!SO_2[BLO],[1]!SO_2[ILO],,-1),2)</f>
        <v>11.25</v>
      </c>
      <c r="L21">
        <f>( ( _xlfn.XLOOKUP(F21,[1]!CO[BLO],[1]!CO[IHI],,-1)
- _xlfn.XLOOKUP(F21,[1]!CO[BLO],[1]!CO[ILO],,-1) )
/
( _xlfn.XLOOKUP(F21,[1]!CO[BLO],[1]!CO[BHI],,-1) - _xlfn.XLOOKUP(F21,[1]!CO[BLO],[1]!CO[BLO],,-1)))
*
( F21 - _xlfn.XLOOKUP(F21,[1]!CO[BLO],[1]!CO[BLO],,-1) )
+
_xlfn.XLOOKUP(F21,[1]!CO[BLO],[1]!CO[ILO],,-1)</f>
        <v>35</v>
      </c>
      <c r="M21">
        <f>(( _xlfn.XLOOKUP(G21,[1]!O_3[BLO],[1]!O_3[IHI],,-1) - _xlfn.XLOOKUP(G21,[1]!O_3[BLO],[1]!O_3[ILO],,-1))
/
( _xlfn.XLOOKUP(G21,[1]!O_3[BLO],[1]!O_3[BHI],,-1) - _xlfn.XLOOKUP(G21,[1]!O_3[BLO],[1]!O_3[BLO],,-1)))
*
( G21 - _xlfn.XLOOKUP(G21,[1]!O_3[BLO],[1]!O_3[BLO],,-1))
+
_xlfn.XLOOKUP(G21,[1]!O_3[BLO],[1]!O_3[ILO],,-1)</f>
        <v>36</v>
      </c>
      <c r="N21">
        <f>MAX(DAILY_DATA[[#This Row],[AQI_PM2.5]:[AQI_O3]])</f>
        <v>97</v>
      </c>
      <c r="O21" t="str">
        <f>_xlfn.XLOOKUP(DAILY_DATA[[#This Row],[OVERALL_AQI]],[1]!CATEGORY[AQI_LO],[1]!CATEGORY[CATEGORY],,-1)</f>
        <v>Satisfactory</v>
      </c>
      <c r="P21" t="str" cm="1">
        <f t="array" ref="P21">INDEX(
{"PM2.5","PM10","NO2","SO2","CO","O3"},
MATCH(N21,H21:M21,0)
)</f>
        <v>PM10</v>
      </c>
    </row>
    <row r="22" spans="1:16" x14ac:dyDescent="0.25">
      <c r="A22" s="4">
        <v>45312</v>
      </c>
      <c r="B22">
        <f>ROUND(AVERAGEIFS([1]HOURLY_DATA!B22:B8805,[1]HOURLY_DATA!H22:H8805,Daily_AQI!A22),0)</f>
        <v>43</v>
      </c>
      <c r="C22">
        <f>ROUND(AVERAGEIFS([1]HOURLY_DATA!C22:C8805,[1]HOURLY_DATA!H22:H8805,Daily_AQI!A22),0)</f>
        <v>102</v>
      </c>
      <c r="D22">
        <f>ROUND(AVERAGEIFS([1]HOURLY_DATA!D22:D8805,[1]HOURLY_DATA!H22:H8805,Daily_AQI!A22),0)</f>
        <v>18</v>
      </c>
      <c r="E22">
        <f>ROUND(AVERAGEIFS([1]HOURLY_DATA!E22:E8805,[1]HOURLY_DATA!H22:H8805,Daily_AQI!A22),0)</f>
        <v>8</v>
      </c>
      <c r="F22">
        <f>ROUND(AVERAGEIFS([1]HOURLY_DATA!I22:I8805,[1]HOURLY_DATA!H22:H8805,Daily_AQI!A22),2)</f>
        <v>0.79</v>
      </c>
      <c r="G22">
        <f>ROUND(AVERAGEIFS([1]HOURLY_DATA!J22:J8805,[1]HOURLY_DATA!H22:H8805,Daily_AQI!A22),0)</f>
        <v>36</v>
      </c>
      <c r="H22">
        <f>ROUND(((_xlfn.XLOOKUP(B22,[1]!PM2.5[BLO],[1]!PM2.5[IHI],,-1) - _xlfn.XLOOKUP(B22,[1]!PM2.5[BLO],[1]!PM2.5[ILO],,-1))
/
(_xlfn.XLOOKUP(B22,[1]!PM2.5[BLO],[1]!PM2.5[BHI],,-1) - _xlfn.XLOOKUP(B22,[1]!PM2.5[BLO],[1]!PM2.5[BLO],,-1)))
*
(B22 - _xlfn.XLOOKUP(B22,[1]!PM2.5[BLO],[1]!PM2.5[BLO],,-1))
+
_xlfn.XLOOKUP(B22,[1]!PM2.5[BLO],[1]!PM2.5[ILO],,-1),2)</f>
        <v>71.28</v>
      </c>
      <c r="I22">
        <f>ROUND(((_xlfn.XLOOKUP(C22,[1]!PM_10[BLO],[1]!PM_10[IHI],,-1) - _xlfn.XLOOKUP(C22,[1]!PM_10[BLO],[1]!PM_10[ILO],,-1))
/
(_xlfn.XLOOKUP(C22,[1]!PM_10[BLO],[1]!PM_10[BHI],,-1) - _xlfn.XLOOKUP(C22,[1]!PM_10[BLO],[1]!PM_10[BLO],,-1)))
*
( C22 - _xlfn.XLOOKUP(C22,[1]!PM_10[BLO],[1]!PM_10[BLO],,-1))
+
_xlfn.XLOOKUP(C22,[1]!PM_10[BLO],[1]!PM_10[ILO],,-1),2)</f>
        <v>101.66</v>
      </c>
      <c r="J22">
        <f>ROUND((( _xlfn.XLOOKUP(D22,[1]!NO_2[BLO],[1]!NO_2[IHI],,-1) - _xlfn.XLOOKUP(D22,[1]!NO_2[BLO],[1]!NO_2[ILO],,-1))
/
( _xlfn.XLOOKUP(D22,[1]!NO_2[BLO],[1]!NO_2[BHI],,-1) - _xlfn.XLOOKUP(D22,[1]!NO_2[BLO],[1]!NO_2[BLO],,-1) ))
*
( D22 - _xlfn.XLOOKUP(D22,[1]!NO_2[BLO],[1]!NO_2[BLO],,-1))
+
_xlfn.XLOOKUP(D22,[1]!NO_2[BLO],[1]!NO_2[ILO],,-1),2)</f>
        <v>22.5</v>
      </c>
      <c r="K22">
        <f>ROUND(( ( _xlfn.XLOOKUP(E22,[1]!SO_2[BLO],[1]!SO_2[IHI],,-1)  - _xlfn.XLOOKUP(E22,[1]!SO_2[BLO],[1]!SO_2[ILO],,-1) )
/
( _xlfn.XLOOKUP(E22,[1]!SO_2[BLO],[1]!SO_2[BHI],,-1)- _xlfn.XLOOKUP(E22,[1]!SO_2[BLO],[1]!SO_2[BLO],,-1) ))
*
( E22 - _xlfn.XLOOKUP(E22,[1]!SO_2[BLO],[1]!SO_2[BLO],,-1) )
+
_xlfn.XLOOKUP(E22,[1]!SO_2[BLO],[1]!SO_2[ILO],,-1),2)</f>
        <v>10</v>
      </c>
      <c r="L22">
        <f>( ( _xlfn.XLOOKUP(F22,[1]!CO[BLO],[1]!CO[IHI],,-1)
- _xlfn.XLOOKUP(F22,[1]!CO[BLO],[1]!CO[ILO],,-1) )
/
( _xlfn.XLOOKUP(F22,[1]!CO[BLO],[1]!CO[BHI],,-1) - _xlfn.XLOOKUP(F22,[1]!CO[BLO],[1]!CO[BLO],,-1)))
*
( F22 - _xlfn.XLOOKUP(F22,[1]!CO[BLO],[1]!CO[BLO],,-1) )
+
_xlfn.XLOOKUP(F22,[1]!CO[BLO],[1]!CO[ILO],,-1)</f>
        <v>39.5</v>
      </c>
      <c r="M22">
        <f>(( _xlfn.XLOOKUP(G22,[1]!O_3[BLO],[1]!O_3[IHI],,-1) - _xlfn.XLOOKUP(G22,[1]!O_3[BLO],[1]!O_3[ILO],,-1))
/
( _xlfn.XLOOKUP(G22,[1]!O_3[BLO],[1]!O_3[BHI],,-1) - _xlfn.XLOOKUP(G22,[1]!O_3[BLO],[1]!O_3[BLO],,-1)))
*
( G22 - _xlfn.XLOOKUP(G22,[1]!O_3[BLO],[1]!O_3[BLO],,-1))
+
_xlfn.XLOOKUP(G22,[1]!O_3[BLO],[1]!O_3[ILO],,-1)</f>
        <v>36</v>
      </c>
      <c r="N22">
        <f>MAX(DAILY_DATA[[#This Row],[AQI_PM2.5]:[AQI_O3]])</f>
        <v>101.66</v>
      </c>
      <c r="O22" t="str">
        <f>_xlfn.XLOOKUP(DAILY_DATA[[#This Row],[OVERALL_AQI]],[1]!CATEGORY[AQI_LO],[1]!CATEGORY[CATEGORY],,-1)</f>
        <v>Moderate</v>
      </c>
      <c r="P22" t="str" cm="1">
        <f t="array" ref="P22">INDEX(
{"PM2.5","PM10","NO2","SO2","CO","O3"},
MATCH(N22,H22:M22,0)
)</f>
        <v>PM10</v>
      </c>
    </row>
    <row r="23" spans="1:16" x14ac:dyDescent="0.25">
      <c r="A23" s="4">
        <v>45313</v>
      </c>
      <c r="B23">
        <f>ROUND(AVERAGEIFS([1]HOURLY_DATA!B23:B8806,[1]HOURLY_DATA!H23:H8806,Daily_AQI!A23),0)</f>
        <v>37</v>
      </c>
      <c r="C23">
        <f>ROUND(AVERAGEIFS([1]HOURLY_DATA!C23:C8806,[1]HOURLY_DATA!H23:H8806,Daily_AQI!A23),0)</f>
        <v>102</v>
      </c>
      <c r="D23">
        <f>ROUND(AVERAGEIFS([1]HOURLY_DATA!D23:D8806,[1]HOURLY_DATA!H23:H8806,Daily_AQI!A23),0)</f>
        <v>19</v>
      </c>
      <c r="E23">
        <f>ROUND(AVERAGEIFS([1]HOURLY_DATA!E23:E8806,[1]HOURLY_DATA!H23:H8806,Daily_AQI!A23),0)</f>
        <v>8</v>
      </c>
      <c r="F23">
        <f>ROUND(AVERAGEIFS([1]HOURLY_DATA!I23:I8806,[1]HOURLY_DATA!H23:H8806,Daily_AQI!A23),2)</f>
        <v>0.72</v>
      </c>
      <c r="G23">
        <f>ROUND(AVERAGEIFS([1]HOURLY_DATA!J23:J8806,[1]HOURLY_DATA!H23:H8806,Daily_AQI!A23),0)</f>
        <v>31</v>
      </c>
      <c r="H23">
        <f>ROUND(((_xlfn.XLOOKUP(B23,[1]!PM2.5[BLO],[1]!PM2.5[IHI],,-1) - _xlfn.XLOOKUP(B23,[1]!PM2.5[BLO],[1]!PM2.5[ILO],,-1))
/
(_xlfn.XLOOKUP(B23,[1]!PM2.5[BLO],[1]!PM2.5[BHI],,-1) - _xlfn.XLOOKUP(B23,[1]!PM2.5[BLO],[1]!PM2.5[BLO],,-1)))
*
(B23 - _xlfn.XLOOKUP(B23,[1]!PM2.5[BLO],[1]!PM2.5[BLO],,-1))
+
_xlfn.XLOOKUP(B23,[1]!PM2.5[BLO],[1]!PM2.5[ILO],,-1),2)</f>
        <v>61.14</v>
      </c>
      <c r="I23">
        <f>ROUND(((_xlfn.XLOOKUP(C23,[1]!PM_10[BLO],[1]!PM_10[IHI],,-1) - _xlfn.XLOOKUP(C23,[1]!PM_10[BLO],[1]!PM_10[ILO],,-1))
/
(_xlfn.XLOOKUP(C23,[1]!PM_10[BLO],[1]!PM_10[BHI],,-1) - _xlfn.XLOOKUP(C23,[1]!PM_10[BLO],[1]!PM_10[BLO],,-1)))
*
( C23 - _xlfn.XLOOKUP(C23,[1]!PM_10[BLO],[1]!PM_10[BLO],,-1))
+
_xlfn.XLOOKUP(C23,[1]!PM_10[BLO],[1]!PM_10[ILO],,-1),2)</f>
        <v>101.66</v>
      </c>
      <c r="J23">
        <f>ROUND((( _xlfn.XLOOKUP(D23,[1]!NO_2[BLO],[1]!NO_2[IHI],,-1) - _xlfn.XLOOKUP(D23,[1]!NO_2[BLO],[1]!NO_2[ILO],,-1))
/
( _xlfn.XLOOKUP(D23,[1]!NO_2[BLO],[1]!NO_2[BHI],,-1) - _xlfn.XLOOKUP(D23,[1]!NO_2[BLO],[1]!NO_2[BLO],,-1) ))
*
( D23 - _xlfn.XLOOKUP(D23,[1]!NO_2[BLO],[1]!NO_2[BLO],,-1))
+
_xlfn.XLOOKUP(D23,[1]!NO_2[BLO],[1]!NO_2[ILO],,-1),2)</f>
        <v>23.75</v>
      </c>
      <c r="K23">
        <f>ROUND(( ( _xlfn.XLOOKUP(E23,[1]!SO_2[BLO],[1]!SO_2[IHI],,-1)  - _xlfn.XLOOKUP(E23,[1]!SO_2[BLO],[1]!SO_2[ILO],,-1) )
/
( _xlfn.XLOOKUP(E23,[1]!SO_2[BLO],[1]!SO_2[BHI],,-1)- _xlfn.XLOOKUP(E23,[1]!SO_2[BLO],[1]!SO_2[BLO],,-1) ))
*
( E23 - _xlfn.XLOOKUP(E23,[1]!SO_2[BLO],[1]!SO_2[BLO],,-1) )
+
_xlfn.XLOOKUP(E23,[1]!SO_2[BLO],[1]!SO_2[ILO],,-1),2)</f>
        <v>10</v>
      </c>
      <c r="L23">
        <f>( ( _xlfn.XLOOKUP(F23,[1]!CO[BLO],[1]!CO[IHI],,-1)
- _xlfn.XLOOKUP(F23,[1]!CO[BLO],[1]!CO[ILO],,-1) )
/
( _xlfn.XLOOKUP(F23,[1]!CO[BLO],[1]!CO[BHI],,-1) - _xlfn.XLOOKUP(F23,[1]!CO[BLO],[1]!CO[BLO],,-1)))
*
( F23 - _xlfn.XLOOKUP(F23,[1]!CO[BLO],[1]!CO[BLO],,-1) )
+
_xlfn.XLOOKUP(F23,[1]!CO[BLO],[1]!CO[ILO],,-1)</f>
        <v>36</v>
      </c>
      <c r="M23">
        <f>(( _xlfn.XLOOKUP(G23,[1]!O_3[BLO],[1]!O_3[IHI],,-1) - _xlfn.XLOOKUP(G23,[1]!O_3[BLO],[1]!O_3[ILO],,-1))
/
( _xlfn.XLOOKUP(G23,[1]!O_3[BLO],[1]!O_3[BHI],,-1) - _xlfn.XLOOKUP(G23,[1]!O_3[BLO],[1]!O_3[BLO],,-1)))
*
( G23 - _xlfn.XLOOKUP(G23,[1]!O_3[BLO],[1]!O_3[BLO],,-1))
+
_xlfn.XLOOKUP(G23,[1]!O_3[BLO],[1]!O_3[ILO],,-1)</f>
        <v>31</v>
      </c>
      <c r="N23">
        <f>MAX(DAILY_DATA[[#This Row],[AQI_PM2.5]:[AQI_O3]])</f>
        <v>101.66</v>
      </c>
      <c r="O23" t="str">
        <f>_xlfn.XLOOKUP(DAILY_DATA[[#This Row],[OVERALL_AQI]],[1]!CATEGORY[AQI_LO],[1]!CATEGORY[CATEGORY],,-1)</f>
        <v>Moderate</v>
      </c>
      <c r="P23" t="str" cm="1">
        <f t="array" ref="P23">INDEX(
{"PM2.5","PM10","NO2","SO2","CO","O3"},
MATCH(N23,H23:M23,0)
)</f>
        <v>PM10</v>
      </c>
    </row>
    <row r="24" spans="1:16" x14ac:dyDescent="0.25">
      <c r="A24" s="4">
        <v>45314</v>
      </c>
      <c r="B24">
        <f>ROUND(AVERAGEIFS([1]HOURLY_DATA!B24:B8807,[1]HOURLY_DATA!H24:H8807,Daily_AQI!A24),0)</f>
        <v>42</v>
      </c>
      <c r="C24">
        <f>ROUND(AVERAGEIFS([1]HOURLY_DATA!C24:C8807,[1]HOURLY_DATA!H24:H8807,Daily_AQI!A24),0)</f>
        <v>111</v>
      </c>
      <c r="D24">
        <f>ROUND(AVERAGEIFS([1]HOURLY_DATA!D24:D8807,[1]HOURLY_DATA!H24:H8807,Daily_AQI!A24),0)</f>
        <v>19</v>
      </c>
      <c r="E24">
        <f>ROUND(AVERAGEIFS([1]HOURLY_DATA!E24:E8807,[1]HOURLY_DATA!H24:H8807,Daily_AQI!A24),0)</f>
        <v>8</v>
      </c>
      <c r="F24">
        <f>ROUND(AVERAGEIFS([1]HOURLY_DATA!I24:I8807,[1]HOURLY_DATA!H24:H8807,Daily_AQI!A24),2)</f>
        <v>0.65</v>
      </c>
      <c r="G24">
        <f>ROUND(AVERAGEIFS([1]HOURLY_DATA!J24:J8807,[1]HOURLY_DATA!H24:H8807,Daily_AQI!A24),0)</f>
        <v>29</v>
      </c>
      <c r="H24">
        <f>ROUND(((_xlfn.XLOOKUP(B24,[1]!PM2.5[BLO],[1]!PM2.5[IHI],,-1) - _xlfn.XLOOKUP(B24,[1]!PM2.5[BLO],[1]!PM2.5[ILO],,-1))
/
(_xlfn.XLOOKUP(B24,[1]!PM2.5[BLO],[1]!PM2.5[BHI],,-1) - _xlfn.XLOOKUP(B24,[1]!PM2.5[BLO],[1]!PM2.5[BLO],,-1)))
*
(B24 - _xlfn.XLOOKUP(B24,[1]!PM2.5[BLO],[1]!PM2.5[BLO],,-1))
+
_xlfn.XLOOKUP(B24,[1]!PM2.5[BLO],[1]!PM2.5[ILO],,-1),2)</f>
        <v>69.59</v>
      </c>
      <c r="I24">
        <f>ROUND(((_xlfn.XLOOKUP(C24,[1]!PM_10[BLO],[1]!PM_10[IHI],,-1) - _xlfn.XLOOKUP(C24,[1]!PM_10[BLO],[1]!PM_10[ILO],,-1))
/
(_xlfn.XLOOKUP(C24,[1]!PM_10[BLO],[1]!PM_10[BHI],,-1) - _xlfn.XLOOKUP(C24,[1]!PM_10[BLO],[1]!PM_10[BLO],,-1)))
*
( C24 - _xlfn.XLOOKUP(C24,[1]!PM_10[BLO],[1]!PM_10[BLO],,-1))
+
_xlfn.XLOOKUP(C24,[1]!PM_10[BLO],[1]!PM_10[ILO],,-1),2)</f>
        <v>107.64</v>
      </c>
      <c r="J24">
        <f>ROUND((( _xlfn.XLOOKUP(D24,[1]!NO_2[BLO],[1]!NO_2[IHI],,-1) - _xlfn.XLOOKUP(D24,[1]!NO_2[BLO],[1]!NO_2[ILO],,-1))
/
( _xlfn.XLOOKUP(D24,[1]!NO_2[BLO],[1]!NO_2[BHI],,-1) - _xlfn.XLOOKUP(D24,[1]!NO_2[BLO],[1]!NO_2[BLO],,-1) ))
*
( D24 - _xlfn.XLOOKUP(D24,[1]!NO_2[BLO],[1]!NO_2[BLO],,-1))
+
_xlfn.XLOOKUP(D24,[1]!NO_2[BLO],[1]!NO_2[ILO],,-1),2)</f>
        <v>23.75</v>
      </c>
      <c r="K24">
        <f>ROUND(( ( _xlfn.XLOOKUP(E24,[1]!SO_2[BLO],[1]!SO_2[IHI],,-1)  - _xlfn.XLOOKUP(E24,[1]!SO_2[BLO],[1]!SO_2[ILO],,-1) )
/
( _xlfn.XLOOKUP(E24,[1]!SO_2[BLO],[1]!SO_2[BHI],,-1)- _xlfn.XLOOKUP(E24,[1]!SO_2[BLO],[1]!SO_2[BLO],,-1) ))
*
( E24 - _xlfn.XLOOKUP(E24,[1]!SO_2[BLO],[1]!SO_2[BLO],,-1) )
+
_xlfn.XLOOKUP(E24,[1]!SO_2[BLO],[1]!SO_2[ILO],,-1),2)</f>
        <v>10</v>
      </c>
      <c r="L24">
        <f>( ( _xlfn.XLOOKUP(F24,[1]!CO[BLO],[1]!CO[IHI],,-1)
- _xlfn.XLOOKUP(F24,[1]!CO[BLO],[1]!CO[ILO],,-1) )
/
( _xlfn.XLOOKUP(F24,[1]!CO[BLO],[1]!CO[BHI],,-1) - _xlfn.XLOOKUP(F24,[1]!CO[BLO],[1]!CO[BLO],,-1)))
*
( F24 - _xlfn.XLOOKUP(F24,[1]!CO[BLO],[1]!CO[BLO],,-1) )
+
_xlfn.XLOOKUP(F24,[1]!CO[BLO],[1]!CO[ILO],,-1)</f>
        <v>32.5</v>
      </c>
      <c r="M24">
        <f>(( _xlfn.XLOOKUP(G24,[1]!O_3[BLO],[1]!O_3[IHI],,-1) - _xlfn.XLOOKUP(G24,[1]!O_3[BLO],[1]!O_3[ILO],,-1))
/
( _xlfn.XLOOKUP(G24,[1]!O_3[BLO],[1]!O_3[BHI],,-1) - _xlfn.XLOOKUP(G24,[1]!O_3[BLO],[1]!O_3[BLO],,-1)))
*
( G24 - _xlfn.XLOOKUP(G24,[1]!O_3[BLO],[1]!O_3[BLO],,-1))
+
_xlfn.XLOOKUP(G24,[1]!O_3[BLO],[1]!O_3[ILO],,-1)</f>
        <v>29</v>
      </c>
      <c r="N24">
        <f>MAX(DAILY_DATA[[#This Row],[AQI_PM2.5]:[AQI_O3]])</f>
        <v>107.64</v>
      </c>
      <c r="O24" t="str">
        <f>_xlfn.XLOOKUP(DAILY_DATA[[#This Row],[OVERALL_AQI]],[1]!CATEGORY[AQI_LO],[1]!CATEGORY[CATEGORY],,-1)</f>
        <v>Moderate</v>
      </c>
      <c r="P24" t="str" cm="1">
        <f t="array" ref="P24">INDEX(
{"PM2.5","PM10","NO2","SO2","CO","O3"},
MATCH(N24,H24:M24,0)
)</f>
        <v>PM10</v>
      </c>
    </row>
    <row r="25" spans="1:16" x14ac:dyDescent="0.25">
      <c r="A25" s="4">
        <v>45315</v>
      </c>
      <c r="B25">
        <f>ROUND(AVERAGEIFS([1]HOURLY_DATA!B25:B8808,[1]HOURLY_DATA!H25:H8808,Daily_AQI!A25),0)</f>
        <v>48</v>
      </c>
      <c r="C25">
        <f>ROUND(AVERAGEIFS([1]HOURLY_DATA!C25:C8808,[1]HOURLY_DATA!H25:H8808,Daily_AQI!A25),0)</f>
        <v>104</v>
      </c>
      <c r="D25">
        <f>ROUND(AVERAGEIFS([1]HOURLY_DATA!D25:D8808,[1]HOURLY_DATA!H25:H8808,Daily_AQI!A25),0)</f>
        <v>19</v>
      </c>
      <c r="E25">
        <f>ROUND(AVERAGEIFS([1]HOURLY_DATA!E25:E8808,[1]HOURLY_DATA!H25:H8808,Daily_AQI!A25),0)</f>
        <v>8</v>
      </c>
      <c r="F25">
        <f>ROUND(AVERAGEIFS([1]HOURLY_DATA!I25:I8808,[1]HOURLY_DATA!H25:H8808,Daily_AQI!A25),2)</f>
        <v>0.63</v>
      </c>
      <c r="G25">
        <f>ROUND(AVERAGEIFS([1]HOURLY_DATA!J25:J8808,[1]HOURLY_DATA!H25:H8808,Daily_AQI!A25),0)</f>
        <v>29</v>
      </c>
      <c r="H25">
        <f>ROUND(((_xlfn.XLOOKUP(B25,[1]!PM2.5[BLO],[1]!PM2.5[IHI],,-1) - _xlfn.XLOOKUP(B25,[1]!PM2.5[BLO],[1]!PM2.5[ILO],,-1))
/
(_xlfn.XLOOKUP(B25,[1]!PM2.5[BLO],[1]!PM2.5[BHI],,-1) - _xlfn.XLOOKUP(B25,[1]!PM2.5[BLO],[1]!PM2.5[BLO],,-1)))
*
(B25 - _xlfn.XLOOKUP(B25,[1]!PM2.5[BLO],[1]!PM2.5[BLO],,-1))
+
_xlfn.XLOOKUP(B25,[1]!PM2.5[BLO],[1]!PM2.5[ILO],,-1),2)</f>
        <v>79.72</v>
      </c>
      <c r="I25">
        <f>ROUND(((_xlfn.XLOOKUP(C25,[1]!PM_10[BLO],[1]!PM_10[IHI],,-1) - _xlfn.XLOOKUP(C25,[1]!PM_10[BLO],[1]!PM_10[ILO],,-1))
/
(_xlfn.XLOOKUP(C25,[1]!PM_10[BLO],[1]!PM_10[BHI],,-1) - _xlfn.XLOOKUP(C25,[1]!PM_10[BLO],[1]!PM_10[BLO],,-1)))
*
( C25 - _xlfn.XLOOKUP(C25,[1]!PM_10[BLO],[1]!PM_10[BLO],,-1))
+
_xlfn.XLOOKUP(C25,[1]!PM_10[BLO],[1]!PM_10[ILO],,-1),2)</f>
        <v>102.99</v>
      </c>
      <c r="J25">
        <f>ROUND((( _xlfn.XLOOKUP(D25,[1]!NO_2[BLO],[1]!NO_2[IHI],,-1) - _xlfn.XLOOKUP(D25,[1]!NO_2[BLO],[1]!NO_2[ILO],,-1))
/
( _xlfn.XLOOKUP(D25,[1]!NO_2[BLO],[1]!NO_2[BHI],,-1) - _xlfn.XLOOKUP(D25,[1]!NO_2[BLO],[1]!NO_2[BLO],,-1) ))
*
( D25 - _xlfn.XLOOKUP(D25,[1]!NO_2[BLO],[1]!NO_2[BLO],,-1))
+
_xlfn.XLOOKUP(D25,[1]!NO_2[BLO],[1]!NO_2[ILO],,-1),2)</f>
        <v>23.75</v>
      </c>
      <c r="K25">
        <f>ROUND(( ( _xlfn.XLOOKUP(E25,[1]!SO_2[BLO],[1]!SO_2[IHI],,-1)  - _xlfn.XLOOKUP(E25,[1]!SO_2[BLO],[1]!SO_2[ILO],,-1) )
/
( _xlfn.XLOOKUP(E25,[1]!SO_2[BLO],[1]!SO_2[BHI],,-1)- _xlfn.XLOOKUP(E25,[1]!SO_2[BLO],[1]!SO_2[BLO],,-1) ))
*
( E25 - _xlfn.XLOOKUP(E25,[1]!SO_2[BLO],[1]!SO_2[BLO],,-1) )
+
_xlfn.XLOOKUP(E25,[1]!SO_2[BLO],[1]!SO_2[ILO],,-1),2)</f>
        <v>10</v>
      </c>
      <c r="L25">
        <f>( ( _xlfn.XLOOKUP(F25,[1]!CO[BLO],[1]!CO[IHI],,-1)
- _xlfn.XLOOKUP(F25,[1]!CO[BLO],[1]!CO[ILO],,-1) )
/
( _xlfn.XLOOKUP(F25,[1]!CO[BLO],[1]!CO[BHI],,-1) - _xlfn.XLOOKUP(F25,[1]!CO[BLO],[1]!CO[BLO],,-1)))
*
( F25 - _xlfn.XLOOKUP(F25,[1]!CO[BLO],[1]!CO[BLO],,-1) )
+
_xlfn.XLOOKUP(F25,[1]!CO[BLO],[1]!CO[ILO],,-1)</f>
        <v>31.5</v>
      </c>
      <c r="M25">
        <f>(( _xlfn.XLOOKUP(G25,[1]!O_3[BLO],[1]!O_3[IHI],,-1) - _xlfn.XLOOKUP(G25,[1]!O_3[BLO],[1]!O_3[ILO],,-1))
/
( _xlfn.XLOOKUP(G25,[1]!O_3[BLO],[1]!O_3[BHI],,-1) - _xlfn.XLOOKUP(G25,[1]!O_3[BLO],[1]!O_3[BLO],,-1)))
*
( G25 - _xlfn.XLOOKUP(G25,[1]!O_3[BLO],[1]!O_3[BLO],,-1))
+
_xlfn.XLOOKUP(G25,[1]!O_3[BLO],[1]!O_3[ILO],,-1)</f>
        <v>29</v>
      </c>
      <c r="N25">
        <f>MAX(DAILY_DATA[[#This Row],[AQI_PM2.5]:[AQI_O3]])</f>
        <v>102.99</v>
      </c>
      <c r="O25" t="str">
        <f>_xlfn.XLOOKUP(DAILY_DATA[[#This Row],[OVERALL_AQI]],[1]!CATEGORY[AQI_LO],[1]!CATEGORY[CATEGORY],,-1)</f>
        <v>Moderate</v>
      </c>
      <c r="P25" t="str" cm="1">
        <f t="array" ref="P25">INDEX(
{"PM2.5","PM10","NO2","SO2","CO","O3"},
MATCH(N25,H25:M25,0)
)</f>
        <v>PM10</v>
      </c>
    </row>
    <row r="26" spans="1:16" x14ac:dyDescent="0.25">
      <c r="A26" s="4">
        <v>45316</v>
      </c>
      <c r="B26">
        <f>ROUND(AVERAGEIFS([1]HOURLY_DATA!B26:B8809,[1]HOURLY_DATA!H26:H8809,Daily_AQI!A26),0)</f>
        <v>51</v>
      </c>
      <c r="C26">
        <f>ROUND(AVERAGEIFS([1]HOURLY_DATA!C26:C8809,[1]HOURLY_DATA!H26:H8809,Daily_AQI!A26),0)</f>
        <v>107</v>
      </c>
      <c r="D26">
        <f>ROUND(AVERAGEIFS([1]HOURLY_DATA!D26:D8809,[1]HOURLY_DATA!H26:H8809,Daily_AQI!A26),0)</f>
        <v>19</v>
      </c>
      <c r="E26">
        <f>ROUND(AVERAGEIFS([1]HOURLY_DATA!E26:E8809,[1]HOURLY_DATA!H26:H8809,Daily_AQI!A26),0)</f>
        <v>8</v>
      </c>
      <c r="F26">
        <f>ROUND(AVERAGEIFS([1]HOURLY_DATA!I26:I8809,[1]HOURLY_DATA!H26:H8809,Daily_AQI!A26),2)</f>
        <v>0.65</v>
      </c>
      <c r="G26">
        <f>ROUND(AVERAGEIFS([1]HOURLY_DATA!J26:J8809,[1]HOURLY_DATA!H26:H8809,Daily_AQI!A26),0)</f>
        <v>31</v>
      </c>
      <c r="H26">
        <f>ROUND(((_xlfn.XLOOKUP(B26,[1]!PM2.5[BLO],[1]!PM2.5[IHI],,-1) - _xlfn.XLOOKUP(B26,[1]!PM2.5[BLO],[1]!PM2.5[ILO],,-1))
/
(_xlfn.XLOOKUP(B26,[1]!PM2.5[BLO],[1]!PM2.5[BHI],,-1) - _xlfn.XLOOKUP(B26,[1]!PM2.5[BLO],[1]!PM2.5[BLO],,-1)))
*
(B26 - _xlfn.XLOOKUP(B26,[1]!PM2.5[BLO],[1]!PM2.5[BLO],,-1))
+
_xlfn.XLOOKUP(B26,[1]!PM2.5[BLO],[1]!PM2.5[ILO],,-1),2)</f>
        <v>84.79</v>
      </c>
      <c r="I26">
        <f>ROUND(((_xlfn.XLOOKUP(C26,[1]!PM_10[BLO],[1]!PM_10[IHI],,-1) - _xlfn.XLOOKUP(C26,[1]!PM_10[BLO],[1]!PM_10[ILO],,-1))
/
(_xlfn.XLOOKUP(C26,[1]!PM_10[BLO],[1]!PM_10[BHI],,-1) - _xlfn.XLOOKUP(C26,[1]!PM_10[BLO],[1]!PM_10[BLO],,-1)))
*
( C26 - _xlfn.XLOOKUP(C26,[1]!PM_10[BLO],[1]!PM_10[BLO],,-1))
+
_xlfn.XLOOKUP(C26,[1]!PM_10[BLO],[1]!PM_10[ILO],,-1),2)</f>
        <v>104.99</v>
      </c>
      <c r="J26">
        <f>ROUND((( _xlfn.XLOOKUP(D26,[1]!NO_2[BLO],[1]!NO_2[IHI],,-1) - _xlfn.XLOOKUP(D26,[1]!NO_2[BLO],[1]!NO_2[ILO],,-1))
/
( _xlfn.XLOOKUP(D26,[1]!NO_2[BLO],[1]!NO_2[BHI],,-1) - _xlfn.XLOOKUP(D26,[1]!NO_2[BLO],[1]!NO_2[BLO],,-1) ))
*
( D26 - _xlfn.XLOOKUP(D26,[1]!NO_2[BLO],[1]!NO_2[BLO],,-1))
+
_xlfn.XLOOKUP(D26,[1]!NO_2[BLO],[1]!NO_2[ILO],,-1),2)</f>
        <v>23.75</v>
      </c>
      <c r="K26">
        <f>ROUND(( ( _xlfn.XLOOKUP(E26,[1]!SO_2[BLO],[1]!SO_2[IHI],,-1)  - _xlfn.XLOOKUP(E26,[1]!SO_2[BLO],[1]!SO_2[ILO],,-1) )
/
( _xlfn.XLOOKUP(E26,[1]!SO_2[BLO],[1]!SO_2[BHI],,-1)- _xlfn.XLOOKUP(E26,[1]!SO_2[BLO],[1]!SO_2[BLO],,-1) ))
*
( E26 - _xlfn.XLOOKUP(E26,[1]!SO_2[BLO],[1]!SO_2[BLO],,-1) )
+
_xlfn.XLOOKUP(E26,[1]!SO_2[BLO],[1]!SO_2[ILO],,-1),2)</f>
        <v>10</v>
      </c>
      <c r="L26">
        <f>( ( _xlfn.XLOOKUP(F26,[1]!CO[BLO],[1]!CO[IHI],,-1)
- _xlfn.XLOOKUP(F26,[1]!CO[BLO],[1]!CO[ILO],,-1) )
/
( _xlfn.XLOOKUP(F26,[1]!CO[BLO],[1]!CO[BHI],,-1) - _xlfn.XLOOKUP(F26,[1]!CO[BLO],[1]!CO[BLO],,-1)))
*
( F26 - _xlfn.XLOOKUP(F26,[1]!CO[BLO],[1]!CO[BLO],,-1) )
+
_xlfn.XLOOKUP(F26,[1]!CO[BLO],[1]!CO[ILO],,-1)</f>
        <v>32.5</v>
      </c>
      <c r="M26">
        <f>(( _xlfn.XLOOKUP(G26,[1]!O_3[BLO],[1]!O_3[IHI],,-1) - _xlfn.XLOOKUP(G26,[1]!O_3[BLO],[1]!O_3[ILO],,-1))
/
( _xlfn.XLOOKUP(G26,[1]!O_3[BLO],[1]!O_3[BHI],,-1) - _xlfn.XLOOKUP(G26,[1]!O_3[BLO],[1]!O_3[BLO],,-1)))
*
( G26 - _xlfn.XLOOKUP(G26,[1]!O_3[BLO],[1]!O_3[BLO],,-1))
+
_xlfn.XLOOKUP(G26,[1]!O_3[BLO],[1]!O_3[ILO],,-1)</f>
        <v>31</v>
      </c>
      <c r="N26">
        <f>MAX(DAILY_DATA[[#This Row],[AQI_PM2.5]:[AQI_O3]])</f>
        <v>104.99</v>
      </c>
      <c r="O26" t="str">
        <f>_xlfn.XLOOKUP(DAILY_DATA[[#This Row],[OVERALL_AQI]],[1]!CATEGORY[AQI_LO],[1]!CATEGORY[CATEGORY],,-1)</f>
        <v>Moderate</v>
      </c>
      <c r="P26" t="str" cm="1">
        <f t="array" ref="P26">INDEX(
{"PM2.5","PM10","NO2","SO2","CO","O3"},
MATCH(N26,H26:M26,0)
)</f>
        <v>PM10</v>
      </c>
    </row>
    <row r="27" spans="1:16" x14ac:dyDescent="0.25">
      <c r="A27" s="4">
        <v>45317</v>
      </c>
      <c r="B27">
        <f>ROUND(AVERAGEIFS([1]HOURLY_DATA!B27:B8810,[1]HOURLY_DATA!H27:H8810,Daily_AQI!A27),0)</f>
        <v>32</v>
      </c>
      <c r="C27">
        <f>ROUND(AVERAGEIFS([1]HOURLY_DATA!C27:C8810,[1]HOURLY_DATA!H27:H8810,Daily_AQI!A27),0)</f>
        <v>73</v>
      </c>
      <c r="D27">
        <f>ROUND(AVERAGEIFS([1]HOURLY_DATA!D27:D8810,[1]HOURLY_DATA!H27:H8810,Daily_AQI!A27),0)</f>
        <v>20</v>
      </c>
      <c r="E27">
        <f>ROUND(AVERAGEIFS([1]HOURLY_DATA!E27:E8810,[1]HOURLY_DATA!H27:H8810,Daily_AQI!A27),0)</f>
        <v>7</v>
      </c>
      <c r="F27">
        <f>ROUND(AVERAGEIFS([1]HOURLY_DATA!I27:I8810,[1]HOURLY_DATA!H27:H8810,Daily_AQI!A27),2)</f>
        <v>0.74</v>
      </c>
      <c r="G27">
        <f>ROUND(AVERAGEIFS([1]HOURLY_DATA!J27:J8810,[1]HOURLY_DATA!H27:H8810,Daily_AQI!A27),0)</f>
        <v>30</v>
      </c>
      <c r="H27">
        <f>ROUND(((_xlfn.XLOOKUP(B27,[1]!PM2.5[BLO],[1]!PM2.5[IHI],,-1) - _xlfn.XLOOKUP(B27,[1]!PM2.5[BLO],[1]!PM2.5[ILO],,-1))
/
(_xlfn.XLOOKUP(B27,[1]!PM2.5[BLO],[1]!PM2.5[BHI],,-1) - _xlfn.XLOOKUP(B27,[1]!PM2.5[BLO],[1]!PM2.5[BLO],,-1)))
*
(B27 - _xlfn.XLOOKUP(B27,[1]!PM2.5[BLO],[1]!PM2.5[BLO],,-1))
+
_xlfn.XLOOKUP(B27,[1]!PM2.5[BLO],[1]!PM2.5[ILO],,-1),2)</f>
        <v>52.69</v>
      </c>
      <c r="I27">
        <f>ROUND(((_xlfn.XLOOKUP(C27,[1]!PM_10[BLO],[1]!PM_10[IHI],,-1) - _xlfn.XLOOKUP(C27,[1]!PM_10[BLO],[1]!PM_10[ILO],,-1))
/
(_xlfn.XLOOKUP(C27,[1]!PM_10[BLO],[1]!PM_10[BHI],,-1) - _xlfn.XLOOKUP(C27,[1]!PM_10[BLO],[1]!PM_10[BLO],,-1)))
*
( C27 - _xlfn.XLOOKUP(C27,[1]!PM_10[BLO],[1]!PM_10[BLO],,-1))
+
_xlfn.XLOOKUP(C27,[1]!PM_10[BLO],[1]!PM_10[ILO],,-1),2)</f>
        <v>73</v>
      </c>
      <c r="J27">
        <f>ROUND((( _xlfn.XLOOKUP(D27,[1]!NO_2[BLO],[1]!NO_2[IHI],,-1) - _xlfn.XLOOKUP(D27,[1]!NO_2[BLO],[1]!NO_2[ILO],,-1))
/
( _xlfn.XLOOKUP(D27,[1]!NO_2[BLO],[1]!NO_2[BHI],,-1) - _xlfn.XLOOKUP(D27,[1]!NO_2[BLO],[1]!NO_2[BLO],,-1) ))
*
( D27 - _xlfn.XLOOKUP(D27,[1]!NO_2[BLO],[1]!NO_2[BLO],,-1))
+
_xlfn.XLOOKUP(D27,[1]!NO_2[BLO],[1]!NO_2[ILO],,-1),2)</f>
        <v>25</v>
      </c>
      <c r="K27">
        <f>ROUND(( ( _xlfn.XLOOKUP(E27,[1]!SO_2[BLO],[1]!SO_2[IHI],,-1)  - _xlfn.XLOOKUP(E27,[1]!SO_2[BLO],[1]!SO_2[ILO],,-1) )
/
( _xlfn.XLOOKUP(E27,[1]!SO_2[BLO],[1]!SO_2[BHI],,-1)- _xlfn.XLOOKUP(E27,[1]!SO_2[BLO],[1]!SO_2[BLO],,-1) ))
*
( E27 - _xlfn.XLOOKUP(E27,[1]!SO_2[BLO],[1]!SO_2[BLO],,-1) )
+
_xlfn.XLOOKUP(E27,[1]!SO_2[BLO],[1]!SO_2[ILO],,-1),2)</f>
        <v>8.75</v>
      </c>
      <c r="L27">
        <f>( ( _xlfn.XLOOKUP(F27,[1]!CO[BLO],[1]!CO[IHI],,-1)
- _xlfn.XLOOKUP(F27,[1]!CO[BLO],[1]!CO[ILO],,-1) )
/
( _xlfn.XLOOKUP(F27,[1]!CO[BLO],[1]!CO[BHI],,-1) - _xlfn.XLOOKUP(F27,[1]!CO[BLO],[1]!CO[BLO],,-1)))
*
( F27 - _xlfn.XLOOKUP(F27,[1]!CO[BLO],[1]!CO[BLO],,-1) )
+
_xlfn.XLOOKUP(F27,[1]!CO[BLO],[1]!CO[ILO],,-1)</f>
        <v>37</v>
      </c>
      <c r="M27">
        <f>(( _xlfn.XLOOKUP(G27,[1]!O_3[BLO],[1]!O_3[IHI],,-1) - _xlfn.XLOOKUP(G27,[1]!O_3[BLO],[1]!O_3[ILO],,-1))
/
( _xlfn.XLOOKUP(G27,[1]!O_3[BLO],[1]!O_3[BHI],,-1) - _xlfn.XLOOKUP(G27,[1]!O_3[BLO],[1]!O_3[BLO],,-1)))
*
( G27 - _xlfn.XLOOKUP(G27,[1]!O_3[BLO],[1]!O_3[BLO],,-1))
+
_xlfn.XLOOKUP(G27,[1]!O_3[BLO],[1]!O_3[ILO],,-1)</f>
        <v>30</v>
      </c>
      <c r="N27">
        <f>MAX(DAILY_DATA[[#This Row],[AQI_PM2.5]:[AQI_O3]])</f>
        <v>73</v>
      </c>
      <c r="O27" t="str">
        <f>_xlfn.XLOOKUP(DAILY_DATA[[#This Row],[OVERALL_AQI]],[1]!CATEGORY[AQI_LO],[1]!CATEGORY[CATEGORY],,-1)</f>
        <v>Satisfactory</v>
      </c>
      <c r="P27" t="str" cm="1">
        <f t="array" ref="P27">INDEX(
{"PM2.5","PM10","NO2","SO2","CO","O3"},
MATCH(N27,H27:M27,0)
)</f>
        <v>PM10</v>
      </c>
    </row>
    <row r="28" spans="1:16" x14ac:dyDescent="0.25">
      <c r="A28" s="4">
        <v>45318</v>
      </c>
      <c r="B28">
        <f>ROUND(AVERAGEIFS([1]HOURLY_DATA!B28:B8811,[1]HOURLY_DATA!H28:H8811,Daily_AQI!A28),0)</f>
        <v>31</v>
      </c>
      <c r="C28">
        <f>ROUND(AVERAGEIFS([1]HOURLY_DATA!C28:C8811,[1]HOURLY_DATA!H28:H8811,Daily_AQI!A28),0)</f>
        <v>75</v>
      </c>
      <c r="D28">
        <f>ROUND(AVERAGEIFS([1]HOURLY_DATA!D28:D8811,[1]HOURLY_DATA!H28:H8811,Daily_AQI!A28),0)</f>
        <v>19</v>
      </c>
      <c r="E28">
        <f>ROUND(AVERAGEIFS([1]HOURLY_DATA!E28:E8811,[1]HOURLY_DATA!H28:H8811,Daily_AQI!A28),0)</f>
        <v>9</v>
      </c>
      <c r="F28">
        <f>ROUND(AVERAGEIFS([1]HOURLY_DATA!I28:I8811,[1]HOURLY_DATA!H28:H8811,Daily_AQI!A28),2)</f>
        <v>0.82</v>
      </c>
      <c r="G28">
        <f>ROUND(AVERAGEIFS([1]HOURLY_DATA!J28:J8811,[1]HOURLY_DATA!H28:H8811,Daily_AQI!A28),0)</f>
        <v>28</v>
      </c>
      <c r="H28">
        <f>ROUND(((_xlfn.XLOOKUP(B28,[1]!PM2.5[BLO],[1]!PM2.5[IHI],,-1) - _xlfn.XLOOKUP(B28,[1]!PM2.5[BLO],[1]!PM2.5[ILO],,-1))
/
(_xlfn.XLOOKUP(B28,[1]!PM2.5[BLO],[1]!PM2.5[BHI],,-1) - _xlfn.XLOOKUP(B28,[1]!PM2.5[BLO],[1]!PM2.5[BLO],,-1)))
*
(B28 - _xlfn.XLOOKUP(B28,[1]!PM2.5[BLO],[1]!PM2.5[BLO],,-1))
+
_xlfn.XLOOKUP(B28,[1]!PM2.5[BLO],[1]!PM2.5[ILO],,-1),2)</f>
        <v>51</v>
      </c>
      <c r="I28">
        <f>ROUND(((_xlfn.XLOOKUP(C28,[1]!PM_10[BLO],[1]!PM_10[IHI],,-1) - _xlfn.XLOOKUP(C28,[1]!PM_10[BLO],[1]!PM_10[ILO],,-1))
/
(_xlfn.XLOOKUP(C28,[1]!PM_10[BLO],[1]!PM_10[BHI],,-1) - _xlfn.XLOOKUP(C28,[1]!PM_10[BLO],[1]!PM_10[BLO],,-1)))
*
( C28 - _xlfn.XLOOKUP(C28,[1]!PM_10[BLO],[1]!PM_10[BLO],,-1))
+
_xlfn.XLOOKUP(C28,[1]!PM_10[BLO],[1]!PM_10[ILO],,-1),2)</f>
        <v>75</v>
      </c>
      <c r="J28">
        <f>ROUND((( _xlfn.XLOOKUP(D28,[1]!NO_2[BLO],[1]!NO_2[IHI],,-1) - _xlfn.XLOOKUP(D28,[1]!NO_2[BLO],[1]!NO_2[ILO],,-1))
/
( _xlfn.XLOOKUP(D28,[1]!NO_2[BLO],[1]!NO_2[BHI],,-1) - _xlfn.XLOOKUP(D28,[1]!NO_2[BLO],[1]!NO_2[BLO],,-1) ))
*
( D28 - _xlfn.XLOOKUP(D28,[1]!NO_2[BLO],[1]!NO_2[BLO],,-1))
+
_xlfn.XLOOKUP(D28,[1]!NO_2[BLO],[1]!NO_2[ILO],,-1),2)</f>
        <v>23.75</v>
      </c>
      <c r="K28">
        <f>ROUND(( ( _xlfn.XLOOKUP(E28,[1]!SO_2[BLO],[1]!SO_2[IHI],,-1)  - _xlfn.XLOOKUP(E28,[1]!SO_2[BLO],[1]!SO_2[ILO],,-1) )
/
( _xlfn.XLOOKUP(E28,[1]!SO_2[BLO],[1]!SO_2[BHI],,-1)- _xlfn.XLOOKUP(E28,[1]!SO_2[BLO],[1]!SO_2[BLO],,-1) ))
*
( E28 - _xlfn.XLOOKUP(E28,[1]!SO_2[BLO],[1]!SO_2[BLO],,-1) )
+
_xlfn.XLOOKUP(E28,[1]!SO_2[BLO],[1]!SO_2[ILO],,-1),2)</f>
        <v>11.25</v>
      </c>
      <c r="L28">
        <f>( ( _xlfn.XLOOKUP(F28,[1]!CO[BLO],[1]!CO[IHI],,-1)
- _xlfn.XLOOKUP(F28,[1]!CO[BLO],[1]!CO[ILO],,-1) )
/
( _xlfn.XLOOKUP(F28,[1]!CO[BLO],[1]!CO[BHI],,-1) - _xlfn.XLOOKUP(F28,[1]!CO[BLO],[1]!CO[BLO],,-1)))
*
( F28 - _xlfn.XLOOKUP(F28,[1]!CO[BLO],[1]!CO[BLO],,-1) )
+
_xlfn.XLOOKUP(F28,[1]!CO[BLO],[1]!CO[ILO],,-1)</f>
        <v>41</v>
      </c>
      <c r="M28">
        <f>(( _xlfn.XLOOKUP(G28,[1]!O_3[BLO],[1]!O_3[IHI],,-1) - _xlfn.XLOOKUP(G28,[1]!O_3[BLO],[1]!O_3[ILO],,-1))
/
( _xlfn.XLOOKUP(G28,[1]!O_3[BLO],[1]!O_3[BHI],,-1) - _xlfn.XLOOKUP(G28,[1]!O_3[BLO],[1]!O_3[BLO],,-1)))
*
( G28 - _xlfn.XLOOKUP(G28,[1]!O_3[BLO],[1]!O_3[BLO],,-1))
+
_xlfn.XLOOKUP(G28,[1]!O_3[BLO],[1]!O_3[ILO],,-1)</f>
        <v>28</v>
      </c>
      <c r="N28">
        <f>MAX(DAILY_DATA[[#This Row],[AQI_PM2.5]:[AQI_O3]])</f>
        <v>75</v>
      </c>
      <c r="O28" t="str">
        <f>_xlfn.XLOOKUP(DAILY_DATA[[#This Row],[OVERALL_AQI]],[1]!CATEGORY[AQI_LO],[1]!CATEGORY[CATEGORY],,-1)</f>
        <v>Satisfactory</v>
      </c>
      <c r="P28" t="str" cm="1">
        <f t="array" ref="P28">INDEX(
{"PM2.5","PM10","NO2","SO2","CO","O3"},
MATCH(N28,H28:M28,0)
)</f>
        <v>PM10</v>
      </c>
    </row>
    <row r="29" spans="1:16" x14ac:dyDescent="0.25">
      <c r="A29" s="4">
        <v>45319</v>
      </c>
      <c r="B29">
        <f>ROUND(AVERAGEIFS([1]HOURLY_DATA!B29:B8812,[1]HOURLY_DATA!H29:H8812,Daily_AQI!A29),0)</f>
        <v>33</v>
      </c>
      <c r="C29">
        <f>ROUND(AVERAGEIFS([1]HOURLY_DATA!C29:C8812,[1]HOURLY_DATA!H29:H8812,Daily_AQI!A29),0)</f>
        <v>73</v>
      </c>
      <c r="D29">
        <f>ROUND(AVERAGEIFS([1]HOURLY_DATA!D29:D8812,[1]HOURLY_DATA!H29:H8812,Daily_AQI!A29),0)</f>
        <v>18</v>
      </c>
      <c r="E29">
        <f>ROUND(AVERAGEIFS([1]HOURLY_DATA!E29:E8812,[1]HOURLY_DATA!H29:H8812,Daily_AQI!A29),0)</f>
        <v>8</v>
      </c>
      <c r="F29">
        <f>ROUND(AVERAGEIFS([1]HOURLY_DATA!I29:I8812,[1]HOURLY_DATA!H29:H8812,Daily_AQI!A29),2)</f>
        <v>0.76</v>
      </c>
      <c r="G29">
        <f>ROUND(AVERAGEIFS([1]HOURLY_DATA!J29:J8812,[1]HOURLY_DATA!H29:H8812,Daily_AQI!A29),0)</f>
        <v>30</v>
      </c>
      <c r="H29">
        <f>ROUND(((_xlfn.XLOOKUP(B29,[1]!PM2.5[BLO],[1]!PM2.5[IHI],,-1) - _xlfn.XLOOKUP(B29,[1]!PM2.5[BLO],[1]!PM2.5[ILO],,-1))
/
(_xlfn.XLOOKUP(B29,[1]!PM2.5[BLO],[1]!PM2.5[BHI],,-1) - _xlfn.XLOOKUP(B29,[1]!PM2.5[BLO],[1]!PM2.5[BLO],,-1)))
*
(B29 - _xlfn.XLOOKUP(B29,[1]!PM2.5[BLO],[1]!PM2.5[BLO],,-1))
+
_xlfn.XLOOKUP(B29,[1]!PM2.5[BLO],[1]!PM2.5[ILO],,-1),2)</f>
        <v>54.38</v>
      </c>
      <c r="I29">
        <f>ROUND(((_xlfn.XLOOKUP(C29,[1]!PM_10[BLO],[1]!PM_10[IHI],,-1) - _xlfn.XLOOKUP(C29,[1]!PM_10[BLO],[1]!PM_10[ILO],,-1))
/
(_xlfn.XLOOKUP(C29,[1]!PM_10[BLO],[1]!PM_10[BHI],,-1) - _xlfn.XLOOKUP(C29,[1]!PM_10[BLO],[1]!PM_10[BLO],,-1)))
*
( C29 - _xlfn.XLOOKUP(C29,[1]!PM_10[BLO],[1]!PM_10[BLO],,-1))
+
_xlfn.XLOOKUP(C29,[1]!PM_10[BLO],[1]!PM_10[ILO],,-1),2)</f>
        <v>73</v>
      </c>
      <c r="J29">
        <f>ROUND((( _xlfn.XLOOKUP(D29,[1]!NO_2[BLO],[1]!NO_2[IHI],,-1) - _xlfn.XLOOKUP(D29,[1]!NO_2[BLO],[1]!NO_2[ILO],,-1))
/
( _xlfn.XLOOKUP(D29,[1]!NO_2[BLO],[1]!NO_2[BHI],,-1) - _xlfn.XLOOKUP(D29,[1]!NO_2[BLO],[1]!NO_2[BLO],,-1) ))
*
( D29 - _xlfn.XLOOKUP(D29,[1]!NO_2[BLO],[1]!NO_2[BLO],,-1))
+
_xlfn.XLOOKUP(D29,[1]!NO_2[BLO],[1]!NO_2[ILO],,-1),2)</f>
        <v>22.5</v>
      </c>
      <c r="K29">
        <f>ROUND(( ( _xlfn.XLOOKUP(E29,[1]!SO_2[BLO],[1]!SO_2[IHI],,-1)  - _xlfn.XLOOKUP(E29,[1]!SO_2[BLO],[1]!SO_2[ILO],,-1) )
/
( _xlfn.XLOOKUP(E29,[1]!SO_2[BLO],[1]!SO_2[BHI],,-1)- _xlfn.XLOOKUP(E29,[1]!SO_2[BLO],[1]!SO_2[BLO],,-1) ))
*
( E29 - _xlfn.XLOOKUP(E29,[1]!SO_2[BLO],[1]!SO_2[BLO],,-1) )
+
_xlfn.XLOOKUP(E29,[1]!SO_2[BLO],[1]!SO_2[ILO],,-1),2)</f>
        <v>10</v>
      </c>
      <c r="L29">
        <f>( ( _xlfn.XLOOKUP(F29,[1]!CO[BLO],[1]!CO[IHI],,-1)
- _xlfn.XLOOKUP(F29,[1]!CO[BLO],[1]!CO[ILO],,-1) )
/
( _xlfn.XLOOKUP(F29,[1]!CO[BLO],[1]!CO[BHI],,-1) - _xlfn.XLOOKUP(F29,[1]!CO[BLO],[1]!CO[BLO],,-1)))
*
( F29 - _xlfn.XLOOKUP(F29,[1]!CO[BLO],[1]!CO[BLO],,-1) )
+
_xlfn.XLOOKUP(F29,[1]!CO[BLO],[1]!CO[ILO],,-1)</f>
        <v>38</v>
      </c>
      <c r="M29">
        <f>(( _xlfn.XLOOKUP(G29,[1]!O_3[BLO],[1]!O_3[IHI],,-1) - _xlfn.XLOOKUP(G29,[1]!O_3[BLO],[1]!O_3[ILO],,-1))
/
( _xlfn.XLOOKUP(G29,[1]!O_3[BLO],[1]!O_3[BHI],,-1) - _xlfn.XLOOKUP(G29,[1]!O_3[BLO],[1]!O_3[BLO],,-1)))
*
( G29 - _xlfn.XLOOKUP(G29,[1]!O_3[BLO],[1]!O_3[BLO],,-1))
+
_xlfn.XLOOKUP(G29,[1]!O_3[BLO],[1]!O_3[ILO],,-1)</f>
        <v>30</v>
      </c>
      <c r="N29">
        <f>MAX(DAILY_DATA[[#This Row],[AQI_PM2.5]:[AQI_O3]])</f>
        <v>73</v>
      </c>
      <c r="O29" t="str">
        <f>_xlfn.XLOOKUP(DAILY_DATA[[#This Row],[OVERALL_AQI]],[1]!CATEGORY[AQI_LO],[1]!CATEGORY[CATEGORY],,-1)</f>
        <v>Satisfactory</v>
      </c>
      <c r="P29" t="str" cm="1">
        <f t="array" ref="P29">INDEX(
{"PM2.5","PM10","NO2","SO2","CO","O3"},
MATCH(N29,H29:M29,0)
)</f>
        <v>PM10</v>
      </c>
    </row>
    <row r="30" spans="1:16" x14ac:dyDescent="0.25">
      <c r="A30" s="4">
        <v>45320</v>
      </c>
      <c r="B30">
        <f>ROUND(AVERAGEIFS([1]HOURLY_DATA!B30:B8813,[1]HOURLY_DATA!H30:H8813,Daily_AQI!A30),0)</f>
        <v>38</v>
      </c>
      <c r="C30">
        <f>ROUND(AVERAGEIFS([1]HOURLY_DATA!C30:C8813,[1]HOURLY_DATA!H30:H8813,Daily_AQI!A30),0)</f>
        <v>87</v>
      </c>
      <c r="D30">
        <f>ROUND(AVERAGEIFS([1]HOURLY_DATA!D30:D8813,[1]HOURLY_DATA!H30:H8813,Daily_AQI!A30),0)</f>
        <v>19</v>
      </c>
      <c r="E30">
        <f>ROUND(AVERAGEIFS([1]HOURLY_DATA!E30:E8813,[1]HOURLY_DATA!H30:H8813,Daily_AQI!A30),0)</f>
        <v>8</v>
      </c>
      <c r="F30">
        <f>ROUND(AVERAGEIFS([1]HOURLY_DATA!I30:I8813,[1]HOURLY_DATA!H30:H8813,Daily_AQI!A30),2)</f>
        <v>0.76</v>
      </c>
      <c r="G30">
        <f>ROUND(AVERAGEIFS([1]HOURLY_DATA!J30:J8813,[1]HOURLY_DATA!H30:H8813,Daily_AQI!A30),0)</f>
        <v>31</v>
      </c>
      <c r="H30">
        <f>ROUND(((_xlfn.XLOOKUP(B30,[1]!PM2.5[BLO],[1]!PM2.5[IHI],,-1) - _xlfn.XLOOKUP(B30,[1]!PM2.5[BLO],[1]!PM2.5[ILO],,-1))
/
(_xlfn.XLOOKUP(B30,[1]!PM2.5[BLO],[1]!PM2.5[BHI],,-1) - _xlfn.XLOOKUP(B30,[1]!PM2.5[BLO],[1]!PM2.5[BLO],,-1)))
*
(B30 - _xlfn.XLOOKUP(B30,[1]!PM2.5[BLO],[1]!PM2.5[BLO],,-1))
+
_xlfn.XLOOKUP(B30,[1]!PM2.5[BLO],[1]!PM2.5[ILO],,-1),2)</f>
        <v>62.83</v>
      </c>
      <c r="I30">
        <f>ROUND(((_xlfn.XLOOKUP(C30,[1]!PM_10[BLO],[1]!PM_10[IHI],,-1) - _xlfn.XLOOKUP(C30,[1]!PM_10[BLO],[1]!PM_10[ILO],,-1))
/
(_xlfn.XLOOKUP(C30,[1]!PM_10[BLO],[1]!PM_10[BHI],,-1) - _xlfn.XLOOKUP(C30,[1]!PM_10[BLO],[1]!PM_10[BLO],,-1)))
*
( C30 - _xlfn.XLOOKUP(C30,[1]!PM_10[BLO],[1]!PM_10[BLO],,-1))
+
_xlfn.XLOOKUP(C30,[1]!PM_10[BLO],[1]!PM_10[ILO],,-1),2)</f>
        <v>87</v>
      </c>
      <c r="J30">
        <f>ROUND((( _xlfn.XLOOKUP(D30,[1]!NO_2[BLO],[1]!NO_2[IHI],,-1) - _xlfn.XLOOKUP(D30,[1]!NO_2[BLO],[1]!NO_2[ILO],,-1))
/
( _xlfn.XLOOKUP(D30,[1]!NO_2[BLO],[1]!NO_2[BHI],,-1) - _xlfn.XLOOKUP(D30,[1]!NO_2[BLO],[1]!NO_2[BLO],,-1) ))
*
( D30 - _xlfn.XLOOKUP(D30,[1]!NO_2[BLO],[1]!NO_2[BLO],,-1))
+
_xlfn.XLOOKUP(D30,[1]!NO_2[BLO],[1]!NO_2[ILO],,-1),2)</f>
        <v>23.75</v>
      </c>
      <c r="K30">
        <f>ROUND(( ( _xlfn.XLOOKUP(E30,[1]!SO_2[BLO],[1]!SO_2[IHI],,-1)  - _xlfn.XLOOKUP(E30,[1]!SO_2[BLO],[1]!SO_2[ILO],,-1) )
/
( _xlfn.XLOOKUP(E30,[1]!SO_2[BLO],[1]!SO_2[BHI],,-1)- _xlfn.XLOOKUP(E30,[1]!SO_2[BLO],[1]!SO_2[BLO],,-1) ))
*
( E30 - _xlfn.XLOOKUP(E30,[1]!SO_2[BLO],[1]!SO_2[BLO],,-1) )
+
_xlfn.XLOOKUP(E30,[1]!SO_2[BLO],[1]!SO_2[ILO],,-1),2)</f>
        <v>10</v>
      </c>
      <c r="L30">
        <f>( ( _xlfn.XLOOKUP(F30,[1]!CO[BLO],[1]!CO[IHI],,-1)
- _xlfn.XLOOKUP(F30,[1]!CO[BLO],[1]!CO[ILO],,-1) )
/
( _xlfn.XLOOKUP(F30,[1]!CO[BLO],[1]!CO[BHI],,-1) - _xlfn.XLOOKUP(F30,[1]!CO[BLO],[1]!CO[BLO],,-1)))
*
( F30 - _xlfn.XLOOKUP(F30,[1]!CO[BLO],[1]!CO[BLO],,-1) )
+
_xlfn.XLOOKUP(F30,[1]!CO[BLO],[1]!CO[ILO],,-1)</f>
        <v>38</v>
      </c>
      <c r="M30">
        <f>(( _xlfn.XLOOKUP(G30,[1]!O_3[BLO],[1]!O_3[IHI],,-1) - _xlfn.XLOOKUP(G30,[1]!O_3[BLO],[1]!O_3[ILO],,-1))
/
( _xlfn.XLOOKUP(G30,[1]!O_3[BLO],[1]!O_3[BHI],,-1) - _xlfn.XLOOKUP(G30,[1]!O_3[BLO],[1]!O_3[BLO],,-1)))
*
( G30 - _xlfn.XLOOKUP(G30,[1]!O_3[BLO],[1]!O_3[BLO],,-1))
+
_xlfn.XLOOKUP(G30,[1]!O_3[BLO],[1]!O_3[ILO],,-1)</f>
        <v>31</v>
      </c>
      <c r="N30">
        <f>MAX(DAILY_DATA[[#This Row],[AQI_PM2.5]:[AQI_O3]])</f>
        <v>87</v>
      </c>
      <c r="O30" t="str">
        <f>_xlfn.XLOOKUP(DAILY_DATA[[#This Row],[OVERALL_AQI]],[1]!CATEGORY[AQI_LO],[1]!CATEGORY[CATEGORY],,-1)</f>
        <v>Satisfactory</v>
      </c>
      <c r="P30" t="str" cm="1">
        <f t="array" ref="P30">INDEX(
{"PM2.5","PM10","NO2","SO2","CO","O3"},
MATCH(N30,H30:M30,0)
)</f>
        <v>PM10</v>
      </c>
    </row>
    <row r="31" spans="1:16" x14ac:dyDescent="0.25">
      <c r="A31" s="4">
        <v>45321</v>
      </c>
      <c r="B31">
        <f>ROUND(AVERAGEIFS([1]HOURLY_DATA!B31:B8814,[1]HOURLY_DATA!H31:H8814,Daily_AQI!A31),0)</f>
        <v>56</v>
      </c>
      <c r="C31">
        <f>ROUND(AVERAGEIFS([1]HOURLY_DATA!C31:C8814,[1]HOURLY_DATA!H31:H8814,Daily_AQI!A31),0)</f>
        <v>133</v>
      </c>
      <c r="D31">
        <f>ROUND(AVERAGEIFS([1]HOURLY_DATA!D31:D8814,[1]HOURLY_DATA!H31:H8814,Daily_AQI!A31),0)</f>
        <v>20</v>
      </c>
      <c r="E31">
        <f>ROUND(AVERAGEIFS([1]HOURLY_DATA!E31:E8814,[1]HOURLY_DATA!H31:H8814,Daily_AQI!A31),0)</f>
        <v>8</v>
      </c>
      <c r="F31">
        <f>ROUND(AVERAGEIFS([1]HOURLY_DATA!I31:I8814,[1]HOURLY_DATA!H31:H8814,Daily_AQI!A31),2)</f>
        <v>0.85</v>
      </c>
      <c r="G31">
        <f>ROUND(AVERAGEIFS([1]HOURLY_DATA!J31:J8814,[1]HOURLY_DATA!H31:H8814,Daily_AQI!A31),0)</f>
        <v>31</v>
      </c>
      <c r="H31">
        <f>ROUND(((_xlfn.XLOOKUP(B31,[1]!PM2.5[BLO],[1]!PM2.5[IHI],,-1) - _xlfn.XLOOKUP(B31,[1]!PM2.5[BLO],[1]!PM2.5[ILO],,-1))
/
(_xlfn.XLOOKUP(B31,[1]!PM2.5[BLO],[1]!PM2.5[BHI],,-1) - _xlfn.XLOOKUP(B31,[1]!PM2.5[BLO],[1]!PM2.5[BLO],,-1)))
*
(B31 - _xlfn.XLOOKUP(B31,[1]!PM2.5[BLO],[1]!PM2.5[BLO],,-1))
+
_xlfn.XLOOKUP(B31,[1]!PM2.5[BLO],[1]!PM2.5[ILO],,-1),2)</f>
        <v>93.24</v>
      </c>
      <c r="I31">
        <f>ROUND(((_xlfn.XLOOKUP(C31,[1]!PM_10[BLO],[1]!PM_10[IHI],,-1) - _xlfn.XLOOKUP(C31,[1]!PM_10[BLO],[1]!PM_10[ILO],,-1))
/
(_xlfn.XLOOKUP(C31,[1]!PM_10[BLO],[1]!PM_10[BHI],,-1) - _xlfn.XLOOKUP(C31,[1]!PM_10[BLO],[1]!PM_10[BLO],,-1)))
*
( C31 - _xlfn.XLOOKUP(C31,[1]!PM_10[BLO],[1]!PM_10[BLO],,-1))
+
_xlfn.XLOOKUP(C31,[1]!PM_10[BLO],[1]!PM_10[ILO],,-1),2)</f>
        <v>122.26</v>
      </c>
      <c r="J31">
        <f>ROUND((( _xlfn.XLOOKUP(D31,[1]!NO_2[BLO],[1]!NO_2[IHI],,-1) - _xlfn.XLOOKUP(D31,[1]!NO_2[BLO],[1]!NO_2[ILO],,-1))
/
( _xlfn.XLOOKUP(D31,[1]!NO_2[BLO],[1]!NO_2[BHI],,-1) - _xlfn.XLOOKUP(D31,[1]!NO_2[BLO],[1]!NO_2[BLO],,-1) ))
*
( D31 - _xlfn.XLOOKUP(D31,[1]!NO_2[BLO],[1]!NO_2[BLO],,-1))
+
_xlfn.XLOOKUP(D31,[1]!NO_2[BLO],[1]!NO_2[ILO],,-1),2)</f>
        <v>25</v>
      </c>
      <c r="K31">
        <f>ROUND(( ( _xlfn.XLOOKUP(E31,[1]!SO_2[BLO],[1]!SO_2[IHI],,-1)  - _xlfn.XLOOKUP(E31,[1]!SO_2[BLO],[1]!SO_2[ILO],,-1) )
/
( _xlfn.XLOOKUP(E31,[1]!SO_2[BLO],[1]!SO_2[BHI],,-1)- _xlfn.XLOOKUP(E31,[1]!SO_2[BLO],[1]!SO_2[BLO],,-1) ))
*
( E31 - _xlfn.XLOOKUP(E31,[1]!SO_2[BLO],[1]!SO_2[BLO],,-1) )
+
_xlfn.XLOOKUP(E31,[1]!SO_2[BLO],[1]!SO_2[ILO],,-1),2)</f>
        <v>10</v>
      </c>
      <c r="L31">
        <f>( ( _xlfn.XLOOKUP(F31,[1]!CO[BLO],[1]!CO[IHI],,-1)
- _xlfn.XLOOKUP(F31,[1]!CO[BLO],[1]!CO[ILO],,-1) )
/
( _xlfn.XLOOKUP(F31,[1]!CO[BLO],[1]!CO[BHI],,-1) - _xlfn.XLOOKUP(F31,[1]!CO[BLO],[1]!CO[BLO],,-1)))
*
( F31 - _xlfn.XLOOKUP(F31,[1]!CO[BLO],[1]!CO[BLO],,-1) )
+
_xlfn.XLOOKUP(F31,[1]!CO[BLO],[1]!CO[ILO],,-1)</f>
        <v>42.5</v>
      </c>
      <c r="M31">
        <f>(( _xlfn.XLOOKUP(G31,[1]!O_3[BLO],[1]!O_3[IHI],,-1) - _xlfn.XLOOKUP(G31,[1]!O_3[BLO],[1]!O_3[ILO],,-1))
/
( _xlfn.XLOOKUP(G31,[1]!O_3[BLO],[1]!O_3[BHI],,-1) - _xlfn.XLOOKUP(G31,[1]!O_3[BLO],[1]!O_3[BLO],,-1)))
*
( G31 - _xlfn.XLOOKUP(G31,[1]!O_3[BLO],[1]!O_3[BLO],,-1))
+
_xlfn.XLOOKUP(G31,[1]!O_3[BLO],[1]!O_3[ILO],,-1)</f>
        <v>31</v>
      </c>
      <c r="N31">
        <f>MAX(DAILY_DATA[[#This Row],[AQI_PM2.5]:[AQI_O3]])</f>
        <v>122.26</v>
      </c>
      <c r="O31" t="str">
        <f>_xlfn.XLOOKUP(DAILY_DATA[[#This Row],[OVERALL_AQI]],[1]!CATEGORY[AQI_LO],[1]!CATEGORY[CATEGORY],,-1)</f>
        <v>Moderate</v>
      </c>
      <c r="P31" t="str" cm="1">
        <f t="array" ref="P31">INDEX(
{"PM2.5","PM10","NO2","SO2","CO","O3"},
MATCH(N31,H31:M31,0)
)</f>
        <v>PM10</v>
      </c>
    </row>
    <row r="32" spans="1:16" x14ac:dyDescent="0.25">
      <c r="A32" s="4">
        <v>45322</v>
      </c>
      <c r="B32">
        <f>ROUND(AVERAGEIFS([1]HOURLY_DATA!B32:B8815,[1]HOURLY_DATA!H32:H8815,Daily_AQI!A32),0)</f>
        <v>60</v>
      </c>
      <c r="C32">
        <f>ROUND(AVERAGEIFS([1]HOURLY_DATA!C32:C8815,[1]HOURLY_DATA!H32:H8815,Daily_AQI!A32),0)</f>
        <v>132</v>
      </c>
      <c r="D32">
        <f>ROUND(AVERAGEIFS([1]HOURLY_DATA!D32:D8815,[1]HOURLY_DATA!H32:H8815,Daily_AQI!A32),0)</f>
        <v>18</v>
      </c>
      <c r="E32">
        <f>ROUND(AVERAGEIFS([1]HOURLY_DATA!E32:E8815,[1]HOURLY_DATA!H32:H8815,Daily_AQI!A32),0)</f>
        <v>8</v>
      </c>
      <c r="F32">
        <f>ROUND(AVERAGEIFS([1]HOURLY_DATA!I32:I8815,[1]HOURLY_DATA!H32:H8815,Daily_AQI!A32),2)</f>
        <v>0.82</v>
      </c>
      <c r="G32">
        <f>ROUND(AVERAGEIFS([1]HOURLY_DATA!J32:J8815,[1]HOURLY_DATA!H32:H8815,Daily_AQI!A32),0)</f>
        <v>31</v>
      </c>
      <c r="H32">
        <f>ROUND(((_xlfn.XLOOKUP(B32,[1]!PM2.5[BLO],[1]!PM2.5[IHI],,-1) - _xlfn.XLOOKUP(B32,[1]!PM2.5[BLO],[1]!PM2.5[ILO],,-1))
/
(_xlfn.XLOOKUP(B32,[1]!PM2.5[BLO],[1]!PM2.5[BHI],,-1) - _xlfn.XLOOKUP(B32,[1]!PM2.5[BLO],[1]!PM2.5[BLO],,-1)))
*
(B32 - _xlfn.XLOOKUP(B32,[1]!PM2.5[BLO],[1]!PM2.5[BLO],,-1))
+
_xlfn.XLOOKUP(B32,[1]!PM2.5[BLO],[1]!PM2.5[ILO],,-1),2)</f>
        <v>100</v>
      </c>
      <c r="I32">
        <f>ROUND(((_xlfn.XLOOKUP(C32,[1]!PM_10[BLO],[1]!PM_10[IHI],,-1) - _xlfn.XLOOKUP(C32,[1]!PM_10[BLO],[1]!PM_10[ILO],,-1))
/
(_xlfn.XLOOKUP(C32,[1]!PM_10[BLO],[1]!PM_10[BHI],,-1) - _xlfn.XLOOKUP(C32,[1]!PM_10[BLO],[1]!PM_10[BLO],,-1)))
*
( C32 - _xlfn.XLOOKUP(C32,[1]!PM_10[BLO],[1]!PM_10[BLO],,-1))
+
_xlfn.XLOOKUP(C32,[1]!PM_10[BLO],[1]!PM_10[ILO],,-1),2)</f>
        <v>121.6</v>
      </c>
      <c r="J32">
        <f>ROUND((( _xlfn.XLOOKUP(D32,[1]!NO_2[BLO],[1]!NO_2[IHI],,-1) - _xlfn.XLOOKUP(D32,[1]!NO_2[BLO],[1]!NO_2[ILO],,-1))
/
( _xlfn.XLOOKUP(D32,[1]!NO_2[BLO],[1]!NO_2[BHI],,-1) - _xlfn.XLOOKUP(D32,[1]!NO_2[BLO],[1]!NO_2[BLO],,-1) ))
*
( D32 - _xlfn.XLOOKUP(D32,[1]!NO_2[BLO],[1]!NO_2[BLO],,-1))
+
_xlfn.XLOOKUP(D32,[1]!NO_2[BLO],[1]!NO_2[ILO],,-1),2)</f>
        <v>22.5</v>
      </c>
      <c r="K32">
        <f>ROUND(( ( _xlfn.XLOOKUP(E32,[1]!SO_2[BLO],[1]!SO_2[IHI],,-1)  - _xlfn.XLOOKUP(E32,[1]!SO_2[BLO],[1]!SO_2[ILO],,-1) )
/
( _xlfn.XLOOKUP(E32,[1]!SO_2[BLO],[1]!SO_2[BHI],,-1)- _xlfn.XLOOKUP(E32,[1]!SO_2[BLO],[1]!SO_2[BLO],,-1) ))
*
( E32 - _xlfn.XLOOKUP(E32,[1]!SO_2[BLO],[1]!SO_2[BLO],,-1) )
+
_xlfn.XLOOKUP(E32,[1]!SO_2[BLO],[1]!SO_2[ILO],,-1),2)</f>
        <v>10</v>
      </c>
      <c r="L32">
        <f>( ( _xlfn.XLOOKUP(F32,[1]!CO[BLO],[1]!CO[IHI],,-1)
- _xlfn.XLOOKUP(F32,[1]!CO[BLO],[1]!CO[ILO],,-1) )
/
( _xlfn.XLOOKUP(F32,[1]!CO[BLO],[1]!CO[BHI],,-1) - _xlfn.XLOOKUP(F32,[1]!CO[BLO],[1]!CO[BLO],,-1)))
*
( F32 - _xlfn.XLOOKUP(F32,[1]!CO[BLO],[1]!CO[BLO],,-1) )
+
_xlfn.XLOOKUP(F32,[1]!CO[BLO],[1]!CO[ILO],,-1)</f>
        <v>41</v>
      </c>
      <c r="M32">
        <f>(( _xlfn.XLOOKUP(G32,[1]!O_3[BLO],[1]!O_3[IHI],,-1) - _xlfn.XLOOKUP(G32,[1]!O_3[BLO],[1]!O_3[ILO],,-1))
/
( _xlfn.XLOOKUP(G32,[1]!O_3[BLO],[1]!O_3[BHI],,-1) - _xlfn.XLOOKUP(G32,[1]!O_3[BLO],[1]!O_3[BLO],,-1)))
*
( G32 - _xlfn.XLOOKUP(G32,[1]!O_3[BLO],[1]!O_3[BLO],,-1))
+
_xlfn.XLOOKUP(G32,[1]!O_3[BLO],[1]!O_3[ILO],,-1)</f>
        <v>31</v>
      </c>
      <c r="N32">
        <f>MAX(DAILY_DATA[[#This Row],[AQI_PM2.5]:[AQI_O3]])</f>
        <v>121.6</v>
      </c>
      <c r="O32" t="str">
        <f>_xlfn.XLOOKUP(DAILY_DATA[[#This Row],[OVERALL_AQI]],[1]!CATEGORY[AQI_LO],[1]!CATEGORY[CATEGORY],,-1)</f>
        <v>Moderate</v>
      </c>
      <c r="P32" t="str" cm="1">
        <f t="array" ref="P32">INDEX(
{"PM2.5","PM10","NO2","SO2","CO","O3"},
MATCH(N32,H32:M32,0)
)</f>
        <v>PM10</v>
      </c>
    </row>
    <row r="33" spans="1:16" x14ac:dyDescent="0.25">
      <c r="A33" s="4">
        <v>45323</v>
      </c>
      <c r="B33">
        <f>ROUND(AVERAGEIFS([1]HOURLY_DATA!B33:B8816,[1]HOURLY_DATA!H33:H8816,Daily_AQI!A33),0)</f>
        <v>44</v>
      </c>
      <c r="C33">
        <f>ROUND(AVERAGEIFS([1]HOURLY_DATA!C33:C8816,[1]HOURLY_DATA!H33:H8816,Daily_AQI!A33),0)</f>
        <v>104</v>
      </c>
      <c r="D33">
        <f>ROUND(AVERAGEIFS([1]HOURLY_DATA!D33:D8816,[1]HOURLY_DATA!H33:H8816,Daily_AQI!A33),0)</f>
        <v>17</v>
      </c>
      <c r="E33">
        <f>ROUND(AVERAGEIFS([1]HOURLY_DATA!E33:E8816,[1]HOURLY_DATA!H33:H8816,Daily_AQI!A33),0)</f>
        <v>7</v>
      </c>
      <c r="F33">
        <f>ROUND(AVERAGEIFS([1]HOURLY_DATA!I33:I8816,[1]HOURLY_DATA!H33:H8816,Daily_AQI!A33),2)</f>
        <v>0.77</v>
      </c>
      <c r="G33">
        <f>ROUND(AVERAGEIFS([1]HOURLY_DATA!J33:J8816,[1]HOURLY_DATA!H33:H8816,Daily_AQI!A33),0)</f>
        <v>31</v>
      </c>
      <c r="H33">
        <f>ROUND(((_xlfn.XLOOKUP(B33,[1]!PM2.5[BLO],[1]!PM2.5[IHI],,-1) - _xlfn.XLOOKUP(B33,[1]!PM2.5[BLO],[1]!PM2.5[ILO],,-1))
/
(_xlfn.XLOOKUP(B33,[1]!PM2.5[BLO],[1]!PM2.5[BHI],,-1) - _xlfn.XLOOKUP(B33,[1]!PM2.5[BLO],[1]!PM2.5[BLO],,-1)))
*
(B33 - _xlfn.XLOOKUP(B33,[1]!PM2.5[BLO],[1]!PM2.5[BLO],,-1))
+
_xlfn.XLOOKUP(B33,[1]!PM2.5[BLO],[1]!PM2.5[ILO],,-1),2)</f>
        <v>72.97</v>
      </c>
      <c r="I33">
        <f>ROUND(((_xlfn.XLOOKUP(C33,[1]!PM_10[BLO],[1]!PM_10[IHI],,-1) - _xlfn.XLOOKUP(C33,[1]!PM_10[BLO],[1]!PM_10[ILO],,-1))
/
(_xlfn.XLOOKUP(C33,[1]!PM_10[BLO],[1]!PM_10[BHI],,-1) - _xlfn.XLOOKUP(C33,[1]!PM_10[BLO],[1]!PM_10[BLO],,-1)))
*
( C33 - _xlfn.XLOOKUP(C33,[1]!PM_10[BLO],[1]!PM_10[BLO],,-1))
+
_xlfn.XLOOKUP(C33,[1]!PM_10[BLO],[1]!PM_10[ILO],,-1),2)</f>
        <v>102.99</v>
      </c>
      <c r="J33">
        <f>ROUND((( _xlfn.XLOOKUP(D33,[1]!NO_2[BLO],[1]!NO_2[IHI],,-1) - _xlfn.XLOOKUP(D33,[1]!NO_2[BLO],[1]!NO_2[ILO],,-1))
/
( _xlfn.XLOOKUP(D33,[1]!NO_2[BLO],[1]!NO_2[BHI],,-1) - _xlfn.XLOOKUP(D33,[1]!NO_2[BLO],[1]!NO_2[BLO],,-1) ))
*
( D33 - _xlfn.XLOOKUP(D33,[1]!NO_2[BLO],[1]!NO_2[BLO],,-1))
+
_xlfn.XLOOKUP(D33,[1]!NO_2[BLO],[1]!NO_2[ILO],,-1),2)</f>
        <v>21.25</v>
      </c>
      <c r="K33">
        <f>ROUND(( ( _xlfn.XLOOKUP(E33,[1]!SO_2[BLO],[1]!SO_2[IHI],,-1)  - _xlfn.XLOOKUP(E33,[1]!SO_2[BLO],[1]!SO_2[ILO],,-1) )
/
( _xlfn.XLOOKUP(E33,[1]!SO_2[BLO],[1]!SO_2[BHI],,-1)- _xlfn.XLOOKUP(E33,[1]!SO_2[BLO],[1]!SO_2[BLO],,-1) ))
*
( E33 - _xlfn.XLOOKUP(E33,[1]!SO_2[BLO],[1]!SO_2[BLO],,-1) )
+
_xlfn.XLOOKUP(E33,[1]!SO_2[BLO],[1]!SO_2[ILO],,-1),2)</f>
        <v>8.75</v>
      </c>
      <c r="L33">
        <f>( ( _xlfn.XLOOKUP(F33,[1]!CO[BLO],[1]!CO[IHI],,-1)
- _xlfn.XLOOKUP(F33,[1]!CO[BLO],[1]!CO[ILO],,-1) )
/
( _xlfn.XLOOKUP(F33,[1]!CO[BLO],[1]!CO[BHI],,-1) - _xlfn.XLOOKUP(F33,[1]!CO[BLO],[1]!CO[BLO],,-1)))
*
( F33 - _xlfn.XLOOKUP(F33,[1]!CO[BLO],[1]!CO[BLO],,-1) )
+
_xlfn.XLOOKUP(F33,[1]!CO[BLO],[1]!CO[ILO],,-1)</f>
        <v>38.5</v>
      </c>
      <c r="M33">
        <f>(( _xlfn.XLOOKUP(G33,[1]!O_3[BLO],[1]!O_3[IHI],,-1) - _xlfn.XLOOKUP(G33,[1]!O_3[BLO],[1]!O_3[ILO],,-1))
/
( _xlfn.XLOOKUP(G33,[1]!O_3[BLO],[1]!O_3[BHI],,-1) - _xlfn.XLOOKUP(G33,[1]!O_3[BLO],[1]!O_3[BLO],,-1)))
*
( G33 - _xlfn.XLOOKUP(G33,[1]!O_3[BLO],[1]!O_3[BLO],,-1))
+
_xlfn.XLOOKUP(G33,[1]!O_3[BLO],[1]!O_3[ILO],,-1)</f>
        <v>31</v>
      </c>
      <c r="N33">
        <f>MAX(DAILY_DATA[[#This Row],[AQI_PM2.5]:[AQI_O3]])</f>
        <v>102.99</v>
      </c>
      <c r="O33" t="str">
        <f>_xlfn.XLOOKUP(DAILY_DATA[[#This Row],[OVERALL_AQI]],[1]!CATEGORY[AQI_LO],[1]!CATEGORY[CATEGORY],,-1)</f>
        <v>Moderate</v>
      </c>
      <c r="P33" t="str" cm="1">
        <f t="array" ref="P33">INDEX(
{"PM2.5","PM10","NO2","SO2","CO","O3"},
MATCH(N33,H33:M33,0)
)</f>
        <v>PM10</v>
      </c>
    </row>
    <row r="34" spans="1:16" x14ac:dyDescent="0.25">
      <c r="A34" s="4">
        <v>45324</v>
      </c>
      <c r="B34">
        <f>ROUND(AVERAGEIFS([1]HOURLY_DATA!B34:B8817,[1]HOURLY_DATA!H34:H8817,Daily_AQI!A34),0)</f>
        <v>47</v>
      </c>
      <c r="C34">
        <f>ROUND(AVERAGEIFS([1]HOURLY_DATA!C34:C8817,[1]HOURLY_DATA!H34:H8817,Daily_AQI!A34),0)</f>
        <v>111</v>
      </c>
      <c r="D34">
        <f>ROUND(AVERAGEIFS([1]HOURLY_DATA!D34:D8817,[1]HOURLY_DATA!H34:H8817,Daily_AQI!A34),0)</f>
        <v>17</v>
      </c>
      <c r="E34">
        <f>ROUND(AVERAGEIFS([1]HOURLY_DATA!E34:E8817,[1]HOURLY_DATA!H34:H8817,Daily_AQI!A34),0)</f>
        <v>7</v>
      </c>
      <c r="F34">
        <f>ROUND(AVERAGEIFS([1]HOURLY_DATA!I34:I8817,[1]HOURLY_DATA!H34:H8817,Daily_AQI!A34),2)</f>
        <v>0.76</v>
      </c>
      <c r="G34">
        <f>ROUND(AVERAGEIFS([1]HOURLY_DATA!J34:J8817,[1]HOURLY_DATA!H34:H8817,Daily_AQI!A34),0)</f>
        <v>32</v>
      </c>
      <c r="H34">
        <f>ROUND(((_xlfn.XLOOKUP(B34,[1]!PM2.5[BLO],[1]!PM2.5[IHI],,-1) - _xlfn.XLOOKUP(B34,[1]!PM2.5[BLO],[1]!PM2.5[ILO],,-1))
/
(_xlfn.XLOOKUP(B34,[1]!PM2.5[BLO],[1]!PM2.5[BHI],,-1) - _xlfn.XLOOKUP(B34,[1]!PM2.5[BLO],[1]!PM2.5[BLO],,-1)))
*
(B34 - _xlfn.XLOOKUP(B34,[1]!PM2.5[BLO],[1]!PM2.5[BLO],,-1))
+
_xlfn.XLOOKUP(B34,[1]!PM2.5[BLO],[1]!PM2.5[ILO],,-1),2)</f>
        <v>78.03</v>
      </c>
      <c r="I34">
        <f>ROUND(((_xlfn.XLOOKUP(C34,[1]!PM_10[BLO],[1]!PM_10[IHI],,-1) - _xlfn.XLOOKUP(C34,[1]!PM_10[BLO],[1]!PM_10[ILO],,-1))
/
(_xlfn.XLOOKUP(C34,[1]!PM_10[BLO],[1]!PM_10[BHI],,-1) - _xlfn.XLOOKUP(C34,[1]!PM_10[BLO],[1]!PM_10[BLO],,-1)))
*
( C34 - _xlfn.XLOOKUP(C34,[1]!PM_10[BLO],[1]!PM_10[BLO],,-1))
+
_xlfn.XLOOKUP(C34,[1]!PM_10[BLO],[1]!PM_10[ILO],,-1),2)</f>
        <v>107.64</v>
      </c>
      <c r="J34">
        <f>ROUND((( _xlfn.XLOOKUP(D34,[1]!NO_2[BLO],[1]!NO_2[IHI],,-1) - _xlfn.XLOOKUP(D34,[1]!NO_2[BLO],[1]!NO_2[ILO],,-1))
/
( _xlfn.XLOOKUP(D34,[1]!NO_2[BLO],[1]!NO_2[BHI],,-1) - _xlfn.XLOOKUP(D34,[1]!NO_2[BLO],[1]!NO_2[BLO],,-1) ))
*
( D34 - _xlfn.XLOOKUP(D34,[1]!NO_2[BLO],[1]!NO_2[BLO],,-1))
+
_xlfn.XLOOKUP(D34,[1]!NO_2[BLO],[1]!NO_2[ILO],,-1),2)</f>
        <v>21.25</v>
      </c>
      <c r="K34">
        <f>ROUND(( ( _xlfn.XLOOKUP(E34,[1]!SO_2[BLO],[1]!SO_2[IHI],,-1)  - _xlfn.XLOOKUP(E34,[1]!SO_2[BLO],[1]!SO_2[ILO],,-1) )
/
( _xlfn.XLOOKUP(E34,[1]!SO_2[BLO],[1]!SO_2[BHI],,-1)- _xlfn.XLOOKUP(E34,[1]!SO_2[BLO],[1]!SO_2[BLO],,-1) ))
*
( E34 - _xlfn.XLOOKUP(E34,[1]!SO_2[BLO],[1]!SO_2[BLO],,-1) )
+
_xlfn.XLOOKUP(E34,[1]!SO_2[BLO],[1]!SO_2[ILO],,-1),2)</f>
        <v>8.75</v>
      </c>
      <c r="L34">
        <f>( ( _xlfn.XLOOKUP(F34,[1]!CO[BLO],[1]!CO[IHI],,-1)
- _xlfn.XLOOKUP(F34,[1]!CO[BLO],[1]!CO[ILO],,-1) )
/
( _xlfn.XLOOKUP(F34,[1]!CO[BLO],[1]!CO[BHI],,-1) - _xlfn.XLOOKUP(F34,[1]!CO[BLO],[1]!CO[BLO],,-1)))
*
( F34 - _xlfn.XLOOKUP(F34,[1]!CO[BLO],[1]!CO[BLO],,-1) )
+
_xlfn.XLOOKUP(F34,[1]!CO[BLO],[1]!CO[ILO],,-1)</f>
        <v>38</v>
      </c>
      <c r="M34">
        <f>(( _xlfn.XLOOKUP(G34,[1]!O_3[BLO],[1]!O_3[IHI],,-1) - _xlfn.XLOOKUP(G34,[1]!O_3[BLO],[1]!O_3[ILO],,-1))
/
( _xlfn.XLOOKUP(G34,[1]!O_3[BLO],[1]!O_3[BHI],,-1) - _xlfn.XLOOKUP(G34,[1]!O_3[BLO],[1]!O_3[BLO],,-1)))
*
( G34 - _xlfn.XLOOKUP(G34,[1]!O_3[BLO],[1]!O_3[BLO],,-1))
+
_xlfn.XLOOKUP(G34,[1]!O_3[BLO],[1]!O_3[ILO],,-1)</f>
        <v>32</v>
      </c>
      <c r="N34">
        <f>MAX(DAILY_DATA[[#This Row],[AQI_PM2.5]:[AQI_O3]])</f>
        <v>107.64</v>
      </c>
      <c r="O34" t="str">
        <f>_xlfn.XLOOKUP(DAILY_DATA[[#This Row],[OVERALL_AQI]],[1]!CATEGORY[AQI_LO],[1]!CATEGORY[CATEGORY],,-1)</f>
        <v>Moderate</v>
      </c>
      <c r="P34" t="str" cm="1">
        <f t="array" ref="P34">INDEX(
{"PM2.5","PM10","NO2","SO2","CO","O3"},
MATCH(N34,H34:M34,0)
)</f>
        <v>PM10</v>
      </c>
    </row>
    <row r="35" spans="1:16" x14ac:dyDescent="0.25">
      <c r="A35" s="4">
        <v>45325</v>
      </c>
      <c r="B35">
        <f>ROUND(AVERAGEIFS([1]HOURLY_DATA!B35:B8818,[1]HOURLY_DATA!H35:H8818,Daily_AQI!A35),0)</f>
        <v>49</v>
      </c>
      <c r="C35">
        <f>ROUND(AVERAGEIFS([1]HOURLY_DATA!C35:C8818,[1]HOURLY_DATA!H35:H8818,Daily_AQI!A35),0)</f>
        <v>97</v>
      </c>
      <c r="D35">
        <f>ROUND(AVERAGEIFS([1]HOURLY_DATA!D35:D8818,[1]HOURLY_DATA!H35:H8818,Daily_AQI!A35),0)</f>
        <v>18</v>
      </c>
      <c r="E35">
        <f>ROUND(AVERAGEIFS([1]HOURLY_DATA!E35:E8818,[1]HOURLY_DATA!H35:H8818,Daily_AQI!A35),0)</f>
        <v>8</v>
      </c>
      <c r="F35">
        <f>ROUND(AVERAGEIFS([1]HOURLY_DATA!I35:I8818,[1]HOURLY_DATA!H35:H8818,Daily_AQI!A35),2)</f>
        <v>0.74</v>
      </c>
      <c r="G35">
        <f>ROUND(AVERAGEIFS([1]HOURLY_DATA!J35:J8818,[1]HOURLY_DATA!H35:H8818,Daily_AQI!A35),0)</f>
        <v>32</v>
      </c>
      <c r="H35">
        <f>ROUND(((_xlfn.XLOOKUP(B35,[1]!PM2.5[BLO],[1]!PM2.5[IHI],,-1) - _xlfn.XLOOKUP(B35,[1]!PM2.5[BLO],[1]!PM2.5[ILO],,-1))
/
(_xlfn.XLOOKUP(B35,[1]!PM2.5[BLO],[1]!PM2.5[BHI],,-1) - _xlfn.XLOOKUP(B35,[1]!PM2.5[BLO],[1]!PM2.5[BLO],,-1)))
*
(B35 - _xlfn.XLOOKUP(B35,[1]!PM2.5[BLO],[1]!PM2.5[BLO],,-1))
+
_xlfn.XLOOKUP(B35,[1]!PM2.5[BLO],[1]!PM2.5[ILO],,-1),2)</f>
        <v>81.41</v>
      </c>
      <c r="I35">
        <f>ROUND(((_xlfn.XLOOKUP(C35,[1]!PM_10[BLO],[1]!PM_10[IHI],,-1) - _xlfn.XLOOKUP(C35,[1]!PM_10[BLO],[1]!PM_10[ILO],,-1))
/
(_xlfn.XLOOKUP(C35,[1]!PM_10[BLO],[1]!PM_10[BHI],,-1) - _xlfn.XLOOKUP(C35,[1]!PM_10[BLO],[1]!PM_10[BLO],,-1)))
*
( C35 - _xlfn.XLOOKUP(C35,[1]!PM_10[BLO],[1]!PM_10[BLO],,-1))
+
_xlfn.XLOOKUP(C35,[1]!PM_10[BLO],[1]!PM_10[ILO],,-1),2)</f>
        <v>97</v>
      </c>
      <c r="J35">
        <f>ROUND((( _xlfn.XLOOKUP(D35,[1]!NO_2[BLO],[1]!NO_2[IHI],,-1) - _xlfn.XLOOKUP(D35,[1]!NO_2[BLO],[1]!NO_2[ILO],,-1))
/
( _xlfn.XLOOKUP(D35,[1]!NO_2[BLO],[1]!NO_2[BHI],,-1) - _xlfn.XLOOKUP(D35,[1]!NO_2[BLO],[1]!NO_2[BLO],,-1) ))
*
( D35 - _xlfn.XLOOKUP(D35,[1]!NO_2[BLO],[1]!NO_2[BLO],,-1))
+
_xlfn.XLOOKUP(D35,[1]!NO_2[BLO],[1]!NO_2[ILO],,-1),2)</f>
        <v>22.5</v>
      </c>
      <c r="K35">
        <f>ROUND(( ( _xlfn.XLOOKUP(E35,[1]!SO_2[BLO],[1]!SO_2[IHI],,-1)  - _xlfn.XLOOKUP(E35,[1]!SO_2[BLO],[1]!SO_2[ILO],,-1) )
/
( _xlfn.XLOOKUP(E35,[1]!SO_2[BLO],[1]!SO_2[BHI],,-1)- _xlfn.XLOOKUP(E35,[1]!SO_2[BLO],[1]!SO_2[BLO],,-1) ))
*
( E35 - _xlfn.XLOOKUP(E35,[1]!SO_2[BLO],[1]!SO_2[BLO],,-1) )
+
_xlfn.XLOOKUP(E35,[1]!SO_2[BLO],[1]!SO_2[ILO],,-1),2)</f>
        <v>10</v>
      </c>
      <c r="L35">
        <f>( ( _xlfn.XLOOKUP(F35,[1]!CO[BLO],[1]!CO[IHI],,-1)
- _xlfn.XLOOKUP(F35,[1]!CO[BLO],[1]!CO[ILO],,-1) )
/
( _xlfn.XLOOKUP(F35,[1]!CO[BLO],[1]!CO[BHI],,-1) - _xlfn.XLOOKUP(F35,[1]!CO[BLO],[1]!CO[BLO],,-1)))
*
( F35 - _xlfn.XLOOKUP(F35,[1]!CO[BLO],[1]!CO[BLO],,-1) )
+
_xlfn.XLOOKUP(F35,[1]!CO[BLO],[1]!CO[ILO],,-1)</f>
        <v>37</v>
      </c>
      <c r="M35">
        <f>(( _xlfn.XLOOKUP(G35,[1]!O_3[BLO],[1]!O_3[IHI],,-1) - _xlfn.XLOOKUP(G35,[1]!O_3[BLO],[1]!O_3[ILO],,-1))
/
( _xlfn.XLOOKUP(G35,[1]!O_3[BLO],[1]!O_3[BHI],,-1) - _xlfn.XLOOKUP(G35,[1]!O_3[BLO],[1]!O_3[BLO],,-1)))
*
( G35 - _xlfn.XLOOKUP(G35,[1]!O_3[BLO],[1]!O_3[BLO],,-1))
+
_xlfn.XLOOKUP(G35,[1]!O_3[BLO],[1]!O_3[ILO],,-1)</f>
        <v>32</v>
      </c>
      <c r="N35">
        <f>MAX(DAILY_DATA[[#This Row],[AQI_PM2.5]:[AQI_O3]])</f>
        <v>97</v>
      </c>
      <c r="O35" t="str">
        <f>_xlfn.XLOOKUP(DAILY_DATA[[#This Row],[OVERALL_AQI]],[1]!CATEGORY[AQI_LO],[1]!CATEGORY[CATEGORY],,-1)</f>
        <v>Satisfactory</v>
      </c>
      <c r="P35" t="str" cm="1">
        <f t="array" ref="P35">INDEX(
{"PM2.5","PM10","NO2","SO2","CO","O3"},
MATCH(N35,H35:M35,0)
)</f>
        <v>PM10</v>
      </c>
    </row>
    <row r="36" spans="1:16" x14ac:dyDescent="0.25">
      <c r="A36" s="4">
        <v>45326</v>
      </c>
      <c r="B36">
        <f>ROUND(AVERAGEIFS([1]HOURLY_DATA!B36:B8819,[1]HOURLY_DATA!H36:H8819,Daily_AQI!A36),0)</f>
        <v>40</v>
      </c>
      <c r="C36">
        <f>ROUND(AVERAGEIFS([1]HOURLY_DATA!C36:C8819,[1]HOURLY_DATA!H36:H8819,Daily_AQI!A36),0)</f>
        <v>92</v>
      </c>
      <c r="D36">
        <f>ROUND(AVERAGEIFS([1]HOURLY_DATA!D36:D8819,[1]HOURLY_DATA!H36:H8819,Daily_AQI!A36),0)</f>
        <v>17</v>
      </c>
      <c r="E36">
        <f>ROUND(AVERAGEIFS([1]HOURLY_DATA!E36:E8819,[1]HOURLY_DATA!H36:H8819,Daily_AQI!A36),0)</f>
        <v>8</v>
      </c>
      <c r="F36">
        <f>ROUND(AVERAGEIFS([1]HOURLY_DATA!I36:I8819,[1]HOURLY_DATA!H36:H8819,Daily_AQI!A36),2)</f>
        <v>0.67</v>
      </c>
      <c r="G36">
        <f>ROUND(AVERAGEIFS([1]HOURLY_DATA!J36:J8819,[1]HOURLY_DATA!H36:H8819,Daily_AQI!A36),0)</f>
        <v>36</v>
      </c>
      <c r="H36">
        <f>ROUND(((_xlfn.XLOOKUP(B36,[1]!PM2.5[BLO],[1]!PM2.5[IHI],,-1) - _xlfn.XLOOKUP(B36,[1]!PM2.5[BLO],[1]!PM2.5[ILO],,-1))
/
(_xlfn.XLOOKUP(B36,[1]!PM2.5[BLO],[1]!PM2.5[BHI],,-1) - _xlfn.XLOOKUP(B36,[1]!PM2.5[BLO],[1]!PM2.5[BLO],,-1)))
*
(B36 - _xlfn.XLOOKUP(B36,[1]!PM2.5[BLO],[1]!PM2.5[BLO],,-1))
+
_xlfn.XLOOKUP(B36,[1]!PM2.5[BLO],[1]!PM2.5[ILO],,-1),2)</f>
        <v>66.209999999999994</v>
      </c>
      <c r="I36">
        <f>ROUND(((_xlfn.XLOOKUP(C36,[1]!PM_10[BLO],[1]!PM_10[IHI],,-1) - _xlfn.XLOOKUP(C36,[1]!PM_10[BLO],[1]!PM_10[ILO],,-1))
/
(_xlfn.XLOOKUP(C36,[1]!PM_10[BLO],[1]!PM_10[BHI],,-1) - _xlfn.XLOOKUP(C36,[1]!PM_10[BLO],[1]!PM_10[BLO],,-1)))
*
( C36 - _xlfn.XLOOKUP(C36,[1]!PM_10[BLO],[1]!PM_10[BLO],,-1))
+
_xlfn.XLOOKUP(C36,[1]!PM_10[BLO],[1]!PM_10[ILO],,-1),2)</f>
        <v>92</v>
      </c>
      <c r="J36">
        <f>ROUND((( _xlfn.XLOOKUP(D36,[1]!NO_2[BLO],[1]!NO_2[IHI],,-1) - _xlfn.XLOOKUP(D36,[1]!NO_2[BLO],[1]!NO_2[ILO],,-1))
/
( _xlfn.XLOOKUP(D36,[1]!NO_2[BLO],[1]!NO_2[BHI],,-1) - _xlfn.XLOOKUP(D36,[1]!NO_2[BLO],[1]!NO_2[BLO],,-1) ))
*
( D36 - _xlfn.XLOOKUP(D36,[1]!NO_2[BLO],[1]!NO_2[BLO],,-1))
+
_xlfn.XLOOKUP(D36,[1]!NO_2[BLO],[1]!NO_2[ILO],,-1),2)</f>
        <v>21.25</v>
      </c>
      <c r="K36">
        <f>ROUND(( ( _xlfn.XLOOKUP(E36,[1]!SO_2[BLO],[1]!SO_2[IHI],,-1)  - _xlfn.XLOOKUP(E36,[1]!SO_2[BLO],[1]!SO_2[ILO],,-1) )
/
( _xlfn.XLOOKUP(E36,[1]!SO_2[BLO],[1]!SO_2[BHI],,-1)- _xlfn.XLOOKUP(E36,[1]!SO_2[BLO],[1]!SO_2[BLO],,-1) ))
*
( E36 - _xlfn.XLOOKUP(E36,[1]!SO_2[BLO],[1]!SO_2[BLO],,-1) )
+
_xlfn.XLOOKUP(E36,[1]!SO_2[BLO],[1]!SO_2[ILO],,-1),2)</f>
        <v>10</v>
      </c>
      <c r="L36">
        <f>( ( _xlfn.XLOOKUP(F36,[1]!CO[BLO],[1]!CO[IHI],,-1)
- _xlfn.XLOOKUP(F36,[1]!CO[BLO],[1]!CO[ILO],,-1) )
/
( _xlfn.XLOOKUP(F36,[1]!CO[BLO],[1]!CO[BHI],,-1) - _xlfn.XLOOKUP(F36,[1]!CO[BLO],[1]!CO[BLO],,-1)))
*
( F36 - _xlfn.XLOOKUP(F36,[1]!CO[BLO],[1]!CO[BLO],,-1) )
+
_xlfn.XLOOKUP(F36,[1]!CO[BLO],[1]!CO[ILO],,-1)</f>
        <v>33.5</v>
      </c>
      <c r="M36">
        <f>(( _xlfn.XLOOKUP(G36,[1]!O_3[BLO],[1]!O_3[IHI],,-1) - _xlfn.XLOOKUP(G36,[1]!O_3[BLO],[1]!O_3[ILO],,-1))
/
( _xlfn.XLOOKUP(G36,[1]!O_3[BLO],[1]!O_3[BHI],,-1) - _xlfn.XLOOKUP(G36,[1]!O_3[BLO],[1]!O_3[BLO],,-1)))
*
( G36 - _xlfn.XLOOKUP(G36,[1]!O_3[BLO],[1]!O_3[BLO],,-1))
+
_xlfn.XLOOKUP(G36,[1]!O_3[BLO],[1]!O_3[ILO],,-1)</f>
        <v>36</v>
      </c>
      <c r="N36">
        <f>MAX(DAILY_DATA[[#This Row],[AQI_PM2.5]:[AQI_O3]])</f>
        <v>92</v>
      </c>
      <c r="O36" t="str">
        <f>_xlfn.XLOOKUP(DAILY_DATA[[#This Row],[OVERALL_AQI]],[1]!CATEGORY[AQI_LO],[1]!CATEGORY[CATEGORY],,-1)</f>
        <v>Satisfactory</v>
      </c>
      <c r="P36" t="str" cm="1">
        <f t="array" ref="P36">INDEX(
{"PM2.5","PM10","NO2","SO2","CO","O3"},
MATCH(N36,H36:M36,0)
)</f>
        <v>PM10</v>
      </c>
    </row>
    <row r="37" spans="1:16" x14ac:dyDescent="0.25">
      <c r="A37" s="4">
        <v>45327</v>
      </c>
      <c r="B37">
        <f>ROUND(AVERAGEIFS([1]HOURLY_DATA!B37:B8820,[1]HOURLY_DATA!H37:H8820,Daily_AQI!A37),0)</f>
        <v>38</v>
      </c>
      <c r="C37">
        <f>ROUND(AVERAGEIFS([1]HOURLY_DATA!C37:C8820,[1]HOURLY_DATA!H37:H8820,Daily_AQI!A37),0)</f>
        <v>87</v>
      </c>
      <c r="D37">
        <f>ROUND(AVERAGEIFS([1]HOURLY_DATA!D37:D8820,[1]HOURLY_DATA!H37:H8820,Daily_AQI!A37),0)</f>
        <v>17</v>
      </c>
      <c r="E37">
        <f>ROUND(AVERAGEIFS([1]HOURLY_DATA!E37:E8820,[1]HOURLY_DATA!H37:H8820,Daily_AQI!A37),0)</f>
        <v>8</v>
      </c>
      <c r="F37">
        <f>ROUND(AVERAGEIFS([1]HOURLY_DATA!I37:I8820,[1]HOURLY_DATA!H37:H8820,Daily_AQI!A37),2)</f>
        <v>0.71</v>
      </c>
      <c r="G37">
        <f>ROUND(AVERAGEIFS([1]HOURLY_DATA!J37:J8820,[1]HOURLY_DATA!H37:H8820,Daily_AQI!A37),0)</f>
        <v>32</v>
      </c>
      <c r="H37">
        <f>ROUND(((_xlfn.XLOOKUP(B37,[1]!PM2.5[BLO],[1]!PM2.5[IHI],,-1) - _xlfn.XLOOKUP(B37,[1]!PM2.5[BLO],[1]!PM2.5[ILO],,-1))
/
(_xlfn.XLOOKUP(B37,[1]!PM2.5[BLO],[1]!PM2.5[BHI],,-1) - _xlfn.XLOOKUP(B37,[1]!PM2.5[BLO],[1]!PM2.5[BLO],,-1)))
*
(B37 - _xlfn.XLOOKUP(B37,[1]!PM2.5[BLO],[1]!PM2.5[BLO],,-1))
+
_xlfn.XLOOKUP(B37,[1]!PM2.5[BLO],[1]!PM2.5[ILO],,-1),2)</f>
        <v>62.83</v>
      </c>
      <c r="I37">
        <f>ROUND(((_xlfn.XLOOKUP(C37,[1]!PM_10[BLO],[1]!PM_10[IHI],,-1) - _xlfn.XLOOKUP(C37,[1]!PM_10[BLO],[1]!PM_10[ILO],,-1))
/
(_xlfn.XLOOKUP(C37,[1]!PM_10[BLO],[1]!PM_10[BHI],,-1) - _xlfn.XLOOKUP(C37,[1]!PM_10[BLO],[1]!PM_10[BLO],,-1)))
*
( C37 - _xlfn.XLOOKUP(C37,[1]!PM_10[BLO],[1]!PM_10[BLO],,-1))
+
_xlfn.XLOOKUP(C37,[1]!PM_10[BLO],[1]!PM_10[ILO],,-1),2)</f>
        <v>87</v>
      </c>
      <c r="J37">
        <f>ROUND((( _xlfn.XLOOKUP(D37,[1]!NO_2[BLO],[1]!NO_2[IHI],,-1) - _xlfn.XLOOKUP(D37,[1]!NO_2[BLO],[1]!NO_2[ILO],,-1))
/
( _xlfn.XLOOKUP(D37,[1]!NO_2[BLO],[1]!NO_2[BHI],,-1) - _xlfn.XLOOKUP(D37,[1]!NO_2[BLO],[1]!NO_2[BLO],,-1) ))
*
( D37 - _xlfn.XLOOKUP(D37,[1]!NO_2[BLO],[1]!NO_2[BLO],,-1))
+
_xlfn.XLOOKUP(D37,[1]!NO_2[BLO],[1]!NO_2[ILO],,-1),2)</f>
        <v>21.25</v>
      </c>
      <c r="K37">
        <f>ROUND(( ( _xlfn.XLOOKUP(E37,[1]!SO_2[BLO],[1]!SO_2[IHI],,-1)  - _xlfn.XLOOKUP(E37,[1]!SO_2[BLO],[1]!SO_2[ILO],,-1) )
/
( _xlfn.XLOOKUP(E37,[1]!SO_2[BLO],[1]!SO_2[BHI],,-1)- _xlfn.XLOOKUP(E37,[1]!SO_2[BLO],[1]!SO_2[BLO],,-1) ))
*
( E37 - _xlfn.XLOOKUP(E37,[1]!SO_2[BLO],[1]!SO_2[BLO],,-1) )
+
_xlfn.XLOOKUP(E37,[1]!SO_2[BLO],[1]!SO_2[ILO],,-1),2)</f>
        <v>10</v>
      </c>
      <c r="L37">
        <f>( ( _xlfn.XLOOKUP(F37,[1]!CO[BLO],[1]!CO[IHI],,-1)
- _xlfn.XLOOKUP(F37,[1]!CO[BLO],[1]!CO[ILO],,-1) )
/
( _xlfn.XLOOKUP(F37,[1]!CO[BLO],[1]!CO[BHI],,-1) - _xlfn.XLOOKUP(F37,[1]!CO[BLO],[1]!CO[BLO],,-1)))
*
( F37 - _xlfn.XLOOKUP(F37,[1]!CO[BLO],[1]!CO[BLO],,-1) )
+
_xlfn.XLOOKUP(F37,[1]!CO[BLO],[1]!CO[ILO],,-1)</f>
        <v>35.5</v>
      </c>
      <c r="M37">
        <f>(( _xlfn.XLOOKUP(G37,[1]!O_3[BLO],[1]!O_3[IHI],,-1) - _xlfn.XLOOKUP(G37,[1]!O_3[BLO],[1]!O_3[ILO],,-1))
/
( _xlfn.XLOOKUP(G37,[1]!O_3[BLO],[1]!O_3[BHI],,-1) - _xlfn.XLOOKUP(G37,[1]!O_3[BLO],[1]!O_3[BLO],,-1)))
*
( G37 - _xlfn.XLOOKUP(G37,[1]!O_3[BLO],[1]!O_3[BLO],,-1))
+
_xlfn.XLOOKUP(G37,[1]!O_3[BLO],[1]!O_3[ILO],,-1)</f>
        <v>32</v>
      </c>
      <c r="N37">
        <f>MAX(DAILY_DATA[[#This Row],[AQI_PM2.5]:[AQI_O3]])</f>
        <v>87</v>
      </c>
      <c r="O37" t="str">
        <f>_xlfn.XLOOKUP(DAILY_DATA[[#This Row],[OVERALL_AQI]],[1]!CATEGORY[AQI_LO],[1]!CATEGORY[CATEGORY],,-1)</f>
        <v>Satisfactory</v>
      </c>
      <c r="P37" t="str" cm="1">
        <f t="array" ref="P37">INDEX(
{"PM2.5","PM10","NO2","SO2","CO","O3"},
MATCH(N37,H37:M37,0)
)</f>
        <v>PM10</v>
      </c>
    </row>
    <row r="38" spans="1:16" x14ac:dyDescent="0.25">
      <c r="A38" s="4">
        <v>45328</v>
      </c>
      <c r="B38">
        <f>ROUND(AVERAGEIFS([1]HOURLY_DATA!B38:B8821,[1]HOURLY_DATA!H38:H8821,Daily_AQI!A38),0)</f>
        <v>44</v>
      </c>
      <c r="C38">
        <f>ROUND(AVERAGEIFS([1]HOURLY_DATA!C38:C8821,[1]HOURLY_DATA!H38:H8821,Daily_AQI!A38),0)</f>
        <v>98</v>
      </c>
      <c r="D38">
        <f>ROUND(AVERAGEIFS([1]HOURLY_DATA!D38:D8821,[1]HOURLY_DATA!H38:H8821,Daily_AQI!A38),0)</f>
        <v>18</v>
      </c>
      <c r="E38">
        <f>ROUND(AVERAGEIFS([1]HOURLY_DATA!E38:E8821,[1]HOURLY_DATA!H38:H8821,Daily_AQI!A38),0)</f>
        <v>8</v>
      </c>
      <c r="F38">
        <f>ROUND(AVERAGEIFS([1]HOURLY_DATA!I38:I8821,[1]HOURLY_DATA!H38:H8821,Daily_AQI!A38),2)</f>
        <v>0.68</v>
      </c>
      <c r="G38">
        <f>ROUND(AVERAGEIFS([1]HOURLY_DATA!J38:J8821,[1]HOURLY_DATA!H38:H8821,Daily_AQI!A38),0)</f>
        <v>28</v>
      </c>
      <c r="H38">
        <f>ROUND(((_xlfn.XLOOKUP(B38,[1]!PM2.5[BLO],[1]!PM2.5[IHI],,-1) - _xlfn.XLOOKUP(B38,[1]!PM2.5[BLO],[1]!PM2.5[ILO],,-1))
/
(_xlfn.XLOOKUP(B38,[1]!PM2.5[BLO],[1]!PM2.5[BHI],,-1) - _xlfn.XLOOKUP(B38,[1]!PM2.5[BLO],[1]!PM2.5[BLO],,-1)))
*
(B38 - _xlfn.XLOOKUP(B38,[1]!PM2.5[BLO],[1]!PM2.5[BLO],,-1))
+
_xlfn.XLOOKUP(B38,[1]!PM2.5[BLO],[1]!PM2.5[ILO],,-1),2)</f>
        <v>72.97</v>
      </c>
      <c r="I38">
        <f>ROUND(((_xlfn.XLOOKUP(C38,[1]!PM_10[BLO],[1]!PM_10[IHI],,-1) - _xlfn.XLOOKUP(C38,[1]!PM_10[BLO],[1]!PM_10[ILO],,-1))
/
(_xlfn.XLOOKUP(C38,[1]!PM_10[BLO],[1]!PM_10[BHI],,-1) - _xlfn.XLOOKUP(C38,[1]!PM_10[BLO],[1]!PM_10[BLO],,-1)))
*
( C38 - _xlfn.XLOOKUP(C38,[1]!PM_10[BLO],[1]!PM_10[BLO],,-1))
+
_xlfn.XLOOKUP(C38,[1]!PM_10[BLO],[1]!PM_10[ILO],,-1),2)</f>
        <v>98</v>
      </c>
      <c r="J38">
        <f>ROUND((( _xlfn.XLOOKUP(D38,[1]!NO_2[BLO],[1]!NO_2[IHI],,-1) - _xlfn.XLOOKUP(D38,[1]!NO_2[BLO],[1]!NO_2[ILO],,-1))
/
( _xlfn.XLOOKUP(D38,[1]!NO_2[BLO],[1]!NO_2[BHI],,-1) - _xlfn.XLOOKUP(D38,[1]!NO_2[BLO],[1]!NO_2[BLO],,-1) ))
*
( D38 - _xlfn.XLOOKUP(D38,[1]!NO_2[BLO],[1]!NO_2[BLO],,-1))
+
_xlfn.XLOOKUP(D38,[1]!NO_2[BLO],[1]!NO_2[ILO],,-1),2)</f>
        <v>22.5</v>
      </c>
      <c r="K38">
        <f>ROUND(( ( _xlfn.XLOOKUP(E38,[1]!SO_2[BLO],[1]!SO_2[IHI],,-1)  - _xlfn.XLOOKUP(E38,[1]!SO_2[BLO],[1]!SO_2[ILO],,-1) )
/
( _xlfn.XLOOKUP(E38,[1]!SO_2[BLO],[1]!SO_2[BHI],,-1)- _xlfn.XLOOKUP(E38,[1]!SO_2[BLO],[1]!SO_2[BLO],,-1) ))
*
( E38 - _xlfn.XLOOKUP(E38,[1]!SO_2[BLO],[1]!SO_2[BLO],,-1) )
+
_xlfn.XLOOKUP(E38,[1]!SO_2[BLO],[1]!SO_2[ILO],,-1),2)</f>
        <v>10</v>
      </c>
      <c r="L38">
        <f>( ( _xlfn.XLOOKUP(F38,[1]!CO[BLO],[1]!CO[IHI],,-1)
- _xlfn.XLOOKUP(F38,[1]!CO[BLO],[1]!CO[ILO],,-1) )
/
( _xlfn.XLOOKUP(F38,[1]!CO[BLO],[1]!CO[BHI],,-1) - _xlfn.XLOOKUP(F38,[1]!CO[BLO],[1]!CO[BLO],,-1)))
*
( F38 - _xlfn.XLOOKUP(F38,[1]!CO[BLO],[1]!CO[BLO],,-1) )
+
_xlfn.XLOOKUP(F38,[1]!CO[BLO],[1]!CO[ILO],,-1)</f>
        <v>34</v>
      </c>
      <c r="M38">
        <f>(( _xlfn.XLOOKUP(G38,[1]!O_3[BLO],[1]!O_3[IHI],,-1) - _xlfn.XLOOKUP(G38,[1]!O_3[BLO],[1]!O_3[ILO],,-1))
/
( _xlfn.XLOOKUP(G38,[1]!O_3[BLO],[1]!O_3[BHI],,-1) - _xlfn.XLOOKUP(G38,[1]!O_3[BLO],[1]!O_3[BLO],,-1)))
*
( G38 - _xlfn.XLOOKUP(G38,[1]!O_3[BLO],[1]!O_3[BLO],,-1))
+
_xlfn.XLOOKUP(G38,[1]!O_3[BLO],[1]!O_3[ILO],,-1)</f>
        <v>28</v>
      </c>
      <c r="N38">
        <f>MAX(DAILY_DATA[[#This Row],[AQI_PM2.5]:[AQI_O3]])</f>
        <v>98</v>
      </c>
      <c r="O38" t="str">
        <f>_xlfn.XLOOKUP(DAILY_DATA[[#This Row],[OVERALL_AQI]],[1]!CATEGORY[AQI_LO],[1]!CATEGORY[CATEGORY],,-1)</f>
        <v>Satisfactory</v>
      </c>
      <c r="P38" t="str" cm="1">
        <f t="array" ref="P38">INDEX(
{"PM2.5","PM10","NO2","SO2","CO","O3"},
MATCH(N38,H38:M38,0)
)</f>
        <v>PM10</v>
      </c>
    </row>
    <row r="39" spans="1:16" x14ac:dyDescent="0.25">
      <c r="A39" s="4">
        <v>45329</v>
      </c>
      <c r="B39">
        <f>ROUND(AVERAGEIFS([1]HOURLY_DATA!B39:B8822,[1]HOURLY_DATA!H39:H8822,Daily_AQI!A39),0)</f>
        <v>54</v>
      </c>
      <c r="C39">
        <f>ROUND(AVERAGEIFS([1]HOURLY_DATA!C39:C8822,[1]HOURLY_DATA!H39:H8822,Daily_AQI!A39),0)</f>
        <v>102</v>
      </c>
      <c r="D39">
        <f>ROUND(AVERAGEIFS([1]HOURLY_DATA!D39:D8822,[1]HOURLY_DATA!H39:H8822,Daily_AQI!A39),0)</f>
        <v>20</v>
      </c>
      <c r="E39">
        <f>ROUND(AVERAGEIFS([1]HOURLY_DATA!E39:E8822,[1]HOURLY_DATA!H39:H8822,Daily_AQI!A39),0)</f>
        <v>8</v>
      </c>
      <c r="F39">
        <f>ROUND(AVERAGEIFS([1]HOURLY_DATA!I39:I8822,[1]HOURLY_DATA!H39:H8822,Daily_AQI!A39),2)</f>
        <v>0.75</v>
      </c>
      <c r="G39">
        <f>ROUND(AVERAGEIFS([1]HOURLY_DATA!J39:J8822,[1]HOURLY_DATA!H39:H8822,Daily_AQI!A39),0)</f>
        <v>34</v>
      </c>
      <c r="H39">
        <f>ROUND(((_xlfn.XLOOKUP(B39,[1]!PM2.5[BLO],[1]!PM2.5[IHI],,-1) - _xlfn.XLOOKUP(B39,[1]!PM2.5[BLO],[1]!PM2.5[ILO],,-1))
/
(_xlfn.XLOOKUP(B39,[1]!PM2.5[BLO],[1]!PM2.5[BHI],,-1) - _xlfn.XLOOKUP(B39,[1]!PM2.5[BLO],[1]!PM2.5[BLO],,-1)))
*
(B39 - _xlfn.XLOOKUP(B39,[1]!PM2.5[BLO],[1]!PM2.5[BLO],,-1))
+
_xlfn.XLOOKUP(B39,[1]!PM2.5[BLO],[1]!PM2.5[ILO],,-1),2)</f>
        <v>89.86</v>
      </c>
      <c r="I39">
        <f>ROUND(((_xlfn.XLOOKUP(C39,[1]!PM_10[BLO],[1]!PM_10[IHI],,-1) - _xlfn.XLOOKUP(C39,[1]!PM_10[BLO],[1]!PM_10[ILO],,-1))
/
(_xlfn.XLOOKUP(C39,[1]!PM_10[BLO],[1]!PM_10[BHI],,-1) - _xlfn.XLOOKUP(C39,[1]!PM_10[BLO],[1]!PM_10[BLO],,-1)))
*
( C39 - _xlfn.XLOOKUP(C39,[1]!PM_10[BLO],[1]!PM_10[BLO],,-1))
+
_xlfn.XLOOKUP(C39,[1]!PM_10[BLO],[1]!PM_10[ILO],,-1),2)</f>
        <v>101.66</v>
      </c>
      <c r="J39">
        <f>ROUND((( _xlfn.XLOOKUP(D39,[1]!NO_2[BLO],[1]!NO_2[IHI],,-1) - _xlfn.XLOOKUP(D39,[1]!NO_2[BLO],[1]!NO_2[ILO],,-1))
/
( _xlfn.XLOOKUP(D39,[1]!NO_2[BLO],[1]!NO_2[BHI],,-1) - _xlfn.XLOOKUP(D39,[1]!NO_2[BLO],[1]!NO_2[BLO],,-1) ))
*
( D39 - _xlfn.XLOOKUP(D39,[1]!NO_2[BLO],[1]!NO_2[BLO],,-1))
+
_xlfn.XLOOKUP(D39,[1]!NO_2[BLO],[1]!NO_2[ILO],,-1),2)</f>
        <v>25</v>
      </c>
      <c r="K39">
        <f>ROUND(( ( _xlfn.XLOOKUP(E39,[1]!SO_2[BLO],[1]!SO_2[IHI],,-1)  - _xlfn.XLOOKUP(E39,[1]!SO_2[BLO],[1]!SO_2[ILO],,-1) )
/
( _xlfn.XLOOKUP(E39,[1]!SO_2[BLO],[1]!SO_2[BHI],,-1)- _xlfn.XLOOKUP(E39,[1]!SO_2[BLO],[1]!SO_2[BLO],,-1) ))
*
( E39 - _xlfn.XLOOKUP(E39,[1]!SO_2[BLO],[1]!SO_2[BLO],,-1) )
+
_xlfn.XLOOKUP(E39,[1]!SO_2[BLO],[1]!SO_2[ILO],,-1),2)</f>
        <v>10</v>
      </c>
      <c r="L39">
        <f>( ( _xlfn.XLOOKUP(F39,[1]!CO[BLO],[1]!CO[IHI],,-1)
- _xlfn.XLOOKUP(F39,[1]!CO[BLO],[1]!CO[ILO],,-1) )
/
( _xlfn.XLOOKUP(F39,[1]!CO[BLO],[1]!CO[BHI],,-1) - _xlfn.XLOOKUP(F39,[1]!CO[BLO],[1]!CO[BLO],,-1)))
*
( F39 - _xlfn.XLOOKUP(F39,[1]!CO[BLO],[1]!CO[BLO],,-1) )
+
_xlfn.XLOOKUP(F39,[1]!CO[BLO],[1]!CO[ILO],,-1)</f>
        <v>37.5</v>
      </c>
      <c r="M39">
        <f>(( _xlfn.XLOOKUP(G39,[1]!O_3[BLO],[1]!O_3[IHI],,-1) - _xlfn.XLOOKUP(G39,[1]!O_3[BLO],[1]!O_3[ILO],,-1))
/
( _xlfn.XLOOKUP(G39,[1]!O_3[BLO],[1]!O_3[BHI],,-1) - _xlfn.XLOOKUP(G39,[1]!O_3[BLO],[1]!O_3[BLO],,-1)))
*
( G39 - _xlfn.XLOOKUP(G39,[1]!O_3[BLO],[1]!O_3[BLO],,-1))
+
_xlfn.XLOOKUP(G39,[1]!O_3[BLO],[1]!O_3[ILO],,-1)</f>
        <v>34</v>
      </c>
      <c r="N39">
        <f>MAX(DAILY_DATA[[#This Row],[AQI_PM2.5]:[AQI_O3]])</f>
        <v>101.66</v>
      </c>
      <c r="O39" t="str">
        <f>_xlfn.XLOOKUP(DAILY_DATA[[#This Row],[OVERALL_AQI]],[1]!CATEGORY[AQI_LO],[1]!CATEGORY[CATEGORY],,-1)</f>
        <v>Moderate</v>
      </c>
      <c r="P39" t="str" cm="1">
        <f t="array" ref="P39">INDEX(
{"PM2.5","PM10","NO2","SO2","CO","O3"},
MATCH(N39,H39:M39,0)
)</f>
        <v>PM10</v>
      </c>
    </row>
    <row r="40" spans="1:16" x14ac:dyDescent="0.25">
      <c r="A40" s="4">
        <v>45330</v>
      </c>
      <c r="B40">
        <f>ROUND(AVERAGEIFS([1]HOURLY_DATA!B40:B8823,[1]HOURLY_DATA!H40:H8823,Daily_AQI!A40),0)</f>
        <v>51</v>
      </c>
      <c r="C40">
        <f>ROUND(AVERAGEIFS([1]HOURLY_DATA!C40:C8823,[1]HOURLY_DATA!H40:H8823,Daily_AQI!A40),0)</f>
        <v>96</v>
      </c>
      <c r="D40">
        <f>ROUND(AVERAGEIFS([1]HOURLY_DATA!D40:D8823,[1]HOURLY_DATA!H40:H8823,Daily_AQI!A40),0)</f>
        <v>19</v>
      </c>
      <c r="E40">
        <f>ROUND(AVERAGEIFS([1]HOURLY_DATA!E40:E8823,[1]HOURLY_DATA!H40:H8823,Daily_AQI!A40),0)</f>
        <v>9</v>
      </c>
      <c r="F40">
        <f>ROUND(AVERAGEIFS([1]HOURLY_DATA!I40:I8823,[1]HOURLY_DATA!H40:H8823,Daily_AQI!A40),2)</f>
        <v>0.76</v>
      </c>
      <c r="G40">
        <f>ROUND(AVERAGEIFS([1]HOURLY_DATA!J40:J8823,[1]HOURLY_DATA!H40:H8823,Daily_AQI!A40),0)</f>
        <v>33</v>
      </c>
      <c r="H40">
        <f>ROUND(((_xlfn.XLOOKUP(B40,[1]!PM2.5[BLO],[1]!PM2.5[IHI],,-1) - _xlfn.XLOOKUP(B40,[1]!PM2.5[BLO],[1]!PM2.5[ILO],,-1))
/
(_xlfn.XLOOKUP(B40,[1]!PM2.5[BLO],[1]!PM2.5[BHI],,-1) - _xlfn.XLOOKUP(B40,[1]!PM2.5[BLO],[1]!PM2.5[BLO],,-1)))
*
(B40 - _xlfn.XLOOKUP(B40,[1]!PM2.5[BLO],[1]!PM2.5[BLO],,-1))
+
_xlfn.XLOOKUP(B40,[1]!PM2.5[BLO],[1]!PM2.5[ILO],,-1),2)</f>
        <v>84.79</v>
      </c>
      <c r="I40">
        <f>ROUND(((_xlfn.XLOOKUP(C40,[1]!PM_10[BLO],[1]!PM_10[IHI],,-1) - _xlfn.XLOOKUP(C40,[1]!PM_10[BLO],[1]!PM_10[ILO],,-1))
/
(_xlfn.XLOOKUP(C40,[1]!PM_10[BLO],[1]!PM_10[BHI],,-1) - _xlfn.XLOOKUP(C40,[1]!PM_10[BLO],[1]!PM_10[BLO],,-1)))
*
( C40 - _xlfn.XLOOKUP(C40,[1]!PM_10[BLO],[1]!PM_10[BLO],,-1))
+
_xlfn.XLOOKUP(C40,[1]!PM_10[BLO],[1]!PM_10[ILO],,-1),2)</f>
        <v>96</v>
      </c>
      <c r="J40">
        <f>ROUND((( _xlfn.XLOOKUP(D40,[1]!NO_2[BLO],[1]!NO_2[IHI],,-1) - _xlfn.XLOOKUP(D40,[1]!NO_2[BLO],[1]!NO_2[ILO],,-1))
/
( _xlfn.XLOOKUP(D40,[1]!NO_2[BLO],[1]!NO_2[BHI],,-1) - _xlfn.XLOOKUP(D40,[1]!NO_2[BLO],[1]!NO_2[BLO],,-1) ))
*
( D40 - _xlfn.XLOOKUP(D40,[1]!NO_2[BLO],[1]!NO_2[BLO],,-1))
+
_xlfn.XLOOKUP(D40,[1]!NO_2[BLO],[1]!NO_2[ILO],,-1),2)</f>
        <v>23.75</v>
      </c>
      <c r="K40">
        <f>ROUND(( ( _xlfn.XLOOKUP(E40,[1]!SO_2[BLO],[1]!SO_2[IHI],,-1)  - _xlfn.XLOOKUP(E40,[1]!SO_2[BLO],[1]!SO_2[ILO],,-1) )
/
( _xlfn.XLOOKUP(E40,[1]!SO_2[BLO],[1]!SO_2[BHI],,-1)- _xlfn.XLOOKUP(E40,[1]!SO_2[BLO],[1]!SO_2[BLO],,-1) ))
*
( E40 - _xlfn.XLOOKUP(E40,[1]!SO_2[BLO],[1]!SO_2[BLO],,-1) )
+
_xlfn.XLOOKUP(E40,[1]!SO_2[BLO],[1]!SO_2[ILO],,-1),2)</f>
        <v>11.25</v>
      </c>
      <c r="L40">
        <f>( ( _xlfn.XLOOKUP(F40,[1]!CO[BLO],[1]!CO[IHI],,-1)
- _xlfn.XLOOKUP(F40,[1]!CO[BLO],[1]!CO[ILO],,-1) )
/
( _xlfn.XLOOKUP(F40,[1]!CO[BLO],[1]!CO[BHI],,-1) - _xlfn.XLOOKUP(F40,[1]!CO[BLO],[1]!CO[BLO],,-1)))
*
( F40 - _xlfn.XLOOKUP(F40,[1]!CO[BLO],[1]!CO[BLO],,-1) )
+
_xlfn.XLOOKUP(F40,[1]!CO[BLO],[1]!CO[ILO],,-1)</f>
        <v>38</v>
      </c>
      <c r="M40">
        <f>(( _xlfn.XLOOKUP(G40,[1]!O_3[BLO],[1]!O_3[IHI],,-1) - _xlfn.XLOOKUP(G40,[1]!O_3[BLO],[1]!O_3[ILO],,-1))
/
( _xlfn.XLOOKUP(G40,[1]!O_3[BLO],[1]!O_3[BHI],,-1) - _xlfn.XLOOKUP(G40,[1]!O_3[BLO],[1]!O_3[BLO],,-1)))
*
( G40 - _xlfn.XLOOKUP(G40,[1]!O_3[BLO],[1]!O_3[BLO],,-1))
+
_xlfn.XLOOKUP(G40,[1]!O_3[BLO],[1]!O_3[ILO],,-1)</f>
        <v>33</v>
      </c>
      <c r="N40">
        <f>MAX(DAILY_DATA[[#This Row],[AQI_PM2.5]:[AQI_O3]])</f>
        <v>96</v>
      </c>
      <c r="O40" t="str">
        <f>_xlfn.XLOOKUP(DAILY_DATA[[#This Row],[OVERALL_AQI]],[1]!CATEGORY[AQI_LO],[1]!CATEGORY[CATEGORY],,-1)</f>
        <v>Satisfactory</v>
      </c>
      <c r="P40" t="str" cm="1">
        <f t="array" ref="P40">INDEX(
{"PM2.5","PM10","NO2","SO2","CO","O3"},
MATCH(N40,H40:M40,0)
)</f>
        <v>PM10</v>
      </c>
    </row>
    <row r="41" spans="1:16" x14ac:dyDescent="0.25">
      <c r="A41" s="4">
        <v>45331</v>
      </c>
      <c r="B41">
        <f>ROUND(AVERAGEIFS([1]HOURLY_DATA!B41:B8824,[1]HOURLY_DATA!H41:H8824,Daily_AQI!A41),0)</f>
        <v>48</v>
      </c>
      <c r="C41">
        <f>ROUND(AVERAGEIFS([1]HOURLY_DATA!C41:C8824,[1]HOURLY_DATA!H41:H8824,Daily_AQI!A41),0)</f>
        <v>87</v>
      </c>
      <c r="D41">
        <f>ROUND(AVERAGEIFS([1]HOURLY_DATA!D41:D8824,[1]HOURLY_DATA!H41:H8824,Daily_AQI!A41),0)</f>
        <v>17</v>
      </c>
      <c r="E41">
        <f>ROUND(AVERAGEIFS([1]HOURLY_DATA!E41:E8824,[1]HOURLY_DATA!H41:H8824,Daily_AQI!A41),0)</f>
        <v>8</v>
      </c>
      <c r="F41">
        <f>ROUND(AVERAGEIFS([1]HOURLY_DATA!I41:I8824,[1]HOURLY_DATA!H41:H8824,Daily_AQI!A41),2)</f>
        <v>0.68</v>
      </c>
      <c r="G41">
        <f>ROUND(AVERAGEIFS([1]HOURLY_DATA!J41:J8824,[1]HOURLY_DATA!H41:H8824,Daily_AQI!A41),0)</f>
        <v>30</v>
      </c>
      <c r="H41">
        <f>ROUND(((_xlfn.XLOOKUP(B41,[1]!PM2.5[BLO],[1]!PM2.5[IHI],,-1) - _xlfn.XLOOKUP(B41,[1]!PM2.5[BLO],[1]!PM2.5[ILO],,-1))
/
(_xlfn.XLOOKUP(B41,[1]!PM2.5[BLO],[1]!PM2.5[BHI],,-1) - _xlfn.XLOOKUP(B41,[1]!PM2.5[BLO],[1]!PM2.5[BLO],,-1)))
*
(B41 - _xlfn.XLOOKUP(B41,[1]!PM2.5[BLO],[1]!PM2.5[BLO],,-1))
+
_xlfn.XLOOKUP(B41,[1]!PM2.5[BLO],[1]!PM2.5[ILO],,-1),2)</f>
        <v>79.72</v>
      </c>
      <c r="I41">
        <f>ROUND(((_xlfn.XLOOKUP(C41,[1]!PM_10[BLO],[1]!PM_10[IHI],,-1) - _xlfn.XLOOKUP(C41,[1]!PM_10[BLO],[1]!PM_10[ILO],,-1))
/
(_xlfn.XLOOKUP(C41,[1]!PM_10[BLO],[1]!PM_10[BHI],,-1) - _xlfn.XLOOKUP(C41,[1]!PM_10[BLO],[1]!PM_10[BLO],,-1)))
*
( C41 - _xlfn.XLOOKUP(C41,[1]!PM_10[BLO],[1]!PM_10[BLO],,-1))
+
_xlfn.XLOOKUP(C41,[1]!PM_10[BLO],[1]!PM_10[ILO],,-1),2)</f>
        <v>87</v>
      </c>
      <c r="J41">
        <f>ROUND((( _xlfn.XLOOKUP(D41,[1]!NO_2[BLO],[1]!NO_2[IHI],,-1) - _xlfn.XLOOKUP(D41,[1]!NO_2[BLO],[1]!NO_2[ILO],,-1))
/
( _xlfn.XLOOKUP(D41,[1]!NO_2[BLO],[1]!NO_2[BHI],,-1) - _xlfn.XLOOKUP(D41,[1]!NO_2[BLO],[1]!NO_2[BLO],,-1) ))
*
( D41 - _xlfn.XLOOKUP(D41,[1]!NO_2[BLO],[1]!NO_2[BLO],,-1))
+
_xlfn.XLOOKUP(D41,[1]!NO_2[BLO],[1]!NO_2[ILO],,-1),2)</f>
        <v>21.25</v>
      </c>
      <c r="K41">
        <f>ROUND(( ( _xlfn.XLOOKUP(E41,[1]!SO_2[BLO],[1]!SO_2[IHI],,-1)  - _xlfn.XLOOKUP(E41,[1]!SO_2[BLO],[1]!SO_2[ILO],,-1) )
/
( _xlfn.XLOOKUP(E41,[1]!SO_2[BLO],[1]!SO_2[BHI],,-1)- _xlfn.XLOOKUP(E41,[1]!SO_2[BLO],[1]!SO_2[BLO],,-1) ))
*
( E41 - _xlfn.XLOOKUP(E41,[1]!SO_2[BLO],[1]!SO_2[BLO],,-1) )
+
_xlfn.XLOOKUP(E41,[1]!SO_2[BLO],[1]!SO_2[ILO],,-1),2)</f>
        <v>10</v>
      </c>
      <c r="L41">
        <f>( ( _xlfn.XLOOKUP(F41,[1]!CO[BLO],[1]!CO[IHI],,-1)
- _xlfn.XLOOKUP(F41,[1]!CO[BLO],[1]!CO[ILO],,-1) )
/
( _xlfn.XLOOKUP(F41,[1]!CO[BLO],[1]!CO[BHI],,-1) - _xlfn.XLOOKUP(F41,[1]!CO[BLO],[1]!CO[BLO],,-1)))
*
( F41 - _xlfn.XLOOKUP(F41,[1]!CO[BLO],[1]!CO[BLO],,-1) )
+
_xlfn.XLOOKUP(F41,[1]!CO[BLO],[1]!CO[ILO],,-1)</f>
        <v>34</v>
      </c>
      <c r="M41">
        <f>(( _xlfn.XLOOKUP(G41,[1]!O_3[BLO],[1]!O_3[IHI],,-1) - _xlfn.XLOOKUP(G41,[1]!O_3[BLO],[1]!O_3[ILO],,-1))
/
( _xlfn.XLOOKUP(G41,[1]!O_3[BLO],[1]!O_3[BHI],,-1) - _xlfn.XLOOKUP(G41,[1]!O_3[BLO],[1]!O_3[BLO],,-1)))
*
( G41 - _xlfn.XLOOKUP(G41,[1]!O_3[BLO],[1]!O_3[BLO],,-1))
+
_xlfn.XLOOKUP(G41,[1]!O_3[BLO],[1]!O_3[ILO],,-1)</f>
        <v>30</v>
      </c>
      <c r="N41">
        <f>MAX(DAILY_DATA[[#This Row],[AQI_PM2.5]:[AQI_O3]])</f>
        <v>87</v>
      </c>
      <c r="O41" t="str">
        <f>_xlfn.XLOOKUP(DAILY_DATA[[#This Row],[OVERALL_AQI]],[1]!CATEGORY[AQI_LO],[1]!CATEGORY[CATEGORY],,-1)</f>
        <v>Satisfactory</v>
      </c>
      <c r="P41" t="str" cm="1">
        <f t="array" ref="P41">INDEX(
{"PM2.5","PM10","NO2","SO2","CO","O3"},
MATCH(N41,H41:M41,0)
)</f>
        <v>PM10</v>
      </c>
    </row>
    <row r="42" spans="1:16" x14ac:dyDescent="0.25">
      <c r="A42" s="4">
        <v>45332</v>
      </c>
      <c r="B42">
        <f>ROUND(AVERAGEIFS([1]HOURLY_DATA!B42:B8825,[1]HOURLY_DATA!H42:H8825,Daily_AQI!A42),0)</f>
        <v>44</v>
      </c>
      <c r="C42">
        <f>ROUND(AVERAGEIFS([1]HOURLY_DATA!C42:C8825,[1]HOURLY_DATA!H42:H8825,Daily_AQI!A42),0)</f>
        <v>88</v>
      </c>
      <c r="D42">
        <f>ROUND(AVERAGEIFS([1]HOURLY_DATA!D42:D8825,[1]HOURLY_DATA!H42:H8825,Daily_AQI!A42),0)</f>
        <v>18</v>
      </c>
      <c r="E42">
        <f>ROUND(AVERAGEIFS([1]HOURLY_DATA!E42:E8825,[1]HOURLY_DATA!H42:H8825,Daily_AQI!A42),0)</f>
        <v>8</v>
      </c>
      <c r="F42">
        <f>ROUND(AVERAGEIFS([1]HOURLY_DATA!I42:I8825,[1]HOURLY_DATA!H42:H8825,Daily_AQI!A42),2)</f>
        <v>0.66</v>
      </c>
      <c r="G42">
        <f>ROUND(AVERAGEIFS([1]HOURLY_DATA!J42:J8825,[1]HOURLY_DATA!H42:H8825,Daily_AQI!A42),0)</f>
        <v>32</v>
      </c>
      <c r="H42">
        <f>ROUND(((_xlfn.XLOOKUP(B42,[1]!PM2.5[BLO],[1]!PM2.5[IHI],,-1) - _xlfn.XLOOKUP(B42,[1]!PM2.5[BLO],[1]!PM2.5[ILO],,-1))
/
(_xlfn.XLOOKUP(B42,[1]!PM2.5[BLO],[1]!PM2.5[BHI],,-1) - _xlfn.XLOOKUP(B42,[1]!PM2.5[BLO],[1]!PM2.5[BLO],,-1)))
*
(B42 - _xlfn.XLOOKUP(B42,[1]!PM2.5[BLO],[1]!PM2.5[BLO],,-1))
+
_xlfn.XLOOKUP(B42,[1]!PM2.5[BLO],[1]!PM2.5[ILO],,-1),2)</f>
        <v>72.97</v>
      </c>
      <c r="I42">
        <f>ROUND(((_xlfn.XLOOKUP(C42,[1]!PM_10[BLO],[1]!PM_10[IHI],,-1) - _xlfn.XLOOKUP(C42,[1]!PM_10[BLO],[1]!PM_10[ILO],,-1))
/
(_xlfn.XLOOKUP(C42,[1]!PM_10[BLO],[1]!PM_10[BHI],,-1) - _xlfn.XLOOKUP(C42,[1]!PM_10[BLO],[1]!PM_10[BLO],,-1)))
*
( C42 - _xlfn.XLOOKUP(C42,[1]!PM_10[BLO],[1]!PM_10[BLO],,-1))
+
_xlfn.XLOOKUP(C42,[1]!PM_10[BLO],[1]!PM_10[ILO],,-1),2)</f>
        <v>88</v>
      </c>
      <c r="J42">
        <f>ROUND((( _xlfn.XLOOKUP(D42,[1]!NO_2[BLO],[1]!NO_2[IHI],,-1) - _xlfn.XLOOKUP(D42,[1]!NO_2[BLO],[1]!NO_2[ILO],,-1))
/
( _xlfn.XLOOKUP(D42,[1]!NO_2[BLO],[1]!NO_2[BHI],,-1) - _xlfn.XLOOKUP(D42,[1]!NO_2[BLO],[1]!NO_2[BLO],,-1) ))
*
( D42 - _xlfn.XLOOKUP(D42,[1]!NO_2[BLO],[1]!NO_2[BLO],,-1))
+
_xlfn.XLOOKUP(D42,[1]!NO_2[BLO],[1]!NO_2[ILO],,-1),2)</f>
        <v>22.5</v>
      </c>
      <c r="K42">
        <f>ROUND(( ( _xlfn.XLOOKUP(E42,[1]!SO_2[BLO],[1]!SO_2[IHI],,-1)  - _xlfn.XLOOKUP(E42,[1]!SO_2[BLO],[1]!SO_2[ILO],,-1) )
/
( _xlfn.XLOOKUP(E42,[1]!SO_2[BLO],[1]!SO_2[BHI],,-1)- _xlfn.XLOOKUP(E42,[1]!SO_2[BLO],[1]!SO_2[BLO],,-1) ))
*
( E42 - _xlfn.XLOOKUP(E42,[1]!SO_2[BLO],[1]!SO_2[BLO],,-1) )
+
_xlfn.XLOOKUP(E42,[1]!SO_2[BLO],[1]!SO_2[ILO],,-1),2)</f>
        <v>10</v>
      </c>
      <c r="L42">
        <f>( ( _xlfn.XLOOKUP(F42,[1]!CO[BLO],[1]!CO[IHI],,-1)
- _xlfn.XLOOKUP(F42,[1]!CO[BLO],[1]!CO[ILO],,-1) )
/
( _xlfn.XLOOKUP(F42,[1]!CO[BLO],[1]!CO[BHI],,-1) - _xlfn.XLOOKUP(F42,[1]!CO[BLO],[1]!CO[BLO],,-1)))
*
( F42 - _xlfn.XLOOKUP(F42,[1]!CO[BLO],[1]!CO[BLO],,-1) )
+
_xlfn.XLOOKUP(F42,[1]!CO[BLO],[1]!CO[ILO],,-1)</f>
        <v>33</v>
      </c>
      <c r="M42">
        <f>(( _xlfn.XLOOKUP(G42,[1]!O_3[BLO],[1]!O_3[IHI],,-1) - _xlfn.XLOOKUP(G42,[1]!O_3[BLO],[1]!O_3[ILO],,-1))
/
( _xlfn.XLOOKUP(G42,[1]!O_3[BLO],[1]!O_3[BHI],,-1) - _xlfn.XLOOKUP(G42,[1]!O_3[BLO],[1]!O_3[BLO],,-1)))
*
( G42 - _xlfn.XLOOKUP(G42,[1]!O_3[BLO],[1]!O_3[BLO],,-1))
+
_xlfn.XLOOKUP(G42,[1]!O_3[BLO],[1]!O_3[ILO],,-1)</f>
        <v>32</v>
      </c>
      <c r="N42">
        <f>MAX(DAILY_DATA[[#This Row],[AQI_PM2.5]:[AQI_O3]])</f>
        <v>88</v>
      </c>
      <c r="O42" t="str">
        <f>_xlfn.XLOOKUP(DAILY_DATA[[#This Row],[OVERALL_AQI]],[1]!CATEGORY[AQI_LO],[1]!CATEGORY[CATEGORY],,-1)</f>
        <v>Satisfactory</v>
      </c>
      <c r="P42" t="str" cm="1">
        <f t="array" ref="P42">INDEX(
{"PM2.5","PM10","NO2","SO2","CO","O3"},
MATCH(N42,H42:M42,0)
)</f>
        <v>PM10</v>
      </c>
    </row>
    <row r="43" spans="1:16" x14ac:dyDescent="0.25">
      <c r="A43" s="4">
        <v>45333</v>
      </c>
      <c r="B43">
        <f>ROUND(AVERAGEIFS([1]HOURLY_DATA!B43:B8826,[1]HOURLY_DATA!H43:H8826,Daily_AQI!A43),0)</f>
        <v>43</v>
      </c>
      <c r="C43">
        <f>ROUND(AVERAGEIFS([1]HOURLY_DATA!C43:C8826,[1]HOURLY_DATA!H43:H8826,Daily_AQI!A43),0)</f>
        <v>89</v>
      </c>
      <c r="D43">
        <f>ROUND(AVERAGEIFS([1]HOURLY_DATA!D43:D8826,[1]HOURLY_DATA!H43:H8826,Daily_AQI!A43),0)</f>
        <v>17</v>
      </c>
      <c r="E43">
        <f>ROUND(AVERAGEIFS([1]HOURLY_DATA!E43:E8826,[1]HOURLY_DATA!H43:H8826,Daily_AQI!A43),0)</f>
        <v>8</v>
      </c>
      <c r="F43">
        <f>ROUND(AVERAGEIFS([1]HOURLY_DATA!I43:I8826,[1]HOURLY_DATA!H43:H8826,Daily_AQI!A43),2)</f>
        <v>0.64</v>
      </c>
      <c r="G43">
        <f>ROUND(AVERAGEIFS([1]HOURLY_DATA!J43:J8826,[1]HOURLY_DATA!H43:H8826,Daily_AQI!A43),0)</f>
        <v>32</v>
      </c>
      <c r="H43">
        <f>ROUND(((_xlfn.XLOOKUP(B43,[1]!PM2.5[BLO],[1]!PM2.5[IHI],,-1) - _xlfn.XLOOKUP(B43,[1]!PM2.5[BLO],[1]!PM2.5[ILO],,-1))
/
(_xlfn.XLOOKUP(B43,[1]!PM2.5[BLO],[1]!PM2.5[BHI],,-1) - _xlfn.XLOOKUP(B43,[1]!PM2.5[BLO],[1]!PM2.5[BLO],,-1)))
*
(B43 - _xlfn.XLOOKUP(B43,[1]!PM2.5[BLO],[1]!PM2.5[BLO],,-1))
+
_xlfn.XLOOKUP(B43,[1]!PM2.5[BLO],[1]!PM2.5[ILO],,-1),2)</f>
        <v>71.28</v>
      </c>
      <c r="I43">
        <f>ROUND(((_xlfn.XLOOKUP(C43,[1]!PM_10[BLO],[1]!PM_10[IHI],,-1) - _xlfn.XLOOKUP(C43,[1]!PM_10[BLO],[1]!PM_10[ILO],,-1))
/
(_xlfn.XLOOKUP(C43,[1]!PM_10[BLO],[1]!PM_10[BHI],,-1) - _xlfn.XLOOKUP(C43,[1]!PM_10[BLO],[1]!PM_10[BLO],,-1)))
*
( C43 - _xlfn.XLOOKUP(C43,[1]!PM_10[BLO],[1]!PM_10[BLO],,-1))
+
_xlfn.XLOOKUP(C43,[1]!PM_10[BLO],[1]!PM_10[ILO],,-1),2)</f>
        <v>89</v>
      </c>
      <c r="J43">
        <f>ROUND((( _xlfn.XLOOKUP(D43,[1]!NO_2[BLO],[1]!NO_2[IHI],,-1) - _xlfn.XLOOKUP(D43,[1]!NO_2[BLO],[1]!NO_2[ILO],,-1))
/
( _xlfn.XLOOKUP(D43,[1]!NO_2[BLO],[1]!NO_2[BHI],,-1) - _xlfn.XLOOKUP(D43,[1]!NO_2[BLO],[1]!NO_2[BLO],,-1) ))
*
( D43 - _xlfn.XLOOKUP(D43,[1]!NO_2[BLO],[1]!NO_2[BLO],,-1))
+
_xlfn.XLOOKUP(D43,[1]!NO_2[BLO],[1]!NO_2[ILO],,-1),2)</f>
        <v>21.25</v>
      </c>
      <c r="K43">
        <f>ROUND(( ( _xlfn.XLOOKUP(E43,[1]!SO_2[BLO],[1]!SO_2[IHI],,-1)  - _xlfn.XLOOKUP(E43,[1]!SO_2[BLO],[1]!SO_2[ILO],,-1) )
/
( _xlfn.XLOOKUP(E43,[1]!SO_2[BLO],[1]!SO_2[BHI],,-1)- _xlfn.XLOOKUP(E43,[1]!SO_2[BLO],[1]!SO_2[BLO],,-1) ))
*
( E43 - _xlfn.XLOOKUP(E43,[1]!SO_2[BLO],[1]!SO_2[BLO],,-1) )
+
_xlfn.XLOOKUP(E43,[1]!SO_2[BLO],[1]!SO_2[ILO],,-1),2)</f>
        <v>10</v>
      </c>
      <c r="L43">
        <f>( ( _xlfn.XLOOKUP(F43,[1]!CO[BLO],[1]!CO[IHI],,-1)
- _xlfn.XLOOKUP(F43,[1]!CO[BLO],[1]!CO[ILO],,-1) )
/
( _xlfn.XLOOKUP(F43,[1]!CO[BLO],[1]!CO[BHI],,-1) - _xlfn.XLOOKUP(F43,[1]!CO[BLO],[1]!CO[BLO],,-1)))
*
( F43 - _xlfn.XLOOKUP(F43,[1]!CO[BLO],[1]!CO[BLO],,-1) )
+
_xlfn.XLOOKUP(F43,[1]!CO[BLO],[1]!CO[ILO],,-1)</f>
        <v>32</v>
      </c>
      <c r="M43">
        <f>(( _xlfn.XLOOKUP(G43,[1]!O_3[BLO],[1]!O_3[IHI],,-1) - _xlfn.XLOOKUP(G43,[1]!O_3[BLO],[1]!O_3[ILO],,-1))
/
( _xlfn.XLOOKUP(G43,[1]!O_3[BLO],[1]!O_3[BHI],,-1) - _xlfn.XLOOKUP(G43,[1]!O_3[BLO],[1]!O_3[BLO],,-1)))
*
( G43 - _xlfn.XLOOKUP(G43,[1]!O_3[BLO],[1]!O_3[BLO],,-1))
+
_xlfn.XLOOKUP(G43,[1]!O_3[BLO],[1]!O_3[ILO],,-1)</f>
        <v>32</v>
      </c>
      <c r="N43">
        <f>MAX(DAILY_DATA[[#This Row],[AQI_PM2.5]:[AQI_O3]])</f>
        <v>89</v>
      </c>
      <c r="O43" t="str">
        <f>_xlfn.XLOOKUP(DAILY_DATA[[#This Row],[OVERALL_AQI]],[1]!CATEGORY[AQI_LO],[1]!CATEGORY[CATEGORY],,-1)</f>
        <v>Satisfactory</v>
      </c>
      <c r="P43" t="str" cm="1">
        <f t="array" ref="P43">INDEX(
{"PM2.5","PM10","NO2","SO2","CO","O3"},
MATCH(N43,H43:M43,0)
)</f>
        <v>PM10</v>
      </c>
    </row>
    <row r="44" spans="1:16" x14ac:dyDescent="0.25">
      <c r="A44" s="4">
        <v>45334</v>
      </c>
      <c r="B44">
        <f>ROUND(AVERAGEIFS([1]HOURLY_DATA!B44:B8827,[1]HOURLY_DATA!H44:H8827,Daily_AQI!A44),0)</f>
        <v>91</v>
      </c>
      <c r="C44">
        <f>ROUND(AVERAGEIFS([1]HOURLY_DATA!C44:C8827,[1]HOURLY_DATA!H44:H8827,Daily_AQI!A44),0)</f>
        <v>89</v>
      </c>
      <c r="D44">
        <f>ROUND(AVERAGEIFS([1]HOURLY_DATA!D44:D8827,[1]HOURLY_DATA!H44:H8827,Daily_AQI!A44),0)</f>
        <v>17</v>
      </c>
      <c r="E44">
        <f>ROUND(AVERAGEIFS([1]HOURLY_DATA!E44:E8827,[1]HOURLY_DATA!H44:H8827,Daily_AQI!A44),0)</f>
        <v>8</v>
      </c>
      <c r="F44">
        <f>ROUND(AVERAGEIFS([1]HOURLY_DATA!I44:I8827,[1]HOURLY_DATA!H44:H8827,Daily_AQI!A44),2)</f>
        <v>0.64</v>
      </c>
      <c r="G44">
        <f>ROUND(AVERAGEIFS([1]HOURLY_DATA!J44:J8827,[1]HOURLY_DATA!H44:H8827,Daily_AQI!A44),0)</f>
        <v>32</v>
      </c>
      <c r="H44">
        <f>ROUND(((_xlfn.XLOOKUP(B44,[1]!PM2.5[BLO],[1]!PM2.5[IHI],,-1) - _xlfn.XLOOKUP(B44,[1]!PM2.5[BLO],[1]!PM2.5[ILO],,-1))
/
(_xlfn.XLOOKUP(B44,[1]!PM2.5[BLO],[1]!PM2.5[BHI],,-1) - _xlfn.XLOOKUP(B44,[1]!PM2.5[BLO],[1]!PM2.5[BLO],,-1)))
*
(B44 - _xlfn.XLOOKUP(B44,[1]!PM2.5[BLO],[1]!PM2.5[BLO],,-1))
+
_xlfn.XLOOKUP(B44,[1]!PM2.5[BLO],[1]!PM2.5[ILO],,-1),2)</f>
        <v>201</v>
      </c>
      <c r="I44">
        <f>ROUND(((_xlfn.XLOOKUP(C44,[1]!PM_10[BLO],[1]!PM_10[IHI],,-1) - _xlfn.XLOOKUP(C44,[1]!PM_10[BLO],[1]!PM_10[ILO],,-1))
/
(_xlfn.XLOOKUP(C44,[1]!PM_10[BLO],[1]!PM_10[BHI],,-1) - _xlfn.XLOOKUP(C44,[1]!PM_10[BLO],[1]!PM_10[BLO],,-1)))
*
( C44 - _xlfn.XLOOKUP(C44,[1]!PM_10[BLO],[1]!PM_10[BLO],,-1))
+
_xlfn.XLOOKUP(C44,[1]!PM_10[BLO],[1]!PM_10[ILO],,-1),2)</f>
        <v>89</v>
      </c>
      <c r="J44">
        <f>ROUND((( _xlfn.XLOOKUP(D44,[1]!NO_2[BLO],[1]!NO_2[IHI],,-1) - _xlfn.XLOOKUP(D44,[1]!NO_2[BLO],[1]!NO_2[ILO],,-1))
/
( _xlfn.XLOOKUP(D44,[1]!NO_2[BLO],[1]!NO_2[BHI],,-1) - _xlfn.XLOOKUP(D44,[1]!NO_2[BLO],[1]!NO_2[BLO],,-1) ))
*
( D44 - _xlfn.XLOOKUP(D44,[1]!NO_2[BLO],[1]!NO_2[BLO],,-1))
+
_xlfn.XLOOKUP(D44,[1]!NO_2[BLO],[1]!NO_2[ILO],,-1),2)</f>
        <v>21.25</v>
      </c>
      <c r="K44">
        <f>ROUND(( ( _xlfn.XLOOKUP(E44,[1]!SO_2[BLO],[1]!SO_2[IHI],,-1)  - _xlfn.XLOOKUP(E44,[1]!SO_2[BLO],[1]!SO_2[ILO],,-1) )
/
( _xlfn.XLOOKUP(E44,[1]!SO_2[BLO],[1]!SO_2[BHI],,-1)- _xlfn.XLOOKUP(E44,[1]!SO_2[BLO],[1]!SO_2[BLO],,-1) ))
*
( E44 - _xlfn.XLOOKUP(E44,[1]!SO_2[BLO],[1]!SO_2[BLO],,-1) )
+
_xlfn.XLOOKUP(E44,[1]!SO_2[BLO],[1]!SO_2[ILO],,-1),2)</f>
        <v>10</v>
      </c>
      <c r="L44">
        <f>( ( _xlfn.XLOOKUP(F44,[1]!CO[BLO],[1]!CO[IHI],,-1)
- _xlfn.XLOOKUP(F44,[1]!CO[BLO],[1]!CO[ILO],,-1) )
/
( _xlfn.XLOOKUP(F44,[1]!CO[BLO],[1]!CO[BHI],,-1) - _xlfn.XLOOKUP(F44,[1]!CO[BLO],[1]!CO[BLO],,-1)))
*
( F44 - _xlfn.XLOOKUP(F44,[1]!CO[BLO],[1]!CO[BLO],,-1) )
+
_xlfn.XLOOKUP(F44,[1]!CO[BLO],[1]!CO[ILO],,-1)</f>
        <v>32</v>
      </c>
      <c r="M44">
        <f>(( _xlfn.XLOOKUP(G44,[1]!O_3[BLO],[1]!O_3[IHI],,-1) - _xlfn.XLOOKUP(G44,[1]!O_3[BLO],[1]!O_3[ILO],,-1))
/
( _xlfn.XLOOKUP(G44,[1]!O_3[BLO],[1]!O_3[BHI],,-1) - _xlfn.XLOOKUP(G44,[1]!O_3[BLO],[1]!O_3[BLO],,-1)))
*
( G44 - _xlfn.XLOOKUP(G44,[1]!O_3[BLO],[1]!O_3[BLO],,-1))
+
_xlfn.XLOOKUP(G44,[1]!O_3[BLO],[1]!O_3[ILO],,-1)</f>
        <v>32</v>
      </c>
      <c r="N44">
        <f>MAX(DAILY_DATA[[#This Row],[AQI_PM2.5]:[AQI_O3]])</f>
        <v>201</v>
      </c>
      <c r="O44" t="str">
        <f>_xlfn.XLOOKUP(DAILY_DATA[[#This Row],[OVERALL_AQI]],[1]!CATEGORY[AQI_LO],[1]!CATEGORY[CATEGORY],,-1)</f>
        <v>Poor</v>
      </c>
      <c r="P44" t="str" cm="1">
        <f t="array" ref="P44">INDEX(
{"PM2.5","PM10","NO2","SO2","CO","O3"},
MATCH(N44,H44:M44,0)
)</f>
        <v>PM2.5</v>
      </c>
    </row>
    <row r="45" spans="1:16" x14ac:dyDescent="0.25">
      <c r="A45" s="4">
        <v>45335</v>
      </c>
      <c r="B45">
        <f>ROUND(AVERAGEIFS([1]HOURLY_DATA!B45:B8828,[1]HOURLY_DATA!H45:H8828,Daily_AQI!A45),0)</f>
        <v>38</v>
      </c>
      <c r="C45">
        <f>ROUND(AVERAGEIFS([1]HOURLY_DATA!C45:C8828,[1]HOURLY_DATA!H45:H8828,Daily_AQI!A45),0)</f>
        <v>69</v>
      </c>
      <c r="D45">
        <f>ROUND(AVERAGEIFS([1]HOURLY_DATA!D45:D8828,[1]HOURLY_DATA!H45:H8828,Daily_AQI!A45),0)</f>
        <v>18</v>
      </c>
      <c r="E45">
        <f>ROUND(AVERAGEIFS([1]HOURLY_DATA!E45:E8828,[1]HOURLY_DATA!H45:H8828,Daily_AQI!A45),0)</f>
        <v>8</v>
      </c>
      <c r="F45">
        <f>ROUND(AVERAGEIFS([1]HOURLY_DATA!I45:I8828,[1]HOURLY_DATA!H45:H8828,Daily_AQI!A45),2)</f>
        <v>0.66</v>
      </c>
      <c r="G45">
        <f>ROUND(AVERAGEIFS([1]HOURLY_DATA!J45:J8828,[1]HOURLY_DATA!H45:H8828,Daily_AQI!A45),0)</f>
        <v>31</v>
      </c>
      <c r="H45">
        <f>ROUND(((_xlfn.XLOOKUP(B45,[1]!PM2.5[BLO],[1]!PM2.5[IHI],,-1) - _xlfn.XLOOKUP(B45,[1]!PM2.5[BLO],[1]!PM2.5[ILO],,-1))
/
(_xlfn.XLOOKUP(B45,[1]!PM2.5[BLO],[1]!PM2.5[BHI],,-1) - _xlfn.XLOOKUP(B45,[1]!PM2.5[BLO],[1]!PM2.5[BLO],,-1)))
*
(B45 - _xlfn.XLOOKUP(B45,[1]!PM2.5[BLO],[1]!PM2.5[BLO],,-1))
+
_xlfn.XLOOKUP(B45,[1]!PM2.5[BLO],[1]!PM2.5[ILO],,-1),2)</f>
        <v>62.83</v>
      </c>
      <c r="I45">
        <f>ROUND(((_xlfn.XLOOKUP(C45,[1]!PM_10[BLO],[1]!PM_10[IHI],,-1) - _xlfn.XLOOKUP(C45,[1]!PM_10[BLO],[1]!PM_10[ILO],,-1))
/
(_xlfn.XLOOKUP(C45,[1]!PM_10[BLO],[1]!PM_10[BHI],,-1) - _xlfn.XLOOKUP(C45,[1]!PM_10[BLO],[1]!PM_10[BLO],,-1)))
*
( C45 - _xlfn.XLOOKUP(C45,[1]!PM_10[BLO],[1]!PM_10[BLO],,-1))
+
_xlfn.XLOOKUP(C45,[1]!PM_10[BLO],[1]!PM_10[ILO],,-1),2)</f>
        <v>69</v>
      </c>
      <c r="J45">
        <f>ROUND((( _xlfn.XLOOKUP(D45,[1]!NO_2[BLO],[1]!NO_2[IHI],,-1) - _xlfn.XLOOKUP(D45,[1]!NO_2[BLO],[1]!NO_2[ILO],,-1))
/
( _xlfn.XLOOKUP(D45,[1]!NO_2[BLO],[1]!NO_2[BHI],,-1) - _xlfn.XLOOKUP(D45,[1]!NO_2[BLO],[1]!NO_2[BLO],,-1) ))
*
( D45 - _xlfn.XLOOKUP(D45,[1]!NO_2[BLO],[1]!NO_2[BLO],,-1))
+
_xlfn.XLOOKUP(D45,[1]!NO_2[BLO],[1]!NO_2[ILO],,-1),2)</f>
        <v>22.5</v>
      </c>
      <c r="K45">
        <f>ROUND(( ( _xlfn.XLOOKUP(E45,[1]!SO_2[BLO],[1]!SO_2[IHI],,-1)  - _xlfn.XLOOKUP(E45,[1]!SO_2[BLO],[1]!SO_2[ILO],,-1) )
/
( _xlfn.XLOOKUP(E45,[1]!SO_2[BLO],[1]!SO_2[BHI],,-1)- _xlfn.XLOOKUP(E45,[1]!SO_2[BLO],[1]!SO_2[BLO],,-1) ))
*
( E45 - _xlfn.XLOOKUP(E45,[1]!SO_2[BLO],[1]!SO_2[BLO],,-1) )
+
_xlfn.XLOOKUP(E45,[1]!SO_2[BLO],[1]!SO_2[ILO],,-1),2)</f>
        <v>10</v>
      </c>
      <c r="L45">
        <f>( ( _xlfn.XLOOKUP(F45,[1]!CO[BLO],[1]!CO[IHI],,-1)
- _xlfn.XLOOKUP(F45,[1]!CO[BLO],[1]!CO[ILO],,-1) )
/
( _xlfn.XLOOKUP(F45,[1]!CO[BLO],[1]!CO[BHI],,-1) - _xlfn.XLOOKUP(F45,[1]!CO[BLO],[1]!CO[BLO],,-1)))
*
( F45 - _xlfn.XLOOKUP(F45,[1]!CO[BLO],[1]!CO[BLO],,-1) )
+
_xlfn.XLOOKUP(F45,[1]!CO[BLO],[1]!CO[ILO],,-1)</f>
        <v>33</v>
      </c>
      <c r="M45">
        <f>(( _xlfn.XLOOKUP(G45,[1]!O_3[BLO],[1]!O_3[IHI],,-1) - _xlfn.XLOOKUP(G45,[1]!O_3[BLO],[1]!O_3[ILO],,-1))
/
( _xlfn.XLOOKUP(G45,[1]!O_3[BLO],[1]!O_3[BHI],,-1) - _xlfn.XLOOKUP(G45,[1]!O_3[BLO],[1]!O_3[BLO],,-1)))
*
( G45 - _xlfn.XLOOKUP(G45,[1]!O_3[BLO],[1]!O_3[BLO],,-1))
+
_xlfn.XLOOKUP(G45,[1]!O_3[BLO],[1]!O_3[ILO],,-1)</f>
        <v>31</v>
      </c>
      <c r="N45">
        <f>MAX(DAILY_DATA[[#This Row],[AQI_PM2.5]:[AQI_O3]])</f>
        <v>69</v>
      </c>
      <c r="O45" t="str">
        <f>_xlfn.XLOOKUP(DAILY_DATA[[#This Row],[OVERALL_AQI]],[1]!CATEGORY[AQI_LO],[1]!CATEGORY[CATEGORY],,-1)</f>
        <v>Satisfactory</v>
      </c>
      <c r="P45" t="str" cm="1">
        <f t="array" ref="P45">INDEX(
{"PM2.5","PM10","NO2","SO2","CO","O3"},
MATCH(N45,H45:M45,0)
)</f>
        <v>PM10</v>
      </c>
    </row>
    <row r="46" spans="1:16" x14ac:dyDescent="0.25">
      <c r="A46" s="4">
        <v>45336</v>
      </c>
      <c r="B46">
        <f>ROUND(AVERAGEIFS([1]HOURLY_DATA!B46:B8829,[1]HOURLY_DATA!H46:H8829,Daily_AQI!A46),0)</f>
        <v>35</v>
      </c>
      <c r="C46">
        <f>ROUND(AVERAGEIFS([1]HOURLY_DATA!C46:C8829,[1]HOURLY_DATA!H46:H8829,Daily_AQI!A46),0)</f>
        <v>71</v>
      </c>
      <c r="D46">
        <f>ROUND(AVERAGEIFS([1]HOURLY_DATA!D46:D8829,[1]HOURLY_DATA!H46:H8829,Daily_AQI!A46),0)</f>
        <v>17</v>
      </c>
      <c r="E46">
        <f>ROUND(AVERAGEIFS([1]HOURLY_DATA!E46:E8829,[1]HOURLY_DATA!H46:H8829,Daily_AQI!A46),0)</f>
        <v>9</v>
      </c>
      <c r="F46">
        <f>ROUND(AVERAGEIFS([1]HOURLY_DATA!I46:I8829,[1]HOURLY_DATA!H46:H8829,Daily_AQI!A46),2)</f>
        <v>0.64</v>
      </c>
      <c r="G46">
        <f>ROUND(AVERAGEIFS([1]HOURLY_DATA!J46:J8829,[1]HOURLY_DATA!H46:H8829,Daily_AQI!A46),0)</f>
        <v>29</v>
      </c>
      <c r="H46">
        <f>ROUND(((_xlfn.XLOOKUP(B46,[1]!PM2.5[BLO],[1]!PM2.5[IHI],,-1) - _xlfn.XLOOKUP(B46,[1]!PM2.5[BLO],[1]!PM2.5[ILO],,-1))
/
(_xlfn.XLOOKUP(B46,[1]!PM2.5[BLO],[1]!PM2.5[BHI],,-1) - _xlfn.XLOOKUP(B46,[1]!PM2.5[BLO],[1]!PM2.5[BLO],,-1)))
*
(B46 - _xlfn.XLOOKUP(B46,[1]!PM2.5[BLO],[1]!PM2.5[BLO],,-1))
+
_xlfn.XLOOKUP(B46,[1]!PM2.5[BLO],[1]!PM2.5[ILO],,-1),2)</f>
        <v>57.76</v>
      </c>
      <c r="I46">
        <f>ROUND(((_xlfn.XLOOKUP(C46,[1]!PM_10[BLO],[1]!PM_10[IHI],,-1) - _xlfn.XLOOKUP(C46,[1]!PM_10[BLO],[1]!PM_10[ILO],,-1))
/
(_xlfn.XLOOKUP(C46,[1]!PM_10[BLO],[1]!PM_10[BHI],,-1) - _xlfn.XLOOKUP(C46,[1]!PM_10[BLO],[1]!PM_10[BLO],,-1)))
*
( C46 - _xlfn.XLOOKUP(C46,[1]!PM_10[BLO],[1]!PM_10[BLO],,-1))
+
_xlfn.XLOOKUP(C46,[1]!PM_10[BLO],[1]!PM_10[ILO],,-1),2)</f>
        <v>71</v>
      </c>
      <c r="J46">
        <f>ROUND((( _xlfn.XLOOKUP(D46,[1]!NO_2[BLO],[1]!NO_2[IHI],,-1) - _xlfn.XLOOKUP(D46,[1]!NO_2[BLO],[1]!NO_2[ILO],,-1))
/
( _xlfn.XLOOKUP(D46,[1]!NO_2[BLO],[1]!NO_2[BHI],,-1) - _xlfn.XLOOKUP(D46,[1]!NO_2[BLO],[1]!NO_2[BLO],,-1) ))
*
( D46 - _xlfn.XLOOKUP(D46,[1]!NO_2[BLO],[1]!NO_2[BLO],,-1))
+
_xlfn.XLOOKUP(D46,[1]!NO_2[BLO],[1]!NO_2[ILO],,-1),2)</f>
        <v>21.25</v>
      </c>
      <c r="K46">
        <f>ROUND(( ( _xlfn.XLOOKUP(E46,[1]!SO_2[BLO],[1]!SO_2[IHI],,-1)  - _xlfn.XLOOKUP(E46,[1]!SO_2[BLO],[1]!SO_2[ILO],,-1) )
/
( _xlfn.XLOOKUP(E46,[1]!SO_2[BLO],[1]!SO_2[BHI],,-1)- _xlfn.XLOOKUP(E46,[1]!SO_2[BLO],[1]!SO_2[BLO],,-1) ))
*
( E46 - _xlfn.XLOOKUP(E46,[1]!SO_2[BLO],[1]!SO_2[BLO],,-1) )
+
_xlfn.XLOOKUP(E46,[1]!SO_2[BLO],[1]!SO_2[ILO],,-1),2)</f>
        <v>11.25</v>
      </c>
      <c r="L46">
        <f>( ( _xlfn.XLOOKUP(F46,[1]!CO[BLO],[1]!CO[IHI],,-1)
- _xlfn.XLOOKUP(F46,[1]!CO[BLO],[1]!CO[ILO],,-1) )
/
( _xlfn.XLOOKUP(F46,[1]!CO[BLO],[1]!CO[BHI],,-1) - _xlfn.XLOOKUP(F46,[1]!CO[BLO],[1]!CO[BLO],,-1)))
*
( F46 - _xlfn.XLOOKUP(F46,[1]!CO[BLO],[1]!CO[BLO],,-1) )
+
_xlfn.XLOOKUP(F46,[1]!CO[BLO],[1]!CO[ILO],,-1)</f>
        <v>32</v>
      </c>
      <c r="M46">
        <f>(( _xlfn.XLOOKUP(G46,[1]!O_3[BLO],[1]!O_3[IHI],,-1) - _xlfn.XLOOKUP(G46,[1]!O_3[BLO],[1]!O_3[ILO],,-1))
/
( _xlfn.XLOOKUP(G46,[1]!O_3[BLO],[1]!O_3[BHI],,-1) - _xlfn.XLOOKUP(G46,[1]!O_3[BLO],[1]!O_3[BLO],,-1)))
*
( G46 - _xlfn.XLOOKUP(G46,[1]!O_3[BLO],[1]!O_3[BLO],,-1))
+
_xlfn.XLOOKUP(G46,[1]!O_3[BLO],[1]!O_3[ILO],,-1)</f>
        <v>29</v>
      </c>
      <c r="N46">
        <f>MAX(DAILY_DATA[[#This Row],[AQI_PM2.5]:[AQI_O3]])</f>
        <v>71</v>
      </c>
      <c r="O46" t="str">
        <f>_xlfn.XLOOKUP(DAILY_DATA[[#This Row],[OVERALL_AQI]],[1]!CATEGORY[AQI_LO],[1]!CATEGORY[CATEGORY],,-1)</f>
        <v>Satisfactory</v>
      </c>
      <c r="P46" t="str" cm="1">
        <f t="array" ref="P46">INDEX(
{"PM2.5","PM10","NO2","SO2","CO","O3"},
MATCH(N46,H46:M46,0)
)</f>
        <v>PM10</v>
      </c>
    </row>
    <row r="47" spans="1:16" x14ac:dyDescent="0.25">
      <c r="A47" s="4">
        <v>45337</v>
      </c>
      <c r="B47">
        <f>ROUND(AVERAGEIFS([1]HOURLY_DATA!B47:B8830,[1]HOURLY_DATA!H47:H8830,Daily_AQI!A47),0)</f>
        <v>37</v>
      </c>
      <c r="C47">
        <f>ROUND(AVERAGEIFS([1]HOURLY_DATA!C47:C8830,[1]HOURLY_DATA!H47:H8830,Daily_AQI!A47),0)</f>
        <v>75</v>
      </c>
      <c r="D47">
        <f>ROUND(AVERAGEIFS([1]HOURLY_DATA!D47:D8830,[1]HOURLY_DATA!H47:H8830,Daily_AQI!A47),0)</f>
        <v>18</v>
      </c>
      <c r="E47">
        <f>ROUND(AVERAGEIFS([1]HOURLY_DATA!E47:E8830,[1]HOURLY_DATA!H47:H8830,Daily_AQI!A47),0)</f>
        <v>9</v>
      </c>
      <c r="F47">
        <f>ROUND(AVERAGEIFS([1]HOURLY_DATA!I47:I8830,[1]HOURLY_DATA!H47:H8830,Daily_AQI!A47),2)</f>
        <v>0.69</v>
      </c>
      <c r="G47">
        <f>ROUND(AVERAGEIFS([1]HOURLY_DATA!J47:J8830,[1]HOURLY_DATA!H47:H8830,Daily_AQI!A47),0)</f>
        <v>33</v>
      </c>
      <c r="H47">
        <f>ROUND(((_xlfn.XLOOKUP(B47,[1]!PM2.5[BLO],[1]!PM2.5[IHI],,-1) - _xlfn.XLOOKUP(B47,[1]!PM2.5[BLO],[1]!PM2.5[ILO],,-1))
/
(_xlfn.XLOOKUP(B47,[1]!PM2.5[BLO],[1]!PM2.5[BHI],,-1) - _xlfn.XLOOKUP(B47,[1]!PM2.5[BLO],[1]!PM2.5[BLO],,-1)))
*
(B47 - _xlfn.XLOOKUP(B47,[1]!PM2.5[BLO],[1]!PM2.5[BLO],,-1))
+
_xlfn.XLOOKUP(B47,[1]!PM2.5[BLO],[1]!PM2.5[ILO],,-1),2)</f>
        <v>61.14</v>
      </c>
      <c r="I47">
        <f>ROUND(((_xlfn.XLOOKUP(C47,[1]!PM_10[BLO],[1]!PM_10[IHI],,-1) - _xlfn.XLOOKUP(C47,[1]!PM_10[BLO],[1]!PM_10[ILO],,-1))
/
(_xlfn.XLOOKUP(C47,[1]!PM_10[BLO],[1]!PM_10[BHI],,-1) - _xlfn.XLOOKUP(C47,[1]!PM_10[BLO],[1]!PM_10[BLO],,-1)))
*
( C47 - _xlfn.XLOOKUP(C47,[1]!PM_10[BLO],[1]!PM_10[BLO],,-1))
+
_xlfn.XLOOKUP(C47,[1]!PM_10[BLO],[1]!PM_10[ILO],,-1),2)</f>
        <v>75</v>
      </c>
      <c r="J47">
        <f>ROUND((( _xlfn.XLOOKUP(D47,[1]!NO_2[BLO],[1]!NO_2[IHI],,-1) - _xlfn.XLOOKUP(D47,[1]!NO_2[BLO],[1]!NO_2[ILO],,-1))
/
( _xlfn.XLOOKUP(D47,[1]!NO_2[BLO],[1]!NO_2[BHI],,-1) - _xlfn.XLOOKUP(D47,[1]!NO_2[BLO],[1]!NO_2[BLO],,-1) ))
*
( D47 - _xlfn.XLOOKUP(D47,[1]!NO_2[BLO],[1]!NO_2[BLO],,-1))
+
_xlfn.XLOOKUP(D47,[1]!NO_2[BLO],[1]!NO_2[ILO],,-1),2)</f>
        <v>22.5</v>
      </c>
      <c r="K47">
        <f>ROUND(( ( _xlfn.XLOOKUP(E47,[1]!SO_2[BLO],[1]!SO_2[IHI],,-1)  - _xlfn.XLOOKUP(E47,[1]!SO_2[BLO],[1]!SO_2[ILO],,-1) )
/
( _xlfn.XLOOKUP(E47,[1]!SO_2[BLO],[1]!SO_2[BHI],,-1)- _xlfn.XLOOKUP(E47,[1]!SO_2[BLO],[1]!SO_2[BLO],,-1) ))
*
( E47 - _xlfn.XLOOKUP(E47,[1]!SO_2[BLO],[1]!SO_2[BLO],,-1) )
+
_xlfn.XLOOKUP(E47,[1]!SO_2[BLO],[1]!SO_2[ILO],,-1),2)</f>
        <v>11.25</v>
      </c>
      <c r="L47">
        <f>( ( _xlfn.XLOOKUP(F47,[1]!CO[BLO],[1]!CO[IHI],,-1)
- _xlfn.XLOOKUP(F47,[1]!CO[BLO],[1]!CO[ILO],,-1) )
/
( _xlfn.XLOOKUP(F47,[1]!CO[BLO],[1]!CO[BHI],,-1) - _xlfn.XLOOKUP(F47,[1]!CO[BLO],[1]!CO[BLO],,-1)))
*
( F47 - _xlfn.XLOOKUP(F47,[1]!CO[BLO],[1]!CO[BLO],,-1) )
+
_xlfn.XLOOKUP(F47,[1]!CO[BLO],[1]!CO[ILO],,-1)</f>
        <v>34.5</v>
      </c>
      <c r="M47">
        <f>(( _xlfn.XLOOKUP(G47,[1]!O_3[BLO],[1]!O_3[IHI],,-1) - _xlfn.XLOOKUP(G47,[1]!O_3[BLO],[1]!O_3[ILO],,-1))
/
( _xlfn.XLOOKUP(G47,[1]!O_3[BLO],[1]!O_3[BHI],,-1) - _xlfn.XLOOKUP(G47,[1]!O_3[BLO],[1]!O_3[BLO],,-1)))
*
( G47 - _xlfn.XLOOKUP(G47,[1]!O_3[BLO],[1]!O_3[BLO],,-1))
+
_xlfn.XLOOKUP(G47,[1]!O_3[BLO],[1]!O_3[ILO],,-1)</f>
        <v>33</v>
      </c>
      <c r="N47">
        <f>MAX(DAILY_DATA[[#This Row],[AQI_PM2.5]:[AQI_O3]])</f>
        <v>75</v>
      </c>
      <c r="O47" t="str">
        <f>_xlfn.XLOOKUP(DAILY_DATA[[#This Row],[OVERALL_AQI]],[1]!CATEGORY[AQI_LO],[1]!CATEGORY[CATEGORY],,-1)</f>
        <v>Satisfactory</v>
      </c>
      <c r="P47" t="str" cm="1">
        <f t="array" ref="P47">INDEX(
{"PM2.5","PM10","NO2","SO2","CO","O3"},
MATCH(N47,H47:M47,0)
)</f>
        <v>PM10</v>
      </c>
    </row>
    <row r="48" spans="1:16" x14ac:dyDescent="0.25">
      <c r="A48" s="4">
        <v>45338</v>
      </c>
      <c r="B48">
        <f>ROUND(AVERAGEIFS([1]HOURLY_DATA!B48:B8831,[1]HOURLY_DATA!H48:H8831,Daily_AQI!A48),0)</f>
        <v>38</v>
      </c>
      <c r="C48">
        <f>ROUND(AVERAGEIFS([1]HOURLY_DATA!C48:C8831,[1]HOURLY_DATA!H48:H8831,Daily_AQI!A48),0)</f>
        <v>74</v>
      </c>
      <c r="D48">
        <f>ROUND(AVERAGEIFS([1]HOURLY_DATA!D48:D8831,[1]HOURLY_DATA!H48:H8831,Daily_AQI!A48),0)</f>
        <v>18</v>
      </c>
      <c r="E48">
        <f>ROUND(AVERAGEIFS([1]HOURLY_DATA!E48:E8831,[1]HOURLY_DATA!H48:H8831,Daily_AQI!A48),0)</f>
        <v>9</v>
      </c>
      <c r="F48">
        <f>ROUND(AVERAGEIFS([1]HOURLY_DATA!I48:I8831,[1]HOURLY_DATA!H48:H8831,Daily_AQI!A48),2)</f>
        <v>0.69</v>
      </c>
      <c r="G48">
        <f>ROUND(AVERAGEIFS([1]HOURLY_DATA!J48:J8831,[1]HOURLY_DATA!H48:H8831,Daily_AQI!A48),0)</f>
        <v>33</v>
      </c>
      <c r="H48">
        <f>ROUND(((_xlfn.XLOOKUP(B48,[1]!PM2.5[BLO],[1]!PM2.5[IHI],,-1) - _xlfn.XLOOKUP(B48,[1]!PM2.5[BLO],[1]!PM2.5[ILO],,-1))
/
(_xlfn.XLOOKUP(B48,[1]!PM2.5[BLO],[1]!PM2.5[BHI],,-1) - _xlfn.XLOOKUP(B48,[1]!PM2.5[BLO],[1]!PM2.5[BLO],,-1)))
*
(B48 - _xlfn.XLOOKUP(B48,[1]!PM2.5[BLO],[1]!PM2.5[BLO],,-1))
+
_xlfn.XLOOKUP(B48,[1]!PM2.5[BLO],[1]!PM2.5[ILO],,-1),2)</f>
        <v>62.83</v>
      </c>
      <c r="I48">
        <f>ROUND(((_xlfn.XLOOKUP(C48,[1]!PM_10[BLO],[1]!PM_10[IHI],,-1) - _xlfn.XLOOKUP(C48,[1]!PM_10[BLO],[1]!PM_10[ILO],,-1))
/
(_xlfn.XLOOKUP(C48,[1]!PM_10[BLO],[1]!PM_10[BHI],,-1) - _xlfn.XLOOKUP(C48,[1]!PM_10[BLO],[1]!PM_10[BLO],,-1)))
*
( C48 - _xlfn.XLOOKUP(C48,[1]!PM_10[BLO],[1]!PM_10[BLO],,-1))
+
_xlfn.XLOOKUP(C48,[1]!PM_10[BLO],[1]!PM_10[ILO],,-1),2)</f>
        <v>74</v>
      </c>
      <c r="J48">
        <f>ROUND((( _xlfn.XLOOKUP(D48,[1]!NO_2[BLO],[1]!NO_2[IHI],,-1) - _xlfn.XLOOKUP(D48,[1]!NO_2[BLO],[1]!NO_2[ILO],,-1))
/
( _xlfn.XLOOKUP(D48,[1]!NO_2[BLO],[1]!NO_2[BHI],,-1) - _xlfn.XLOOKUP(D48,[1]!NO_2[BLO],[1]!NO_2[BLO],,-1) ))
*
( D48 - _xlfn.XLOOKUP(D48,[1]!NO_2[BLO],[1]!NO_2[BLO],,-1))
+
_xlfn.XLOOKUP(D48,[1]!NO_2[BLO],[1]!NO_2[ILO],,-1),2)</f>
        <v>22.5</v>
      </c>
      <c r="K48">
        <f>ROUND(( ( _xlfn.XLOOKUP(E48,[1]!SO_2[BLO],[1]!SO_2[IHI],,-1)  - _xlfn.XLOOKUP(E48,[1]!SO_2[BLO],[1]!SO_2[ILO],,-1) )
/
( _xlfn.XLOOKUP(E48,[1]!SO_2[BLO],[1]!SO_2[BHI],,-1)- _xlfn.XLOOKUP(E48,[1]!SO_2[BLO],[1]!SO_2[BLO],,-1) ))
*
( E48 - _xlfn.XLOOKUP(E48,[1]!SO_2[BLO],[1]!SO_2[BLO],,-1) )
+
_xlfn.XLOOKUP(E48,[1]!SO_2[BLO],[1]!SO_2[ILO],,-1),2)</f>
        <v>11.25</v>
      </c>
      <c r="L48">
        <f>( ( _xlfn.XLOOKUP(F48,[1]!CO[BLO],[1]!CO[IHI],,-1)
- _xlfn.XLOOKUP(F48,[1]!CO[BLO],[1]!CO[ILO],,-1) )
/
( _xlfn.XLOOKUP(F48,[1]!CO[BLO],[1]!CO[BHI],,-1) - _xlfn.XLOOKUP(F48,[1]!CO[BLO],[1]!CO[BLO],,-1)))
*
( F48 - _xlfn.XLOOKUP(F48,[1]!CO[BLO],[1]!CO[BLO],,-1) )
+
_xlfn.XLOOKUP(F48,[1]!CO[BLO],[1]!CO[ILO],,-1)</f>
        <v>34.5</v>
      </c>
      <c r="M48">
        <f>(( _xlfn.XLOOKUP(G48,[1]!O_3[BLO],[1]!O_3[IHI],,-1) - _xlfn.XLOOKUP(G48,[1]!O_3[BLO],[1]!O_3[ILO],,-1))
/
( _xlfn.XLOOKUP(G48,[1]!O_3[BLO],[1]!O_3[BHI],,-1) - _xlfn.XLOOKUP(G48,[1]!O_3[BLO],[1]!O_3[BLO],,-1)))
*
( G48 - _xlfn.XLOOKUP(G48,[1]!O_3[BLO],[1]!O_3[BLO],,-1))
+
_xlfn.XLOOKUP(G48,[1]!O_3[BLO],[1]!O_3[ILO],,-1)</f>
        <v>33</v>
      </c>
      <c r="N48">
        <f>MAX(DAILY_DATA[[#This Row],[AQI_PM2.5]:[AQI_O3]])</f>
        <v>74</v>
      </c>
      <c r="O48" t="str">
        <f>_xlfn.XLOOKUP(DAILY_DATA[[#This Row],[OVERALL_AQI]],[1]!CATEGORY[AQI_LO],[1]!CATEGORY[CATEGORY],,-1)</f>
        <v>Satisfactory</v>
      </c>
      <c r="P48" t="str" cm="1">
        <f t="array" ref="P48">INDEX(
{"PM2.5","PM10","NO2","SO2","CO","O3"},
MATCH(N48,H48:M48,0)
)</f>
        <v>PM10</v>
      </c>
    </row>
    <row r="49" spans="1:16" x14ac:dyDescent="0.25">
      <c r="A49" s="4">
        <v>45339</v>
      </c>
      <c r="B49">
        <f>ROUND(AVERAGEIFS([1]HOURLY_DATA!B49:B8832,[1]HOURLY_DATA!H49:H8832,Daily_AQI!A49),0)</f>
        <v>38</v>
      </c>
      <c r="C49">
        <f>ROUND(AVERAGEIFS([1]HOURLY_DATA!C49:C8832,[1]HOURLY_DATA!H49:H8832,Daily_AQI!A49),0)</f>
        <v>76</v>
      </c>
      <c r="D49">
        <f>ROUND(AVERAGEIFS([1]HOURLY_DATA!D49:D8832,[1]HOURLY_DATA!H49:H8832,Daily_AQI!A49),0)</f>
        <v>17</v>
      </c>
      <c r="E49">
        <f>ROUND(AVERAGEIFS([1]HOURLY_DATA!E49:E8832,[1]HOURLY_DATA!H49:H8832,Daily_AQI!A49),0)</f>
        <v>9</v>
      </c>
      <c r="F49">
        <f>ROUND(AVERAGEIFS([1]HOURLY_DATA!I49:I8832,[1]HOURLY_DATA!H49:H8832,Daily_AQI!A49),2)</f>
        <v>0.66</v>
      </c>
      <c r="G49">
        <f>ROUND(AVERAGEIFS([1]HOURLY_DATA!J49:J8832,[1]HOURLY_DATA!H49:H8832,Daily_AQI!A49),0)</f>
        <v>33</v>
      </c>
      <c r="H49">
        <f>ROUND(((_xlfn.XLOOKUP(B49,[1]!PM2.5[BLO],[1]!PM2.5[IHI],,-1) - _xlfn.XLOOKUP(B49,[1]!PM2.5[BLO],[1]!PM2.5[ILO],,-1))
/
(_xlfn.XLOOKUP(B49,[1]!PM2.5[BLO],[1]!PM2.5[BHI],,-1) - _xlfn.XLOOKUP(B49,[1]!PM2.5[BLO],[1]!PM2.5[BLO],,-1)))
*
(B49 - _xlfn.XLOOKUP(B49,[1]!PM2.5[BLO],[1]!PM2.5[BLO],,-1))
+
_xlfn.XLOOKUP(B49,[1]!PM2.5[BLO],[1]!PM2.5[ILO],,-1),2)</f>
        <v>62.83</v>
      </c>
      <c r="I49">
        <f>ROUND(((_xlfn.XLOOKUP(C49,[1]!PM_10[BLO],[1]!PM_10[IHI],,-1) - _xlfn.XLOOKUP(C49,[1]!PM_10[BLO],[1]!PM_10[ILO],,-1))
/
(_xlfn.XLOOKUP(C49,[1]!PM_10[BLO],[1]!PM_10[BHI],,-1) - _xlfn.XLOOKUP(C49,[1]!PM_10[BLO],[1]!PM_10[BLO],,-1)))
*
( C49 - _xlfn.XLOOKUP(C49,[1]!PM_10[BLO],[1]!PM_10[BLO],,-1))
+
_xlfn.XLOOKUP(C49,[1]!PM_10[BLO],[1]!PM_10[ILO],,-1),2)</f>
        <v>76</v>
      </c>
      <c r="J49">
        <f>ROUND((( _xlfn.XLOOKUP(D49,[1]!NO_2[BLO],[1]!NO_2[IHI],,-1) - _xlfn.XLOOKUP(D49,[1]!NO_2[BLO],[1]!NO_2[ILO],,-1))
/
( _xlfn.XLOOKUP(D49,[1]!NO_2[BLO],[1]!NO_2[BHI],,-1) - _xlfn.XLOOKUP(D49,[1]!NO_2[BLO],[1]!NO_2[BLO],,-1) ))
*
( D49 - _xlfn.XLOOKUP(D49,[1]!NO_2[BLO],[1]!NO_2[BLO],,-1))
+
_xlfn.XLOOKUP(D49,[1]!NO_2[BLO],[1]!NO_2[ILO],,-1),2)</f>
        <v>21.25</v>
      </c>
      <c r="K49">
        <f>ROUND(( ( _xlfn.XLOOKUP(E49,[1]!SO_2[BLO],[1]!SO_2[IHI],,-1)  - _xlfn.XLOOKUP(E49,[1]!SO_2[BLO],[1]!SO_2[ILO],,-1) )
/
( _xlfn.XLOOKUP(E49,[1]!SO_2[BLO],[1]!SO_2[BHI],,-1)- _xlfn.XLOOKUP(E49,[1]!SO_2[BLO],[1]!SO_2[BLO],,-1) ))
*
( E49 - _xlfn.XLOOKUP(E49,[1]!SO_2[BLO],[1]!SO_2[BLO],,-1) )
+
_xlfn.XLOOKUP(E49,[1]!SO_2[BLO],[1]!SO_2[ILO],,-1),2)</f>
        <v>11.25</v>
      </c>
      <c r="L49">
        <f>( ( _xlfn.XLOOKUP(F49,[1]!CO[BLO],[1]!CO[IHI],,-1)
- _xlfn.XLOOKUP(F49,[1]!CO[BLO],[1]!CO[ILO],,-1) )
/
( _xlfn.XLOOKUP(F49,[1]!CO[BLO],[1]!CO[BHI],,-1) - _xlfn.XLOOKUP(F49,[1]!CO[BLO],[1]!CO[BLO],,-1)))
*
( F49 - _xlfn.XLOOKUP(F49,[1]!CO[BLO],[1]!CO[BLO],,-1) )
+
_xlfn.XLOOKUP(F49,[1]!CO[BLO],[1]!CO[ILO],,-1)</f>
        <v>33</v>
      </c>
      <c r="M49">
        <f>(( _xlfn.XLOOKUP(G49,[1]!O_3[BLO],[1]!O_3[IHI],,-1) - _xlfn.XLOOKUP(G49,[1]!O_3[BLO],[1]!O_3[ILO],,-1))
/
( _xlfn.XLOOKUP(G49,[1]!O_3[BLO],[1]!O_3[BHI],,-1) - _xlfn.XLOOKUP(G49,[1]!O_3[BLO],[1]!O_3[BLO],,-1)))
*
( G49 - _xlfn.XLOOKUP(G49,[1]!O_3[BLO],[1]!O_3[BLO],,-1))
+
_xlfn.XLOOKUP(G49,[1]!O_3[BLO],[1]!O_3[ILO],,-1)</f>
        <v>33</v>
      </c>
      <c r="N49">
        <f>MAX(DAILY_DATA[[#This Row],[AQI_PM2.5]:[AQI_O3]])</f>
        <v>76</v>
      </c>
      <c r="O49" t="str">
        <f>_xlfn.XLOOKUP(DAILY_DATA[[#This Row],[OVERALL_AQI]],[1]!CATEGORY[AQI_LO],[1]!CATEGORY[CATEGORY],,-1)</f>
        <v>Satisfactory</v>
      </c>
      <c r="P49" t="str" cm="1">
        <f t="array" ref="P49">INDEX(
{"PM2.5","PM10","NO2","SO2","CO","O3"},
MATCH(N49,H49:M49,0)
)</f>
        <v>PM10</v>
      </c>
    </row>
    <row r="50" spans="1:16" x14ac:dyDescent="0.25">
      <c r="A50" s="4">
        <v>45340</v>
      </c>
      <c r="B50">
        <f>ROUND(AVERAGEIFS([1]HOURLY_DATA!B50:B8833,[1]HOURLY_DATA!H50:H8833,Daily_AQI!A50),0)</f>
        <v>41</v>
      </c>
      <c r="C50">
        <f>ROUND(AVERAGEIFS([1]HOURLY_DATA!C50:C8833,[1]HOURLY_DATA!H50:H8833,Daily_AQI!A50),0)</f>
        <v>83</v>
      </c>
      <c r="D50">
        <f>ROUND(AVERAGEIFS([1]HOURLY_DATA!D50:D8833,[1]HOURLY_DATA!H50:H8833,Daily_AQI!A50),0)</f>
        <v>17</v>
      </c>
      <c r="E50">
        <f>ROUND(AVERAGEIFS([1]HOURLY_DATA!E50:E8833,[1]HOURLY_DATA!H50:H8833,Daily_AQI!A50),0)</f>
        <v>9</v>
      </c>
      <c r="F50">
        <f>ROUND(AVERAGEIFS([1]HOURLY_DATA!I50:I8833,[1]HOURLY_DATA!H50:H8833,Daily_AQI!A50),2)</f>
        <v>0.68</v>
      </c>
      <c r="G50">
        <f>ROUND(AVERAGEIFS([1]HOURLY_DATA!J50:J8833,[1]HOURLY_DATA!H50:H8833,Daily_AQI!A50),0)</f>
        <v>36</v>
      </c>
      <c r="H50">
        <f>ROUND(((_xlfn.XLOOKUP(B50,[1]!PM2.5[BLO],[1]!PM2.5[IHI],,-1) - _xlfn.XLOOKUP(B50,[1]!PM2.5[BLO],[1]!PM2.5[ILO],,-1))
/
(_xlfn.XLOOKUP(B50,[1]!PM2.5[BLO],[1]!PM2.5[BHI],,-1) - _xlfn.XLOOKUP(B50,[1]!PM2.5[BLO],[1]!PM2.5[BLO],,-1)))
*
(B50 - _xlfn.XLOOKUP(B50,[1]!PM2.5[BLO],[1]!PM2.5[BLO],,-1))
+
_xlfn.XLOOKUP(B50,[1]!PM2.5[BLO],[1]!PM2.5[ILO],,-1),2)</f>
        <v>67.900000000000006</v>
      </c>
      <c r="I50">
        <f>ROUND(((_xlfn.XLOOKUP(C50,[1]!PM_10[BLO],[1]!PM_10[IHI],,-1) - _xlfn.XLOOKUP(C50,[1]!PM_10[BLO],[1]!PM_10[ILO],,-1))
/
(_xlfn.XLOOKUP(C50,[1]!PM_10[BLO],[1]!PM_10[BHI],,-1) - _xlfn.XLOOKUP(C50,[1]!PM_10[BLO],[1]!PM_10[BLO],,-1)))
*
( C50 - _xlfn.XLOOKUP(C50,[1]!PM_10[BLO],[1]!PM_10[BLO],,-1))
+
_xlfn.XLOOKUP(C50,[1]!PM_10[BLO],[1]!PM_10[ILO],,-1),2)</f>
        <v>83</v>
      </c>
      <c r="J50">
        <f>ROUND((( _xlfn.XLOOKUP(D50,[1]!NO_2[BLO],[1]!NO_2[IHI],,-1) - _xlfn.XLOOKUP(D50,[1]!NO_2[BLO],[1]!NO_2[ILO],,-1))
/
( _xlfn.XLOOKUP(D50,[1]!NO_2[BLO],[1]!NO_2[BHI],,-1) - _xlfn.XLOOKUP(D50,[1]!NO_2[BLO],[1]!NO_2[BLO],,-1) ))
*
( D50 - _xlfn.XLOOKUP(D50,[1]!NO_2[BLO],[1]!NO_2[BLO],,-1))
+
_xlfn.XLOOKUP(D50,[1]!NO_2[BLO],[1]!NO_2[ILO],,-1),2)</f>
        <v>21.25</v>
      </c>
      <c r="K50">
        <f>ROUND(( ( _xlfn.XLOOKUP(E50,[1]!SO_2[BLO],[1]!SO_2[IHI],,-1)  - _xlfn.XLOOKUP(E50,[1]!SO_2[BLO],[1]!SO_2[ILO],,-1) )
/
( _xlfn.XLOOKUP(E50,[1]!SO_2[BLO],[1]!SO_2[BHI],,-1)- _xlfn.XLOOKUP(E50,[1]!SO_2[BLO],[1]!SO_2[BLO],,-1) ))
*
( E50 - _xlfn.XLOOKUP(E50,[1]!SO_2[BLO],[1]!SO_2[BLO],,-1) )
+
_xlfn.XLOOKUP(E50,[1]!SO_2[BLO],[1]!SO_2[ILO],,-1),2)</f>
        <v>11.25</v>
      </c>
      <c r="L50">
        <f>( ( _xlfn.XLOOKUP(F50,[1]!CO[BLO],[1]!CO[IHI],,-1)
- _xlfn.XLOOKUP(F50,[1]!CO[BLO],[1]!CO[ILO],,-1) )
/
( _xlfn.XLOOKUP(F50,[1]!CO[BLO],[1]!CO[BHI],,-1) - _xlfn.XLOOKUP(F50,[1]!CO[BLO],[1]!CO[BLO],,-1)))
*
( F50 - _xlfn.XLOOKUP(F50,[1]!CO[BLO],[1]!CO[BLO],,-1) )
+
_xlfn.XLOOKUP(F50,[1]!CO[BLO],[1]!CO[ILO],,-1)</f>
        <v>34</v>
      </c>
      <c r="M50">
        <f>(( _xlfn.XLOOKUP(G50,[1]!O_3[BLO],[1]!O_3[IHI],,-1) - _xlfn.XLOOKUP(G50,[1]!O_3[BLO],[1]!O_3[ILO],,-1))
/
( _xlfn.XLOOKUP(G50,[1]!O_3[BLO],[1]!O_3[BHI],,-1) - _xlfn.XLOOKUP(G50,[1]!O_3[BLO],[1]!O_3[BLO],,-1)))
*
( G50 - _xlfn.XLOOKUP(G50,[1]!O_3[BLO],[1]!O_3[BLO],,-1))
+
_xlfn.XLOOKUP(G50,[1]!O_3[BLO],[1]!O_3[ILO],,-1)</f>
        <v>36</v>
      </c>
      <c r="N50">
        <f>MAX(DAILY_DATA[[#This Row],[AQI_PM2.5]:[AQI_O3]])</f>
        <v>83</v>
      </c>
      <c r="O50" t="str">
        <f>_xlfn.XLOOKUP(DAILY_DATA[[#This Row],[OVERALL_AQI]],[1]!CATEGORY[AQI_LO],[1]!CATEGORY[CATEGORY],,-1)</f>
        <v>Satisfactory</v>
      </c>
      <c r="P50" t="str" cm="1">
        <f t="array" ref="P50">INDEX(
{"PM2.5","PM10","NO2","SO2","CO","O3"},
MATCH(N50,H50:M50,0)
)</f>
        <v>PM10</v>
      </c>
    </row>
    <row r="51" spans="1:16" x14ac:dyDescent="0.25">
      <c r="A51" s="4">
        <v>45341</v>
      </c>
      <c r="B51">
        <f>ROUND(AVERAGEIFS([1]HOURLY_DATA!B51:B8834,[1]HOURLY_DATA!H51:H8834,Daily_AQI!A51),0)</f>
        <v>38</v>
      </c>
      <c r="C51">
        <f>ROUND(AVERAGEIFS([1]HOURLY_DATA!C51:C8834,[1]HOURLY_DATA!H51:H8834,Daily_AQI!A51),0)</f>
        <v>75</v>
      </c>
      <c r="D51">
        <f>ROUND(AVERAGEIFS([1]HOURLY_DATA!D51:D8834,[1]HOURLY_DATA!H51:H8834,Daily_AQI!A51),0)</f>
        <v>16</v>
      </c>
      <c r="E51">
        <f>ROUND(AVERAGEIFS([1]HOURLY_DATA!E51:E8834,[1]HOURLY_DATA!H51:H8834,Daily_AQI!A51),0)</f>
        <v>8</v>
      </c>
      <c r="F51">
        <f>ROUND(AVERAGEIFS([1]HOURLY_DATA!I51:I8834,[1]HOURLY_DATA!H51:H8834,Daily_AQI!A51),2)</f>
        <v>0.69</v>
      </c>
      <c r="G51">
        <f>ROUND(AVERAGEIFS([1]HOURLY_DATA!J51:J8834,[1]HOURLY_DATA!H51:H8834,Daily_AQI!A51),0)</f>
        <v>35</v>
      </c>
      <c r="H51">
        <f>ROUND(((_xlfn.XLOOKUP(B51,[1]!PM2.5[BLO],[1]!PM2.5[IHI],,-1) - _xlfn.XLOOKUP(B51,[1]!PM2.5[BLO],[1]!PM2.5[ILO],,-1))
/
(_xlfn.XLOOKUP(B51,[1]!PM2.5[BLO],[1]!PM2.5[BHI],,-1) - _xlfn.XLOOKUP(B51,[1]!PM2.5[BLO],[1]!PM2.5[BLO],,-1)))
*
(B51 - _xlfn.XLOOKUP(B51,[1]!PM2.5[BLO],[1]!PM2.5[BLO],,-1))
+
_xlfn.XLOOKUP(B51,[1]!PM2.5[BLO],[1]!PM2.5[ILO],,-1),2)</f>
        <v>62.83</v>
      </c>
      <c r="I51">
        <f>ROUND(((_xlfn.XLOOKUP(C51,[1]!PM_10[BLO],[1]!PM_10[IHI],,-1) - _xlfn.XLOOKUP(C51,[1]!PM_10[BLO],[1]!PM_10[ILO],,-1))
/
(_xlfn.XLOOKUP(C51,[1]!PM_10[BLO],[1]!PM_10[BHI],,-1) - _xlfn.XLOOKUP(C51,[1]!PM_10[BLO],[1]!PM_10[BLO],,-1)))
*
( C51 - _xlfn.XLOOKUP(C51,[1]!PM_10[BLO],[1]!PM_10[BLO],,-1))
+
_xlfn.XLOOKUP(C51,[1]!PM_10[BLO],[1]!PM_10[ILO],,-1),2)</f>
        <v>75</v>
      </c>
      <c r="J51">
        <f>ROUND((( _xlfn.XLOOKUP(D51,[1]!NO_2[BLO],[1]!NO_2[IHI],,-1) - _xlfn.XLOOKUP(D51,[1]!NO_2[BLO],[1]!NO_2[ILO],,-1))
/
( _xlfn.XLOOKUP(D51,[1]!NO_2[BLO],[1]!NO_2[BHI],,-1) - _xlfn.XLOOKUP(D51,[1]!NO_2[BLO],[1]!NO_2[BLO],,-1) ))
*
( D51 - _xlfn.XLOOKUP(D51,[1]!NO_2[BLO],[1]!NO_2[BLO],,-1))
+
_xlfn.XLOOKUP(D51,[1]!NO_2[BLO],[1]!NO_2[ILO],,-1),2)</f>
        <v>20</v>
      </c>
      <c r="K51">
        <f>ROUND(( ( _xlfn.XLOOKUP(E51,[1]!SO_2[BLO],[1]!SO_2[IHI],,-1)  - _xlfn.XLOOKUP(E51,[1]!SO_2[BLO],[1]!SO_2[ILO],,-1) )
/
( _xlfn.XLOOKUP(E51,[1]!SO_2[BLO],[1]!SO_2[BHI],,-1)- _xlfn.XLOOKUP(E51,[1]!SO_2[BLO],[1]!SO_2[BLO],,-1) ))
*
( E51 - _xlfn.XLOOKUP(E51,[1]!SO_2[BLO],[1]!SO_2[BLO],,-1) )
+
_xlfn.XLOOKUP(E51,[1]!SO_2[BLO],[1]!SO_2[ILO],,-1),2)</f>
        <v>10</v>
      </c>
      <c r="L51">
        <f>( ( _xlfn.XLOOKUP(F51,[1]!CO[BLO],[1]!CO[IHI],,-1)
- _xlfn.XLOOKUP(F51,[1]!CO[BLO],[1]!CO[ILO],,-1) )
/
( _xlfn.XLOOKUP(F51,[1]!CO[BLO],[1]!CO[BHI],,-1) - _xlfn.XLOOKUP(F51,[1]!CO[BLO],[1]!CO[BLO],,-1)))
*
( F51 - _xlfn.XLOOKUP(F51,[1]!CO[BLO],[1]!CO[BLO],,-1) )
+
_xlfn.XLOOKUP(F51,[1]!CO[BLO],[1]!CO[ILO],,-1)</f>
        <v>34.5</v>
      </c>
      <c r="M51">
        <f>(( _xlfn.XLOOKUP(G51,[1]!O_3[BLO],[1]!O_3[IHI],,-1) - _xlfn.XLOOKUP(G51,[1]!O_3[BLO],[1]!O_3[ILO],,-1))
/
( _xlfn.XLOOKUP(G51,[1]!O_3[BLO],[1]!O_3[BHI],,-1) - _xlfn.XLOOKUP(G51,[1]!O_3[BLO],[1]!O_3[BLO],,-1)))
*
( G51 - _xlfn.XLOOKUP(G51,[1]!O_3[BLO],[1]!O_3[BLO],,-1))
+
_xlfn.XLOOKUP(G51,[1]!O_3[BLO],[1]!O_3[ILO],,-1)</f>
        <v>35</v>
      </c>
      <c r="N51">
        <f>MAX(DAILY_DATA[[#This Row],[AQI_PM2.5]:[AQI_O3]])</f>
        <v>75</v>
      </c>
      <c r="O51" t="str">
        <f>_xlfn.XLOOKUP(DAILY_DATA[[#This Row],[OVERALL_AQI]],[1]!CATEGORY[AQI_LO],[1]!CATEGORY[CATEGORY],,-1)</f>
        <v>Satisfactory</v>
      </c>
      <c r="P51" t="str" cm="1">
        <f t="array" ref="P51">INDEX(
{"PM2.5","PM10","NO2","SO2","CO","O3"},
MATCH(N51,H51:M51,0)
)</f>
        <v>PM10</v>
      </c>
    </row>
    <row r="52" spans="1:16" x14ac:dyDescent="0.25">
      <c r="A52" s="4">
        <v>45342</v>
      </c>
      <c r="B52">
        <f>ROUND(AVERAGEIFS([1]HOURLY_DATA!B52:B8835,[1]HOURLY_DATA!H52:H8835,Daily_AQI!A52),0)</f>
        <v>45</v>
      </c>
      <c r="C52">
        <f>ROUND(AVERAGEIFS([1]HOURLY_DATA!C52:C8835,[1]HOURLY_DATA!H52:H8835,Daily_AQI!A52),0)</f>
        <v>92</v>
      </c>
      <c r="D52">
        <f>ROUND(AVERAGEIFS([1]HOURLY_DATA!D52:D8835,[1]HOURLY_DATA!H52:H8835,Daily_AQI!A52),0)</f>
        <v>18</v>
      </c>
      <c r="E52">
        <f>ROUND(AVERAGEIFS([1]HOURLY_DATA!E52:E8835,[1]HOURLY_DATA!H52:H8835,Daily_AQI!A52),0)</f>
        <v>9</v>
      </c>
      <c r="F52">
        <f>ROUND(AVERAGEIFS([1]HOURLY_DATA!I52:I8835,[1]HOURLY_DATA!H52:H8835,Daily_AQI!A52),2)</f>
        <v>0.72</v>
      </c>
      <c r="G52">
        <f>ROUND(AVERAGEIFS([1]HOURLY_DATA!J52:J8835,[1]HOURLY_DATA!H52:H8835,Daily_AQI!A52),0)</f>
        <v>34</v>
      </c>
      <c r="H52">
        <f>ROUND(((_xlfn.XLOOKUP(B52,[1]!PM2.5[BLO],[1]!PM2.5[IHI],,-1) - _xlfn.XLOOKUP(B52,[1]!PM2.5[BLO],[1]!PM2.5[ILO],,-1))
/
(_xlfn.XLOOKUP(B52,[1]!PM2.5[BLO],[1]!PM2.5[BHI],,-1) - _xlfn.XLOOKUP(B52,[1]!PM2.5[BLO],[1]!PM2.5[BLO],,-1)))
*
(B52 - _xlfn.XLOOKUP(B52,[1]!PM2.5[BLO],[1]!PM2.5[BLO],,-1))
+
_xlfn.XLOOKUP(B52,[1]!PM2.5[BLO],[1]!PM2.5[ILO],,-1),2)</f>
        <v>74.66</v>
      </c>
      <c r="I52">
        <f>ROUND(((_xlfn.XLOOKUP(C52,[1]!PM_10[BLO],[1]!PM_10[IHI],,-1) - _xlfn.XLOOKUP(C52,[1]!PM_10[BLO],[1]!PM_10[ILO],,-1))
/
(_xlfn.XLOOKUP(C52,[1]!PM_10[BLO],[1]!PM_10[BHI],,-1) - _xlfn.XLOOKUP(C52,[1]!PM_10[BLO],[1]!PM_10[BLO],,-1)))
*
( C52 - _xlfn.XLOOKUP(C52,[1]!PM_10[BLO],[1]!PM_10[BLO],,-1))
+
_xlfn.XLOOKUP(C52,[1]!PM_10[BLO],[1]!PM_10[ILO],,-1),2)</f>
        <v>92</v>
      </c>
      <c r="J52">
        <f>ROUND((( _xlfn.XLOOKUP(D52,[1]!NO_2[BLO],[1]!NO_2[IHI],,-1) - _xlfn.XLOOKUP(D52,[1]!NO_2[BLO],[1]!NO_2[ILO],,-1))
/
( _xlfn.XLOOKUP(D52,[1]!NO_2[BLO],[1]!NO_2[BHI],,-1) - _xlfn.XLOOKUP(D52,[1]!NO_2[BLO],[1]!NO_2[BLO],,-1) ))
*
( D52 - _xlfn.XLOOKUP(D52,[1]!NO_2[BLO],[1]!NO_2[BLO],,-1))
+
_xlfn.XLOOKUP(D52,[1]!NO_2[BLO],[1]!NO_2[ILO],,-1),2)</f>
        <v>22.5</v>
      </c>
      <c r="K52">
        <f>ROUND(( ( _xlfn.XLOOKUP(E52,[1]!SO_2[BLO],[1]!SO_2[IHI],,-1)  - _xlfn.XLOOKUP(E52,[1]!SO_2[BLO],[1]!SO_2[ILO],,-1) )
/
( _xlfn.XLOOKUP(E52,[1]!SO_2[BLO],[1]!SO_2[BHI],,-1)- _xlfn.XLOOKUP(E52,[1]!SO_2[BLO],[1]!SO_2[BLO],,-1) ))
*
( E52 - _xlfn.XLOOKUP(E52,[1]!SO_2[BLO],[1]!SO_2[BLO],,-1) )
+
_xlfn.XLOOKUP(E52,[1]!SO_2[BLO],[1]!SO_2[ILO],,-1),2)</f>
        <v>11.25</v>
      </c>
      <c r="L52">
        <f>( ( _xlfn.XLOOKUP(F52,[1]!CO[BLO],[1]!CO[IHI],,-1)
- _xlfn.XLOOKUP(F52,[1]!CO[BLO],[1]!CO[ILO],,-1) )
/
( _xlfn.XLOOKUP(F52,[1]!CO[BLO],[1]!CO[BHI],,-1) - _xlfn.XLOOKUP(F52,[1]!CO[BLO],[1]!CO[BLO],,-1)))
*
( F52 - _xlfn.XLOOKUP(F52,[1]!CO[BLO],[1]!CO[BLO],,-1) )
+
_xlfn.XLOOKUP(F52,[1]!CO[BLO],[1]!CO[ILO],,-1)</f>
        <v>36</v>
      </c>
      <c r="M52">
        <f>(( _xlfn.XLOOKUP(G52,[1]!O_3[BLO],[1]!O_3[IHI],,-1) - _xlfn.XLOOKUP(G52,[1]!O_3[BLO],[1]!O_3[ILO],,-1))
/
( _xlfn.XLOOKUP(G52,[1]!O_3[BLO],[1]!O_3[BHI],,-1) - _xlfn.XLOOKUP(G52,[1]!O_3[BLO],[1]!O_3[BLO],,-1)))
*
( G52 - _xlfn.XLOOKUP(G52,[1]!O_3[BLO],[1]!O_3[BLO],,-1))
+
_xlfn.XLOOKUP(G52,[1]!O_3[BLO],[1]!O_3[ILO],,-1)</f>
        <v>34</v>
      </c>
      <c r="N52">
        <f>MAX(DAILY_DATA[[#This Row],[AQI_PM2.5]:[AQI_O3]])</f>
        <v>92</v>
      </c>
      <c r="O52" t="str">
        <f>_xlfn.XLOOKUP(DAILY_DATA[[#This Row],[OVERALL_AQI]],[1]!CATEGORY[AQI_LO],[1]!CATEGORY[CATEGORY],,-1)</f>
        <v>Satisfactory</v>
      </c>
      <c r="P52" t="str" cm="1">
        <f t="array" ref="P52">INDEX(
{"PM2.5","PM10","NO2","SO2","CO","O3"},
MATCH(N52,H52:M52,0)
)</f>
        <v>PM10</v>
      </c>
    </row>
    <row r="53" spans="1:16" x14ac:dyDescent="0.25">
      <c r="A53" s="4">
        <v>45343</v>
      </c>
      <c r="B53">
        <f>ROUND(AVERAGEIFS([1]HOURLY_DATA!B53:B8836,[1]HOURLY_DATA!H53:H8836,Daily_AQI!A53),0)</f>
        <v>48</v>
      </c>
      <c r="C53">
        <f>ROUND(AVERAGEIFS([1]HOURLY_DATA!C53:C8836,[1]HOURLY_DATA!H53:H8836,Daily_AQI!A53),0)</f>
        <v>111</v>
      </c>
      <c r="D53">
        <f>ROUND(AVERAGEIFS([1]HOURLY_DATA!D53:D8836,[1]HOURLY_DATA!H53:H8836,Daily_AQI!A53),0)</f>
        <v>19</v>
      </c>
      <c r="E53">
        <f>ROUND(AVERAGEIFS([1]HOURLY_DATA!E53:E8836,[1]HOURLY_DATA!H53:H8836,Daily_AQI!A53),0)</f>
        <v>9</v>
      </c>
      <c r="F53">
        <f>ROUND(AVERAGEIFS([1]HOURLY_DATA!I53:I8836,[1]HOURLY_DATA!H53:H8836,Daily_AQI!A53),2)</f>
        <v>0.72</v>
      </c>
      <c r="G53">
        <f>ROUND(AVERAGEIFS([1]HOURLY_DATA!J53:J8836,[1]HOURLY_DATA!H53:H8836,Daily_AQI!A53),0)</f>
        <v>37</v>
      </c>
      <c r="H53">
        <f>ROUND(((_xlfn.XLOOKUP(B53,[1]!PM2.5[BLO],[1]!PM2.5[IHI],,-1) - _xlfn.XLOOKUP(B53,[1]!PM2.5[BLO],[1]!PM2.5[ILO],,-1))
/
(_xlfn.XLOOKUP(B53,[1]!PM2.5[BLO],[1]!PM2.5[BHI],,-1) - _xlfn.XLOOKUP(B53,[1]!PM2.5[BLO],[1]!PM2.5[BLO],,-1)))
*
(B53 - _xlfn.XLOOKUP(B53,[1]!PM2.5[BLO],[1]!PM2.5[BLO],,-1))
+
_xlfn.XLOOKUP(B53,[1]!PM2.5[BLO],[1]!PM2.5[ILO],,-1),2)</f>
        <v>79.72</v>
      </c>
      <c r="I53">
        <f>ROUND(((_xlfn.XLOOKUP(C53,[1]!PM_10[BLO],[1]!PM_10[IHI],,-1) - _xlfn.XLOOKUP(C53,[1]!PM_10[BLO],[1]!PM_10[ILO],,-1))
/
(_xlfn.XLOOKUP(C53,[1]!PM_10[BLO],[1]!PM_10[BHI],,-1) - _xlfn.XLOOKUP(C53,[1]!PM_10[BLO],[1]!PM_10[BLO],,-1)))
*
( C53 - _xlfn.XLOOKUP(C53,[1]!PM_10[BLO],[1]!PM_10[BLO],,-1))
+
_xlfn.XLOOKUP(C53,[1]!PM_10[BLO],[1]!PM_10[ILO],,-1),2)</f>
        <v>107.64</v>
      </c>
      <c r="J53">
        <f>ROUND((( _xlfn.XLOOKUP(D53,[1]!NO_2[BLO],[1]!NO_2[IHI],,-1) - _xlfn.XLOOKUP(D53,[1]!NO_2[BLO],[1]!NO_2[ILO],,-1))
/
( _xlfn.XLOOKUP(D53,[1]!NO_2[BLO],[1]!NO_2[BHI],,-1) - _xlfn.XLOOKUP(D53,[1]!NO_2[BLO],[1]!NO_2[BLO],,-1) ))
*
( D53 - _xlfn.XLOOKUP(D53,[1]!NO_2[BLO],[1]!NO_2[BLO],,-1))
+
_xlfn.XLOOKUP(D53,[1]!NO_2[BLO],[1]!NO_2[ILO],,-1),2)</f>
        <v>23.75</v>
      </c>
      <c r="K53">
        <f>ROUND(( ( _xlfn.XLOOKUP(E53,[1]!SO_2[BLO],[1]!SO_2[IHI],,-1)  - _xlfn.XLOOKUP(E53,[1]!SO_2[BLO],[1]!SO_2[ILO],,-1) )
/
( _xlfn.XLOOKUP(E53,[1]!SO_2[BLO],[1]!SO_2[BHI],,-1)- _xlfn.XLOOKUP(E53,[1]!SO_2[BLO],[1]!SO_2[BLO],,-1) ))
*
( E53 - _xlfn.XLOOKUP(E53,[1]!SO_2[BLO],[1]!SO_2[BLO],,-1) )
+
_xlfn.XLOOKUP(E53,[1]!SO_2[BLO],[1]!SO_2[ILO],,-1),2)</f>
        <v>11.25</v>
      </c>
      <c r="L53">
        <f>( ( _xlfn.XLOOKUP(F53,[1]!CO[BLO],[1]!CO[IHI],,-1)
- _xlfn.XLOOKUP(F53,[1]!CO[BLO],[1]!CO[ILO],,-1) )
/
( _xlfn.XLOOKUP(F53,[1]!CO[BLO],[1]!CO[BHI],,-1) - _xlfn.XLOOKUP(F53,[1]!CO[BLO],[1]!CO[BLO],,-1)))
*
( F53 - _xlfn.XLOOKUP(F53,[1]!CO[BLO],[1]!CO[BLO],,-1) )
+
_xlfn.XLOOKUP(F53,[1]!CO[BLO],[1]!CO[ILO],,-1)</f>
        <v>36</v>
      </c>
      <c r="M53">
        <f>(( _xlfn.XLOOKUP(G53,[1]!O_3[BLO],[1]!O_3[IHI],,-1) - _xlfn.XLOOKUP(G53,[1]!O_3[BLO],[1]!O_3[ILO],,-1))
/
( _xlfn.XLOOKUP(G53,[1]!O_3[BLO],[1]!O_3[BHI],,-1) - _xlfn.XLOOKUP(G53,[1]!O_3[BLO],[1]!O_3[BLO],,-1)))
*
( G53 - _xlfn.XLOOKUP(G53,[1]!O_3[BLO],[1]!O_3[BLO],,-1))
+
_xlfn.XLOOKUP(G53,[1]!O_3[BLO],[1]!O_3[ILO],,-1)</f>
        <v>37</v>
      </c>
      <c r="N53">
        <f>MAX(DAILY_DATA[[#This Row],[AQI_PM2.5]:[AQI_O3]])</f>
        <v>107.64</v>
      </c>
      <c r="O53" t="str">
        <f>_xlfn.XLOOKUP(DAILY_DATA[[#This Row],[OVERALL_AQI]],[1]!CATEGORY[AQI_LO],[1]!CATEGORY[CATEGORY],,-1)</f>
        <v>Moderate</v>
      </c>
      <c r="P53" t="str" cm="1">
        <f t="array" ref="P53">INDEX(
{"PM2.5","PM10","NO2","SO2","CO","O3"},
MATCH(N53,H53:M53,0)
)</f>
        <v>PM10</v>
      </c>
    </row>
    <row r="54" spans="1:16" x14ac:dyDescent="0.25">
      <c r="A54" s="4">
        <v>45344</v>
      </c>
      <c r="B54">
        <f>ROUND(AVERAGEIFS([1]HOURLY_DATA!B54:B8837,[1]HOURLY_DATA!H54:H8837,Daily_AQI!A54),0)</f>
        <v>51</v>
      </c>
      <c r="C54">
        <f>ROUND(AVERAGEIFS([1]HOURLY_DATA!C54:C8837,[1]HOURLY_DATA!H54:H8837,Daily_AQI!A54),0)</f>
        <v>109</v>
      </c>
      <c r="D54">
        <f>ROUND(AVERAGEIFS([1]HOURLY_DATA!D54:D8837,[1]HOURLY_DATA!H54:H8837,Daily_AQI!A54),0)</f>
        <v>22</v>
      </c>
      <c r="E54">
        <f>ROUND(AVERAGEIFS([1]HOURLY_DATA!E54:E8837,[1]HOURLY_DATA!H54:H8837,Daily_AQI!A54),0)</f>
        <v>8</v>
      </c>
      <c r="F54">
        <f>ROUND(AVERAGEIFS([1]HOURLY_DATA!I54:I8837,[1]HOURLY_DATA!H54:H8837,Daily_AQI!A54),2)</f>
        <v>0.73</v>
      </c>
      <c r="G54">
        <f>ROUND(AVERAGEIFS([1]HOURLY_DATA!J54:J8837,[1]HOURLY_DATA!H54:H8837,Daily_AQI!A54),0)</f>
        <v>38</v>
      </c>
      <c r="H54">
        <f>ROUND(((_xlfn.XLOOKUP(B54,[1]!PM2.5[BLO],[1]!PM2.5[IHI],,-1) - _xlfn.XLOOKUP(B54,[1]!PM2.5[BLO],[1]!PM2.5[ILO],,-1))
/
(_xlfn.XLOOKUP(B54,[1]!PM2.5[BLO],[1]!PM2.5[BHI],,-1) - _xlfn.XLOOKUP(B54,[1]!PM2.5[BLO],[1]!PM2.5[BLO],,-1)))
*
(B54 - _xlfn.XLOOKUP(B54,[1]!PM2.5[BLO],[1]!PM2.5[BLO],,-1))
+
_xlfn.XLOOKUP(B54,[1]!PM2.5[BLO],[1]!PM2.5[ILO],,-1),2)</f>
        <v>84.79</v>
      </c>
      <c r="I54">
        <f>ROUND(((_xlfn.XLOOKUP(C54,[1]!PM_10[BLO],[1]!PM_10[IHI],,-1) - _xlfn.XLOOKUP(C54,[1]!PM_10[BLO],[1]!PM_10[ILO],,-1))
/
(_xlfn.XLOOKUP(C54,[1]!PM_10[BLO],[1]!PM_10[BHI],,-1) - _xlfn.XLOOKUP(C54,[1]!PM_10[BLO],[1]!PM_10[BLO],,-1)))
*
( C54 - _xlfn.XLOOKUP(C54,[1]!PM_10[BLO],[1]!PM_10[BLO],,-1))
+
_xlfn.XLOOKUP(C54,[1]!PM_10[BLO],[1]!PM_10[ILO],,-1),2)</f>
        <v>106.32</v>
      </c>
      <c r="J54">
        <f>ROUND((( _xlfn.XLOOKUP(D54,[1]!NO_2[BLO],[1]!NO_2[IHI],,-1) - _xlfn.XLOOKUP(D54,[1]!NO_2[BLO],[1]!NO_2[ILO],,-1))
/
( _xlfn.XLOOKUP(D54,[1]!NO_2[BLO],[1]!NO_2[BHI],,-1) - _xlfn.XLOOKUP(D54,[1]!NO_2[BLO],[1]!NO_2[BLO],,-1) ))
*
( D54 - _xlfn.XLOOKUP(D54,[1]!NO_2[BLO],[1]!NO_2[BLO],,-1))
+
_xlfn.XLOOKUP(D54,[1]!NO_2[BLO],[1]!NO_2[ILO],,-1),2)</f>
        <v>27.5</v>
      </c>
      <c r="K54">
        <f>ROUND(( ( _xlfn.XLOOKUP(E54,[1]!SO_2[BLO],[1]!SO_2[IHI],,-1)  - _xlfn.XLOOKUP(E54,[1]!SO_2[BLO],[1]!SO_2[ILO],,-1) )
/
( _xlfn.XLOOKUP(E54,[1]!SO_2[BLO],[1]!SO_2[BHI],,-1)- _xlfn.XLOOKUP(E54,[1]!SO_2[BLO],[1]!SO_2[BLO],,-1) ))
*
( E54 - _xlfn.XLOOKUP(E54,[1]!SO_2[BLO],[1]!SO_2[BLO],,-1) )
+
_xlfn.XLOOKUP(E54,[1]!SO_2[BLO],[1]!SO_2[ILO],,-1),2)</f>
        <v>10</v>
      </c>
      <c r="L54">
        <f>( ( _xlfn.XLOOKUP(F54,[1]!CO[BLO],[1]!CO[IHI],,-1)
- _xlfn.XLOOKUP(F54,[1]!CO[BLO],[1]!CO[ILO],,-1) )
/
( _xlfn.XLOOKUP(F54,[1]!CO[BLO],[1]!CO[BHI],,-1) - _xlfn.XLOOKUP(F54,[1]!CO[BLO],[1]!CO[BLO],,-1)))
*
( F54 - _xlfn.XLOOKUP(F54,[1]!CO[BLO],[1]!CO[BLO],,-1) )
+
_xlfn.XLOOKUP(F54,[1]!CO[BLO],[1]!CO[ILO],,-1)</f>
        <v>36.5</v>
      </c>
      <c r="M54">
        <f>(( _xlfn.XLOOKUP(G54,[1]!O_3[BLO],[1]!O_3[IHI],,-1) - _xlfn.XLOOKUP(G54,[1]!O_3[BLO],[1]!O_3[ILO],,-1))
/
( _xlfn.XLOOKUP(G54,[1]!O_3[BLO],[1]!O_3[BHI],,-1) - _xlfn.XLOOKUP(G54,[1]!O_3[BLO],[1]!O_3[BLO],,-1)))
*
( G54 - _xlfn.XLOOKUP(G54,[1]!O_3[BLO],[1]!O_3[BLO],,-1))
+
_xlfn.XLOOKUP(G54,[1]!O_3[BLO],[1]!O_3[ILO],,-1)</f>
        <v>38</v>
      </c>
      <c r="N54">
        <f>MAX(DAILY_DATA[[#This Row],[AQI_PM2.5]:[AQI_O3]])</f>
        <v>106.32</v>
      </c>
      <c r="O54" t="str">
        <f>_xlfn.XLOOKUP(DAILY_DATA[[#This Row],[OVERALL_AQI]],[1]!CATEGORY[AQI_LO],[1]!CATEGORY[CATEGORY],,-1)</f>
        <v>Moderate</v>
      </c>
      <c r="P54" t="str" cm="1">
        <f t="array" ref="P54">INDEX(
{"PM2.5","PM10","NO2","SO2","CO","O3"},
MATCH(N54,H54:M54,0)
)</f>
        <v>PM10</v>
      </c>
    </row>
    <row r="55" spans="1:16" x14ac:dyDescent="0.25">
      <c r="A55" s="4">
        <v>45345</v>
      </c>
      <c r="B55">
        <f>ROUND(AVERAGEIFS([1]HOURLY_DATA!B55:B8838,[1]HOURLY_DATA!H55:H8838,Daily_AQI!A55),0)</f>
        <v>45</v>
      </c>
      <c r="C55">
        <f>ROUND(AVERAGEIFS([1]HOURLY_DATA!C55:C8838,[1]HOURLY_DATA!H55:H8838,Daily_AQI!A55),0)</f>
        <v>107</v>
      </c>
      <c r="D55">
        <f>ROUND(AVERAGEIFS([1]HOURLY_DATA!D55:D8838,[1]HOURLY_DATA!H55:H8838,Daily_AQI!A55),0)</f>
        <v>21</v>
      </c>
      <c r="E55">
        <f>ROUND(AVERAGEIFS([1]HOURLY_DATA!E55:E8838,[1]HOURLY_DATA!H55:H8838,Daily_AQI!A55),0)</f>
        <v>8</v>
      </c>
      <c r="F55">
        <f>ROUND(AVERAGEIFS([1]HOURLY_DATA!I55:I8838,[1]HOURLY_DATA!H55:H8838,Daily_AQI!A55),2)</f>
        <v>0.76</v>
      </c>
      <c r="G55">
        <f>ROUND(AVERAGEIFS([1]HOURLY_DATA!J55:J8838,[1]HOURLY_DATA!H55:H8838,Daily_AQI!A55),0)</f>
        <v>36</v>
      </c>
      <c r="H55">
        <f>ROUND(((_xlfn.XLOOKUP(B55,[1]!PM2.5[BLO],[1]!PM2.5[IHI],,-1) - _xlfn.XLOOKUP(B55,[1]!PM2.5[BLO],[1]!PM2.5[ILO],,-1))
/
(_xlfn.XLOOKUP(B55,[1]!PM2.5[BLO],[1]!PM2.5[BHI],,-1) - _xlfn.XLOOKUP(B55,[1]!PM2.5[BLO],[1]!PM2.5[BLO],,-1)))
*
(B55 - _xlfn.XLOOKUP(B55,[1]!PM2.5[BLO],[1]!PM2.5[BLO],,-1))
+
_xlfn.XLOOKUP(B55,[1]!PM2.5[BLO],[1]!PM2.5[ILO],,-1),2)</f>
        <v>74.66</v>
      </c>
      <c r="I55">
        <f>ROUND(((_xlfn.XLOOKUP(C55,[1]!PM_10[BLO],[1]!PM_10[IHI],,-1) - _xlfn.XLOOKUP(C55,[1]!PM_10[BLO],[1]!PM_10[ILO],,-1))
/
(_xlfn.XLOOKUP(C55,[1]!PM_10[BLO],[1]!PM_10[BHI],,-1) - _xlfn.XLOOKUP(C55,[1]!PM_10[BLO],[1]!PM_10[BLO],,-1)))
*
( C55 - _xlfn.XLOOKUP(C55,[1]!PM_10[BLO],[1]!PM_10[BLO],,-1))
+
_xlfn.XLOOKUP(C55,[1]!PM_10[BLO],[1]!PM_10[ILO],,-1),2)</f>
        <v>104.99</v>
      </c>
      <c r="J55">
        <f>ROUND((( _xlfn.XLOOKUP(D55,[1]!NO_2[BLO],[1]!NO_2[IHI],,-1) - _xlfn.XLOOKUP(D55,[1]!NO_2[BLO],[1]!NO_2[ILO],,-1))
/
( _xlfn.XLOOKUP(D55,[1]!NO_2[BLO],[1]!NO_2[BHI],,-1) - _xlfn.XLOOKUP(D55,[1]!NO_2[BLO],[1]!NO_2[BLO],,-1) ))
*
( D55 - _xlfn.XLOOKUP(D55,[1]!NO_2[BLO],[1]!NO_2[BLO],,-1))
+
_xlfn.XLOOKUP(D55,[1]!NO_2[BLO],[1]!NO_2[ILO],,-1),2)</f>
        <v>26.25</v>
      </c>
      <c r="K55">
        <f>ROUND(( ( _xlfn.XLOOKUP(E55,[1]!SO_2[BLO],[1]!SO_2[IHI],,-1)  - _xlfn.XLOOKUP(E55,[1]!SO_2[BLO],[1]!SO_2[ILO],,-1) )
/
( _xlfn.XLOOKUP(E55,[1]!SO_2[BLO],[1]!SO_2[BHI],,-1)- _xlfn.XLOOKUP(E55,[1]!SO_2[BLO],[1]!SO_2[BLO],,-1) ))
*
( E55 - _xlfn.XLOOKUP(E55,[1]!SO_2[BLO],[1]!SO_2[BLO],,-1) )
+
_xlfn.XLOOKUP(E55,[1]!SO_2[BLO],[1]!SO_2[ILO],,-1),2)</f>
        <v>10</v>
      </c>
      <c r="L55">
        <f>( ( _xlfn.XLOOKUP(F55,[1]!CO[BLO],[1]!CO[IHI],,-1)
- _xlfn.XLOOKUP(F55,[1]!CO[BLO],[1]!CO[ILO],,-1) )
/
( _xlfn.XLOOKUP(F55,[1]!CO[BLO],[1]!CO[BHI],,-1) - _xlfn.XLOOKUP(F55,[1]!CO[BLO],[1]!CO[BLO],,-1)))
*
( F55 - _xlfn.XLOOKUP(F55,[1]!CO[BLO],[1]!CO[BLO],,-1) )
+
_xlfn.XLOOKUP(F55,[1]!CO[BLO],[1]!CO[ILO],,-1)</f>
        <v>38</v>
      </c>
      <c r="M55">
        <f>(( _xlfn.XLOOKUP(G55,[1]!O_3[BLO],[1]!O_3[IHI],,-1) - _xlfn.XLOOKUP(G55,[1]!O_3[BLO],[1]!O_3[ILO],,-1))
/
( _xlfn.XLOOKUP(G55,[1]!O_3[BLO],[1]!O_3[BHI],,-1) - _xlfn.XLOOKUP(G55,[1]!O_3[BLO],[1]!O_3[BLO],,-1)))
*
( G55 - _xlfn.XLOOKUP(G55,[1]!O_3[BLO],[1]!O_3[BLO],,-1))
+
_xlfn.XLOOKUP(G55,[1]!O_3[BLO],[1]!O_3[ILO],,-1)</f>
        <v>36</v>
      </c>
      <c r="N55">
        <f>MAX(DAILY_DATA[[#This Row],[AQI_PM2.5]:[AQI_O3]])</f>
        <v>104.99</v>
      </c>
      <c r="O55" t="str">
        <f>_xlfn.XLOOKUP(DAILY_DATA[[#This Row],[OVERALL_AQI]],[1]!CATEGORY[AQI_LO],[1]!CATEGORY[CATEGORY],,-1)</f>
        <v>Moderate</v>
      </c>
      <c r="P55" t="str" cm="1">
        <f t="array" ref="P55">INDEX(
{"PM2.5","PM10","NO2","SO2","CO","O3"},
MATCH(N55,H55:M55,0)
)</f>
        <v>PM10</v>
      </c>
    </row>
    <row r="56" spans="1:16" x14ac:dyDescent="0.25">
      <c r="A56" s="4">
        <v>45346</v>
      </c>
      <c r="B56">
        <f>ROUND(AVERAGEIFS([1]HOURLY_DATA!B56:B8839,[1]HOURLY_DATA!H56:H8839,Daily_AQI!A56),0)</f>
        <v>46</v>
      </c>
      <c r="C56">
        <f>ROUND(AVERAGEIFS([1]HOURLY_DATA!C56:C8839,[1]HOURLY_DATA!H56:H8839,Daily_AQI!A56),0)</f>
        <v>95</v>
      </c>
      <c r="D56">
        <f>ROUND(AVERAGEIFS([1]HOURLY_DATA!D56:D8839,[1]HOURLY_DATA!H56:H8839,Daily_AQI!A56),0)</f>
        <v>22</v>
      </c>
      <c r="E56">
        <f>ROUND(AVERAGEIFS([1]HOURLY_DATA!E56:E8839,[1]HOURLY_DATA!H56:H8839,Daily_AQI!A56),0)</f>
        <v>8</v>
      </c>
      <c r="F56">
        <f>ROUND(AVERAGEIFS([1]HOURLY_DATA!I56:I8839,[1]HOURLY_DATA!H56:H8839,Daily_AQI!A56),2)</f>
        <v>0.74</v>
      </c>
      <c r="G56">
        <f>ROUND(AVERAGEIFS([1]HOURLY_DATA!J56:J8839,[1]HOURLY_DATA!H56:H8839,Daily_AQI!A56),0)</f>
        <v>36</v>
      </c>
      <c r="H56">
        <f>ROUND(((_xlfn.XLOOKUP(B56,[1]!PM2.5[BLO],[1]!PM2.5[IHI],,-1) - _xlfn.XLOOKUP(B56,[1]!PM2.5[BLO],[1]!PM2.5[ILO],,-1))
/
(_xlfn.XLOOKUP(B56,[1]!PM2.5[BLO],[1]!PM2.5[BHI],,-1) - _xlfn.XLOOKUP(B56,[1]!PM2.5[BLO],[1]!PM2.5[BLO],,-1)))
*
(B56 - _xlfn.XLOOKUP(B56,[1]!PM2.5[BLO],[1]!PM2.5[BLO],,-1))
+
_xlfn.XLOOKUP(B56,[1]!PM2.5[BLO],[1]!PM2.5[ILO],,-1),2)</f>
        <v>76.34</v>
      </c>
      <c r="I56">
        <f>ROUND(((_xlfn.XLOOKUP(C56,[1]!PM_10[BLO],[1]!PM_10[IHI],,-1) - _xlfn.XLOOKUP(C56,[1]!PM_10[BLO],[1]!PM_10[ILO],,-1))
/
(_xlfn.XLOOKUP(C56,[1]!PM_10[BLO],[1]!PM_10[BHI],,-1) - _xlfn.XLOOKUP(C56,[1]!PM_10[BLO],[1]!PM_10[BLO],,-1)))
*
( C56 - _xlfn.XLOOKUP(C56,[1]!PM_10[BLO],[1]!PM_10[BLO],,-1))
+
_xlfn.XLOOKUP(C56,[1]!PM_10[BLO],[1]!PM_10[ILO],,-1),2)</f>
        <v>95</v>
      </c>
      <c r="J56">
        <f>ROUND((( _xlfn.XLOOKUP(D56,[1]!NO_2[BLO],[1]!NO_2[IHI],,-1) - _xlfn.XLOOKUP(D56,[1]!NO_2[BLO],[1]!NO_2[ILO],,-1))
/
( _xlfn.XLOOKUP(D56,[1]!NO_2[BLO],[1]!NO_2[BHI],,-1) - _xlfn.XLOOKUP(D56,[1]!NO_2[BLO],[1]!NO_2[BLO],,-1) ))
*
( D56 - _xlfn.XLOOKUP(D56,[1]!NO_2[BLO],[1]!NO_2[BLO],,-1))
+
_xlfn.XLOOKUP(D56,[1]!NO_2[BLO],[1]!NO_2[ILO],,-1),2)</f>
        <v>27.5</v>
      </c>
      <c r="K56">
        <f>ROUND(( ( _xlfn.XLOOKUP(E56,[1]!SO_2[BLO],[1]!SO_2[IHI],,-1)  - _xlfn.XLOOKUP(E56,[1]!SO_2[BLO],[1]!SO_2[ILO],,-1) )
/
( _xlfn.XLOOKUP(E56,[1]!SO_2[BLO],[1]!SO_2[BHI],,-1)- _xlfn.XLOOKUP(E56,[1]!SO_2[BLO],[1]!SO_2[BLO],,-1) ))
*
( E56 - _xlfn.XLOOKUP(E56,[1]!SO_2[BLO],[1]!SO_2[BLO],,-1) )
+
_xlfn.XLOOKUP(E56,[1]!SO_2[BLO],[1]!SO_2[ILO],,-1),2)</f>
        <v>10</v>
      </c>
      <c r="L56">
        <f>( ( _xlfn.XLOOKUP(F56,[1]!CO[BLO],[1]!CO[IHI],,-1)
- _xlfn.XLOOKUP(F56,[1]!CO[BLO],[1]!CO[ILO],,-1) )
/
( _xlfn.XLOOKUP(F56,[1]!CO[BLO],[1]!CO[BHI],,-1) - _xlfn.XLOOKUP(F56,[1]!CO[BLO],[1]!CO[BLO],,-1)))
*
( F56 - _xlfn.XLOOKUP(F56,[1]!CO[BLO],[1]!CO[BLO],,-1) )
+
_xlfn.XLOOKUP(F56,[1]!CO[BLO],[1]!CO[ILO],,-1)</f>
        <v>37</v>
      </c>
      <c r="M56">
        <f>(( _xlfn.XLOOKUP(G56,[1]!O_3[BLO],[1]!O_3[IHI],,-1) - _xlfn.XLOOKUP(G56,[1]!O_3[BLO],[1]!O_3[ILO],,-1))
/
( _xlfn.XLOOKUP(G56,[1]!O_3[BLO],[1]!O_3[BHI],,-1) - _xlfn.XLOOKUP(G56,[1]!O_3[BLO],[1]!O_3[BLO],,-1)))
*
( G56 - _xlfn.XLOOKUP(G56,[1]!O_3[BLO],[1]!O_3[BLO],,-1))
+
_xlfn.XLOOKUP(G56,[1]!O_3[BLO],[1]!O_3[ILO],,-1)</f>
        <v>36</v>
      </c>
      <c r="N56">
        <f>MAX(DAILY_DATA[[#This Row],[AQI_PM2.5]:[AQI_O3]])</f>
        <v>95</v>
      </c>
      <c r="O56" t="str">
        <f>_xlfn.XLOOKUP(DAILY_DATA[[#This Row],[OVERALL_AQI]],[1]!CATEGORY[AQI_LO],[1]!CATEGORY[CATEGORY],,-1)</f>
        <v>Satisfactory</v>
      </c>
      <c r="P56" t="str" cm="1">
        <f t="array" ref="P56">INDEX(
{"PM2.5","PM10","NO2","SO2","CO","O3"},
MATCH(N56,H56:M56,0)
)</f>
        <v>PM10</v>
      </c>
    </row>
    <row r="57" spans="1:16" x14ac:dyDescent="0.25">
      <c r="A57" s="4">
        <v>45347</v>
      </c>
      <c r="B57">
        <f>ROUND(AVERAGEIFS([1]HOURLY_DATA!B57:B8840,[1]HOURLY_DATA!H57:H8840,Daily_AQI!A57),0)</f>
        <v>55</v>
      </c>
      <c r="C57">
        <f>ROUND(AVERAGEIFS([1]HOURLY_DATA!C57:C8840,[1]HOURLY_DATA!H57:H8840,Daily_AQI!A57),0)</f>
        <v>83</v>
      </c>
      <c r="D57">
        <f>ROUND(AVERAGEIFS([1]HOURLY_DATA!D57:D8840,[1]HOURLY_DATA!H57:H8840,Daily_AQI!A57),0)</f>
        <v>22</v>
      </c>
      <c r="E57">
        <f>ROUND(AVERAGEIFS([1]HOURLY_DATA!E57:E8840,[1]HOURLY_DATA!H57:H8840,Daily_AQI!A57),0)</f>
        <v>9</v>
      </c>
      <c r="F57">
        <f>ROUND(AVERAGEIFS([1]HOURLY_DATA!I57:I8840,[1]HOURLY_DATA!H57:H8840,Daily_AQI!A57),2)</f>
        <v>0.71</v>
      </c>
      <c r="G57">
        <f>ROUND(AVERAGEIFS([1]HOURLY_DATA!J57:J8840,[1]HOURLY_DATA!H57:H8840,Daily_AQI!A57),0)</f>
        <v>40</v>
      </c>
      <c r="H57">
        <f>ROUND(((_xlfn.XLOOKUP(B57,[1]!PM2.5[BLO],[1]!PM2.5[IHI],,-1) - _xlfn.XLOOKUP(B57,[1]!PM2.5[BLO],[1]!PM2.5[ILO],,-1))
/
(_xlfn.XLOOKUP(B57,[1]!PM2.5[BLO],[1]!PM2.5[BHI],,-1) - _xlfn.XLOOKUP(B57,[1]!PM2.5[BLO],[1]!PM2.5[BLO],,-1)))
*
(B57 - _xlfn.XLOOKUP(B57,[1]!PM2.5[BLO],[1]!PM2.5[BLO],,-1))
+
_xlfn.XLOOKUP(B57,[1]!PM2.5[BLO],[1]!PM2.5[ILO],,-1),2)</f>
        <v>91.55</v>
      </c>
      <c r="I57">
        <f>ROUND(((_xlfn.XLOOKUP(C57,[1]!PM_10[BLO],[1]!PM_10[IHI],,-1) - _xlfn.XLOOKUP(C57,[1]!PM_10[BLO],[1]!PM_10[ILO],,-1))
/
(_xlfn.XLOOKUP(C57,[1]!PM_10[BLO],[1]!PM_10[BHI],,-1) - _xlfn.XLOOKUP(C57,[1]!PM_10[BLO],[1]!PM_10[BLO],,-1)))
*
( C57 - _xlfn.XLOOKUP(C57,[1]!PM_10[BLO],[1]!PM_10[BLO],,-1))
+
_xlfn.XLOOKUP(C57,[1]!PM_10[BLO],[1]!PM_10[ILO],,-1),2)</f>
        <v>83</v>
      </c>
      <c r="J57">
        <f>ROUND((( _xlfn.XLOOKUP(D57,[1]!NO_2[BLO],[1]!NO_2[IHI],,-1) - _xlfn.XLOOKUP(D57,[1]!NO_2[BLO],[1]!NO_2[ILO],,-1))
/
( _xlfn.XLOOKUP(D57,[1]!NO_2[BLO],[1]!NO_2[BHI],,-1) - _xlfn.XLOOKUP(D57,[1]!NO_2[BLO],[1]!NO_2[BLO],,-1) ))
*
( D57 - _xlfn.XLOOKUP(D57,[1]!NO_2[BLO],[1]!NO_2[BLO],,-1))
+
_xlfn.XLOOKUP(D57,[1]!NO_2[BLO],[1]!NO_2[ILO],,-1),2)</f>
        <v>27.5</v>
      </c>
      <c r="K57">
        <f>ROUND(( ( _xlfn.XLOOKUP(E57,[1]!SO_2[BLO],[1]!SO_2[IHI],,-1)  - _xlfn.XLOOKUP(E57,[1]!SO_2[BLO],[1]!SO_2[ILO],,-1) )
/
( _xlfn.XLOOKUP(E57,[1]!SO_2[BLO],[1]!SO_2[BHI],,-1)- _xlfn.XLOOKUP(E57,[1]!SO_2[BLO],[1]!SO_2[BLO],,-1) ))
*
( E57 - _xlfn.XLOOKUP(E57,[1]!SO_2[BLO],[1]!SO_2[BLO],,-1) )
+
_xlfn.XLOOKUP(E57,[1]!SO_2[BLO],[1]!SO_2[ILO],,-1),2)</f>
        <v>11.25</v>
      </c>
      <c r="L57">
        <f>( ( _xlfn.XLOOKUP(F57,[1]!CO[BLO],[1]!CO[IHI],,-1)
- _xlfn.XLOOKUP(F57,[1]!CO[BLO],[1]!CO[ILO],,-1) )
/
( _xlfn.XLOOKUP(F57,[1]!CO[BLO],[1]!CO[BHI],,-1) - _xlfn.XLOOKUP(F57,[1]!CO[BLO],[1]!CO[BLO],,-1)))
*
( F57 - _xlfn.XLOOKUP(F57,[1]!CO[BLO],[1]!CO[BLO],,-1) )
+
_xlfn.XLOOKUP(F57,[1]!CO[BLO],[1]!CO[ILO],,-1)</f>
        <v>35.5</v>
      </c>
      <c r="M57">
        <f>(( _xlfn.XLOOKUP(G57,[1]!O_3[BLO],[1]!O_3[IHI],,-1) - _xlfn.XLOOKUP(G57,[1]!O_3[BLO],[1]!O_3[ILO],,-1))
/
( _xlfn.XLOOKUP(G57,[1]!O_3[BLO],[1]!O_3[BHI],,-1) - _xlfn.XLOOKUP(G57,[1]!O_3[BLO],[1]!O_3[BLO],,-1)))
*
( G57 - _xlfn.XLOOKUP(G57,[1]!O_3[BLO],[1]!O_3[BLO],,-1))
+
_xlfn.XLOOKUP(G57,[1]!O_3[BLO],[1]!O_3[ILO],,-1)</f>
        <v>40</v>
      </c>
      <c r="N57">
        <f>MAX(DAILY_DATA[[#This Row],[AQI_PM2.5]:[AQI_O3]])</f>
        <v>91.55</v>
      </c>
      <c r="O57" t="str">
        <f>_xlfn.XLOOKUP(DAILY_DATA[[#This Row],[OVERALL_AQI]],[1]!CATEGORY[AQI_LO],[1]!CATEGORY[CATEGORY],,-1)</f>
        <v>Satisfactory</v>
      </c>
      <c r="P57" t="str" cm="1">
        <f t="array" ref="P57">INDEX(
{"PM2.5","PM10","NO2","SO2","CO","O3"},
MATCH(N57,H57:M57,0)
)</f>
        <v>PM2.5</v>
      </c>
    </row>
    <row r="58" spans="1:16" x14ac:dyDescent="0.25">
      <c r="A58" s="4">
        <v>45348</v>
      </c>
      <c r="B58">
        <f>ROUND(AVERAGEIFS([1]HOURLY_DATA!B58:B8841,[1]HOURLY_DATA!H58:H8841,Daily_AQI!A58),0)</f>
        <v>28</v>
      </c>
      <c r="C58">
        <f>ROUND(AVERAGEIFS([1]HOURLY_DATA!C58:C8841,[1]HOURLY_DATA!H58:H8841,Daily_AQI!A58),0)</f>
        <v>70</v>
      </c>
      <c r="D58">
        <f>ROUND(AVERAGEIFS([1]HOURLY_DATA!D58:D8841,[1]HOURLY_DATA!H58:H8841,Daily_AQI!A58),0)</f>
        <v>21</v>
      </c>
      <c r="E58">
        <f>ROUND(AVERAGEIFS([1]HOURLY_DATA!E58:E8841,[1]HOURLY_DATA!H58:H8841,Daily_AQI!A58),0)</f>
        <v>9</v>
      </c>
      <c r="F58">
        <f>ROUND(AVERAGEIFS([1]HOURLY_DATA!I58:I8841,[1]HOURLY_DATA!H58:H8841,Daily_AQI!A58),2)</f>
        <v>0.64</v>
      </c>
      <c r="G58">
        <f>ROUND(AVERAGEIFS([1]HOURLY_DATA!J58:J8841,[1]HOURLY_DATA!H58:H8841,Daily_AQI!A58),0)</f>
        <v>29</v>
      </c>
      <c r="H58">
        <f>ROUND(((_xlfn.XLOOKUP(B58,[1]!PM2.5[BLO],[1]!PM2.5[IHI],,-1) - _xlfn.XLOOKUP(B58,[1]!PM2.5[BLO],[1]!PM2.5[ILO],,-1))
/
(_xlfn.XLOOKUP(B58,[1]!PM2.5[BLO],[1]!PM2.5[BHI],,-1) - _xlfn.XLOOKUP(B58,[1]!PM2.5[BLO],[1]!PM2.5[BLO],,-1)))
*
(B58 - _xlfn.XLOOKUP(B58,[1]!PM2.5[BLO],[1]!PM2.5[BLO],,-1))
+
_xlfn.XLOOKUP(B58,[1]!PM2.5[BLO],[1]!PM2.5[ILO],,-1),2)</f>
        <v>46.67</v>
      </c>
      <c r="I58">
        <f>ROUND(((_xlfn.XLOOKUP(C58,[1]!PM_10[BLO],[1]!PM_10[IHI],,-1) - _xlfn.XLOOKUP(C58,[1]!PM_10[BLO],[1]!PM_10[ILO],,-1))
/
(_xlfn.XLOOKUP(C58,[1]!PM_10[BLO],[1]!PM_10[BHI],,-1) - _xlfn.XLOOKUP(C58,[1]!PM_10[BLO],[1]!PM_10[BLO],,-1)))
*
( C58 - _xlfn.XLOOKUP(C58,[1]!PM_10[BLO],[1]!PM_10[BLO],,-1))
+
_xlfn.XLOOKUP(C58,[1]!PM_10[BLO],[1]!PM_10[ILO],,-1),2)</f>
        <v>70</v>
      </c>
      <c r="J58">
        <f>ROUND((( _xlfn.XLOOKUP(D58,[1]!NO_2[BLO],[1]!NO_2[IHI],,-1) - _xlfn.XLOOKUP(D58,[1]!NO_2[BLO],[1]!NO_2[ILO],,-1))
/
( _xlfn.XLOOKUP(D58,[1]!NO_2[BLO],[1]!NO_2[BHI],,-1) - _xlfn.XLOOKUP(D58,[1]!NO_2[BLO],[1]!NO_2[BLO],,-1) ))
*
( D58 - _xlfn.XLOOKUP(D58,[1]!NO_2[BLO],[1]!NO_2[BLO],,-1))
+
_xlfn.XLOOKUP(D58,[1]!NO_2[BLO],[1]!NO_2[ILO],,-1),2)</f>
        <v>26.25</v>
      </c>
      <c r="K58">
        <f>ROUND(( ( _xlfn.XLOOKUP(E58,[1]!SO_2[BLO],[1]!SO_2[IHI],,-1)  - _xlfn.XLOOKUP(E58,[1]!SO_2[BLO],[1]!SO_2[ILO],,-1) )
/
( _xlfn.XLOOKUP(E58,[1]!SO_2[BLO],[1]!SO_2[BHI],,-1)- _xlfn.XLOOKUP(E58,[1]!SO_2[BLO],[1]!SO_2[BLO],,-1) ))
*
( E58 - _xlfn.XLOOKUP(E58,[1]!SO_2[BLO],[1]!SO_2[BLO],,-1) )
+
_xlfn.XLOOKUP(E58,[1]!SO_2[BLO],[1]!SO_2[ILO],,-1),2)</f>
        <v>11.25</v>
      </c>
      <c r="L58">
        <f>( ( _xlfn.XLOOKUP(F58,[1]!CO[BLO],[1]!CO[IHI],,-1)
- _xlfn.XLOOKUP(F58,[1]!CO[BLO],[1]!CO[ILO],,-1) )
/
( _xlfn.XLOOKUP(F58,[1]!CO[BLO],[1]!CO[BHI],,-1) - _xlfn.XLOOKUP(F58,[1]!CO[BLO],[1]!CO[BLO],,-1)))
*
( F58 - _xlfn.XLOOKUP(F58,[1]!CO[BLO],[1]!CO[BLO],,-1) )
+
_xlfn.XLOOKUP(F58,[1]!CO[BLO],[1]!CO[ILO],,-1)</f>
        <v>32</v>
      </c>
      <c r="M58">
        <f>(( _xlfn.XLOOKUP(G58,[1]!O_3[BLO],[1]!O_3[IHI],,-1) - _xlfn.XLOOKUP(G58,[1]!O_3[BLO],[1]!O_3[ILO],,-1))
/
( _xlfn.XLOOKUP(G58,[1]!O_3[BLO],[1]!O_3[BHI],,-1) - _xlfn.XLOOKUP(G58,[1]!O_3[BLO],[1]!O_3[BLO],,-1)))
*
( G58 - _xlfn.XLOOKUP(G58,[1]!O_3[BLO],[1]!O_3[BLO],,-1))
+
_xlfn.XLOOKUP(G58,[1]!O_3[BLO],[1]!O_3[ILO],,-1)</f>
        <v>29</v>
      </c>
      <c r="N58">
        <f>MAX(DAILY_DATA[[#This Row],[AQI_PM2.5]:[AQI_O3]])</f>
        <v>70</v>
      </c>
      <c r="O58" t="str">
        <f>_xlfn.XLOOKUP(DAILY_DATA[[#This Row],[OVERALL_AQI]],[1]!CATEGORY[AQI_LO],[1]!CATEGORY[CATEGORY],,-1)</f>
        <v>Satisfactory</v>
      </c>
      <c r="P58" t="str" cm="1">
        <f t="array" ref="P58">INDEX(
{"PM2.5","PM10","NO2","SO2","CO","O3"},
MATCH(N58,H58:M58,0)
)</f>
        <v>PM10</v>
      </c>
    </row>
    <row r="59" spans="1:16" x14ac:dyDescent="0.25">
      <c r="A59" s="4">
        <v>45349</v>
      </c>
      <c r="B59">
        <f>ROUND(AVERAGEIFS([1]HOURLY_DATA!B59:B8842,[1]HOURLY_DATA!H59:H8842,Daily_AQI!A59),0)</f>
        <v>32</v>
      </c>
      <c r="C59">
        <f>ROUND(AVERAGEIFS([1]HOURLY_DATA!C59:C8842,[1]HOURLY_DATA!H59:H8842,Daily_AQI!A59),0)</f>
        <v>74</v>
      </c>
      <c r="D59">
        <f>ROUND(AVERAGEIFS([1]HOURLY_DATA!D59:D8842,[1]HOURLY_DATA!H59:H8842,Daily_AQI!A59),0)</f>
        <v>20</v>
      </c>
      <c r="E59">
        <f>ROUND(AVERAGEIFS([1]HOURLY_DATA!E59:E8842,[1]HOURLY_DATA!H59:H8842,Daily_AQI!A59),0)</f>
        <v>9</v>
      </c>
      <c r="F59">
        <f>ROUND(AVERAGEIFS([1]HOURLY_DATA!I59:I8842,[1]HOURLY_DATA!H59:H8842,Daily_AQI!A59),2)</f>
        <v>0.66</v>
      </c>
      <c r="G59">
        <f>ROUND(AVERAGEIFS([1]HOURLY_DATA!J59:J8842,[1]HOURLY_DATA!H59:H8842,Daily_AQI!A59),0)</f>
        <v>31</v>
      </c>
      <c r="H59">
        <f>ROUND(((_xlfn.XLOOKUP(B59,[1]!PM2.5[BLO],[1]!PM2.5[IHI],,-1) - _xlfn.XLOOKUP(B59,[1]!PM2.5[BLO],[1]!PM2.5[ILO],,-1))
/
(_xlfn.XLOOKUP(B59,[1]!PM2.5[BLO],[1]!PM2.5[BHI],,-1) - _xlfn.XLOOKUP(B59,[1]!PM2.5[BLO],[1]!PM2.5[BLO],,-1)))
*
(B59 - _xlfn.XLOOKUP(B59,[1]!PM2.5[BLO],[1]!PM2.5[BLO],,-1))
+
_xlfn.XLOOKUP(B59,[1]!PM2.5[BLO],[1]!PM2.5[ILO],,-1),2)</f>
        <v>52.69</v>
      </c>
      <c r="I59">
        <f>ROUND(((_xlfn.XLOOKUP(C59,[1]!PM_10[BLO],[1]!PM_10[IHI],,-1) - _xlfn.XLOOKUP(C59,[1]!PM_10[BLO],[1]!PM_10[ILO],,-1))
/
(_xlfn.XLOOKUP(C59,[1]!PM_10[BLO],[1]!PM_10[BHI],,-1) - _xlfn.XLOOKUP(C59,[1]!PM_10[BLO],[1]!PM_10[BLO],,-1)))
*
( C59 - _xlfn.XLOOKUP(C59,[1]!PM_10[BLO],[1]!PM_10[BLO],,-1))
+
_xlfn.XLOOKUP(C59,[1]!PM_10[BLO],[1]!PM_10[ILO],,-1),2)</f>
        <v>74</v>
      </c>
      <c r="J59">
        <f>ROUND((( _xlfn.XLOOKUP(D59,[1]!NO_2[BLO],[1]!NO_2[IHI],,-1) - _xlfn.XLOOKUP(D59,[1]!NO_2[BLO],[1]!NO_2[ILO],,-1))
/
( _xlfn.XLOOKUP(D59,[1]!NO_2[BLO],[1]!NO_2[BHI],,-1) - _xlfn.XLOOKUP(D59,[1]!NO_2[BLO],[1]!NO_2[BLO],,-1) ))
*
( D59 - _xlfn.XLOOKUP(D59,[1]!NO_2[BLO],[1]!NO_2[BLO],,-1))
+
_xlfn.XLOOKUP(D59,[1]!NO_2[BLO],[1]!NO_2[ILO],,-1),2)</f>
        <v>25</v>
      </c>
      <c r="K59">
        <f>ROUND(( ( _xlfn.XLOOKUP(E59,[1]!SO_2[BLO],[1]!SO_2[IHI],,-1)  - _xlfn.XLOOKUP(E59,[1]!SO_2[BLO],[1]!SO_2[ILO],,-1) )
/
( _xlfn.XLOOKUP(E59,[1]!SO_2[BLO],[1]!SO_2[BHI],,-1)- _xlfn.XLOOKUP(E59,[1]!SO_2[BLO],[1]!SO_2[BLO],,-1) ))
*
( E59 - _xlfn.XLOOKUP(E59,[1]!SO_2[BLO],[1]!SO_2[BLO],,-1) )
+
_xlfn.XLOOKUP(E59,[1]!SO_2[BLO],[1]!SO_2[ILO],,-1),2)</f>
        <v>11.25</v>
      </c>
      <c r="L59">
        <f>( ( _xlfn.XLOOKUP(F59,[1]!CO[BLO],[1]!CO[IHI],,-1)
- _xlfn.XLOOKUP(F59,[1]!CO[BLO],[1]!CO[ILO],,-1) )
/
( _xlfn.XLOOKUP(F59,[1]!CO[BLO],[1]!CO[BHI],,-1) - _xlfn.XLOOKUP(F59,[1]!CO[BLO],[1]!CO[BLO],,-1)))
*
( F59 - _xlfn.XLOOKUP(F59,[1]!CO[BLO],[1]!CO[BLO],,-1) )
+
_xlfn.XLOOKUP(F59,[1]!CO[BLO],[1]!CO[ILO],,-1)</f>
        <v>33</v>
      </c>
      <c r="M59">
        <f>(( _xlfn.XLOOKUP(G59,[1]!O_3[BLO],[1]!O_3[IHI],,-1) - _xlfn.XLOOKUP(G59,[1]!O_3[BLO],[1]!O_3[ILO],,-1))
/
( _xlfn.XLOOKUP(G59,[1]!O_3[BLO],[1]!O_3[BHI],,-1) - _xlfn.XLOOKUP(G59,[1]!O_3[BLO],[1]!O_3[BLO],,-1)))
*
( G59 - _xlfn.XLOOKUP(G59,[1]!O_3[BLO],[1]!O_3[BLO],,-1))
+
_xlfn.XLOOKUP(G59,[1]!O_3[BLO],[1]!O_3[ILO],,-1)</f>
        <v>31</v>
      </c>
      <c r="N59">
        <f>MAX(DAILY_DATA[[#This Row],[AQI_PM2.5]:[AQI_O3]])</f>
        <v>74</v>
      </c>
      <c r="O59" t="str">
        <f>_xlfn.XLOOKUP(DAILY_DATA[[#This Row],[OVERALL_AQI]],[1]!CATEGORY[AQI_LO],[1]!CATEGORY[CATEGORY],,-1)</f>
        <v>Satisfactory</v>
      </c>
      <c r="P59" t="str" cm="1">
        <f t="array" ref="P59">INDEX(
{"PM2.5","PM10","NO2","SO2","CO","O3"},
MATCH(N59,H59:M59,0)
)</f>
        <v>PM10</v>
      </c>
    </row>
    <row r="60" spans="1:16" x14ac:dyDescent="0.25">
      <c r="A60" s="4">
        <v>45350</v>
      </c>
      <c r="B60">
        <f>ROUND(AVERAGEIFS([1]HOURLY_DATA!B60:B8843,[1]HOURLY_DATA!H60:H8843,Daily_AQI!A60),0)</f>
        <v>31</v>
      </c>
      <c r="C60">
        <f>ROUND(AVERAGEIFS([1]HOURLY_DATA!C60:C8843,[1]HOURLY_DATA!H60:H8843,Daily_AQI!A60),0)</f>
        <v>71</v>
      </c>
      <c r="D60">
        <f>ROUND(AVERAGEIFS([1]HOURLY_DATA!D60:D8843,[1]HOURLY_DATA!H60:H8843,Daily_AQI!A60),0)</f>
        <v>20</v>
      </c>
      <c r="E60">
        <f>ROUND(AVERAGEIFS([1]HOURLY_DATA!E60:E8843,[1]HOURLY_DATA!H60:H8843,Daily_AQI!A60),0)</f>
        <v>9</v>
      </c>
      <c r="F60">
        <f>ROUND(AVERAGEIFS([1]HOURLY_DATA!I60:I8843,[1]HOURLY_DATA!H60:H8843,Daily_AQI!A60),2)</f>
        <v>0.68</v>
      </c>
      <c r="G60">
        <f>ROUND(AVERAGEIFS([1]HOURLY_DATA!J60:J8843,[1]HOURLY_DATA!H60:H8843,Daily_AQI!A60),0)</f>
        <v>32</v>
      </c>
      <c r="H60">
        <f>ROUND(((_xlfn.XLOOKUP(B60,[1]!PM2.5[BLO],[1]!PM2.5[IHI],,-1) - _xlfn.XLOOKUP(B60,[1]!PM2.5[BLO],[1]!PM2.5[ILO],,-1))
/
(_xlfn.XLOOKUP(B60,[1]!PM2.5[BLO],[1]!PM2.5[BHI],,-1) - _xlfn.XLOOKUP(B60,[1]!PM2.5[BLO],[1]!PM2.5[BLO],,-1)))
*
(B60 - _xlfn.XLOOKUP(B60,[1]!PM2.5[BLO],[1]!PM2.5[BLO],,-1))
+
_xlfn.XLOOKUP(B60,[1]!PM2.5[BLO],[1]!PM2.5[ILO],,-1),2)</f>
        <v>51</v>
      </c>
      <c r="I60">
        <f>ROUND(((_xlfn.XLOOKUP(C60,[1]!PM_10[BLO],[1]!PM_10[IHI],,-1) - _xlfn.XLOOKUP(C60,[1]!PM_10[BLO],[1]!PM_10[ILO],,-1))
/
(_xlfn.XLOOKUP(C60,[1]!PM_10[BLO],[1]!PM_10[BHI],,-1) - _xlfn.XLOOKUP(C60,[1]!PM_10[BLO],[1]!PM_10[BLO],,-1)))
*
( C60 - _xlfn.XLOOKUP(C60,[1]!PM_10[BLO],[1]!PM_10[BLO],,-1))
+
_xlfn.XLOOKUP(C60,[1]!PM_10[BLO],[1]!PM_10[ILO],,-1),2)</f>
        <v>71</v>
      </c>
      <c r="J60">
        <f>ROUND((( _xlfn.XLOOKUP(D60,[1]!NO_2[BLO],[1]!NO_2[IHI],,-1) - _xlfn.XLOOKUP(D60,[1]!NO_2[BLO],[1]!NO_2[ILO],,-1))
/
( _xlfn.XLOOKUP(D60,[1]!NO_2[BLO],[1]!NO_2[BHI],,-1) - _xlfn.XLOOKUP(D60,[1]!NO_2[BLO],[1]!NO_2[BLO],,-1) ))
*
( D60 - _xlfn.XLOOKUP(D60,[1]!NO_2[BLO],[1]!NO_2[BLO],,-1))
+
_xlfn.XLOOKUP(D60,[1]!NO_2[BLO],[1]!NO_2[ILO],,-1),2)</f>
        <v>25</v>
      </c>
      <c r="K60">
        <f>ROUND(( ( _xlfn.XLOOKUP(E60,[1]!SO_2[BLO],[1]!SO_2[IHI],,-1)  - _xlfn.XLOOKUP(E60,[1]!SO_2[BLO],[1]!SO_2[ILO],,-1) )
/
( _xlfn.XLOOKUP(E60,[1]!SO_2[BLO],[1]!SO_2[BHI],,-1)- _xlfn.XLOOKUP(E60,[1]!SO_2[BLO],[1]!SO_2[BLO],,-1) ))
*
( E60 - _xlfn.XLOOKUP(E60,[1]!SO_2[BLO],[1]!SO_2[BLO],,-1) )
+
_xlfn.XLOOKUP(E60,[1]!SO_2[BLO],[1]!SO_2[ILO],,-1),2)</f>
        <v>11.25</v>
      </c>
      <c r="L60">
        <f>( ( _xlfn.XLOOKUP(F60,[1]!CO[BLO],[1]!CO[IHI],,-1)
- _xlfn.XLOOKUP(F60,[1]!CO[BLO],[1]!CO[ILO],,-1) )
/
( _xlfn.XLOOKUP(F60,[1]!CO[BLO],[1]!CO[BHI],,-1) - _xlfn.XLOOKUP(F60,[1]!CO[BLO],[1]!CO[BLO],,-1)))
*
( F60 - _xlfn.XLOOKUP(F60,[1]!CO[BLO],[1]!CO[BLO],,-1) )
+
_xlfn.XLOOKUP(F60,[1]!CO[BLO],[1]!CO[ILO],,-1)</f>
        <v>34</v>
      </c>
      <c r="M60">
        <f>(( _xlfn.XLOOKUP(G60,[1]!O_3[BLO],[1]!O_3[IHI],,-1) - _xlfn.XLOOKUP(G60,[1]!O_3[BLO],[1]!O_3[ILO],,-1))
/
( _xlfn.XLOOKUP(G60,[1]!O_3[BLO],[1]!O_3[BHI],,-1) - _xlfn.XLOOKUP(G60,[1]!O_3[BLO],[1]!O_3[BLO],,-1)))
*
( G60 - _xlfn.XLOOKUP(G60,[1]!O_3[BLO],[1]!O_3[BLO],,-1))
+
_xlfn.XLOOKUP(G60,[1]!O_3[BLO],[1]!O_3[ILO],,-1)</f>
        <v>32</v>
      </c>
      <c r="N60">
        <f>MAX(DAILY_DATA[[#This Row],[AQI_PM2.5]:[AQI_O3]])</f>
        <v>71</v>
      </c>
      <c r="O60" t="str">
        <f>_xlfn.XLOOKUP(DAILY_DATA[[#This Row],[OVERALL_AQI]],[1]!CATEGORY[AQI_LO],[1]!CATEGORY[CATEGORY],,-1)</f>
        <v>Satisfactory</v>
      </c>
      <c r="P60" t="str" cm="1">
        <f t="array" ref="P60">INDEX(
{"PM2.5","PM10","NO2","SO2","CO","O3"},
MATCH(N60,H60:M60,0)
)</f>
        <v>PM10</v>
      </c>
    </row>
    <row r="61" spans="1:16" x14ac:dyDescent="0.25">
      <c r="A61" s="4">
        <v>45351</v>
      </c>
      <c r="B61">
        <f>ROUND(AVERAGEIFS([1]HOURLY_DATA!B61:B8844,[1]HOURLY_DATA!H61:H8844,Daily_AQI!A61),0)</f>
        <v>34</v>
      </c>
      <c r="C61">
        <f>ROUND(AVERAGEIFS([1]HOURLY_DATA!C61:C8844,[1]HOURLY_DATA!H61:H8844,Daily_AQI!A61),0)</f>
        <v>76</v>
      </c>
      <c r="D61">
        <f>ROUND(AVERAGEIFS([1]HOURLY_DATA!D61:D8844,[1]HOURLY_DATA!H61:H8844,Daily_AQI!A61),0)</f>
        <v>20</v>
      </c>
      <c r="E61">
        <f>ROUND(AVERAGEIFS([1]HOURLY_DATA!E61:E8844,[1]HOURLY_DATA!H61:H8844,Daily_AQI!A61),0)</f>
        <v>9</v>
      </c>
      <c r="F61">
        <f>ROUND(AVERAGEIFS([1]HOURLY_DATA!I61:I8844,[1]HOURLY_DATA!H61:H8844,Daily_AQI!A61),2)</f>
        <v>0.67</v>
      </c>
      <c r="G61">
        <f>ROUND(AVERAGEIFS([1]HOURLY_DATA!J61:J8844,[1]HOURLY_DATA!H61:H8844,Daily_AQI!A61),0)</f>
        <v>36</v>
      </c>
      <c r="H61">
        <f>ROUND(((_xlfn.XLOOKUP(B61,[1]!PM2.5[BLO],[1]!PM2.5[IHI],,-1) - _xlfn.XLOOKUP(B61,[1]!PM2.5[BLO],[1]!PM2.5[ILO],,-1))
/
(_xlfn.XLOOKUP(B61,[1]!PM2.5[BLO],[1]!PM2.5[BHI],,-1) - _xlfn.XLOOKUP(B61,[1]!PM2.5[BLO],[1]!PM2.5[BLO],,-1)))
*
(B61 - _xlfn.XLOOKUP(B61,[1]!PM2.5[BLO],[1]!PM2.5[BLO],,-1))
+
_xlfn.XLOOKUP(B61,[1]!PM2.5[BLO],[1]!PM2.5[ILO],,-1),2)</f>
        <v>56.07</v>
      </c>
      <c r="I61">
        <f>ROUND(((_xlfn.XLOOKUP(C61,[1]!PM_10[BLO],[1]!PM_10[IHI],,-1) - _xlfn.XLOOKUP(C61,[1]!PM_10[BLO],[1]!PM_10[ILO],,-1))
/
(_xlfn.XLOOKUP(C61,[1]!PM_10[BLO],[1]!PM_10[BHI],,-1) - _xlfn.XLOOKUP(C61,[1]!PM_10[BLO],[1]!PM_10[BLO],,-1)))
*
( C61 - _xlfn.XLOOKUP(C61,[1]!PM_10[BLO],[1]!PM_10[BLO],,-1))
+
_xlfn.XLOOKUP(C61,[1]!PM_10[BLO],[1]!PM_10[ILO],,-1),2)</f>
        <v>76</v>
      </c>
      <c r="J61">
        <f>ROUND((( _xlfn.XLOOKUP(D61,[1]!NO_2[BLO],[1]!NO_2[IHI],,-1) - _xlfn.XLOOKUP(D61,[1]!NO_2[BLO],[1]!NO_2[ILO],,-1))
/
( _xlfn.XLOOKUP(D61,[1]!NO_2[BLO],[1]!NO_2[BHI],,-1) - _xlfn.XLOOKUP(D61,[1]!NO_2[BLO],[1]!NO_2[BLO],,-1) ))
*
( D61 - _xlfn.XLOOKUP(D61,[1]!NO_2[BLO],[1]!NO_2[BLO],,-1))
+
_xlfn.XLOOKUP(D61,[1]!NO_2[BLO],[1]!NO_2[ILO],,-1),2)</f>
        <v>25</v>
      </c>
      <c r="K61">
        <f>ROUND(( ( _xlfn.XLOOKUP(E61,[1]!SO_2[BLO],[1]!SO_2[IHI],,-1)  - _xlfn.XLOOKUP(E61,[1]!SO_2[BLO],[1]!SO_2[ILO],,-1) )
/
( _xlfn.XLOOKUP(E61,[1]!SO_2[BLO],[1]!SO_2[BHI],,-1)- _xlfn.XLOOKUP(E61,[1]!SO_2[BLO],[1]!SO_2[BLO],,-1) ))
*
( E61 - _xlfn.XLOOKUP(E61,[1]!SO_2[BLO],[1]!SO_2[BLO],,-1) )
+
_xlfn.XLOOKUP(E61,[1]!SO_2[BLO],[1]!SO_2[ILO],,-1),2)</f>
        <v>11.25</v>
      </c>
      <c r="L61">
        <f>( ( _xlfn.XLOOKUP(F61,[1]!CO[BLO],[1]!CO[IHI],,-1)
- _xlfn.XLOOKUP(F61,[1]!CO[BLO],[1]!CO[ILO],,-1) )
/
( _xlfn.XLOOKUP(F61,[1]!CO[BLO],[1]!CO[BHI],,-1) - _xlfn.XLOOKUP(F61,[1]!CO[BLO],[1]!CO[BLO],,-1)))
*
( F61 - _xlfn.XLOOKUP(F61,[1]!CO[BLO],[1]!CO[BLO],,-1) )
+
_xlfn.XLOOKUP(F61,[1]!CO[BLO],[1]!CO[ILO],,-1)</f>
        <v>33.5</v>
      </c>
      <c r="M61">
        <f>(( _xlfn.XLOOKUP(G61,[1]!O_3[BLO],[1]!O_3[IHI],,-1) - _xlfn.XLOOKUP(G61,[1]!O_3[BLO],[1]!O_3[ILO],,-1))
/
( _xlfn.XLOOKUP(G61,[1]!O_3[BLO],[1]!O_3[BHI],,-1) - _xlfn.XLOOKUP(G61,[1]!O_3[BLO],[1]!O_3[BLO],,-1)))
*
( G61 - _xlfn.XLOOKUP(G61,[1]!O_3[BLO],[1]!O_3[BLO],,-1))
+
_xlfn.XLOOKUP(G61,[1]!O_3[BLO],[1]!O_3[ILO],,-1)</f>
        <v>36</v>
      </c>
      <c r="N61">
        <f>MAX(DAILY_DATA[[#This Row],[AQI_PM2.5]:[AQI_O3]])</f>
        <v>76</v>
      </c>
      <c r="O61" t="str">
        <f>_xlfn.XLOOKUP(DAILY_DATA[[#This Row],[OVERALL_AQI]],[1]!CATEGORY[AQI_LO],[1]!CATEGORY[CATEGORY],,-1)</f>
        <v>Satisfactory</v>
      </c>
      <c r="P61" t="str" cm="1">
        <f t="array" ref="P61">INDEX(
{"PM2.5","PM10","NO2","SO2","CO","O3"},
MATCH(N61,H61:M61,0)
)</f>
        <v>PM10</v>
      </c>
    </row>
    <row r="62" spans="1:16" x14ac:dyDescent="0.25">
      <c r="A62" s="4">
        <v>45352</v>
      </c>
      <c r="B62">
        <f>ROUND(AVERAGEIFS([1]HOURLY_DATA!B62:B8845,[1]HOURLY_DATA!H62:H8845,Daily_AQI!A62),0)</f>
        <v>32</v>
      </c>
      <c r="C62">
        <f>ROUND(AVERAGEIFS([1]HOURLY_DATA!C62:C8845,[1]HOURLY_DATA!H62:H8845,Daily_AQI!A62),0)</f>
        <v>74</v>
      </c>
      <c r="D62">
        <f>ROUND(AVERAGEIFS([1]HOURLY_DATA!D62:D8845,[1]HOURLY_DATA!H62:H8845,Daily_AQI!A62),0)</f>
        <v>26</v>
      </c>
      <c r="E62">
        <f>ROUND(AVERAGEIFS([1]HOURLY_DATA!E62:E8845,[1]HOURLY_DATA!H62:H8845,Daily_AQI!A62),0)</f>
        <v>9</v>
      </c>
      <c r="F62">
        <f>ROUND(AVERAGEIFS([1]HOURLY_DATA!I62:I8845,[1]HOURLY_DATA!H62:H8845,Daily_AQI!A62),2)</f>
        <v>0.69</v>
      </c>
      <c r="G62">
        <f>ROUND(AVERAGEIFS([1]HOURLY_DATA!J62:J8845,[1]HOURLY_DATA!H62:H8845,Daily_AQI!A62),0)</f>
        <v>37</v>
      </c>
      <c r="H62">
        <f>ROUND(((_xlfn.XLOOKUP(B62,[1]!PM2.5[BLO],[1]!PM2.5[IHI],,-1) - _xlfn.XLOOKUP(B62,[1]!PM2.5[BLO],[1]!PM2.5[ILO],,-1))
/
(_xlfn.XLOOKUP(B62,[1]!PM2.5[BLO],[1]!PM2.5[BHI],,-1) - _xlfn.XLOOKUP(B62,[1]!PM2.5[BLO],[1]!PM2.5[BLO],,-1)))
*
(B62 - _xlfn.XLOOKUP(B62,[1]!PM2.5[BLO],[1]!PM2.5[BLO],,-1))
+
_xlfn.XLOOKUP(B62,[1]!PM2.5[BLO],[1]!PM2.5[ILO],,-1),2)</f>
        <v>52.69</v>
      </c>
      <c r="I62">
        <f>ROUND(((_xlfn.XLOOKUP(C62,[1]!PM_10[BLO],[1]!PM_10[IHI],,-1) - _xlfn.XLOOKUP(C62,[1]!PM_10[BLO],[1]!PM_10[ILO],,-1))
/
(_xlfn.XLOOKUP(C62,[1]!PM_10[BLO],[1]!PM_10[BHI],,-1) - _xlfn.XLOOKUP(C62,[1]!PM_10[BLO],[1]!PM_10[BLO],,-1)))
*
( C62 - _xlfn.XLOOKUP(C62,[1]!PM_10[BLO],[1]!PM_10[BLO],,-1))
+
_xlfn.XLOOKUP(C62,[1]!PM_10[BLO],[1]!PM_10[ILO],,-1),2)</f>
        <v>74</v>
      </c>
      <c r="J62">
        <f>ROUND((( _xlfn.XLOOKUP(D62,[1]!NO_2[BLO],[1]!NO_2[IHI],,-1) - _xlfn.XLOOKUP(D62,[1]!NO_2[BLO],[1]!NO_2[ILO],,-1))
/
( _xlfn.XLOOKUP(D62,[1]!NO_2[BLO],[1]!NO_2[BHI],,-1) - _xlfn.XLOOKUP(D62,[1]!NO_2[BLO],[1]!NO_2[BLO],,-1) ))
*
( D62 - _xlfn.XLOOKUP(D62,[1]!NO_2[BLO],[1]!NO_2[BLO],,-1))
+
_xlfn.XLOOKUP(D62,[1]!NO_2[BLO],[1]!NO_2[ILO],,-1),2)</f>
        <v>32.5</v>
      </c>
      <c r="K62">
        <f>ROUND(( ( _xlfn.XLOOKUP(E62,[1]!SO_2[BLO],[1]!SO_2[IHI],,-1)  - _xlfn.XLOOKUP(E62,[1]!SO_2[BLO],[1]!SO_2[ILO],,-1) )
/
( _xlfn.XLOOKUP(E62,[1]!SO_2[BLO],[1]!SO_2[BHI],,-1)- _xlfn.XLOOKUP(E62,[1]!SO_2[BLO],[1]!SO_2[BLO],,-1) ))
*
( E62 - _xlfn.XLOOKUP(E62,[1]!SO_2[BLO],[1]!SO_2[BLO],,-1) )
+
_xlfn.XLOOKUP(E62,[1]!SO_2[BLO],[1]!SO_2[ILO],,-1),2)</f>
        <v>11.25</v>
      </c>
      <c r="L62">
        <f>( ( _xlfn.XLOOKUP(F62,[1]!CO[BLO],[1]!CO[IHI],,-1)
- _xlfn.XLOOKUP(F62,[1]!CO[BLO],[1]!CO[ILO],,-1) )
/
( _xlfn.XLOOKUP(F62,[1]!CO[BLO],[1]!CO[BHI],,-1) - _xlfn.XLOOKUP(F62,[1]!CO[BLO],[1]!CO[BLO],,-1)))
*
( F62 - _xlfn.XLOOKUP(F62,[1]!CO[BLO],[1]!CO[BLO],,-1) )
+
_xlfn.XLOOKUP(F62,[1]!CO[BLO],[1]!CO[ILO],,-1)</f>
        <v>34.5</v>
      </c>
      <c r="M62">
        <f>(( _xlfn.XLOOKUP(G62,[1]!O_3[BLO],[1]!O_3[IHI],,-1) - _xlfn.XLOOKUP(G62,[1]!O_3[BLO],[1]!O_3[ILO],,-1))
/
( _xlfn.XLOOKUP(G62,[1]!O_3[BLO],[1]!O_3[BHI],,-1) - _xlfn.XLOOKUP(G62,[1]!O_3[BLO],[1]!O_3[BLO],,-1)))
*
( G62 - _xlfn.XLOOKUP(G62,[1]!O_3[BLO],[1]!O_3[BLO],,-1))
+
_xlfn.XLOOKUP(G62,[1]!O_3[BLO],[1]!O_3[ILO],,-1)</f>
        <v>37</v>
      </c>
      <c r="N62">
        <f>MAX(DAILY_DATA[[#This Row],[AQI_PM2.5]:[AQI_O3]])</f>
        <v>74</v>
      </c>
      <c r="O62" t="str">
        <f>_xlfn.XLOOKUP(DAILY_DATA[[#This Row],[OVERALL_AQI]],[1]!CATEGORY[AQI_LO],[1]!CATEGORY[CATEGORY],,-1)</f>
        <v>Satisfactory</v>
      </c>
      <c r="P62" t="str" cm="1">
        <f t="array" ref="P62">INDEX(
{"PM2.5","PM10","NO2","SO2","CO","O3"},
MATCH(N62,H62:M62,0)
)</f>
        <v>PM10</v>
      </c>
    </row>
    <row r="63" spans="1:16" x14ac:dyDescent="0.25">
      <c r="A63" s="4">
        <v>45353</v>
      </c>
      <c r="B63">
        <f>ROUND(AVERAGEIFS([1]HOURLY_DATA!B63:B8846,[1]HOURLY_DATA!H63:H8846,Daily_AQI!A63),0)</f>
        <v>43</v>
      </c>
      <c r="C63">
        <f>ROUND(AVERAGEIFS([1]HOURLY_DATA!C63:C8846,[1]HOURLY_DATA!H63:H8846,Daily_AQI!A63),0)</f>
        <v>84</v>
      </c>
      <c r="D63">
        <f>ROUND(AVERAGEIFS([1]HOURLY_DATA!D63:D8846,[1]HOURLY_DATA!H63:H8846,Daily_AQI!A63),0)</f>
        <v>24</v>
      </c>
      <c r="E63">
        <f>ROUND(AVERAGEIFS([1]HOURLY_DATA!E63:E8846,[1]HOURLY_DATA!H63:H8846,Daily_AQI!A63),0)</f>
        <v>9</v>
      </c>
      <c r="F63">
        <f>ROUND(AVERAGEIFS([1]HOURLY_DATA!I63:I8846,[1]HOURLY_DATA!H63:H8846,Daily_AQI!A63),2)</f>
        <v>0.68</v>
      </c>
      <c r="G63">
        <f>ROUND(AVERAGEIFS([1]HOURLY_DATA!J63:J8846,[1]HOURLY_DATA!H63:H8846,Daily_AQI!A63),0)</f>
        <v>39</v>
      </c>
      <c r="H63">
        <f>ROUND(((_xlfn.XLOOKUP(B63,[1]!PM2.5[BLO],[1]!PM2.5[IHI],,-1) - _xlfn.XLOOKUP(B63,[1]!PM2.5[BLO],[1]!PM2.5[ILO],,-1))
/
(_xlfn.XLOOKUP(B63,[1]!PM2.5[BLO],[1]!PM2.5[BHI],,-1) - _xlfn.XLOOKUP(B63,[1]!PM2.5[BLO],[1]!PM2.5[BLO],,-1)))
*
(B63 - _xlfn.XLOOKUP(B63,[1]!PM2.5[BLO],[1]!PM2.5[BLO],,-1))
+
_xlfn.XLOOKUP(B63,[1]!PM2.5[BLO],[1]!PM2.5[ILO],,-1),2)</f>
        <v>71.28</v>
      </c>
      <c r="I63">
        <f>ROUND(((_xlfn.XLOOKUP(C63,[1]!PM_10[BLO],[1]!PM_10[IHI],,-1) - _xlfn.XLOOKUP(C63,[1]!PM_10[BLO],[1]!PM_10[ILO],,-1))
/
(_xlfn.XLOOKUP(C63,[1]!PM_10[BLO],[1]!PM_10[BHI],,-1) - _xlfn.XLOOKUP(C63,[1]!PM_10[BLO],[1]!PM_10[BLO],,-1)))
*
( C63 - _xlfn.XLOOKUP(C63,[1]!PM_10[BLO],[1]!PM_10[BLO],,-1))
+
_xlfn.XLOOKUP(C63,[1]!PM_10[BLO],[1]!PM_10[ILO],,-1),2)</f>
        <v>84</v>
      </c>
      <c r="J63">
        <f>ROUND((( _xlfn.XLOOKUP(D63,[1]!NO_2[BLO],[1]!NO_2[IHI],,-1) - _xlfn.XLOOKUP(D63,[1]!NO_2[BLO],[1]!NO_2[ILO],,-1))
/
( _xlfn.XLOOKUP(D63,[1]!NO_2[BLO],[1]!NO_2[BHI],,-1) - _xlfn.XLOOKUP(D63,[1]!NO_2[BLO],[1]!NO_2[BLO],,-1) ))
*
( D63 - _xlfn.XLOOKUP(D63,[1]!NO_2[BLO],[1]!NO_2[BLO],,-1))
+
_xlfn.XLOOKUP(D63,[1]!NO_2[BLO],[1]!NO_2[ILO],,-1),2)</f>
        <v>30</v>
      </c>
      <c r="K63">
        <f>ROUND(( ( _xlfn.XLOOKUP(E63,[1]!SO_2[BLO],[1]!SO_2[IHI],,-1)  - _xlfn.XLOOKUP(E63,[1]!SO_2[BLO],[1]!SO_2[ILO],,-1) )
/
( _xlfn.XLOOKUP(E63,[1]!SO_2[BLO],[1]!SO_2[BHI],,-1)- _xlfn.XLOOKUP(E63,[1]!SO_2[BLO],[1]!SO_2[BLO],,-1) ))
*
( E63 - _xlfn.XLOOKUP(E63,[1]!SO_2[BLO],[1]!SO_2[BLO],,-1) )
+
_xlfn.XLOOKUP(E63,[1]!SO_2[BLO],[1]!SO_2[ILO],,-1),2)</f>
        <v>11.25</v>
      </c>
      <c r="L63">
        <f>( ( _xlfn.XLOOKUP(F63,[1]!CO[BLO],[1]!CO[IHI],,-1)
- _xlfn.XLOOKUP(F63,[1]!CO[BLO],[1]!CO[ILO],,-1) )
/
( _xlfn.XLOOKUP(F63,[1]!CO[BLO],[1]!CO[BHI],,-1) - _xlfn.XLOOKUP(F63,[1]!CO[BLO],[1]!CO[BLO],,-1)))
*
( F63 - _xlfn.XLOOKUP(F63,[1]!CO[BLO],[1]!CO[BLO],,-1) )
+
_xlfn.XLOOKUP(F63,[1]!CO[BLO],[1]!CO[ILO],,-1)</f>
        <v>34</v>
      </c>
      <c r="M63">
        <f>(( _xlfn.XLOOKUP(G63,[1]!O_3[BLO],[1]!O_3[IHI],,-1) - _xlfn.XLOOKUP(G63,[1]!O_3[BLO],[1]!O_3[ILO],,-1))
/
( _xlfn.XLOOKUP(G63,[1]!O_3[BLO],[1]!O_3[BHI],,-1) - _xlfn.XLOOKUP(G63,[1]!O_3[BLO],[1]!O_3[BLO],,-1)))
*
( G63 - _xlfn.XLOOKUP(G63,[1]!O_3[BLO],[1]!O_3[BLO],,-1))
+
_xlfn.XLOOKUP(G63,[1]!O_3[BLO],[1]!O_3[ILO],,-1)</f>
        <v>39</v>
      </c>
      <c r="N63">
        <f>MAX(DAILY_DATA[[#This Row],[AQI_PM2.5]:[AQI_O3]])</f>
        <v>84</v>
      </c>
      <c r="O63" t="str">
        <f>_xlfn.XLOOKUP(DAILY_DATA[[#This Row],[OVERALL_AQI]],[1]!CATEGORY[AQI_LO],[1]!CATEGORY[CATEGORY],,-1)</f>
        <v>Satisfactory</v>
      </c>
      <c r="P63" t="str" cm="1">
        <f t="array" ref="P63">INDEX(
{"PM2.5","PM10","NO2","SO2","CO","O3"},
MATCH(N63,H63:M63,0)
)</f>
        <v>PM10</v>
      </c>
    </row>
    <row r="64" spans="1:16" x14ac:dyDescent="0.25">
      <c r="A64" s="4">
        <v>45354</v>
      </c>
      <c r="B64">
        <f>ROUND(AVERAGEIFS([1]HOURLY_DATA!B64:B8847,[1]HOURLY_DATA!H64:H8847,Daily_AQI!A64),0)</f>
        <v>56</v>
      </c>
      <c r="C64">
        <f>ROUND(AVERAGEIFS([1]HOURLY_DATA!C64:C8847,[1]HOURLY_DATA!H64:H8847,Daily_AQI!A64),0)</f>
        <v>120</v>
      </c>
      <c r="D64">
        <f>ROUND(AVERAGEIFS([1]HOURLY_DATA!D64:D8847,[1]HOURLY_DATA!H64:H8847,Daily_AQI!A64),0)</f>
        <v>24</v>
      </c>
      <c r="E64">
        <f>ROUND(AVERAGEIFS([1]HOURLY_DATA!E64:E8847,[1]HOURLY_DATA!H64:H8847,Daily_AQI!A64),0)</f>
        <v>11</v>
      </c>
      <c r="F64">
        <f>ROUND(AVERAGEIFS([1]HOURLY_DATA!I64:I8847,[1]HOURLY_DATA!H64:H8847,Daily_AQI!A64),2)</f>
        <v>0.77</v>
      </c>
      <c r="G64">
        <f>ROUND(AVERAGEIFS([1]HOURLY_DATA!J64:J8847,[1]HOURLY_DATA!H64:H8847,Daily_AQI!A64),0)</f>
        <v>44</v>
      </c>
      <c r="H64">
        <f>ROUND(((_xlfn.XLOOKUP(B64,[1]!PM2.5[BLO],[1]!PM2.5[IHI],,-1) - _xlfn.XLOOKUP(B64,[1]!PM2.5[BLO],[1]!PM2.5[ILO],,-1))
/
(_xlfn.XLOOKUP(B64,[1]!PM2.5[BLO],[1]!PM2.5[BHI],,-1) - _xlfn.XLOOKUP(B64,[1]!PM2.5[BLO],[1]!PM2.5[BLO],,-1)))
*
(B64 - _xlfn.XLOOKUP(B64,[1]!PM2.5[BLO],[1]!PM2.5[BLO],,-1))
+
_xlfn.XLOOKUP(B64,[1]!PM2.5[BLO],[1]!PM2.5[ILO],,-1),2)</f>
        <v>93.24</v>
      </c>
      <c r="I64">
        <f>ROUND(((_xlfn.XLOOKUP(C64,[1]!PM_10[BLO],[1]!PM_10[IHI],,-1) - _xlfn.XLOOKUP(C64,[1]!PM_10[BLO],[1]!PM_10[ILO],,-1))
/
(_xlfn.XLOOKUP(C64,[1]!PM_10[BLO],[1]!PM_10[BHI],,-1) - _xlfn.XLOOKUP(C64,[1]!PM_10[BLO],[1]!PM_10[BLO],,-1)))
*
( C64 - _xlfn.XLOOKUP(C64,[1]!PM_10[BLO],[1]!PM_10[BLO],,-1))
+
_xlfn.XLOOKUP(C64,[1]!PM_10[BLO],[1]!PM_10[ILO],,-1),2)</f>
        <v>113.62</v>
      </c>
      <c r="J64">
        <f>ROUND((( _xlfn.XLOOKUP(D64,[1]!NO_2[BLO],[1]!NO_2[IHI],,-1) - _xlfn.XLOOKUP(D64,[1]!NO_2[BLO],[1]!NO_2[ILO],,-1))
/
( _xlfn.XLOOKUP(D64,[1]!NO_2[BLO],[1]!NO_2[BHI],,-1) - _xlfn.XLOOKUP(D64,[1]!NO_2[BLO],[1]!NO_2[BLO],,-1) ))
*
( D64 - _xlfn.XLOOKUP(D64,[1]!NO_2[BLO],[1]!NO_2[BLO],,-1))
+
_xlfn.XLOOKUP(D64,[1]!NO_2[BLO],[1]!NO_2[ILO],,-1),2)</f>
        <v>30</v>
      </c>
      <c r="K64">
        <f>ROUND(( ( _xlfn.XLOOKUP(E64,[1]!SO_2[BLO],[1]!SO_2[IHI],,-1)  - _xlfn.XLOOKUP(E64,[1]!SO_2[BLO],[1]!SO_2[ILO],,-1) )
/
( _xlfn.XLOOKUP(E64,[1]!SO_2[BLO],[1]!SO_2[BHI],,-1)- _xlfn.XLOOKUP(E64,[1]!SO_2[BLO],[1]!SO_2[BLO],,-1) ))
*
( E64 - _xlfn.XLOOKUP(E64,[1]!SO_2[BLO],[1]!SO_2[BLO],,-1) )
+
_xlfn.XLOOKUP(E64,[1]!SO_2[BLO],[1]!SO_2[ILO],,-1),2)</f>
        <v>13.75</v>
      </c>
      <c r="L64">
        <f>( ( _xlfn.XLOOKUP(F64,[1]!CO[BLO],[1]!CO[IHI],,-1)
- _xlfn.XLOOKUP(F64,[1]!CO[BLO],[1]!CO[ILO],,-1) )
/
( _xlfn.XLOOKUP(F64,[1]!CO[BLO],[1]!CO[BHI],,-1) - _xlfn.XLOOKUP(F64,[1]!CO[BLO],[1]!CO[BLO],,-1)))
*
( F64 - _xlfn.XLOOKUP(F64,[1]!CO[BLO],[1]!CO[BLO],,-1) )
+
_xlfn.XLOOKUP(F64,[1]!CO[BLO],[1]!CO[ILO],,-1)</f>
        <v>38.5</v>
      </c>
      <c r="M64">
        <f>(( _xlfn.XLOOKUP(G64,[1]!O_3[BLO],[1]!O_3[IHI],,-1) - _xlfn.XLOOKUP(G64,[1]!O_3[BLO],[1]!O_3[ILO],,-1))
/
( _xlfn.XLOOKUP(G64,[1]!O_3[BLO],[1]!O_3[BHI],,-1) - _xlfn.XLOOKUP(G64,[1]!O_3[BLO],[1]!O_3[BLO],,-1)))
*
( G64 - _xlfn.XLOOKUP(G64,[1]!O_3[BLO],[1]!O_3[BLO],,-1))
+
_xlfn.XLOOKUP(G64,[1]!O_3[BLO],[1]!O_3[ILO],,-1)</f>
        <v>44</v>
      </c>
      <c r="N64">
        <f>MAX(DAILY_DATA[[#This Row],[AQI_PM2.5]:[AQI_O3]])</f>
        <v>113.62</v>
      </c>
      <c r="O64" t="str">
        <f>_xlfn.XLOOKUP(DAILY_DATA[[#This Row],[OVERALL_AQI]],[1]!CATEGORY[AQI_LO],[1]!CATEGORY[CATEGORY],,-1)</f>
        <v>Moderate</v>
      </c>
      <c r="P64" t="str" cm="1">
        <f t="array" ref="P64">INDEX(
{"PM2.5","PM10","NO2","SO2","CO","O3"},
MATCH(N64,H64:M64,0)
)</f>
        <v>PM10</v>
      </c>
    </row>
    <row r="65" spans="1:16" x14ac:dyDescent="0.25">
      <c r="A65" s="4">
        <v>45355</v>
      </c>
      <c r="B65">
        <f>ROUND(AVERAGEIFS([1]HOURLY_DATA!B65:B8848,[1]HOURLY_DATA!H65:H8848,Daily_AQI!A65),0)</f>
        <v>51</v>
      </c>
      <c r="C65">
        <f>ROUND(AVERAGEIFS([1]HOURLY_DATA!C65:C8848,[1]HOURLY_DATA!H65:H8848,Daily_AQI!A65),0)</f>
        <v>110</v>
      </c>
      <c r="D65">
        <f>ROUND(AVERAGEIFS([1]HOURLY_DATA!D65:D8848,[1]HOURLY_DATA!H65:H8848,Daily_AQI!A65),0)</f>
        <v>24</v>
      </c>
      <c r="E65">
        <f>ROUND(AVERAGEIFS([1]HOURLY_DATA!E65:E8848,[1]HOURLY_DATA!H65:H8848,Daily_AQI!A65),0)</f>
        <v>9</v>
      </c>
      <c r="F65">
        <f>ROUND(AVERAGEIFS([1]HOURLY_DATA!I65:I8848,[1]HOURLY_DATA!H65:H8848,Daily_AQI!A65),2)</f>
        <v>0.75</v>
      </c>
      <c r="G65">
        <f>ROUND(AVERAGEIFS([1]HOURLY_DATA!J65:J8848,[1]HOURLY_DATA!H65:H8848,Daily_AQI!A65),0)</f>
        <v>41</v>
      </c>
      <c r="H65">
        <f>ROUND(((_xlfn.XLOOKUP(B65,[1]!PM2.5[BLO],[1]!PM2.5[IHI],,-1) - _xlfn.XLOOKUP(B65,[1]!PM2.5[BLO],[1]!PM2.5[ILO],,-1))
/
(_xlfn.XLOOKUP(B65,[1]!PM2.5[BLO],[1]!PM2.5[BHI],,-1) - _xlfn.XLOOKUP(B65,[1]!PM2.5[BLO],[1]!PM2.5[BLO],,-1)))
*
(B65 - _xlfn.XLOOKUP(B65,[1]!PM2.5[BLO],[1]!PM2.5[BLO],,-1))
+
_xlfn.XLOOKUP(B65,[1]!PM2.5[BLO],[1]!PM2.5[ILO],,-1),2)</f>
        <v>84.79</v>
      </c>
      <c r="I65">
        <f>ROUND(((_xlfn.XLOOKUP(C65,[1]!PM_10[BLO],[1]!PM_10[IHI],,-1) - _xlfn.XLOOKUP(C65,[1]!PM_10[BLO],[1]!PM_10[ILO],,-1))
/
(_xlfn.XLOOKUP(C65,[1]!PM_10[BLO],[1]!PM_10[BHI],,-1) - _xlfn.XLOOKUP(C65,[1]!PM_10[BLO],[1]!PM_10[BLO],,-1)))
*
( C65 - _xlfn.XLOOKUP(C65,[1]!PM_10[BLO],[1]!PM_10[BLO],,-1))
+
_xlfn.XLOOKUP(C65,[1]!PM_10[BLO],[1]!PM_10[ILO],,-1),2)</f>
        <v>106.98</v>
      </c>
      <c r="J65">
        <f>ROUND((( _xlfn.XLOOKUP(D65,[1]!NO_2[BLO],[1]!NO_2[IHI],,-1) - _xlfn.XLOOKUP(D65,[1]!NO_2[BLO],[1]!NO_2[ILO],,-1))
/
( _xlfn.XLOOKUP(D65,[1]!NO_2[BLO],[1]!NO_2[BHI],,-1) - _xlfn.XLOOKUP(D65,[1]!NO_2[BLO],[1]!NO_2[BLO],,-1) ))
*
( D65 - _xlfn.XLOOKUP(D65,[1]!NO_2[BLO],[1]!NO_2[BLO],,-1))
+
_xlfn.XLOOKUP(D65,[1]!NO_2[BLO],[1]!NO_2[ILO],,-1),2)</f>
        <v>30</v>
      </c>
      <c r="K65">
        <f>ROUND(( ( _xlfn.XLOOKUP(E65,[1]!SO_2[BLO],[1]!SO_2[IHI],,-1)  - _xlfn.XLOOKUP(E65,[1]!SO_2[BLO],[1]!SO_2[ILO],,-1) )
/
( _xlfn.XLOOKUP(E65,[1]!SO_2[BLO],[1]!SO_2[BHI],,-1)- _xlfn.XLOOKUP(E65,[1]!SO_2[BLO],[1]!SO_2[BLO],,-1) ))
*
( E65 - _xlfn.XLOOKUP(E65,[1]!SO_2[BLO],[1]!SO_2[BLO],,-1) )
+
_xlfn.XLOOKUP(E65,[1]!SO_2[BLO],[1]!SO_2[ILO],,-1),2)</f>
        <v>11.25</v>
      </c>
      <c r="L65">
        <f>( ( _xlfn.XLOOKUP(F65,[1]!CO[BLO],[1]!CO[IHI],,-1)
- _xlfn.XLOOKUP(F65,[1]!CO[BLO],[1]!CO[ILO],,-1) )
/
( _xlfn.XLOOKUP(F65,[1]!CO[BLO],[1]!CO[BHI],,-1) - _xlfn.XLOOKUP(F65,[1]!CO[BLO],[1]!CO[BLO],,-1)))
*
( F65 - _xlfn.XLOOKUP(F65,[1]!CO[BLO],[1]!CO[BLO],,-1) )
+
_xlfn.XLOOKUP(F65,[1]!CO[BLO],[1]!CO[ILO],,-1)</f>
        <v>37.5</v>
      </c>
      <c r="M65">
        <f>(( _xlfn.XLOOKUP(G65,[1]!O_3[BLO],[1]!O_3[IHI],,-1) - _xlfn.XLOOKUP(G65,[1]!O_3[BLO],[1]!O_3[ILO],,-1))
/
( _xlfn.XLOOKUP(G65,[1]!O_3[BLO],[1]!O_3[BHI],,-1) - _xlfn.XLOOKUP(G65,[1]!O_3[BLO],[1]!O_3[BLO],,-1)))
*
( G65 - _xlfn.XLOOKUP(G65,[1]!O_3[BLO],[1]!O_3[BLO],,-1))
+
_xlfn.XLOOKUP(G65,[1]!O_3[BLO],[1]!O_3[ILO],,-1)</f>
        <v>41</v>
      </c>
      <c r="N65">
        <f>MAX(DAILY_DATA[[#This Row],[AQI_PM2.5]:[AQI_O3]])</f>
        <v>106.98</v>
      </c>
      <c r="O65" t="str">
        <f>_xlfn.XLOOKUP(DAILY_DATA[[#This Row],[OVERALL_AQI]],[1]!CATEGORY[AQI_LO],[1]!CATEGORY[CATEGORY],,-1)</f>
        <v>Moderate</v>
      </c>
      <c r="P65" t="str" cm="1">
        <f t="array" ref="P65">INDEX(
{"PM2.5","PM10","NO2","SO2","CO","O3"},
MATCH(N65,H65:M65,0)
)</f>
        <v>PM10</v>
      </c>
    </row>
    <row r="66" spans="1:16" x14ac:dyDescent="0.25">
      <c r="A66" s="4">
        <v>45356</v>
      </c>
      <c r="B66">
        <f>ROUND(AVERAGEIFS([1]HOURLY_DATA!B66:B8849,[1]HOURLY_DATA!H66:H8849,Daily_AQI!A66),0)</f>
        <v>47</v>
      </c>
      <c r="C66">
        <f>ROUND(AVERAGEIFS([1]HOURLY_DATA!C66:C8849,[1]HOURLY_DATA!H66:H8849,Daily_AQI!A66),0)</f>
        <v>101</v>
      </c>
      <c r="D66">
        <f>ROUND(AVERAGEIFS([1]HOURLY_DATA!D66:D8849,[1]HOURLY_DATA!H66:H8849,Daily_AQI!A66),0)</f>
        <v>23</v>
      </c>
      <c r="E66">
        <f>ROUND(AVERAGEIFS([1]HOURLY_DATA!E66:E8849,[1]HOURLY_DATA!H66:H8849,Daily_AQI!A66),0)</f>
        <v>9</v>
      </c>
      <c r="F66">
        <f>ROUND(AVERAGEIFS([1]HOURLY_DATA!I66:I8849,[1]HOURLY_DATA!H66:H8849,Daily_AQI!A66),2)</f>
        <v>0.7</v>
      </c>
      <c r="G66">
        <f>ROUND(AVERAGEIFS([1]HOURLY_DATA!J66:J8849,[1]HOURLY_DATA!H66:H8849,Daily_AQI!A66),0)</f>
        <v>39</v>
      </c>
      <c r="H66">
        <f>ROUND(((_xlfn.XLOOKUP(B66,[1]!PM2.5[BLO],[1]!PM2.5[IHI],,-1) - _xlfn.XLOOKUP(B66,[1]!PM2.5[BLO],[1]!PM2.5[ILO],,-1))
/
(_xlfn.XLOOKUP(B66,[1]!PM2.5[BLO],[1]!PM2.5[BHI],,-1) - _xlfn.XLOOKUP(B66,[1]!PM2.5[BLO],[1]!PM2.5[BLO],,-1)))
*
(B66 - _xlfn.XLOOKUP(B66,[1]!PM2.5[BLO],[1]!PM2.5[BLO],,-1))
+
_xlfn.XLOOKUP(B66,[1]!PM2.5[BLO],[1]!PM2.5[ILO],,-1),2)</f>
        <v>78.03</v>
      </c>
      <c r="I66">
        <f>ROUND(((_xlfn.XLOOKUP(C66,[1]!PM_10[BLO],[1]!PM_10[IHI],,-1) - _xlfn.XLOOKUP(C66,[1]!PM_10[BLO],[1]!PM_10[ILO],,-1))
/
(_xlfn.XLOOKUP(C66,[1]!PM_10[BLO],[1]!PM_10[BHI],,-1) - _xlfn.XLOOKUP(C66,[1]!PM_10[BLO],[1]!PM_10[BLO],,-1)))
*
( C66 - _xlfn.XLOOKUP(C66,[1]!PM_10[BLO],[1]!PM_10[BLO],,-1))
+
_xlfn.XLOOKUP(C66,[1]!PM_10[BLO],[1]!PM_10[ILO],,-1),2)</f>
        <v>101</v>
      </c>
      <c r="J66">
        <f>ROUND((( _xlfn.XLOOKUP(D66,[1]!NO_2[BLO],[1]!NO_2[IHI],,-1) - _xlfn.XLOOKUP(D66,[1]!NO_2[BLO],[1]!NO_2[ILO],,-1))
/
( _xlfn.XLOOKUP(D66,[1]!NO_2[BLO],[1]!NO_2[BHI],,-1) - _xlfn.XLOOKUP(D66,[1]!NO_2[BLO],[1]!NO_2[BLO],,-1) ))
*
( D66 - _xlfn.XLOOKUP(D66,[1]!NO_2[BLO],[1]!NO_2[BLO],,-1))
+
_xlfn.XLOOKUP(D66,[1]!NO_2[BLO],[1]!NO_2[ILO],,-1),2)</f>
        <v>28.75</v>
      </c>
      <c r="K66">
        <f>ROUND(( ( _xlfn.XLOOKUP(E66,[1]!SO_2[BLO],[1]!SO_2[IHI],,-1)  - _xlfn.XLOOKUP(E66,[1]!SO_2[BLO],[1]!SO_2[ILO],,-1) )
/
( _xlfn.XLOOKUP(E66,[1]!SO_2[BLO],[1]!SO_2[BHI],,-1)- _xlfn.XLOOKUP(E66,[1]!SO_2[BLO],[1]!SO_2[BLO],,-1) ))
*
( E66 - _xlfn.XLOOKUP(E66,[1]!SO_2[BLO],[1]!SO_2[BLO],,-1) )
+
_xlfn.XLOOKUP(E66,[1]!SO_2[BLO],[1]!SO_2[ILO],,-1),2)</f>
        <v>11.25</v>
      </c>
      <c r="L66">
        <f>( ( _xlfn.XLOOKUP(F66,[1]!CO[BLO],[1]!CO[IHI],,-1)
- _xlfn.XLOOKUP(F66,[1]!CO[BLO],[1]!CO[ILO],,-1) )
/
( _xlfn.XLOOKUP(F66,[1]!CO[BLO],[1]!CO[BHI],,-1) - _xlfn.XLOOKUP(F66,[1]!CO[BLO],[1]!CO[BLO],,-1)))
*
( F66 - _xlfn.XLOOKUP(F66,[1]!CO[BLO],[1]!CO[BLO],,-1) )
+
_xlfn.XLOOKUP(F66,[1]!CO[BLO],[1]!CO[ILO],,-1)</f>
        <v>35</v>
      </c>
      <c r="M66">
        <f>(( _xlfn.XLOOKUP(G66,[1]!O_3[BLO],[1]!O_3[IHI],,-1) - _xlfn.XLOOKUP(G66,[1]!O_3[BLO],[1]!O_3[ILO],,-1))
/
( _xlfn.XLOOKUP(G66,[1]!O_3[BLO],[1]!O_3[BHI],,-1) - _xlfn.XLOOKUP(G66,[1]!O_3[BLO],[1]!O_3[BLO],,-1)))
*
( G66 - _xlfn.XLOOKUP(G66,[1]!O_3[BLO],[1]!O_3[BLO],,-1))
+
_xlfn.XLOOKUP(G66,[1]!O_3[BLO],[1]!O_3[ILO],,-1)</f>
        <v>39</v>
      </c>
      <c r="N66">
        <f>MAX(DAILY_DATA[[#This Row],[AQI_PM2.5]:[AQI_O3]])</f>
        <v>101</v>
      </c>
      <c r="O66" t="str">
        <f>_xlfn.XLOOKUP(DAILY_DATA[[#This Row],[OVERALL_AQI]],[1]!CATEGORY[AQI_LO],[1]!CATEGORY[CATEGORY],,-1)</f>
        <v>Moderate</v>
      </c>
      <c r="P66" t="str" cm="1">
        <f t="array" ref="P66">INDEX(
{"PM2.5","PM10","NO2","SO2","CO","O3"},
MATCH(N66,H66:M66,0)
)</f>
        <v>PM10</v>
      </c>
    </row>
    <row r="67" spans="1:16" x14ac:dyDescent="0.25">
      <c r="A67" s="4">
        <v>45357</v>
      </c>
      <c r="B67">
        <f>ROUND(AVERAGEIFS([1]HOURLY_DATA!B67:B8850,[1]HOURLY_DATA!H67:H8850,Daily_AQI!A67),0)</f>
        <v>49</v>
      </c>
      <c r="C67">
        <f>ROUND(AVERAGEIFS([1]HOURLY_DATA!C67:C8850,[1]HOURLY_DATA!H67:H8850,Daily_AQI!A67),0)</f>
        <v>104</v>
      </c>
      <c r="D67">
        <f>ROUND(AVERAGEIFS([1]HOURLY_DATA!D67:D8850,[1]HOURLY_DATA!H67:H8850,Daily_AQI!A67),0)</f>
        <v>22</v>
      </c>
      <c r="E67">
        <f>ROUND(AVERAGEIFS([1]HOURLY_DATA!E67:E8850,[1]HOURLY_DATA!H67:H8850,Daily_AQI!A67),0)</f>
        <v>10</v>
      </c>
      <c r="F67">
        <f>ROUND(AVERAGEIFS([1]HOURLY_DATA!I67:I8850,[1]HOURLY_DATA!H67:H8850,Daily_AQI!A67),2)</f>
        <v>0.74</v>
      </c>
      <c r="G67">
        <f>ROUND(AVERAGEIFS([1]HOURLY_DATA!J67:J8850,[1]HOURLY_DATA!H67:H8850,Daily_AQI!A67),0)</f>
        <v>40</v>
      </c>
      <c r="H67">
        <f>ROUND(((_xlfn.XLOOKUP(B67,[1]!PM2.5[BLO],[1]!PM2.5[IHI],,-1) - _xlfn.XLOOKUP(B67,[1]!PM2.5[BLO],[1]!PM2.5[ILO],,-1))
/
(_xlfn.XLOOKUP(B67,[1]!PM2.5[BLO],[1]!PM2.5[BHI],,-1) - _xlfn.XLOOKUP(B67,[1]!PM2.5[BLO],[1]!PM2.5[BLO],,-1)))
*
(B67 - _xlfn.XLOOKUP(B67,[1]!PM2.5[BLO],[1]!PM2.5[BLO],,-1))
+
_xlfn.XLOOKUP(B67,[1]!PM2.5[BLO],[1]!PM2.5[ILO],,-1),2)</f>
        <v>81.41</v>
      </c>
      <c r="I67">
        <f>ROUND(((_xlfn.XLOOKUP(C67,[1]!PM_10[BLO],[1]!PM_10[IHI],,-1) - _xlfn.XLOOKUP(C67,[1]!PM_10[BLO],[1]!PM_10[ILO],,-1))
/
(_xlfn.XLOOKUP(C67,[1]!PM_10[BLO],[1]!PM_10[BHI],,-1) - _xlfn.XLOOKUP(C67,[1]!PM_10[BLO],[1]!PM_10[BLO],,-1)))
*
( C67 - _xlfn.XLOOKUP(C67,[1]!PM_10[BLO],[1]!PM_10[BLO],,-1))
+
_xlfn.XLOOKUP(C67,[1]!PM_10[BLO],[1]!PM_10[ILO],,-1),2)</f>
        <v>102.99</v>
      </c>
      <c r="J67">
        <f>ROUND((( _xlfn.XLOOKUP(D67,[1]!NO_2[BLO],[1]!NO_2[IHI],,-1) - _xlfn.XLOOKUP(D67,[1]!NO_2[BLO],[1]!NO_2[ILO],,-1))
/
( _xlfn.XLOOKUP(D67,[1]!NO_2[BLO],[1]!NO_2[BHI],,-1) - _xlfn.XLOOKUP(D67,[1]!NO_2[BLO],[1]!NO_2[BLO],,-1) ))
*
( D67 - _xlfn.XLOOKUP(D67,[1]!NO_2[BLO],[1]!NO_2[BLO],,-1))
+
_xlfn.XLOOKUP(D67,[1]!NO_2[BLO],[1]!NO_2[ILO],,-1),2)</f>
        <v>27.5</v>
      </c>
      <c r="K67">
        <f>ROUND(( ( _xlfn.XLOOKUP(E67,[1]!SO_2[BLO],[1]!SO_2[IHI],,-1)  - _xlfn.XLOOKUP(E67,[1]!SO_2[BLO],[1]!SO_2[ILO],,-1) )
/
( _xlfn.XLOOKUP(E67,[1]!SO_2[BLO],[1]!SO_2[BHI],,-1)- _xlfn.XLOOKUP(E67,[1]!SO_2[BLO],[1]!SO_2[BLO],,-1) ))
*
( E67 - _xlfn.XLOOKUP(E67,[1]!SO_2[BLO],[1]!SO_2[BLO],,-1) )
+
_xlfn.XLOOKUP(E67,[1]!SO_2[BLO],[1]!SO_2[ILO],,-1),2)</f>
        <v>12.5</v>
      </c>
      <c r="L67">
        <f>( ( _xlfn.XLOOKUP(F67,[1]!CO[BLO],[1]!CO[IHI],,-1)
- _xlfn.XLOOKUP(F67,[1]!CO[BLO],[1]!CO[ILO],,-1) )
/
( _xlfn.XLOOKUP(F67,[1]!CO[BLO],[1]!CO[BHI],,-1) - _xlfn.XLOOKUP(F67,[1]!CO[BLO],[1]!CO[BLO],,-1)))
*
( F67 - _xlfn.XLOOKUP(F67,[1]!CO[BLO],[1]!CO[BLO],,-1) )
+
_xlfn.XLOOKUP(F67,[1]!CO[BLO],[1]!CO[ILO],,-1)</f>
        <v>37</v>
      </c>
      <c r="M67">
        <f>(( _xlfn.XLOOKUP(G67,[1]!O_3[BLO],[1]!O_3[IHI],,-1) - _xlfn.XLOOKUP(G67,[1]!O_3[BLO],[1]!O_3[ILO],,-1))
/
( _xlfn.XLOOKUP(G67,[1]!O_3[BLO],[1]!O_3[BHI],,-1) - _xlfn.XLOOKUP(G67,[1]!O_3[BLO],[1]!O_3[BLO],,-1)))
*
( G67 - _xlfn.XLOOKUP(G67,[1]!O_3[BLO],[1]!O_3[BLO],,-1))
+
_xlfn.XLOOKUP(G67,[1]!O_3[BLO],[1]!O_3[ILO],,-1)</f>
        <v>40</v>
      </c>
      <c r="N67">
        <f>MAX(DAILY_DATA[[#This Row],[AQI_PM2.5]:[AQI_O3]])</f>
        <v>102.99</v>
      </c>
      <c r="O67" t="str">
        <f>_xlfn.XLOOKUP(DAILY_DATA[[#This Row],[OVERALL_AQI]],[1]!CATEGORY[AQI_LO],[1]!CATEGORY[CATEGORY],,-1)</f>
        <v>Moderate</v>
      </c>
      <c r="P67" t="str" cm="1">
        <f t="array" ref="P67">INDEX(
{"PM2.5","PM10","NO2","SO2","CO","O3"},
MATCH(N67,H67:M67,0)
)</f>
        <v>PM10</v>
      </c>
    </row>
    <row r="68" spans="1:16" x14ac:dyDescent="0.25">
      <c r="A68" s="4">
        <v>45358</v>
      </c>
      <c r="B68">
        <f>ROUND(AVERAGEIFS([1]HOURLY_DATA!B68:B8851,[1]HOURLY_DATA!H68:H8851,Daily_AQI!A68),0)</f>
        <v>60</v>
      </c>
      <c r="C68">
        <f>ROUND(AVERAGEIFS([1]HOURLY_DATA!C68:C8851,[1]HOURLY_DATA!H68:H8851,Daily_AQI!A68),0)</f>
        <v>114</v>
      </c>
      <c r="D68">
        <f>ROUND(AVERAGEIFS([1]HOURLY_DATA!D68:D8851,[1]HOURLY_DATA!H68:H8851,Daily_AQI!A68),0)</f>
        <v>21</v>
      </c>
      <c r="E68">
        <f>ROUND(AVERAGEIFS([1]HOURLY_DATA!E68:E8851,[1]HOURLY_DATA!H68:H8851,Daily_AQI!A68),0)</f>
        <v>11</v>
      </c>
      <c r="F68">
        <f>ROUND(AVERAGEIFS([1]HOURLY_DATA!I68:I8851,[1]HOURLY_DATA!H68:H8851,Daily_AQI!A68),2)</f>
        <v>0.71</v>
      </c>
      <c r="G68">
        <f>ROUND(AVERAGEIFS([1]HOURLY_DATA!J68:J8851,[1]HOURLY_DATA!H68:H8851,Daily_AQI!A68),0)</f>
        <v>42</v>
      </c>
      <c r="H68">
        <f>ROUND(((_xlfn.XLOOKUP(B68,[1]!PM2.5[BLO],[1]!PM2.5[IHI],,-1) - _xlfn.XLOOKUP(B68,[1]!PM2.5[BLO],[1]!PM2.5[ILO],,-1))
/
(_xlfn.XLOOKUP(B68,[1]!PM2.5[BLO],[1]!PM2.5[BHI],,-1) - _xlfn.XLOOKUP(B68,[1]!PM2.5[BLO],[1]!PM2.5[BLO],,-1)))
*
(B68 - _xlfn.XLOOKUP(B68,[1]!PM2.5[BLO],[1]!PM2.5[BLO],,-1))
+
_xlfn.XLOOKUP(B68,[1]!PM2.5[BLO],[1]!PM2.5[ILO],,-1),2)</f>
        <v>100</v>
      </c>
      <c r="I68">
        <f>ROUND(((_xlfn.XLOOKUP(C68,[1]!PM_10[BLO],[1]!PM_10[IHI],,-1) - _xlfn.XLOOKUP(C68,[1]!PM_10[BLO],[1]!PM_10[ILO],,-1))
/
(_xlfn.XLOOKUP(C68,[1]!PM_10[BLO],[1]!PM_10[BHI],,-1) - _xlfn.XLOOKUP(C68,[1]!PM_10[BLO],[1]!PM_10[BLO],,-1)))
*
( C68 - _xlfn.XLOOKUP(C68,[1]!PM_10[BLO],[1]!PM_10[BLO],,-1))
+
_xlfn.XLOOKUP(C68,[1]!PM_10[BLO],[1]!PM_10[ILO],,-1),2)</f>
        <v>109.64</v>
      </c>
      <c r="J68">
        <f>ROUND((( _xlfn.XLOOKUP(D68,[1]!NO_2[BLO],[1]!NO_2[IHI],,-1) - _xlfn.XLOOKUP(D68,[1]!NO_2[BLO],[1]!NO_2[ILO],,-1))
/
( _xlfn.XLOOKUP(D68,[1]!NO_2[BLO],[1]!NO_2[BHI],,-1) - _xlfn.XLOOKUP(D68,[1]!NO_2[BLO],[1]!NO_2[BLO],,-1) ))
*
( D68 - _xlfn.XLOOKUP(D68,[1]!NO_2[BLO],[1]!NO_2[BLO],,-1))
+
_xlfn.XLOOKUP(D68,[1]!NO_2[BLO],[1]!NO_2[ILO],,-1),2)</f>
        <v>26.25</v>
      </c>
      <c r="K68">
        <f>ROUND(( ( _xlfn.XLOOKUP(E68,[1]!SO_2[BLO],[1]!SO_2[IHI],,-1)  - _xlfn.XLOOKUP(E68,[1]!SO_2[BLO],[1]!SO_2[ILO],,-1) )
/
( _xlfn.XLOOKUP(E68,[1]!SO_2[BLO],[1]!SO_2[BHI],,-1)- _xlfn.XLOOKUP(E68,[1]!SO_2[BLO],[1]!SO_2[BLO],,-1) ))
*
( E68 - _xlfn.XLOOKUP(E68,[1]!SO_2[BLO],[1]!SO_2[BLO],,-1) )
+
_xlfn.XLOOKUP(E68,[1]!SO_2[BLO],[1]!SO_2[ILO],,-1),2)</f>
        <v>13.75</v>
      </c>
      <c r="L68">
        <f>( ( _xlfn.XLOOKUP(F68,[1]!CO[BLO],[1]!CO[IHI],,-1)
- _xlfn.XLOOKUP(F68,[1]!CO[BLO],[1]!CO[ILO],,-1) )
/
( _xlfn.XLOOKUP(F68,[1]!CO[BLO],[1]!CO[BHI],,-1) - _xlfn.XLOOKUP(F68,[1]!CO[BLO],[1]!CO[BLO],,-1)))
*
( F68 - _xlfn.XLOOKUP(F68,[1]!CO[BLO],[1]!CO[BLO],,-1) )
+
_xlfn.XLOOKUP(F68,[1]!CO[BLO],[1]!CO[ILO],,-1)</f>
        <v>35.5</v>
      </c>
      <c r="M68">
        <f>(( _xlfn.XLOOKUP(G68,[1]!O_3[BLO],[1]!O_3[IHI],,-1) - _xlfn.XLOOKUP(G68,[1]!O_3[BLO],[1]!O_3[ILO],,-1))
/
( _xlfn.XLOOKUP(G68,[1]!O_3[BLO],[1]!O_3[BHI],,-1) - _xlfn.XLOOKUP(G68,[1]!O_3[BLO],[1]!O_3[BLO],,-1)))
*
( G68 - _xlfn.XLOOKUP(G68,[1]!O_3[BLO],[1]!O_3[BLO],,-1))
+
_xlfn.XLOOKUP(G68,[1]!O_3[BLO],[1]!O_3[ILO],,-1)</f>
        <v>42</v>
      </c>
      <c r="N68">
        <f>MAX(DAILY_DATA[[#This Row],[AQI_PM2.5]:[AQI_O3]])</f>
        <v>109.64</v>
      </c>
      <c r="O68" t="str">
        <f>_xlfn.XLOOKUP(DAILY_DATA[[#This Row],[OVERALL_AQI]],[1]!CATEGORY[AQI_LO],[1]!CATEGORY[CATEGORY],,-1)</f>
        <v>Moderate</v>
      </c>
      <c r="P68" t="str" cm="1">
        <f t="array" ref="P68">INDEX(
{"PM2.5","PM10","NO2","SO2","CO","O3"},
MATCH(N68,H68:M68,0)
)</f>
        <v>PM10</v>
      </c>
    </row>
    <row r="69" spans="1:16" x14ac:dyDescent="0.25">
      <c r="A69" s="4">
        <v>45359</v>
      </c>
      <c r="B69">
        <f>ROUND(AVERAGEIFS([1]HOURLY_DATA!B69:B8852,[1]HOURLY_DATA!H69:H8852,Daily_AQI!A69),0)</f>
        <v>66</v>
      </c>
      <c r="C69">
        <f>ROUND(AVERAGEIFS([1]HOURLY_DATA!C69:C8852,[1]HOURLY_DATA!H69:H8852,Daily_AQI!A69),0)</f>
        <v>122</v>
      </c>
      <c r="D69">
        <f>ROUND(AVERAGEIFS([1]HOURLY_DATA!D69:D8852,[1]HOURLY_DATA!H69:H8852,Daily_AQI!A69),0)</f>
        <v>20</v>
      </c>
      <c r="E69">
        <f>ROUND(AVERAGEIFS([1]HOURLY_DATA!E69:E8852,[1]HOURLY_DATA!H69:H8852,Daily_AQI!A69),0)</f>
        <v>12</v>
      </c>
      <c r="F69">
        <f>ROUND(AVERAGEIFS([1]HOURLY_DATA!I69:I8852,[1]HOURLY_DATA!H69:H8852,Daily_AQI!A69),2)</f>
        <v>0.78</v>
      </c>
      <c r="G69">
        <f>ROUND(AVERAGEIFS([1]HOURLY_DATA!J69:J8852,[1]HOURLY_DATA!H69:H8852,Daily_AQI!A69),0)</f>
        <v>44</v>
      </c>
      <c r="H69">
        <f>ROUND(((_xlfn.XLOOKUP(B69,[1]!PM2.5[BLO],[1]!PM2.5[IHI],,-1) - _xlfn.XLOOKUP(B69,[1]!PM2.5[BLO],[1]!PM2.5[ILO],,-1))
/
(_xlfn.XLOOKUP(B69,[1]!PM2.5[BLO],[1]!PM2.5[BHI],,-1) - _xlfn.XLOOKUP(B69,[1]!PM2.5[BLO],[1]!PM2.5[BLO],,-1)))
*
(B69 - _xlfn.XLOOKUP(B69,[1]!PM2.5[BLO],[1]!PM2.5[BLO],,-1))
+
_xlfn.XLOOKUP(B69,[1]!PM2.5[BLO],[1]!PM2.5[ILO],,-1),2)</f>
        <v>118.07</v>
      </c>
      <c r="I69">
        <f>ROUND(((_xlfn.XLOOKUP(C69,[1]!PM_10[BLO],[1]!PM_10[IHI],,-1) - _xlfn.XLOOKUP(C69,[1]!PM_10[BLO],[1]!PM_10[ILO],,-1))
/
(_xlfn.XLOOKUP(C69,[1]!PM_10[BLO],[1]!PM_10[BHI],,-1) - _xlfn.XLOOKUP(C69,[1]!PM_10[BLO],[1]!PM_10[BLO],,-1)))
*
( C69 - _xlfn.XLOOKUP(C69,[1]!PM_10[BLO],[1]!PM_10[BLO],,-1))
+
_xlfn.XLOOKUP(C69,[1]!PM_10[BLO],[1]!PM_10[ILO],,-1),2)</f>
        <v>114.95</v>
      </c>
      <c r="J69">
        <f>ROUND((( _xlfn.XLOOKUP(D69,[1]!NO_2[BLO],[1]!NO_2[IHI],,-1) - _xlfn.XLOOKUP(D69,[1]!NO_2[BLO],[1]!NO_2[ILO],,-1))
/
( _xlfn.XLOOKUP(D69,[1]!NO_2[BLO],[1]!NO_2[BHI],,-1) - _xlfn.XLOOKUP(D69,[1]!NO_2[BLO],[1]!NO_2[BLO],,-1) ))
*
( D69 - _xlfn.XLOOKUP(D69,[1]!NO_2[BLO],[1]!NO_2[BLO],,-1))
+
_xlfn.XLOOKUP(D69,[1]!NO_2[BLO],[1]!NO_2[ILO],,-1),2)</f>
        <v>25</v>
      </c>
      <c r="K69">
        <f>ROUND(( ( _xlfn.XLOOKUP(E69,[1]!SO_2[BLO],[1]!SO_2[IHI],,-1)  - _xlfn.XLOOKUP(E69,[1]!SO_2[BLO],[1]!SO_2[ILO],,-1) )
/
( _xlfn.XLOOKUP(E69,[1]!SO_2[BLO],[1]!SO_2[BHI],,-1)- _xlfn.XLOOKUP(E69,[1]!SO_2[BLO],[1]!SO_2[BLO],,-1) ))
*
( E69 - _xlfn.XLOOKUP(E69,[1]!SO_2[BLO],[1]!SO_2[BLO],,-1) )
+
_xlfn.XLOOKUP(E69,[1]!SO_2[BLO],[1]!SO_2[ILO],,-1),2)</f>
        <v>15</v>
      </c>
      <c r="L69">
        <f>( ( _xlfn.XLOOKUP(F69,[1]!CO[BLO],[1]!CO[IHI],,-1)
- _xlfn.XLOOKUP(F69,[1]!CO[BLO],[1]!CO[ILO],,-1) )
/
( _xlfn.XLOOKUP(F69,[1]!CO[BLO],[1]!CO[BHI],,-1) - _xlfn.XLOOKUP(F69,[1]!CO[BLO],[1]!CO[BLO],,-1)))
*
( F69 - _xlfn.XLOOKUP(F69,[1]!CO[BLO],[1]!CO[BLO],,-1) )
+
_xlfn.XLOOKUP(F69,[1]!CO[BLO],[1]!CO[ILO],,-1)</f>
        <v>39</v>
      </c>
      <c r="M69">
        <f>(( _xlfn.XLOOKUP(G69,[1]!O_3[BLO],[1]!O_3[IHI],,-1) - _xlfn.XLOOKUP(G69,[1]!O_3[BLO],[1]!O_3[ILO],,-1))
/
( _xlfn.XLOOKUP(G69,[1]!O_3[BLO],[1]!O_3[BHI],,-1) - _xlfn.XLOOKUP(G69,[1]!O_3[BLO],[1]!O_3[BLO],,-1)))
*
( G69 - _xlfn.XLOOKUP(G69,[1]!O_3[BLO],[1]!O_3[BLO],,-1))
+
_xlfn.XLOOKUP(G69,[1]!O_3[BLO],[1]!O_3[ILO],,-1)</f>
        <v>44</v>
      </c>
      <c r="N69">
        <f>MAX(DAILY_DATA[[#This Row],[AQI_PM2.5]:[AQI_O3]])</f>
        <v>118.07</v>
      </c>
      <c r="O69" t="str">
        <f>_xlfn.XLOOKUP(DAILY_DATA[[#This Row],[OVERALL_AQI]],[1]!CATEGORY[AQI_LO],[1]!CATEGORY[CATEGORY],,-1)</f>
        <v>Moderate</v>
      </c>
      <c r="P69" t="str" cm="1">
        <f t="array" ref="P69">INDEX(
{"PM2.5","PM10","NO2","SO2","CO","O3"},
MATCH(N69,H69:M69,0)
)</f>
        <v>PM2.5</v>
      </c>
    </row>
    <row r="70" spans="1:16" x14ac:dyDescent="0.25">
      <c r="A70" s="4">
        <v>45360</v>
      </c>
      <c r="B70">
        <f>ROUND(AVERAGEIFS([1]HOURLY_DATA!B70:B8853,[1]HOURLY_DATA!H70:H8853,Daily_AQI!A70),0)</f>
        <v>52</v>
      </c>
      <c r="C70">
        <f>ROUND(AVERAGEIFS([1]HOURLY_DATA!C70:C8853,[1]HOURLY_DATA!H70:H8853,Daily_AQI!A70),0)</f>
        <v>104</v>
      </c>
      <c r="D70">
        <f>ROUND(AVERAGEIFS([1]HOURLY_DATA!D70:D8853,[1]HOURLY_DATA!H70:H8853,Daily_AQI!A70),0)</f>
        <v>19</v>
      </c>
      <c r="E70">
        <f>ROUND(AVERAGEIFS([1]HOURLY_DATA!E70:E8853,[1]HOURLY_DATA!H70:H8853,Daily_AQI!A70),0)</f>
        <v>9</v>
      </c>
      <c r="F70">
        <f>ROUND(AVERAGEIFS([1]HOURLY_DATA!I70:I8853,[1]HOURLY_DATA!H70:H8853,Daily_AQI!A70),2)</f>
        <v>0.73</v>
      </c>
      <c r="G70">
        <f>ROUND(AVERAGEIFS([1]HOURLY_DATA!J70:J8853,[1]HOURLY_DATA!H70:H8853,Daily_AQI!A70),0)</f>
        <v>41</v>
      </c>
      <c r="H70">
        <f>ROUND(((_xlfn.XLOOKUP(B70,[1]!PM2.5[BLO],[1]!PM2.5[IHI],,-1) - _xlfn.XLOOKUP(B70,[1]!PM2.5[BLO],[1]!PM2.5[ILO],,-1))
/
(_xlfn.XLOOKUP(B70,[1]!PM2.5[BLO],[1]!PM2.5[BHI],,-1) - _xlfn.XLOOKUP(B70,[1]!PM2.5[BLO],[1]!PM2.5[BLO],,-1)))
*
(B70 - _xlfn.XLOOKUP(B70,[1]!PM2.5[BLO],[1]!PM2.5[BLO],,-1))
+
_xlfn.XLOOKUP(B70,[1]!PM2.5[BLO],[1]!PM2.5[ILO],,-1),2)</f>
        <v>86.48</v>
      </c>
      <c r="I70">
        <f>ROUND(((_xlfn.XLOOKUP(C70,[1]!PM_10[BLO],[1]!PM_10[IHI],,-1) - _xlfn.XLOOKUP(C70,[1]!PM_10[BLO],[1]!PM_10[ILO],,-1))
/
(_xlfn.XLOOKUP(C70,[1]!PM_10[BLO],[1]!PM_10[BHI],,-1) - _xlfn.XLOOKUP(C70,[1]!PM_10[BLO],[1]!PM_10[BLO],,-1)))
*
( C70 - _xlfn.XLOOKUP(C70,[1]!PM_10[BLO],[1]!PM_10[BLO],,-1))
+
_xlfn.XLOOKUP(C70,[1]!PM_10[BLO],[1]!PM_10[ILO],,-1),2)</f>
        <v>102.99</v>
      </c>
      <c r="J70">
        <f>ROUND((( _xlfn.XLOOKUP(D70,[1]!NO_2[BLO],[1]!NO_2[IHI],,-1) - _xlfn.XLOOKUP(D70,[1]!NO_2[BLO],[1]!NO_2[ILO],,-1))
/
( _xlfn.XLOOKUP(D70,[1]!NO_2[BLO],[1]!NO_2[BHI],,-1) - _xlfn.XLOOKUP(D70,[1]!NO_2[BLO],[1]!NO_2[BLO],,-1) ))
*
( D70 - _xlfn.XLOOKUP(D70,[1]!NO_2[BLO],[1]!NO_2[BLO],,-1))
+
_xlfn.XLOOKUP(D70,[1]!NO_2[BLO],[1]!NO_2[ILO],,-1),2)</f>
        <v>23.75</v>
      </c>
      <c r="K70">
        <f>ROUND(( ( _xlfn.XLOOKUP(E70,[1]!SO_2[BLO],[1]!SO_2[IHI],,-1)  - _xlfn.XLOOKUP(E70,[1]!SO_2[BLO],[1]!SO_2[ILO],,-1) )
/
( _xlfn.XLOOKUP(E70,[1]!SO_2[BLO],[1]!SO_2[BHI],,-1)- _xlfn.XLOOKUP(E70,[1]!SO_2[BLO],[1]!SO_2[BLO],,-1) ))
*
( E70 - _xlfn.XLOOKUP(E70,[1]!SO_2[BLO],[1]!SO_2[BLO],,-1) )
+
_xlfn.XLOOKUP(E70,[1]!SO_2[BLO],[1]!SO_2[ILO],,-1),2)</f>
        <v>11.25</v>
      </c>
      <c r="L70">
        <f>( ( _xlfn.XLOOKUP(F70,[1]!CO[BLO],[1]!CO[IHI],,-1)
- _xlfn.XLOOKUP(F70,[1]!CO[BLO],[1]!CO[ILO],,-1) )
/
( _xlfn.XLOOKUP(F70,[1]!CO[BLO],[1]!CO[BHI],,-1) - _xlfn.XLOOKUP(F70,[1]!CO[BLO],[1]!CO[BLO],,-1)))
*
( F70 - _xlfn.XLOOKUP(F70,[1]!CO[BLO],[1]!CO[BLO],,-1) )
+
_xlfn.XLOOKUP(F70,[1]!CO[BLO],[1]!CO[ILO],,-1)</f>
        <v>36.5</v>
      </c>
      <c r="M70">
        <f>(( _xlfn.XLOOKUP(G70,[1]!O_3[BLO],[1]!O_3[IHI],,-1) - _xlfn.XLOOKUP(G70,[1]!O_3[BLO],[1]!O_3[ILO],,-1))
/
( _xlfn.XLOOKUP(G70,[1]!O_3[BLO],[1]!O_3[BHI],,-1) - _xlfn.XLOOKUP(G70,[1]!O_3[BLO],[1]!O_3[BLO],,-1)))
*
( G70 - _xlfn.XLOOKUP(G70,[1]!O_3[BLO],[1]!O_3[BLO],,-1))
+
_xlfn.XLOOKUP(G70,[1]!O_3[BLO],[1]!O_3[ILO],,-1)</f>
        <v>41</v>
      </c>
      <c r="N70">
        <f>MAX(DAILY_DATA[[#This Row],[AQI_PM2.5]:[AQI_O3]])</f>
        <v>102.99</v>
      </c>
      <c r="O70" t="str">
        <f>_xlfn.XLOOKUP(DAILY_DATA[[#This Row],[OVERALL_AQI]],[1]!CATEGORY[AQI_LO],[1]!CATEGORY[CATEGORY],,-1)</f>
        <v>Moderate</v>
      </c>
      <c r="P70" t="str" cm="1">
        <f t="array" ref="P70">INDEX(
{"PM2.5","PM10","NO2","SO2","CO","O3"},
MATCH(N70,H70:M70,0)
)</f>
        <v>PM10</v>
      </c>
    </row>
    <row r="71" spans="1:16" x14ac:dyDescent="0.25">
      <c r="A71" s="4">
        <v>45361</v>
      </c>
      <c r="B71">
        <f>ROUND(AVERAGEIFS([1]HOURLY_DATA!B71:B8854,[1]HOURLY_DATA!H71:H8854,Daily_AQI!A71),0)</f>
        <v>58</v>
      </c>
      <c r="C71">
        <f>ROUND(AVERAGEIFS([1]HOURLY_DATA!C71:C8854,[1]HOURLY_DATA!H71:H8854,Daily_AQI!A71),0)</f>
        <v>111</v>
      </c>
      <c r="D71">
        <f>ROUND(AVERAGEIFS([1]HOURLY_DATA!D71:D8854,[1]HOURLY_DATA!H71:H8854,Daily_AQI!A71),0)</f>
        <v>17</v>
      </c>
      <c r="E71">
        <f>ROUND(AVERAGEIFS([1]HOURLY_DATA!E71:E8854,[1]HOURLY_DATA!H71:H8854,Daily_AQI!A71),0)</f>
        <v>10</v>
      </c>
      <c r="F71">
        <f>ROUND(AVERAGEIFS([1]HOURLY_DATA!I71:I8854,[1]HOURLY_DATA!H71:H8854,Daily_AQI!A71),2)</f>
        <v>0.66</v>
      </c>
      <c r="G71">
        <f>ROUND(AVERAGEIFS([1]HOURLY_DATA!J71:J8854,[1]HOURLY_DATA!H71:H8854,Daily_AQI!A71),0)</f>
        <v>36</v>
      </c>
      <c r="H71">
        <f>ROUND(((_xlfn.XLOOKUP(B71,[1]!PM2.5[BLO],[1]!PM2.5[IHI],,-1) - _xlfn.XLOOKUP(B71,[1]!PM2.5[BLO],[1]!PM2.5[ILO],,-1))
/
(_xlfn.XLOOKUP(B71,[1]!PM2.5[BLO],[1]!PM2.5[BHI],,-1) - _xlfn.XLOOKUP(B71,[1]!PM2.5[BLO],[1]!PM2.5[BLO],,-1)))
*
(B71 - _xlfn.XLOOKUP(B71,[1]!PM2.5[BLO],[1]!PM2.5[BLO],,-1))
+
_xlfn.XLOOKUP(B71,[1]!PM2.5[BLO],[1]!PM2.5[ILO],,-1),2)</f>
        <v>96.62</v>
      </c>
      <c r="I71">
        <f>ROUND(((_xlfn.XLOOKUP(C71,[1]!PM_10[BLO],[1]!PM_10[IHI],,-1) - _xlfn.XLOOKUP(C71,[1]!PM_10[BLO],[1]!PM_10[ILO],,-1))
/
(_xlfn.XLOOKUP(C71,[1]!PM_10[BLO],[1]!PM_10[BHI],,-1) - _xlfn.XLOOKUP(C71,[1]!PM_10[BLO],[1]!PM_10[BLO],,-1)))
*
( C71 - _xlfn.XLOOKUP(C71,[1]!PM_10[BLO],[1]!PM_10[BLO],,-1))
+
_xlfn.XLOOKUP(C71,[1]!PM_10[BLO],[1]!PM_10[ILO],,-1),2)</f>
        <v>107.64</v>
      </c>
      <c r="J71">
        <f>ROUND((( _xlfn.XLOOKUP(D71,[1]!NO_2[BLO],[1]!NO_2[IHI],,-1) - _xlfn.XLOOKUP(D71,[1]!NO_2[BLO],[1]!NO_2[ILO],,-1))
/
( _xlfn.XLOOKUP(D71,[1]!NO_2[BLO],[1]!NO_2[BHI],,-1) - _xlfn.XLOOKUP(D71,[1]!NO_2[BLO],[1]!NO_2[BLO],,-1) ))
*
( D71 - _xlfn.XLOOKUP(D71,[1]!NO_2[BLO],[1]!NO_2[BLO],,-1))
+
_xlfn.XLOOKUP(D71,[1]!NO_2[BLO],[1]!NO_2[ILO],,-1),2)</f>
        <v>21.25</v>
      </c>
      <c r="K71">
        <f>ROUND(( ( _xlfn.XLOOKUP(E71,[1]!SO_2[BLO],[1]!SO_2[IHI],,-1)  - _xlfn.XLOOKUP(E71,[1]!SO_2[BLO],[1]!SO_2[ILO],,-1) )
/
( _xlfn.XLOOKUP(E71,[1]!SO_2[BLO],[1]!SO_2[BHI],,-1)- _xlfn.XLOOKUP(E71,[1]!SO_2[BLO],[1]!SO_2[BLO],,-1) ))
*
( E71 - _xlfn.XLOOKUP(E71,[1]!SO_2[BLO],[1]!SO_2[BLO],,-1) )
+
_xlfn.XLOOKUP(E71,[1]!SO_2[BLO],[1]!SO_2[ILO],,-1),2)</f>
        <v>12.5</v>
      </c>
      <c r="L71">
        <f>( ( _xlfn.XLOOKUP(F71,[1]!CO[BLO],[1]!CO[IHI],,-1)
- _xlfn.XLOOKUP(F71,[1]!CO[BLO],[1]!CO[ILO],,-1) )
/
( _xlfn.XLOOKUP(F71,[1]!CO[BLO],[1]!CO[BHI],,-1) - _xlfn.XLOOKUP(F71,[1]!CO[BLO],[1]!CO[BLO],,-1)))
*
( F71 - _xlfn.XLOOKUP(F71,[1]!CO[BLO],[1]!CO[BLO],,-1) )
+
_xlfn.XLOOKUP(F71,[1]!CO[BLO],[1]!CO[ILO],,-1)</f>
        <v>33</v>
      </c>
      <c r="M71">
        <f>(( _xlfn.XLOOKUP(G71,[1]!O_3[BLO],[1]!O_3[IHI],,-1) - _xlfn.XLOOKUP(G71,[1]!O_3[BLO],[1]!O_3[ILO],,-1))
/
( _xlfn.XLOOKUP(G71,[1]!O_3[BLO],[1]!O_3[BHI],,-1) - _xlfn.XLOOKUP(G71,[1]!O_3[BLO],[1]!O_3[BLO],,-1)))
*
( G71 - _xlfn.XLOOKUP(G71,[1]!O_3[BLO],[1]!O_3[BLO],,-1))
+
_xlfn.XLOOKUP(G71,[1]!O_3[BLO],[1]!O_3[ILO],,-1)</f>
        <v>36</v>
      </c>
      <c r="N71">
        <f>MAX(DAILY_DATA[[#This Row],[AQI_PM2.5]:[AQI_O3]])</f>
        <v>107.64</v>
      </c>
      <c r="O71" t="str">
        <f>_xlfn.XLOOKUP(DAILY_DATA[[#This Row],[OVERALL_AQI]],[1]!CATEGORY[AQI_LO],[1]!CATEGORY[CATEGORY],,-1)</f>
        <v>Moderate</v>
      </c>
      <c r="P71" t="str" cm="1">
        <f t="array" ref="P71">INDEX(
{"PM2.5","PM10","NO2","SO2","CO","O3"},
MATCH(N71,H71:M71,0)
)</f>
        <v>PM10</v>
      </c>
    </row>
    <row r="72" spans="1:16" x14ac:dyDescent="0.25">
      <c r="A72" s="4">
        <v>45362</v>
      </c>
      <c r="B72">
        <f>ROUND(AVERAGEIFS([1]HOURLY_DATA!B72:B8855,[1]HOURLY_DATA!H72:H8855,Daily_AQI!A72),0)</f>
        <v>55</v>
      </c>
      <c r="C72">
        <f>ROUND(AVERAGEIFS([1]HOURLY_DATA!C72:C8855,[1]HOURLY_DATA!H72:H8855,Daily_AQI!A72),0)</f>
        <v>100</v>
      </c>
      <c r="D72">
        <f>ROUND(AVERAGEIFS([1]HOURLY_DATA!D72:D8855,[1]HOURLY_DATA!H72:H8855,Daily_AQI!A72),0)</f>
        <v>21</v>
      </c>
      <c r="E72">
        <f>ROUND(AVERAGEIFS([1]HOURLY_DATA!E72:E8855,[1]HOURLY_DATA!H72:H8855,Daily_AQI!A72),0)</f>
        <v>11</v>
      </c>
      <c r="F72">
        <f>ROUND(AVERAGEIFS([1]HOURLY_DATA!I72:I8855,[1]HOURLY_DATA!H72:H8855,Daily_AQI!A72),2)</f>
        <v>0.64</v>
      </c>
      <c r="G72">
        <f>ROUND(AVERAGEIFS([1]HOURLY_DATA!J72:J8855,[1]HOURLY_DATA!H72:H8855,Daily_AQI!A72),0)</f>
        <v>38</v>
      </c>
      <c r="H72">
        <f>ROUND(((_xlfn.XLOOKUP(B72,[1]!PM2.5[BLO],[1]!PM2.5[IHI],,-1) - _xlfn.XLOOKUP(B72,[1]!PM2.5[BLO],[1]!PM2.5[ILO],,-1))
/
(_xlfn.XLOOKUP(B72,[1]!PM2.5[BLO],[1]!PM2.5[BHI],,-1) - _xlfn.XLOOKUP(B72,[1]!PM2.5[BLO],[1]!PM2.5[BLO],,-1)))
*
(B72 - _xlfn.XLOOKUP(B72,[1]!PM2.5[BLO],[1]!PM2.5[BLO],,-1))
+
_xlfn.XLOOKUP(B72,[1]!PM2.5[BLO],[1]!PM2.5[ILO],,-1),2)</f>
        <v>91.55</v>
      </c>
      <c r="I72">
        <f>ROUND(((_xlfn.XLOOKUP(C72,[1]!PM_10[BLO],[1]!PM_10[IHI],,-1) - _xlfn.XLOOKUP(C72,[1]!PM_10[BLO],[1]!PM_10[ILO],,-1))
/
(_xlfn.XLOOKUP(C72,[1]!PM_10[BLO],[1]!PM_10[BHI],,-1) - _xlfn.XLOOKUP(C72,[1]!PM_10[BLO],[1]!PM_10[BLO],,-1)))
*
( C72 - _xlfn.XLOOKUP(C72,[1]!PM_10[BLO],[1]!PM_10[BLO],,-1))
+
_xlfn.XLOOKUP(C72,[1]!PM_10[BLO],[1]!PM_10[ILO],,-1),2)</f>
        <v>100</v>
      </c>
      <c r="J72">
        <f>ROUND((( _xlfn.XLOOKUP(D72,[1]!NO_2[BLO],[1]!NO_2[IHI],,-1) - _xlfn.XLOOKUP(D72,[1]!NO_2[BLO],[1]!NO_2[ILO],,-1))
/
( _xlfn.XLOOKUP(D72,[1]!NO_2[BLO],[1]!NO_2[BHI],,-1) - _xlfn.XLOOKUP(D72,[1]!NO_2[BLO],[1]!NO_2[BLO],,-1) ))
*
( D72 - _xlfn.XLOOKUP(D72,[1]!NO_2[BLO],[1]!NO_2[BLO],,-1))
+
_xlfn.XLOOKUP(D72,[1]!NO_2[BLO],[1]!NO_2[ILO],,-1),2)</f>
        <v>26.25</v>
      </c>
      <c r="K72">
        <f>ROUND(( ( _xlfn.XLOOKUP(E72,[1]!SO_2[BLO],[1]!SO_2[IHI],,-1)  - _xlfn.XLOOKUP(E72,[1]!SO_2[BLO],[1]!SO_2[ILO],,-1) )
/
( _xlfn.XLOOKUP(E72,[1]!SO_2[BLO],[1]!SO_2[BHI],,-1)- _xlfn.XLOOKUP(E72,[1]!SO_2[BLO],[1]!SO_2[BLO],,-1) ))
*
( E72 - _xlfn.XLOOKUP(E72,[1]!SO_2[BLO],[1]!SO_2[BLO],,-1) )
+
_xlfn.XLOOKUP(E72,[1]!SO_2[BLO],[1]!SO_2[ILO],,-1),2)</f>
        <v>13.75</v>
      </c>
      <c r="L72">
        <f>( ( _xlfn.XLOOKUP(F72,[1]!CO[BLO],[1]!CO[IHI],,-1)
- _xlfn.XLOOKUP(F72,[1]!CO[BLO],[1]!CO[ILO],,-1) )
/
( _xlfn.XLOOKUP(F72,[1]!CO[BLO],[1]!CO[BHI],,-1) - _xlfn.XLOOKUP(F72,[1]!CO[BLO],[1]!CO[BLO],,-1)))
*
( F72 - _xlfn.XLOOKUP(F72,[1]!CO[BLO],[1]!CO[BLO],,-1) )
+
_xlfn.XLOOKUP(F72,[1]!CO[BLO],[1]!CO[ILO],,-1)</f>
        <v>32</v>
      </c>
      <c r="M72">
        <f>(( _xlfn.XLOOKUP(G72,[1]!O_3[BLO],[1]!O_3[IHI],,-1) - _xlfn.XLOOKUP(G72,[1]!O_3[BLO],[1]!O_3[ILO],,-1))
/
( _xlfn.XLOOKUP(G72,[1]!O_3[BLO],[1]!O_3[BHI],,-1) - _xlfn.XLOOKUP(G72,[1]!O_3[BLO],[1]!O_3[BLO],,-1)))
*
( G72 - _xlfn.XLOOKUP(G72,[1]!O_3[BLO],[1]!O_3[BLO],,-1))
+
_xlfn.XLOOKUP(G72,[1]!O_3[BLO],[1]!O_3[ILO],,-1)</f>
        <v>38</v>
      </c>
      <c r="N72">
        <f>MAX(DAILY_DATA[[#This Row],[AQI_PM2.5]:[AQI_O3]])</f>
        <v>100</v>
      </c>
      <c r="O72" t="str">
        <f>_xlfn.XLOOKUP(DAILY_DATA[[#This Row],[OVERALL_AQI]],[1]!CATEGORY[AQI_LO],[1]!CATEGORY[CATEGORY],,-1)</f>
        <v>Satisfactory</v>
      </c>
      <c r="P72" t="str" cm="1">
        <f t="array" ref="P72">INDEX(
{"PM2.5","PM10","NO2","SO2","CO","O3"},
MATCH(N72,H72:M72,0)
)</f>
        <v>PM10</v>
      </c>
    </row>
    <row r="73" spans="1:16" x14ac:dyDescent="0.25">
      <c r="A73" s="4">
        <v>45363</v>
      </c>
      <c r="B73">
        <f>ROUND(AVERAGEIFS([1]HOURLY_DATA!B73:B8856,[1]HOURLY_DATA!H73:H8856,Daily_AQI!A73),0)</f>
        <v>55</v>
      </c>
      <c r="C73">
        <f>ROUND(AVERAGEIFS([1]HOURLY_DATA!C73:C8856,[1]HOURLY_DATA!H73:H8856,Daily_AQI!A73),0)</f>
        <v>101</v>
      </c>
      <c r="D73">
        <f>ROUND(AVERAGEIFS([1]HOURLY_DATA!D73:D8856,[1]HOURLY_DATA!H73:H8856,Daily_AQI!A73),0)</f>
        <v>23</v>
      </c>
      <c r="E73">
        <f>ROUND(AVERAGEIFS([1]HOURLY_DATA!E73:E8856,[1]HOURLY_DATA!H73:H8856,Daily_AQI!A73),0)</f>
        <v>10</v>
      </c>
      <c r="F73">
        <f>ROUND(AVERAGEIFS([1]HOURLY_DATA!I73:I8856,[1]HOURLY_DATA!H73:H8856,Daily_AQI!A73),2)</f>
        <v>0.63</v>
      </c>
      <c r="G73">
        <f>ROUND(AVERAGEIFS([1]HOURLY_DATA!J73:J8856,[1]HOURLY_DATA!H73:H8856,Daily_AQI!A73),0)</f>
        <v>39</v>
      </c>
      <c r="H73">
        <f>ROUND(((_xlfn.XLOOKUP(B73,[1]!PM2.5[BLO],[1]!PM2.5[IHI],,-1) - _xlfn.XLOOKUP(B73,[1]!PM2.5[BLO],[1]!PM2.5[ILO],,-1))
/
(_xlfn.XLOOKUP(B73,[1]!PM2.5[BLO],[1]!PM2.5[BHI],,-1) - _xlfn.XLOOKUP(B73,[1]!PM2.5[BLO],[1]!PM2.5[BLO],,-1)))
*
(B73 - _xlfn.XLOOKUP(B73,[1]!PM2.5[BLO],[1]!PM2.5[BLO],,-1))
+
_xlfn.XLOOKUP(B73,[1]!PM2.5[BLO],[1]!PM2.5[ILO],,-1),2)</f>
        <v>91.55</v>
      </c>
      <c r="I73">
        <f>ROUND(((_xlfn.XLOOKUP(C73,[1]!PM_10[BLO],[1]!PM_10[IHI],,-1) - _xlfn.XLOOKUP(C73,[1]!PM_10[BLO],[1]!PM_10[ILO],,-1))
/
(_xlfn.XLOOKUP(C73,[1]!PM_10[BLO],[1]!PM_10[BHI],,-1) - _xlfn.XLOOKUP(C73,[1]!PM_10[BLO],[1]!PM_10[BLO],,-1)))
*
( C73 - _xlfn.XLOOKUP(C73,[1]!PM_10[BLO],[1]!PM_10[BLO],,-1))
+
_xlfn.XLOOKUP(C73,[1]!PM_10[BLO],[1]!PM_10[ILO],,-1),2)</f>
        <v>101</v>
      </c>
      <c r="J73">
        <f>ROUND((( _xlfn.XLOOKUP(D73,[1]!NO_2[BLO],[1]!NO_2[IHI],,-1) - _xlfn.XLOOKUP(D73,[1]!NO_2[BLO],[1]!NO_2[ILO],,-1))
/
( _xlfn.XLOOKUP(D73,[1]!NO_2[BLO],[1]!NO_2[BHI],,-1) - _xlfn.XLOOKUP(D73,[1]!NO_2[BLO],[1]!NO_2[BLO],,-1) ))
*
( D73 - _xlfn.XLOOKUP(D73,[1]!NO_2[BLO],[1]!NO_2[BLO],,-1))
+
_xlfn.XLOOKUP(D73,[1]!NO_2[BLO],[1]!NO_2[ILO],,-1),2)</f>
        <v>28.75</v>
      </c>
      <c r="K73">
        <f>ROUND(( ( _xlfn.XLOOKUP(E73,[1]!SO_2[BLO],[1]!SO_2[IHI],,-1)  - _xlfn.XLOOKUP(E73,[1]!SO_2[BLO],[1]!SO_2[ILO],,-1) )
/
( _xlfn.XLOOKUP(E73,[1]!SO_2[BLO],[1]!SO_2[BHI],,-1)- _xlfn.XLOOKUP(E73,[1]!SO_2[BLO],[1]!SO_2[BLO],,-1) ))
*
( E73 - _xlfn.XLOOKUP(E73,[1]!SO_2[BLO],[1]!SO_2[BLO],,-1) )
+
_xlfn.XLOOKUP(E73,[1]!SO_2[BLO],[1]!SO_2[ILO],,-1),2)</f>
        <v>12.5</v>
      </c>
      <c r="L73">
        <f>( ( _xlfn.XLOOKUP(F73,[1]!CO[BLO],[1]!CO[IHI],,-1)
- _xlfn.XLOOKUP(F73,[1]!CO[BLO],[1]!CO[ILO],,-1) )
/
( _xlfn.XLOOKUP(F73,[1]!CO[BLO],[1]!CO[BHI],,-1) - _xlfn.XLOOKUP(F73,[1]!CO[BLO],[1]!CO[BLO],,-1)))
*
( F73 - _xlfn.XLOOKUP(F73,[1]!CO[BLO],[1]!CO[BLO],,-1) )
+
_xlfn.XLOOKUP(F73,[1]!CO[BLO],[1]!CO[ILO],,-1)</f>
        <v>31.5</v>
      </c>
      <c r="M73">
        <f>(( _xlfn.XLOOKUP(G73,[1]!O_3[BLO],[1]!O_3[IHI],,-1) - _xlfn.XLOOKUP(G73,[1]!O_3[BLO],[1]!O_3[ILO],,-1))
/
( _xlfn.XLOOKUP(G73,[1]!O_3[BLO],[1]!O_3[BHI],,-1) - _xlfn.XLOOKUP(G73,[1]!O_3[BLO],[1]!O_3[BLO],,-1)))
*
( G73 - _xlfn.XLOOKUP(G73,[1]!O_3[BLO],[1]!O_3[BLO],,-1))
+
_xlfn.XLOOKUP(G73,[1]!O_3[BLO],[1]!O_3[ILO],,-1)</f>
        <v>39</v>
      </c>
      <c r="N73">
        <f>MAX(DAILY_DATA[[#This Row],[AQI_PM2.5]:[AQI_O3]])</f>
        <v>101</v>
      </c>
      <c r="O73" t="str">
        <f>_xlfn.XLOOKUP(DAILY_DATA[[#This Row],[OVERALL_AQI]],[1]!CATEGORY[AQI_LO],[1]!CATEGORY[CATEGORY],,-1)</f>
        <v>Moderate</v>
      </c>
      <c r="P73" t="str" cm="1">
        <f t="array" ref="P73">INDEX(
{"PM2.5","PM10","NO2","SO2","CO","O3"},
MATCH(N73,H73:M73,0)
)</f>
        <v>PM10</v>
      </c>
    </row>
    <row r="74" spans="1:16" x14ac:dyDescent="0.25">
      <c r="A74" s="4">
        <v>45364</v>
      </c>
      <c r="B74">
        <f>ROUND(AVERAGEIFS([1]HOURLY_DATA!B74:B8857,[1]HOURLY_DATA!H74:H8857,Daily_AQI!A74),0)</f>
        <v>62</v>
      </c>
      <c r="C74">
        <f>ROUND(AVERAGEIFS([1]HOURLY_DATA!C74:C8857,[1]HOURLY_DATA!H74:H8857,Daily_AQI!A74),0)</f>
        <v>124</v>
      </c>
      <c r="D74">
        <f>ROUND(AVERAGEIFS([1]HOURLY_DATA!D74:D8857,[1]HOURLY_DATA!H74:H8857,Daily_AQI!A74),0)</f>
        <v>23</v>
      </c>
      <c r="E74">
        <f>ROUND(AVERAGEIFS([1]HOURLY_DATA!E74:E8857,[1]HOURLY_DATA!H74:H8857,Daily_AQI!A74),0)</f>
        <v>9</v>
      </c>
      <c r="F74">
        <f>ROUND(AVERAGEIFS([1]HOURLY_DATA!I74:I8857,[1]HOURLY_DATA!H74:H8857,Daily_AQI!A74),2)</f>
        <v>0.63</v>
      </c>
      <c r="G74">
        <f>ROUND(AVERAGEIFS([1]HOURLY_DATA!J74:J8857,[1]HOURLY_DATA!H74:H8857,Daily_AQI!A74),0)</f>
        <v>41</v>
      </c>
      <c r="H74">
        <f>ROUND(((_xlfn.XLOOKUP(B74,[1]!PM2.5[BLO],[1]!PM2.5[IHI],,-1) - _xlfn.XLOOKUP(B74,[1]!PM2.5[BLO],[1]!PM2.5[ILO],,-1))
/
(_xlfn.XLOOKUP(B74,[1]!PM2.5[BLO],[1]!PM2.5[BHI],,-1) - _xlfn.XLOOKUP(B74,[1]!PM2.5[BLO],[1]!PM2.5[BLO],,-1)))
*
(B74 - _xlfn.XLOOKUP(B74,[1]!PM2.5[BLO],[1]!PM2.5[BLO],,-1))
+
_xlfn.XLOOKUP(B74,[1]!PM2.5[BLO],[1]!PM2.5[ILO],,-1),2)</f>
        <v>104.41</v>
      </c>
      <c r="I74">
        <f>ROUND(((_xlfn.XLOOKUP(C74,[1]!PM_10[BLO],[1]!PM_10[IHI],,-1) - _xlfn.XLOOKUP(C74,[1]!PM_10[BLO],[1]!PM_10[ILO],,-1))
/
(_xlfn.XLOOKUP(C74,[1]!PM_10[BLO],[1]!PM_10[BHI],,-1) - _xlfn.XLOOKUP(C74,[1]!PM_10[BLO],[1]!PM_10[BLO],,-1)))
*
( C74 - _xlfn.XLOOKUP(C74,[1]!PM_10[BLO],[1]!PM_10[BLO],,-1))
+
_xlfn.XLOOKUP(C74,[1]!PM_10[BLO],[1]!PM_10[ILO],,-1),2)</f>
        <v>116.28</v>
      </c>
      <c r="J74">
        <f>ROUND((( _xlfn.XLOOKUP(D74,[1]!NO_2[BLO],[1]!NO_2[IHI],,-1) - _xlfn.XLOOKUP(D74,[1]!NO_2[BLO],[1]!NO_2[ILO],,-1))
/
( _xlfn.XLOOKUP(D74,[1]!NO_2[BLO],[1]!NO_2[BHI],,-1) - _xlfn.XLOOKUP(D74,[1]!NO_2[BLO],[1]!NO_2[BLO],,-1) ))
*
( D74 - _xlfn.XLOOKUP(D74,[1]!NO_2[BLO],[1]!NO_2[BLO],,-1))
+
_xlfn.XLOOKUP(D74,[1]!NO_2[BLO],[1]!NO_2[ILO],,-1),2)</f>
        <v>28.75</v>
      </c>
      <c r="K74">
        <f>ROUND(( ( _xlfn.XLOOKUP(E74,[1]!SO_2[BLO],[1]!SO_2[IHI],,-1)  - _xlfn.XLOOKUP(E74,[1]!SO_2[BLO],[1]!SO_2[ILO],,-1) )
/
( _xlfn.XLOOKUP(E74,[1]!SO_2[BLO],[1]!SO_2[BHI],,-1)- _xlfn.XLOOKUP(E74,[1]!SO_2[BLO],[1]!SO_2[BLO],,-1) ))
*
( E74 - _xlfn.XLOOKUP(E74,[1]!SO_2[BLO],[1]!SO_2[BLO],,-1) )
+
_xlfn.XLOOKUP(E74,[1]!SO_2[BLO],[1]!SO_2[ILO],,-1),2)</f>
        <v>11.25</v>
      </c>
      <c r="L74">
        <f>( ( _xlfn.XLOOKUP(F74,[1]!CO[BLO],[1]!CO[IHI],,-1)
- _xlfn.XLOOKUP(F74,[1]!CO[BLO],[1]!CO[ILO],,-1) )
/
( _xlfn.XLOOKUP(F74,[1]!CO[BLO],[1]!CO[BHI],,-1) - _xlfn.XLOOKUP(F74,[1]!CO[BLO],[1]!CO[BLO],,-1)))
*
( F74 - _xlfn.XLOOKUP(F74,[1]!CO[BLO],[1]!CO[BLO],,-1) )
+
_xlfn.XLOOKUP(F74,[1]!CO[BLO],[1]!CO[ILO],,-1)</f>
        <v>31.5</v>
      </c>
      <c r="M74">
        <f>(( _xlfn.XLOOKUP(G74,[1]!O_3[BLO],[1]!O_3[IHI],,-1) - _xlfn.XLOOKUP(G74,[1]!O_3[BLO],[1]!O_3[ILO],,-1))
/
( _xlfn.XLOOKUP(G74,[1]!O_3[BLO],[1]!O_3[BHI],,-1) - _xlfn.XLOOKUP(G74,[1]!O_3[BLO],[1]!O_3[BLO],,-1)))
*
( G74 - _xlfn.XLOOKUP(G74,[1]!O_3[BLO],[1]!O_3[BLO],,-1))
+
_xlfn.XLOOKUP(G74,[1]!O_3[BLO],[1]!O_3[ILO],,-1)</f>
        <v>41</v>
      </c>
      <c r="N74">
        <f>MAX(DAILY_DATA[[#This Row],[AQI_PM2.5]:[AQI_O3]])</f>
        <v>116.28</v>
      </c>
      <c r="O74" t="str">
        <f>_xlfn.XLOOKUP(DAILY_DATA[[#This Row],[OVERALL_AQI]],[1]!CATEGORY[AQI_LO],[1]!CATEGORY[CATEGORY],,-1)</f>
        <v>Moderate</v>
      </c>
      <c r="P74" t="str" cm="1">
        <f t="array" ref="P74">INDEX(
{"PM2.5","PM10","NO2","SO2","CO","O3"},
MATCH(N74,H74:M74,0)
)</f>
        <v>PM10</v>
      </c>
    </row>
    <row r="75" spans="1:16" x14ac:dyDescent="0.25">
      <c r="A75" s="4">
        <v>45365</v>
      </c>
      <c r="B75">
        <f>ROUND(AVERAGEIFS([1]HOURLY_DATA!B75:B8858,[1]HOURLY_DATA!H75:H8858,Daily_AQI!A75),0)</f>
        <v>59</v>
      </c>
      <c r="C75">
        <f>ROUND(AVERAGEIFS([1]HOURLY_DATA!C75:C8858,[1]HOURLY_DATA!H75:H8858,Daily_AQI!A75),0)</f>
        <v>118</v>
      </c>
      <c r="D75">
        <f>ROUND(AVERAGEIFS([1]HOURLY_DATA!D75:D8858,[1]HOURLY_DATA!H75:H8858,Daily_AQI!A75),0)</f>
        <v>19</v>
      </c>
      <c r="E75">
        <f>ROUND(AVERAGEIFS([1]HOURLY_DATA!E75:E8858,[1]HOURLY_DATA!H75:H8858,Daily_AQI!A75),0)</f>
        <v>8</v>
      </c>
      <c r="F75">
        <f>ROUND(AVERAGEIFS([1]HOURLY_DATA!I75:I8858,[1]HOURLY_DATA!H75:H8858,Daily_AQI!A75),2)</f>
        <v>0.6</v>
      </c>
      <c r="G75">
        <f>ROUND(AVERAGEIFS([1]HOURLY_DATA!J75:J8858,[1]HOURLY_DATA!H75:H8858,Daily_AQI!A75),0)</f>
        <v>36</v>
      </c>
      <c r="H75">
        <f>ROUND(((_xlfn.XLOOKUP(B75,[1]!PM2.5[BLO],[1]!PM2.5[IHI],,-1) - _xlfn.XLOOKUP(B75,[1]!PM2.5[BLO],[1]!PM2.5[ILO],,-1))
/
(_xlfn.XLOOKUP(B75,[1]!PM2.5[BLO],[1]!PM2.5[BHI],,-1) - _xlfn.XLOOKUP(B75,[1]!PM2.5[BLO],[1]!PM2.5[BLO],,-1)))
*
(B75 - _xlfn.XLOOKUP(B75,[1]!PM2.5[BLO],[1]!PM2.5[BLO],,-1))
+
_xlfn.XLOOKUP(B75,[1]!PM2.5[BLO],[1]!PM2.5[ILO],,-1),2)</f>
        <v>98.31</v>
      </c>
      <c r="I75">
        <f>ROUND(((_xlfn.XLOOKUP(C75,[1]!PM_10[BLO],[1]!PM_10[IHI],,-1) - _xlfn.XLOOKUP(C75,[1]!PM_10[BLO],[1]!PM_10[ILO],,-1))
/
(_xlfn.XLOOKUP(C75,[1]!PM_10[BLO],[1]!PM_10[BHI],,-1) - _xlfn.XLOOKUP(C75,[1]!PM_10[BLO],[1]!PM_10[BLO],,-1)))
*
( C75 - _xlfn.XLOOKUP(C75,[1]!PM_10[BLO],[1]!PM_10[BLO],,-1))
+
_xlfn.XLOOKUP(C75,[1]!PM_10[BLO],[1]!PM_10[ILO],,-1),2)</f>
        <v>112.3</v>
      </c>
      <c r="J75">
        <f>ROUND((( _xlfn.XLOOKUP(D75,[1]!NO_2[BLO],[1]!NO_2[IHI],,-1) - _xlfn.XLOOKUP(D75,[1]!NO_2[BLO],[1]!NO_2[ILO],,-1))
/
( _xlfn.XLOOKUP(D75,[1]!NO_2[BLO],[1]!NO_2[BHI],,-1) - _xlfn.XLOOKUP(D75,[1]!NO_2[BLO],[1]!NO_2[BLO],,-1) ))
*
( D75 - _xlfn.XLOOKUP(D75,[1]!NO_2[BLO],[1]!NO_2[BLO],,-1))
+
_xlfn.XLOOKUP(D75,[1]!NO_2[BLO],[1]!NO_2[ILO],,-1),2)</f>
        <v>23.75</v>
      </c>
      <c r="K75">
        <f>ROUND(( ( _xlfn.XLOOKUP(E75,[1]!SO_2[BLO],[1]!SO_2[IHI],,-1)  - _xlfn.XLOOKUP(E75,[1]!SO_2[BLO],[1]!SO_2[ILO],,-1) )
/
( _xlfn.XLOOKUP(E75,[1]!SO_2[BLO],[1]!SO_2[BHI],,-1)- _xlfn.XLOOKUP(E75,[1]!SO_2[BLO],[1]!SO_2[BLO],,-1) ))
*
( E75 - _xlfn.XLOOKUP(E75,[1]!SO_2[BLO],[1]!SO_2[BLO],,-1) )
+
_xlfn.XLOOKUP(E75,[1]!SO_2[BLO],[1]!SO_2[ILO],,-1),2)</f>
        <v>10</v>
      </c>
      <c r="L75">
        <f>( ( _xlfn.XLOOKUP(F75,[1]!CO[BLO],[1]!CO[IHI],,-1)
- _xlfn.XLOOKUP(F75,[1]!CO[BLO],[1]!CO[ILO],,-1) )
/
( _xlfn.XLOOKUP(F75,[1]!CO[BLO],[1]!CO[BHI],,-1) - _xlfn.XLOOKUP(F75,[1]!CO[BLO],[1]!CO[BLO],,-1)))
*
( F75 - _xlfn.XLOOKUP(F75,[1]!CO[BLO],[1]!CO[BLO],,-1) )
+
_xlfn.XLOOKUP(F75,[1]!CO[BLO],[1]!CO[ILO],,-1)</f>
        <v>30</v>
      </c>
      <c r="M75">
        <f>(( _xlfn.XLOOKUP(G75,[1]!O_3[BLO],[1]!O_3[IHI],,-1) - _xlfn.XLOOKUP(G75,[1]!O_3[BLO],[1]!O_3[ILO],,-1))
/
( _xlfn.XLOOKUP(G75,[1]!O_3[BLO],[1]!O_3[BHI],,-1) - _xlfn.XLOOKUP(G75,[1]!O_3[BLO],[1]!O_3[BLO],,-1)))
*
( G75 - _xlfn.XLOOKUP(G75,[1]!O_3[BLO],[1]!O_3[BLO],,-1))
+
_xlfn.XLOOKUP(G75,[1]!O_3[BLO],[1]!O_3[ILO],,-1)</f>
        <v>36</v>
      </c>
      <c r="N75">
        <f>MAX(DAILY_DATA[[#This Row],[AQI_PM2.5]:[AQI_O3]])</f>
        <v>112.3</v>
      </c>
      <c r="O75" t="str">
        <f>_xlfn.XLOOKUP(DAILY_DATA[[#This Row],[OVERALL_AQI]],[1]!CATEGORY[AQI_LO],[1]!CATEGORY[CATEGORY],,-1)</f>
        <v>Moderate</v>
      </c>
      <c r="P75" t="str" cm="1">
        <f t="array" ref="P75">INDEX(
{"PM2.5","PM10","NO2","SO2","CO","O3"},
MATCH(N75,H75:M75,0)
)</f>
        <v>PM10</v>
      </c>
    </row>
    <row r="76" spans="1:16" x14ac:dyDescent="0.25">
      <c r="A76" s="4">
        <v>45366</v>
      </c>
      <c r="B76">
        <f>ROUND(AVERAGEIFS([1]HOURLY_DATA!B76:B8859,[1]HOURLY_DATA!H76:H8859,Daily_AQI!A76),0)</f>
        <v>54</v>
      </c>
      <c r="C76">
        <f>ROUND(AVERAGEIFS([1]HOURLY_DATA!C76:C8859,[1]HOURLY_DATA!H76:H8859,Daily_AQI!A76),0)</f>
        <v>108</v>
      </c>
      <c r="D76">
        <f>ROUND(AVERAGEIFS([1]HOURLY_DATA!D76:D8859,[1]HOURLY_DATA!H76:H8859,Daily_AQI!A76),0)</f>
        <v>18</v>
      </c>
      <c r="E76">
        <f>ROUND(AVERAGEIFS([1]HOURLY_DATA!E76:E8859,[1]HOURLY_DATA!H76:H8859,Daily_AQI!A76),0)</f>
        <v>9</v>
      </c>
      <c r="F76">
        <f>ROUND(AVERAGEIFS([1]HOURLY_DATA!I76:I8859,[1]HOURLY_DATA!H76:H8859,Daily_AQI!A76),2)</f>
        <v>0.59</v>
      </c>
      <c r="G76">
        <f>ROUND(AVERAGEIFS([1]HOURLY_DATA!J76:J8859,[1]HOURLY_DATA!H76:H8859,Daily_AQI!A76),0)</f>
        <v>34</v>
      </c>
      <c r="H76">
        <f>ROUND(((_xlfn.XLOOKUP(B76,[1]!PM2.5[BLO],[1]!PM2.5[IHI],,-1) - _xlfn.XLOOKUP(B76,[1]!PM2.5[BLO],[1]!PM2.5[ILO],,-1))
/
(_xlfn.XLOOKUP(B76,[1]!PM2.5[BLO],[1]!PM2.5[BHI],,-1) - _xlfn.XLOOKUP(B76,[1]!PM2.5[BLO],[1]!PM2.5[BLO],,-1)))
*
(B76 - _xlfn.XLOOKUP(B76,[1]!PM2.5[BLO],[1]!PM2.5[BLO],,-1))
+
_xlfn.XLOOKUP(B76,[1]!PM2.5[BLO],[1]!PM2.5[ILO],,-1),2)</f>
        <v>89.86</v>
      </c>
      <c r="I76">
        <f>ROUND(((_xlfn.XLOOKUP(C76,[1]!PM_10[BLO],[1]!PM_10[IHI],,-1) - _xlfn.XLOOKUP(C76,[1]!PM_10[BLO],[1]!PM_10[ILO],,-1))
/
(_xlfn.XLOOKUP(C76,[1]!PM_10[BLO],[1]!PM_10[BHI],,-1) - _xlfn.XLOOKUP(C76,[1]!PM_10[BLO],[1]!PM_10[BLO],,-1)))
*
( C76 - _xlfn.XLOOKUP(C76,[1]!PM_10[BLO],[1]!PM_10[BLO],,-1))
+
_xlfn.XLOOKUP(C76,[1]!PM_10[BLO],[1]!PM_10[ILO],,-1),2)</f>
        <v>105.65</v>
      </c>
      <c r="J76">
        <f>ROUND((( _xlfn.XLOOKUP(D76,[1]!NO_2[BLO],[1]!NO_2[IHI],,-1) - _xlfn.XLOOKUP(D76,[1]!NO_2[BLO],[1]!NO_2[ILO],,-1))
/
( _xlfn.XLOOKUP(D76,[1]!NO_2[BLO],[1]!NO_2[BHI],,-1) - _xlfn.XLOOKUP(D76,[1]!NO_2[BLO],[1]!NO_2[BLO],,-1) ))
*
( D76 - _xlfn.XLOOKUP(D76,[1]!NO_2[BLO],[1]!NO_2[BLO],,-1))
+
_xlfn.XLOOKUP(D76,[1]!NO_2[BLO],[1]!NO_2[ILO],,-1),2)</f>
        <v>22.5</v>
      </c>
      <c r="K76">
        <f>ROUND(( ( _xlfn.XLOOKUP(E76,[1]!SO_2[BLO],[1]!SO_2[IHI],,-1)  - _xlfn.XLOOKUP(E76,[1]!SO_2[BLO],[1]!SO_2[ILO],,-1) )
/
( _xlfn.XLOOKUP(E76,[1]!SO_2[BLO],[1]!SO_2[BHI],,-1)- _xlfn.XLOOKUP(E76,[1]!SO_2[BLO],[1]!SO_2[BLO],,-1) ))
*
( E76 - _xlfn.XLOOKUP(E76,[1]!SO_2[BLO],[1]!SO_2[BLO],,-1) )
+
_xlfn.XLOOKUP(E76,[1]!SO_2[BLO],[1]!SO_2[ILO],,-1),2)</f>
        <v>11.25</v>
      </c>
      <c r="L76">
        <f>( ( _xlfn.XLOOKUP(F76,[1]!CO[BLO],[1]!CO[IHI],,-1)
- _xlfn.XLOOKUP(F76,[1]!CO[BLO],[1]!CO[ILO],,-1) )
/
( _xlfn.XLOOKUP(F76,[1]!CO[BLO],[1]!CO[BHI],,-1) - _xlfn.XLOOKUP(F76,[1]!CO[BLO],[1]!CO[BLO],,-1)))
*
( F76 - _xlfn.XLOOKUP(F76,[1]!CO[BLO],[1]!CO[BLO],,-1) )
+
_xlfn.XLOOKUP(F76,[1]!CO[BLO],[1]!CO[ILO],,-1)</f>
        <v>29.5</v>
      </c>
      <c r="M76">
        <f>(( _xlfn.XLOOKUP(G76,[1]!O_3[BLO],[1]!O_3[IHI],,-1) - _xlfn.XLOOKUP(G76,[1]!O_3[BLO],[1]!O_3[ILO],,-1))
/
( _xlfn.XLOOKUP(G76,[1]!O_3[BLO],[1]!O_3[BHI],,-1) - _xlfn.XLOOKUP(G76,[1]!O_3[BLO],[1]!O_3[BLO],,-1)))
*
( G76 - _xlfn.XLOOKUP(G76,[1]!O_3[BLO],[1]!O_3[BLO],,-1))
+
_xlfn.XLOOKUP(G76,[1]!O_3[BLO],[1]!O_3[ILO],,-1)</f>
        <v>34</v>
      </c>
      <c r="N76">
        <f>MAX(DAILY_DATA[[#This Row],[AQI_PM2.5]:[AQI_O3]])</f>
        <v>105.65</v>
      </c>
      <c r="O76" t="str">
        <f>_xlfn.XLOOKUP(DAILY_DATA[[#This Row],[OVERALL_AQI]],[1]!CATEGORY[AQI_LO],[1]!CATEGORY[CATEGORY],,-1)</f>
        <v>Moderate</v>
      </c>
      <c r="P76" t="str" cm="1">
        <f t="array" ref="P76">INDEX(
{"PM2.5","PM10","NO2","SO2","CO","O3"},
MATCH(N76,H76:M76,0)
)</f>
        <v>PM10</v>
      </c>
    </row>
    <row r="77" spans="1:16" x14ac:dyDescent="0.25">
      <c r="A77" s="4">
        <v>45367</v>
      </c>
      <c r="B77">
        <f>ROUND(AVERAGEIFS([1]HOURLY_DATA!B77:B8860,[1]HOURLY_DATA!H77:H8860,Daily_AQI!A77),0)</f>
        <v>51</v>
      </c>
      <c r="C77">
        <f>ROUND(AVERAGEIFS([1]HOURLY_DATA!C77:C8860,[1]HOURLY_DATA!H77:H8860,Daily_AQI!A77),0)</f>
        <v>104</v>
      </c>
      <c r="D77">
        <f>ROUND(AVERAGEIFS([1]HOURLY_DATA!D77:D8860,[1]HOURLY_DATA!H77:H8860,Daily_AQI!A77),0)</f>
        <v>18</v>
      </c>
      <c r="E77">
        <f>ROUND(AVERAGEIFS([1]HOURLY_DATA!E77:E8860,[1]HOURLY_DATA!H77:H8860,Daily_AQI!A77),0)</f>
        <v>9</v>
      </c>
      <c r="F77">
        <f>ROUND(AVERAGEIFS([1]HOURLY_DATA!I77:I8860,[1]HOURLY_DATA!H77:H8860,Daily_AQI!A77),2)</f>
        <v>0.53</v>
      </c>
      <c r="G77">
        <f>ROUND(AVERAGEIFS([1]HOURLY_DATA!J77:J8860,[1]HOURLY_DATA!H77:H8860,Daily_AQI!A77),0)</f>
        <v>38</v>
      </c>
      <c r="H77">
        <f>ROUND(((_xlfn.XLOOKUP(B77,[1]!PM2.5[BLO],[1]!PM2.5[IHI],,-1) - _xlfn.XLOOKUP(B77,[1]!PM2.5[BLO],[1]!PM2.5[ILO],,-1))
/
(_xlfn.XLOOKUP(B77,[1]!PM2.5[BLO],[1]!PM2.5[BHI],,-1) - _xlfn.XLOOKUP(B77,[1]!PM2.5[BLO],[1]!PM2.5[BLO],,-1)))
*
(B77 - _xlfn.XLOOKUP(B77,[1]!PM2.5[BLO],[1]!PM2.5[BLO],,-1))
+
_xlfn.XLOOKUP(B77,[1]!PM2.5[BLO],[1]!PM2.5[ILO],,-1),2)</f>
        <v>84.79</v>
      </c>
      <c r="I77">
        <f>ROUND(((_xlfn.XLOOKUP(C77,[1]!PM_10[BLO],[1]!PM_10[IHI],,-1) - _xlfn.XLOOKUP(C77,[1]!PM_10[BLO],[1]!PM_10[ILO],,-1))
/
(_xlfn.XLOOKUP(C77,[1]!PM_10[BLO],[1]!PM_10[BHI],,-1) - _xlfn.XLOOKUP(C77,[1]!PM_10[BLO],[1]!PM_10[BLO],,-1)))
*
( C77 - _xlfn.XLOOKUP(C77,[1]!PM_10[BLO],[1]!PM_10[BLO],,-1))
+
_xlfn.XLOOKUP(C77,[1]!PM_10[BLO],[1]!PM_10[ILO],,-1),2)</f>
        <v>102.99</v>
      </c>
      <c r="J77">
        <f>ROUND((( _xlfn.XLOOKUP(D77,[1]!NO_2[BLO],[1]!NO_2[IHI],,-1) - _xlfn.XLOOKUP(D77,[1]!NO_2[BLO],[1]!NO_2[ILO],,-1))
/
( _xlfn.XLOOKUP(D77,[1]!NO_2[BLO],[1]!NO_2[BHI],,-1) - _xlfn.XLOOKUP(D77,[1]!NO_2[BLO],[1]!NO_2[BLO],,-1) ))
*
( D77 - _xlfn.XLOOKUP(D77,[1]!NO_2[BLO],[1]!NO_2[BLO],,-1))
+
_xlfn.XLOOKUP(D77,[1]!NO_2[BLO],[1]!NO_2[ILO],,-1),2)</f>
        <v>22.5</v>
      </c>
      <c r="K77">
        <f>ROUND(( ( _xlfn.XLOOKUP(E77,[1]!SO_2[BLO],[1]!SO_2[IHI],,-1)  - _xlfn.XLOOKUP(E77,[1]!SO_2[BLO],[1]!SO_2[ILO],,-1) )
/
( _xlfn.XLOOKUP(E77,[1]!SO_2[BLO],[1]!SO_2[BHI],,-1)- _xlfn.XLOOKUP(E77,[1]!SO_2[BLO],[1]!SO_2[BLO],,-1) ))
*
( E77 - _xlfn.XLOOKUP(E77,[1]!SO_2[BLO],[1]!SO_2[BLO],,-1) )
+
_xlfn.XLOOKUP(E77,[1]!SO_2[BLO],[1]!SO_2[ILO],,-1),2)</f>
        <v>11.25</v>
      </c>
      <c r="L77">
        <f>( ( _xlfn.XLOOKUP(F77,[1]!CO[BLO],[1]!CO[IHI],,-1)
- _xlfn.XLOOKUP(F77,[1]!CO[BLO],[1]!CO[ILO],,-1) )
/
( _xlfn.XLOOKUP(F77,[1]!CO[BLO],[1]!CO[BHI],,-1) - _xlfn.XLOOKUP(F77,[1]!CO[BLO],[1]!CO[BLO],,-1)))
*
( F77 - _xlfn.XLOOKUP(F77,[1]!CO[BLO],[1]!CO[BLO],,-1) )
+
_xlfn.XLOOKUP(F77,[1]!CO[BLO],[1]!CO[ILO],,-1)</f>
        <v>26.5</v>
      </c>
      <c r="M77">
        <f>(( _xlfn.XLOOKUP(G77,[1]!O_3[BLO],[1]!O_3[IHI],,-1) - _xlfn.XLOOKUP(G77,[1]!O_3[BLO],[1]!O_3[ILO],,-1))
/
( _xlfn.XLOOKUP(G77,[1]!O_3[BLO],[1]!O_3[BHI],,-1) - _xlfn.XLOOKUP(G77,[1]!O_3[BLO],[1]!O_3[BLO],,-1)))
*
( G77 - _xlfn.XLOOKUP(G77,[1]!O_3[BLO],[1]!O_3[BLO],,-1))
+
_xlfn.XLOOKUP(G77,[1]!O_3[BLO],[1]!O_3[ILO],,-1)</f>
        <v>38</v>
      </c>
      <c r="N77">
        <f>MAX(DAILY_DATA[[#This Row],[AQI_PM2.5]:[AQI_O3]])</f>
        <v>102.99</v>
      </c>
      <c r="O77" t="str">
        <f>_xlfn.XLOOKUP(DAILY_DATA[[#This Row],[OVERALL_AQI]],[1]!CATEGORY[AQI_LO],[1]!CATEGORY[CATEGORY],,-1)</f>
        <v>Moderate</v>
      </c>
      <c r="P77" t="str" cm="1">
        <f t="array" ref="P77">INDEX(
{"PM2.5","PM10","NO2","SO2","CO","O3"},
MATCH(N77,H77:M77,0)
)</f>
        <v>PM10</v>
      </c>
    </row>
    <row r="78" spans="1:16" x14ac:dyDescent="0.25">
      <c r="A78" s="4">
        <v>45368</v>
      </c>
      <c r="B78">
        <f>ROUND(AVERAGEIFS([1]HOURLY_DATA!B78:B8861,[1]HOURLY_DATA!H78:H8861,Daily_AQI!A78),0)</f>
        <v>51</v>
      </c>
      <c r="C78">
        <f>ROUND(AVERAGEIFS([1]HOURLY_DATA!C78:C8861,[1]HOURLY_DATA!H78:H8861,Daily_AQI!A78),0)</f>
        <v>97</v>
      </c>
      <c r="D78">
        <f>ROUND(AVERAGEIFS([1]HOURLY_DATA!D78:D8861,[1]HOURLY_DATA!H78:H8861,Daily_AQI!A78),0)</f>
        <v>15</v>
      </c>
      <c r="E78">
        <f>ROUND(AVERAGEIFS([1]HOURLY_DATA!E78:E8861,[1]HOURLY_DATA!H78:H8861,Daily_AQI!A78),0)</f>
        <v>9</v>
      </c>
      <c r="F78">
        <f>ROUND(AVERAGEIFS([1]HOURLY_DATA!I78:I8861,[1]HOURLY_DATA!H78:H8861,Daily_AQI!A78),2)</f>
        <v>0.53</v>
      </c>
      <c r="G78">
        <f>ROUND(AVERAGEIFS([1]HOURLY_DATA!J78:J8861,[1]HOURLY_DATA!H78:H8861,Daily_AQI!A78),0)</f>
        <v>36</v>
      </c>
      <c r="H78">
        <f>ROUND(((_xlfn.XLOOKUP(B78,[1]!PM2.5[BLO],[1]!PM2.5[IHI],,-1) - _xlfn.XLOOKUP(B78,[1]!PM2.5[BLO],[1]!PM2.5[ILO],,-1))
/
(_xlfn.XLOOKUP(B78,[1]!PM2.5[BLO],[1]!PM2.5[BHI],,-1) - _xlfn.XLOOKUP(B78,[1]!PM2.5[BLO],[1]!PM2.5[BLO],,-1)))
*
(B78 - _xlfn.XLOOKUP(B78,[1]!PM2.5[BLO],[1]!PM2.5[BLO],,-1))
+
_xlfn.XLOOKUP(B78,[1]!PM2.5[BLO],[1]!PM2.5[ILO],,-1),2)</f>
        <v>84.79</v>
      </c>
      <c r="I78">
        <f>ROUND(((_xlfn.XLOOKUP(C78,[1]!PM_10[BLO],[1]!PM_10[IHI],,-1) - _xlfn.XLOOKUP(C78,[1]!PM_10[BLO],[1]!PM_10[ILO],,-1))
/
(_xlfn.XLOOKUP(C78,[1]!PM_10[BLO],[1]!PM_10[BHI],,-1) - _xlfn.XLOOKUP(C78,[1]!PM_10[BLO],[1]!PM_10[BLO],,-1)))
*
( C78 - _xlfn.XLOOKUP(C78,[1]!PM_10[BLO],[1]!PM_10[BLO],,-1))
+
_xlfn.XLOOKUP(C78,[1]!PM_10[BLO],[1]!PM_10[ILO],,-1),2)</f>
        <v>97</v>
      </c>
      <c r="J78">
        <f>ROUND((( _xlfn.XLOOKUP(D78,[1]!NO_2[BLO],[1]!NO_2[IHI],,-1) - _xlfn.XLOOKUP(D78,[1]!NO_2[BLO],[1]!NO_2[ILO],,-1))
/
( _xlfn.XLOOKUP(D78,[1]!NO_2[BLO],[1]!NO_2[BHI],,-1) - _xlfn.XLOOKUP(D78,[1]!NO_2[BLO],[1]!NO_2[BLO],,-1) ))
*
( D78 - _xlfn.XLOOKUP(D78,[1]!NO_2[BLO],[1]!NO_2[BLO],,-1))
+
_xlfn.XLOOKUP(D78,[1]!NO_2[BLO],[1]!NO_2[ILO],,-1),2)</f>
        <v>18.75</v>
      </c>
      <c r="K78">
        <f>ROUND(( ( _xlfn.XLOOKUP(E78,[1]!SO_2[BLO],[1]!SO_2[IHI],,-1)  - _xlfn.XLOOKUP(E78,[1]!SO_2[BLO],[1]!SO_2[ILO],,-1) )
/
( _xlfn.XLOOKUP(E78,[1]!SO_2[BLO],[1]!SO_2[BHI],,-1)- _xlfn.XLOOKUP(E78,[1]!SO_2[BLO],[1]!SO_2[BLO],,-1) ))
*
( E78 - _xlfn.XLOOKUP(E78,[1]!SO_2[BLO],[1]!SO_2[BLO],,-1) )
+
_xlfn.XLOOKUP(E78,[1]!SO_2[BLO],[1]!SO_2[ILO],,-1),2)</f>
        <v>11.25</v>
      </c>
      <c r="L78">
        <f>( ( _xlfn.XLOOKUP(F78,[1]!CO[BLO],[1]!CO[IHI],,-1)
- _xlfn.XLOOKUP(F78,[1]!CO[BLO],[1]!CO[ILO],,-1) )
/
( _xlfn.XLOOKUP(F78,[1]!CO[BLO],[1]!CO[BHI],,-1) - _xlfn.XLOOKUP(F78,[1]!CO[BLO],[1]!CO[BLO],,-1)))
*
( F78 - _xlfn.XLOOKUP(F78,[1]!CO[BLO],[1]!CO[BLO],,-1) )
+
_xlfn.XLOOKUP(F78,[1]!CO[BLO],[1]!CO[ILO],,-1)</f>
        <v>26.5</v>
      </c>
      <c r="M78">
        <f>(( _xlfn.XLOOKUP(G78,[1]!O_3[BLO],[1]!O_3[IHI],,-1) - _xlfn.XLOOKUP(G78,[1]!O_3[BLO],[1]!O_3[ILO],,-1))
/
( _xlfn.XLOOKUP(G78,[1]!O_3[BLO],[1]!O_3[BHI],,-1) - _xlfn.XLOOKUP(G78,[1]!O_3[BLO],[1]!O_3[BLO],,-1)))
*
( G78 - _xlfn.XLOOKUP(G78,[1]!O_3[BLO],[1]!O_3[BLO],,-1))
+
_xlfn.XLOOKUP(G78,[1]!O_3[BLO],[1]!O_3[ILO],,-1)</f>
        <v>36</v>
      </c>
      <c r="N78">
        <f>MAX(DAILY_DATA[[#This Row],[AQI_PM2.5]:[AQI_O3]])</f>
        <v>97</v>
      </c>
      <c r="O78" t="str">
        <f>_xlfn.XLOOKUP(DAILY_DATA[[#This Row],[OVERALL_AQI]],[1]!CATEGORY[AQI_LO],[1]!CATEGORY[CATEGORY],,-1)</f>
        <v>Satisfactory</v>
      </c>
      <c r="P78" t="str" cm="1">
        <f t="array" ref="P78">INDEX(
{"PM2.5","PM10","NO2","SO2","CO","O3"},
MATCH(N78,H78:M78,0)
)</f>
        <v>PM10</v>
      </c>
    </row>
    <row r="79" spans="1:16" x14ac:dyDescent="0.25">
      <c r="A79" s="4">
        <v>45369</v>
      </c>
      <c r="B79">
        <f>ROUND(AVERAGEIFS([1]HOURLY_DATA!B79:B8862,[1]HOURLY_DATA!H79:H8862,Daily_AQI!A79),0)</f>
        <v>61</v>
      </c>
      <c r="C79">
        <f>ROUND(AVERAGEIFS([1]HOURLY_DATA!C79:C8862,[1]HOURLY_DATA!H79:H8862,Daily_AQI!A79),0)</f>
        <v>113</v>
      </c>
      <c r="D79">
        <f>ROUND(AVERAGEIFS([1]HOURLY_DATA!D79:D8862,[1]HOURLY_DATA!H79:H8862,Daily_AQI!A79),0)</f>
        <v>15</v>
      </c>
      <c r="E79">
        <f>ROUND(AVERAGEIFS([1]HOURLY_DATA!E79:E8862,[1]HOURLY_DATA!H79:H8862,Daily_AQI!A79),0)</f>
        <v>9</v>
      </c>
      <c r="F79">
        <f>ROUND(AVERAGEIFS([1]HOURLY_DATA!I79:I8862,[1]HOURLY_DATA!H79:H8862,Daily_AQI!A79),2)</f>
        <v>0.55000000000000004</v>
      </c>
      <c r="G79">
        <f>ROUND(AVERAGEIFS([1]HOURLY_DATA!J79:J8862,[1]HOURLY_DATA!H79:H8862,Daily_AQI!A79),0)</f>
        <v>40</v>
      </c>
      <c r="H79">
        <f>ROUND(((_xlfn.XLOOKUP(B79,[1]!PM2.5[BLO],[1]!PM2.5[IHI],,-1) - _xlfn.XLOOKUP(B79,[1]!PM2.5[BLO],[1]!PM2.5[ILO],,-1))
/
(_xlfn.XLOOKUP(B79,[1]!PM2.5[BLO],[1]!PM2.5[BHI],,-1) - _xlfn.XLOOKUP(B79,[1]!PM2.5[BLO],[1]!PM2.5[BLO],,-1)))
*
(B79 - _xlfn.XLOOKUP(B79,[1]!PM2.5[BLO],[1]!PM2.5[BLO],,-1))
+
_xlfn.XLOOKUP(B79,[1]!PM2.5[BLO],[1]!PM2.5[ILO],,-1),2)</f>
        <v>101</v>
      </c>
      <c r="I79">
        <f>ROUND(((_xlfn.XLOOKUP(C79,[1]!PM_10[BLO],[1]!PM_10[IHI],,-1) - _xlfn.XLOOKUP(C79,[1]!PM_10[BLO],[1]!PM_10[ILO],,-1))
/
(_xlfn.XLOOKUP(C79,[1]!PM_10[BLO],[1]!PM_10[BHI],,-1) - _xlfn.XLOOKUP(C79,[1]!PM_10[BLO],[1]!PM_10[BLO],,-1)))
*
( C79 - _xlfn.XLOOKUP(C79,[1]!PM_10[BLO],[1]!PM_10[BLO],,-1))
+
_xlfn.XLOOKUP(C79,[1]!PM_10[BLO],[1]!PM_10[ILO],,-1),2)</f>
        <v>108.97</v>
      </c>
      <c r="J79">
        <f>ROUND((( _xlfn.XLOOKUP(D79,[1]!NO_2[BLO],[1]!NO_2[IHI],,-1) - _xlfn.XLOOKUP(D79,[1]!NO_2[BLO],[1]!NO_2[ILO],,-1))
/
( _xlfn.XLOOKUP(D79,[1]!NO_2[BLO],[1]!NO_2[BHI],,-1) - _xlfn.XLOOKUP(D79,[1]!NO_2[BLO],[1]!NO_2[BLO],,-1) ))
*
( D79 - _xlfn.XLOOKUP(D79,[1]!NO_2[BLO],[1]!NO_2[BLO],,-1))
+
_xlfn.XLOOKUP(D79,[1]!NO_2[BLO],[1]!NO_2[ILO],,-1),2)</f>
        <v>18.75</v>
      </c>
      <c r="K79">
        <f>ROUND(( ( _xlfn.XLOOKUP(E79,[1]!SO_2[BLO],[1]!SO_2[IHI],,-1)  - _xlfn.XLOOKUP(E79,[1]!SO_2[BLO],[1]!SO_2[ILO],,-1) )
/
( _xlfn.XLOOKUP(E79,[1]!SO_2[BLO],[1]!SO_2[BHI],,-1)- _xlfn.XLOOKUP(E79,[1]!SO_2[BLO],[1]!SO_2[BLO],,-1) ))
*
( E79 - _xlfn.XLOOKUP(E79,[1]!SO_2[BLO],[1]!SO_2[BLO],,-1) )
+
_xlfn.XLOOKUP(E79,[1]!SO_2[BLO],[1]!SO_2[ILO],,-1),2)</f>
        <v>11.25</v>
      </c>
      <c r="L79">
        <f>( ( _xlfn.XLOOKUP(F79,[1]!CO[BLO],[1]!CO[IHI],,-1)
- _xlfn.XLOOKUP(F79,[1]!CO[BLO],[1]!CO[ILO],,-1) )
/
( _xlfn.XLOOKUP(F79,[1]!CO[BLO],[1]!CO[BHI],,-1) - _xlfn.XLOOKUP(F79,[1]!CO[BLO],[1]!CO[BLO],,-1)))
*
( F79 - _xlfn.XLOOKUP(F79,[1]!CO[BLO],[1]!CO[BLO],,-1) )
+
_xlfn.XLOOKUP(F79,[1]!CO[BLO],[1]!CO[ILO],,-1)</f>
        <v>27.500000000000004</v>
      </c>
      <c r="M79">
        <f>(( _xlfn.XLOOKUP(G79,[1]!O_3[BLO],[1]!O_3[IHI],,-1) - _xlfn.XLOOKUP(G79,[1]!O_3[BLO],[1]!O_3[ILO],,-1))
/
( _xlfn.XLOOKUP(G79,[1]!O_3[BLO],[1]!O_3[BHI],,-1) - _xlfn.XLOOKUP(G79,[1]!O_3[BLO],[1]!O_3[BLO],,-1)))
*
( G79 - _xlfn.XLOOKUP(G79,[1]!O_3[BLO],[1]!O_3[BLO],,-1))
+
_xlfn.XLOOKUP(G79,[1]!O_3[BLO],[1]!O_3[ILO],,-1)</f>
        <v>40</v>
      </c>
      <c r="N79">
        <f>MAX(DAILY_DATA[[#This Row],[AQI_PM2.5]:[AQI_O3]])</f>
        <v>108.97</v>
      </c>
      <c r="O79" t="str">
        <f>_xlfn.XLOOKUP(DAILY_DATA[[#This Row],[OVERALL_AQI]],[1]!CATEGORY[AQI_LO],[1]!CATEGORY[CATEGORY],,-1)</f>
        <v>Moderate</v>
      </c>
      <c r="P79" t="str" cm="1">
        <f t="array" ref="P79">INDEX(
{"PM2.5","PM10","NO2","SO2","CO","O3"},
MATCH(N79,H79:M79,0)
)</f>
        <v>PM10</v>
      </c>
    </row>
    <row r="80" spans="1:16" x14ac:dyDescent="0.25">
      <c r="A80" s="4">
        <v>45370</v>
      </c>
      <c r="B80">
        <f>ROUND(AVERAGEIFS([1]HOURLY_DATA!B80:B8863,[1]HOURLY_DATA!H80:H8863,Daily_AQI!A80),0)</f>
        <v>61</v>
      </c>
      <c r="C80">
        <f>ROUND(AVERAGEIFS([1]HOURLY_DATA!C80:C8863,[1]HOURLY_DATA!H80:H8863,Daily_AQI!A80),0)</f>
        <v>122</v>
      </c>
      <c r="D80">
        <f>ROUND(AVERAGEIFS([1]HOURLY_DATA!D80:D8863,[1]HOURLY_DATA!H80:H8863,Daily_AQI!A80),0)</f>
        <v>16</v>
      </c>
      <c r="E80">
        <f>ROUND(AVERAGEIFS([1]HOURLY_DATA!E80:E8863,[1]HOURLY_DATA!H80:H8863,Daily_AQI!A80),0)</f>
        <v>12</v>
      </c>
      <c r="F80">
        <f>ROUND(AVERAGEIFS([1]HOURLY_DATA!I80:I8863,[1]HOURLY_DATA!H80:H8863,Daily_AQI!A80),2)</f>
        <v>0.54</v>
      </c>
      <c r="G80">
        <f>ROUND(AVERAGEIFS([1]HOURLY_DATA!J80:J8863,[1]HOURLY_DATA!H80:H8863,Daily_AQI!A80),0)</f>
        <v>43</v>
      </c>
      <c r="H80">
        <f>ROUND(((_xlfn.XLOOKUP(B80,[1]!PM2.5[BLO],[1]!PM2.5[IHI],,-1) - _xlfn.XLOOKUP(B80,[1]!PM2.5[BLO],[1]!PM2.5[ILO],,-1))
/
(_xlfn.XLOOKUP(B80,[1]!PM2.5[BLO],[1]!PM2.5[BHI],,-1) - _xlfn.XLOOKUP(B80,[1]!PM2.5[BLO],[1]!PM2.5[BLO],,-1)))
*
(B80 - _xlfn.XLOOKUP(B80,[1]!PM2.5[BLO],[1]!PM2.5[BLO],,-1))
+
_xlfn.XLOOKUP(B80,[1]!PM2.5[BLO],[1]!PM2.5[ILO],,-1),2)</f>
        <v>101</v>
      </c>
      <c r="I80">
        <f>ROUND(((_xlfn.XLOOKUP(C80,[1]!PM_10[BLO],[1]!PM_10[IHI],,-1) - _xlfn.XLOOKUP(C80,[1]!PM_10[BLO],[1]!PM_10[ILO],,-1))
/
(_xlfn.XLOOKUP(C80,[1]!PM_10[BLO],[1]!PM_10[BHI],,-1) - _xlfn.XLOOKUP(C80,[1]!PM_10[BLO],[1]!PM_10[BLO],,-1)))
*
( C80 - _xlfn.XLOOKUP(C80,[1]!PM_10[BLO],[1]!PM_10[BLO],,-1))
+
_xlfn.XLOOKUP(C80,[1]!PM_10[BLO],[1]!PM_10[ILO],,-1),2)</f>
        <v>114.95</v>
      </c>
      <c r="J80">
        <f>ROUND((( _xlfn.XLOOKUP(D80,[1]!NO_2[BLO],[1]!NO_2[IHI],,-1) - _xlfn.XLOOKUP(D80,[1]!NO_2[BLO],[1]!NO_2[ILO],,-1))
/
( _xlfn.XLOOKUP(D80,[1]!NO_2[BLO],[1]!NO_2[BHI],,-1) - _xlfn.XLOOKUP(D80,[1]!NO_2[BLO],[1]!NO_2[BLO],,-1) ))
*
( D80 - _xlfn.XLOOKUP(D80,[1]!NO_2[BLO],[1]!NO_2[BLO],,-1))
+
_xlfn.XLOOKUP(D80,[1]!NO_2[BLO],[1]!NO_2[ILO],,-1),2)</f>
        <v>20</v>
      </c>
      <c r="K80">
        <f>ROUND(( ( _xlfn.XLOOKUP(E80,[1]!SO_2[BLO],[1]!SO_2[IHI],,-1)  - _xlfn.XLOOKUP(E80,[1]!SO_2[BLO],[1]!SO_2[ILO],,-1) )
/
( _xlfn.XLOOKUP(E80,[1]!SO_2[BLO],[1]!SO_2[BHI],,-1)- _xlfn.XLOOKUP(E80,[1]!SO_2[BLO],[1]!SO_2[BLO],,-1) ))
*
( E80 - _xlfn.XLOOKUP(E80,[1]!SO_2[BLO],[1]!SO_2[BLO],,-1) )
+
_xlfn.XLOOKUP(E80,[1]!SO_2[BLO],[1]!SO_2[ILO],,-1),2)</f>
        <v>15</v>
      </c>
      <c r="L80">
        <f>( ( _xlfn.XLOOKUP(F80,[1]!CO[BLO],[1]!CO[IHI],,-1)
- _xlfn.XLOOKUP(F80,[1]!CO[BLO],[1]!CO[ILO],,-1) )
/
( _xlfn.XLOOKUP(F80,[1]!CO[BLO],[1]!CO[BHI],,-1) - _xlfn.XLOOKUP(F80,[1]!CO[BLO],[1]!CO[BLO],,-1)))
*
( F80 - _xlfn.XLOOKUP(F80,[1]!CO[BLO],[1]!CO[BLO],,-1) )
+
_xlfn.XLOOKUP(F80,[1]!CO[BLO],[1]!CO[ILO],,-1)</f>
        <v>27</v>
      </c>
      <c r="M80">
        <f>(( _xlfn.XLOOKUP(G80,[1]!O_3[BLO],[1]!O_3[IHI],,-1) - _xlfn.XLOOKUP(G80,[1]!O_3[BLO],[1]!O_3[ILO],,-1))
/
( _xlfn.XLOOKUP(G80,[1]!O_3[BLO],[1]!O_3[BHI],,-1) - _xlfn.XLOOKUP(G80,[1]!O_3[BLO],[1]!O_3[BLO],,-1)))
*
( G80 - _xlfn.XLOOKUP(G80,[1]!O_3[BLO],[1]!O_3[BLO],,-1))
+
_xlfn.XLOOKUP(G80,[1]!O_3[BLO],[1]!O_3[ILO],,-1)</f>
        <v>43</v>
      </c>
      <c r="N80">
        <f>MAX(DAILY_DATA[[#This Row],[AQI_PM2.5]:[AQI_O3]])</f>
        <v>114.95</v>
      </c>
      <c r="O80" t="str">
        <f>_xlfn.XLOOKUP(DAILY_DATA[[#This Row],[OVERALL_AQI]],[1]!CATEGORY[AQI_LO],[1]!CATEGORY[CATEGORY],,-1)</f>
        <v>Moderate</v>
      </c>
      <c r="P80" t="str" cm="1">
        <f t="array" ref="P80">INDEX(
{"PM2.5","PM10","NO2","SO2","CO","O3"},
MATCH(N80,H80:M80,0)
)</f>
        <v>PM10</v>
      </c>
    </row>
    <row r="81" spans="1:16" x14ac:dyDescent="0.25">
      <c r="A81" s="4">
        <v>45371</v>
      </c>
      <c r="B81">
        <f>ROUND(AVERAGEIFS([1]HOURLY_DATA!B81:B8864,[1]HOURLY_DATA!H81:H8864,Daily_AQI!A81),0)</f>
        <v>64</v>
      </c>
      <c r="C81">
        <f>ROUND(AVERAGEIFS([1]HOURLY_DATA!C81:C8864,[1]HOURLY_DATA!H81:H8864,Daily_AQI!A81),0)</f>
        <v>116</v>
      </c>
      <c r="D81">
        <f>ROUND(AVERAGEIFS([1]HOURLY_DATA!D81:D8864,[1]HOURLY_DATA!H81:H8864,Daily_AQI!A81),0)</f>
        <v>16</v>
      </c>
      <c r="E81">
        <f>ROUND(AVERAGEIFS([1]HOURLY_DATA!E81:E8864,[1]HOURLY_DATA!H81:H8864,Daily_AQI!A81),0)</f>
        <v>11</v>
      </c>
      <c r="F81">
        <f>ROUND(AVERAGEIFS([1]HOURLY_DATA!I81:I8864,[1]HOURLY_DATA!H81:H8864,Daily_AQI!A81),2)</f>
        <v>0.56999999999999995</v>
      </c>
      <c r="G81">
        <f>ROUND(AVERAGEIFS([1]HOURLY_DATA!J81:J8864,[1]HOURLY_DATA!H81:H8864,Daily_AQI!A81),0)</f>
        <v>42</v>
      </c>
      <c r="H81">
        <f>ROUND(((_xlfn.XLOOKUP(B81,[1]!PM2.5[BLO],[1]!PM2.5[IHI],,-1) - _xlfn.XLOOKUP(B81,[1]!PM2.5[BLO],[1]!PM2.5[ILO],,-1))
/
(_xlfn.XLOOKUP(B81,[1]!PM2.5[BLO],[1]!PM2.5[BHI],,-1) - _xlfn.XLOOKUP(B81,[1]!PM2.5[BLO],[1]!PM2.5[BLO],,-1)))
*
(B81 - _xlfn.XLOOKUP(B81,[1]!PM2.5[BLO],[1]!PM2.5[BLO],,-1))
+
_xlfn.XLOOKUP(B81,[1]!PM2.5[BLO],[1]!PM2.5[ILO],,-1),2)</f>
        <v>111.24</v>
      </c>
      <c r="I81">
        <f>ROUND(((_xlfn.XLOOKUP(C81,[1]!PM_10[BLO],[1]!PM_10[IHI],,-1) - _xlfn.XLOOKUP(C81,[1]!PM_10[BLO],[1]!PM_10[ILO],,-1))
/
(_xlfn.XLOOKUP(C81,[1]!PM_10[BLO],[1]!PM_10[BHI],,-1) - _xlfn.XLOOKUP(C81,[1]!PM_10[BLO],[1]!PM_10[BLO],,-1)))
*
( C81 - _xlfn.XLOOKUP(C81,[1]!PM_10[BLO],[1]!PM_10[BLO],,-1))
+
_xlfn.XLOOKUP(C81,[1]!PM_10[BLO],[1]!PM_10[ILO],,-1),2)</f>
        <v>110.97</v>
      </c>
      <c r="J81">
        <f>ROUND((( _xlfn.XLOOKUP(D81,[1]!NO_2[BLO],[1]!NO_2[IHI],,-1) - _xlfn.XLOOKUP(D81,[1]!NO_2[BLO],[1]!NO_2[ILO],,-1))
/
( _xlfn.XLOOKUP(D81,[1]!NO_2[BLO],[1]!NO_2[BHI],,-1) - _xlfn.XLOOKUP(D81,[1]!NO_2[BLO],[1]!NO_2[BLO],,-1) ))
*
( D81 - _xlfn.XLOOKUP(D81,[1]!NO_2[BLO],[1]!NO_2[BLO],,-1))
+
_xlfn.XLOOKUP(D81,[1]!NO_2[BLO],[1]!NO_2[ILO],,-1),2)</f>
        <v>20</v>
      </c>
      <c r="K81">
        <f>ROUND(( ( _xlfn.XLOOKUP(E81,[1]!SO_2[BLO],[1]!SO_2[IHI],,-1)  - _xlfn.XLOOKUP(E81,[1]!SO_2[BLO],[1]!SO_2[ILO],,-1) )
/
( _xlfn.XLOOKUP(E81,[1]!SO_2[BLO],[1]!SO_2[BHI],,-1)- _xlfn.XLOOKUP(E81,[1]!SO_2[BLO],[1]!SO_2[BLO],,-1) ))
*
( E81 - _xlfn.XLOOKUP(E81,[1]!SO_2[BLO],[1]!SO_2[BLO],,-1) )
+
_xlfn.XLOOKUP(E81,[1]!SO_2[BLO],[1]!SO_2[ILO],,-1),2)</f>
        <v>13.75</v>
      </c>
      <c r="L81">
        <f>( ( _xlfn.XLOOKUP(F81,[1]!CO[BLO],[1]!CO[IHI],,-1)
- _xlfn.XLOOKUP(F81,[1]!CO[BLO],[1]!CO[ILO],,-1) )
/
( _xlfn.XLOOKUP(F81,[1]!CO[BLO],[1]!CO[BHI],,-1) - _xlfn.XLOOKUP(F81,[1]!CO[BLO],[1]!CO[BLO],,-1)))
*
( F81 - _xlfn.XLOOKUP(F81,[1]!CO[BLO],[1]!CO[BLO],,-1) )
+
_xlfn.XLOOKUP(F81,[1]!CO[BLO],[1]!CO[ILO],,-1)</f>
        <v>28.499999999999996</v>
      </c>
      <c r="M81">
        <f>(( _xlfn.XLOOKUP(G81,[1]!O_3[BLO],[1]!O_3[IHI],,-1) - _xlfn.XLOOKUP(G81,[1]!O_3[BLO],[1]!O_3[ILO],,-1))
/
( _xlfn.XLOOKUP(G81,[1]!O_3[BLO],[1]!O_3[BHI],,-1) - _xlfn.XLOOKUP(G81,[1]!O_3[BLO],[1]!O_3[BLO],,-1)))
*
( G81 - _xlfn.XLOOKUP(G81,[1]!O_3[BLO],[1]!O_3[BLO],,-1))
+
_xlfn.XLOOKUP(G81,[1]!O_3[BLO],[1]!O_3[ILO],,-1)</f>
        <v>42</v>
      </c>
      <c r="N81">
        <f>MAX(DAILY_DATA[[#This Row],[AQI_PM2.5]:[AQI_O3]])</f>
        <v>111.24</v>
      </c>
      <c r="O81" t="str">
        <f>_xlfn.XLOOKUP(DAILY_DATA[[#This Row],[OVERALL_AQI]],[1]!CATEGORY[AQI_LO],[1]!CATEGORY[CATEGORY],,-1)</f>
        <v>Moderate</v>
      </c>
      <c r="P81" t="str" cm="1">
        <f t="array" ref="P81">INDEX(
{"PM2.5","PM10","NO2","SO2","CO","O3"},
MATCH(N81,H81:M81,0)
)</f>
        <v>PM2.5</v>
      </c>
    </row>
    <row r="82" spans="1:16" x14ac:dyDescent="0.25">
      <c r="A82" s="4">
        <v>45372</v>
      </c>
      <c r="B82">
        <f>ROUND(AVERAGEIFS([1]HOURLY_DATA!B82:B8865,[1]HOURLY_DATA!H82:H8865,Daily_AQI!A82),0)</f>
        <v>34</v>
      </c>
      <c r="C82">
        <f>ROUND(AVERAGEIFS([1]HOURLY_DATA!C82:C8865,[1]HOURLY_DATA!H82:H8865,Daily_AQI!A82),0)</f>
        <v>73</v>
      </c>
      <c r="D82">
        <f>ROUND(AVERAGEIFS([1]HOURLY_DATA!D82:D8865,[1]HOURLY_DATA!H82:H8865,Daily_AQI!A82),0)</f>
        <v>16</v>
      </c>
      <c r="E82">
        <f>ROUND(AVERAGEIFS([1]HOURLY_DATA!E82:E8865,[1]HOURLY_DATA!H82:H8865,Daily_AQI!A82),0)</f>
        <v>8</v>
      </c>
      <c r="F82">
        <f>ROUND(AVERAGEIFS([1]HOURLY_DATA!I82:I8865,[1]HOURLY_DATA!H82:H8865,Daily_AQI!A82),2)</f>
        <v>0.56000000000000005</v>
      </c>
      <c r="G82">
        <f>ROUND(AVERAGEIFS([1]HOURLY_DATA!J82:J8865,[1]HOURLY_DATA!H82:H8865,Daily_AQI!A82),0)</f>
        <v>33</v>
      </c>
      <c r="H82">
        <f>ROUND(((_xlfn.XLOOKUP(B82,[1]!PM2.5[BLO],[1]!PM2.5[IHI],,-1) - _xlfn.XLOOKUP(B82,[1]!PM2.5[BLO],[1]!PM2.5[ILO],,-1))
/
(_xlfn.XLOOKUP(B82,[1]!PM2.5[BLO],[1]!PM2.5[BHI],,-1) - _xlfn.XLOOKUP(B82,[1]!PM2.5[BLO],[1]!PM2.5[BLO],,-1)))
*
(B82 - _xlfn.XLOOKUP(B82,[1]!PM2.5[BLO],[1]!PM2.5[BLO],,-1))
+
_xlfn.XLOOKUP(B82,[1]!PM2.5[BLO],[1]!PM2.5[ILO],,-1),2)</f>
        <v>56.07</v>
      </c>
      <c r="I82">
        <f>ROUND(((_xlfn.XLOOKUP(C82,[1]!PM_10[BLO],[1]!PM_10[IHI],,-1) - _xlfn.XLOOKUP(C82,[1]!PM_10[BLO],[1]!PM_10[ILO],,-1))
/
(_xlfn.XLOOKUP(C82,[1]!PM_10[BLO],[1]!PM_10[BHI],,-1) - _xlfn.XLOOKUP(C82,[1]!PM_10[BLO],[1]!PM_10[BLO],,-1)))
*
( C82 - _xlfn.XLOOKUP(C82,[1]!PM_10[BLO],[1]!PM_10[BLO],,-1))
+
_xlfn.XLOOKUP(C82,[1]!PM_10[BLO],[1]!PM_10[ILO],,-1),2)</f>
        <v>73</v>
      </c>
      <c r="J82">
        <f>ROUND((( _xlfn.XLOOKUP(D82,[1]!NO_2[BLO],[1]!NO_2[IHI],,-1) - _xlfn.XLOOKUP(D82,[1]!NO_2[BLO],[1]!NO_2[ILO],,-1))
/
( _xlfn.XLOOKUP(D82,[1]!NO_2[BLO],[1]!NO_2[BHI],,-1) - _xlfn.XLOOKUP(D82,[1]!NO_2[BLO],[1]!NO_2[BLO],,-1) ))
*
( D82 - _xlfn.XLOOKUP(D82,[1]!NO_2[BLO],[1]!NO_2[BLO],,-1))
+
_xlfn.XLOOKUP(D82,[1]!NO_2[BLO],[1]!NO_2[ILO],,-1),2)</f>
        <v>20</v>
      </c>
      <c r="K82">
        <f>ROUND(( ( _xlfn.XLOOKUP(E82,[1]!SO_2[BLO],[1]!SO_2[IHI],,-1)  - _xlfn.XLOOKUP(E82,[1]!SO_2[BLO],[1]!SO_2[ILO],,-1) )
/
( _xlfn.XLOOKUP(E82,[1]!SO_2[BLO],[1]!SO_2[BHI],,-1)- _xlfn.XLOOKUP(E82,[1]!SO_2[BLO],[1]!SO_2[BLO],,-1) ))
*
( E82 - _xlfn.XLOOKUP(E82,[1]!SO_2[BLO],[1]!SO_2[BLO],,-1) )
+
_xlfn.XLOOKUP(E82,[1]!SO_2[BLO],[1]!SO_2[ILO],,-1),2)</f>
        <v>10</v>
      </c>
      <c r="L82">
        <f>( ( _xlfn.XLOOKUP(F82,[1]!CO[BLO],[1]!CO[IHI],,-1)
- _xlfn.XLOOKUP(F82,[1]!CO[BLO],[1]!CO[ILO],,-1) )
/
( _xlfn.XLOOKUP(F82,[1]!CO[BLO],[1]!CO[BHI],,-1) - _xlfn.XLOOKUP(F82,[1]!CO[BLO],[1]!CO[BLO],,-1)))
*
( F82 - _xlfn.XLOOKUP(F82,[1]!CO[BLO],[1]!CO[BLO],,-1) )
+
_xlfn.XLOOKUP(F82,[1]!CO[BLO],[1]!CO[ILO],,-1)</f>
        <v>28.000000000000004</v>
      </c>
      <c r="M82">
        <f>(( _xlfn.XLOOKUP(G82,[1]!O_3[BLO],[1]!O_3[IHI],,-1) - _xlfn.XLOOKUP(G82,[1]!O_3[BLO],[1]!O_3[ILO],,-1))
/
( _xlfn.XLOOKUP(G82,[1]!O_3[BLO],[1]!O_3[BHI],,-1) - _xlfn.XLOOKUP(G82,[1]!O_3[BLO],[1]!O_3[BLO],,-1)))
*
( G82 - _xlfn.XLOOKUP(G82,[1]!O_3[BLO],[1]!O_3[BLO],,-1))
+
_xlfn.XLOOKUP(G82,[1]!O_3[BLO],[1]!O_3[ILO],,-1)</f>
        <v>33</v>
      </c>
      <c r="N82">
        <f>MAX(DAILY_DATA[[#This Row],[AQI_PM2.5]:[AQI_O3]])</f>
        <v>73</v>
      </c>
      <c r="O82" t="str">
        <f>_xlfn.XLOOKUP(DAILY_DATA[[#This Row],[OVERALL_AQI]],[1]!CATEGORY[AQI_LO],[1]!CATEGORY[CATEGORY],,-1)</f>
        <v>Satisfactory</v>
      </c>
      <c r="P82" t="str" cm="1">
        <f t="array" ref="P82">INDEX(
{"PM2.5","PM10","NO2","SO2","CO","O3"},
MATCH(N82,H82:M82,0)
)</f>
        <v>PM10</v>
      </c>
    </row>
    <row r="83" spans="1:16" x14ac:dyDescent="0.25">
      <c r="A83" s="4">
        <v>45373</v>
      </c>
      <c r="B83">
        <f>ROUND(AVERAGEIFS([1]HOURLY_DATA!B83:B8866,[1]HOURLY_DATA!H83:H8866,Daily_AQI!A83),0)</f>
        <v>38</v>
      </c>
      <c r="C83">
        <f>ROUND(AVERAGEIFS([1]HOURLY_DATA!C83:C8866,[1]HOURLY_DATA!H83:H8866,Daily_AQI!A83),0)</f>
        <v>83</v>
      </c>
      <c r="D83">
        <f>ROUND(AVERAGEIFS([1]HOURLY_DATA!D83:D8866,[1]HOURLY_DATA!H83:H8866,Daily_AQI!A83),0)</f>
        <v>16</v>
      </c>
      <c r="E83">
        <f>ROUND(AVERAGEIFS([1]HOURLY_DATA!E83:E8866,[1]HOURLY_DATA!H83:H8866,Daily_AQI!A83),0)</f>
        <v>8</v>
      </c>
      <c r="F83">
        <f>ROUND(AVERAGEIFS([1]HOURLY_DATA!I83:I8866,[1]HOURLY_DATA!H83:H8866,Daily_AQI!A83),2)</f>
        <v>0.63</v>
      </c>
      <c r="G83">
        <f>ROUND(AVERAGEIFS([1]HOURLY_DATA!J83:J8866,[1]HOURLY_DATA!H83:H8866,Daily_AQI!A83),0)</f>
        <v>34</v>
      </c>
      <c r="H83">
        <f>ROUND(((_xlfn.XLOOKUP(B83,[1]!PM2.5[BLO],[1]!PM2.5[IHI],,-1) - _xlfn.XLOOKUP(B83,[1]!PM2.5[BLO],[1]!PM2.5[ILO],,-1))
/
(_xlfn.XLOOKUP(B83,[1]!PM2.5[BLO],[1]!PM2.5[BHI],,-1) - _xlfn.XLOOKUP(B83,[1]!PM2.5[BLO],[1]!PM2.5[BLO],,-1)))
*
(B83 - _xlfn.XLOOKUP(B83,[1]!PM2.5[BLO],[1]!PM2.5[BLO],,-1))
+
_xlfn.XLOOKUP(B83,[1]!PM2.5[BLO],[1]!PM2.5[ILO],,-1),2)</f>
        <v>62.83</v>
      </c>
      <c r="I83">
        <f>ROUND(((_xlfn.XLOOKUP(C83,[1]!PM_10[BLO],[1]!PM_10[IHI],,-1) - _xlfn.XLOOKUP(C83,[1]!PM_10[BLO],[1]!PM_10[ILO],,-1))
/
(_xlfn.XLOOKUP(C83,[1]!PM_10[BLO],[1]!PM_10[BHI],,-1) - _xlfn.XLOOKUP(C83,[1]!PM_10[BLO],[1]!PM_10[BLO],,-1)))
*
( C83 - _xlfn.XLOOKUP(C83,[1]!PM_10[BLO],[1]!PM_10[BLO],,-1))
+
_xlfn.XLOOKUP(C83,[1]!PM_10[BLO],[1]!PM_10[ILO],,-1),2)</f>
        <v>83</v>
      </c>
      <c r="J83">
        <f>ROUND((( _xlfn.XLOOKUP(D83,[1]!NO_2[BLO],[1]!NO_2[IHI],,-1) - _xlfn.XLOOKUP(D83,[1]!NO_2[BLO],[1]!NO_2[ILO],,-1))
/
( _xlfn.XLOOKUP(D83,[1]!NO_2[BLO],[1]!NO_2[BHI],,-1) - _xlfn.XLOOKUP(D83,[1]!NO_2[BLO],[1]!NO_2[BLO],,-1) ))
*
( D83 - _xlfn.XLOOKUP(D83,[1]!NO_2[BLO],[1]!NO_2[BLO],,-1))
+
_xlfn.XLOOKUP(D83,[1]!NO_2[BLO],[1]!NO_2[ILO],,-1),2)</f>
        <v>20</v>
      </c>
      <c r="K83">
        <f>ROUND(( ( _xlfn.XLOOKUP(E83,[1]!SO_2[BLO],[1]!SO_2[IHI],,-1)  - _xlfn.XLOOKUP(E83,[1]!SO_2[BLO],[1]!SO_2[ILO],,-1) )
/
( _xlfn.XLOOKUP(E83,[1]!SO_2[BLO],[1]!SO_2[BHI],,-1)- _xlfn.XLOOKUP(E83,[1]!SO_2[BLO],[1]!SO_2[BLO],,-1) ))
*
( E83 - _xlfn.XLOOKUP(E83,[1]!SO_2[BLO],[1]!SO_2[BLO],,-1) )
+
_xlfn.XLOOKUP(E83,[1]!SO_2[BLO],[1]!SO_2[ILO],,-1),2)</f>
        <v>10</v>
      </c>
      <c r="L83">
        <f>( ( _xlfn.XLOOKUP(F83,[1]!CO[BLO],[1]!CO[IHI],,-1)
- _xlfn.XLOOKUP(F83,[1]!CO[BLO],[1]!CO[ILO],,-1) )
/
( _xlfn.XLOOKUP(F83,[1]!CO[BLO],[1]!CO[BHI],,-1) - _xlfn.XLOOKUP(F83,[1]!CO[BLO],[1]!CO[BLO],,-1)))
*
( F83 - _xlfn.XLOOKUP(F83,[1]!CO[BLO],[1]!CO[BLO],,-1) )
+
_xlfn.XLOOKUP(F83,[1]!CO[BLO],[1]!CO[ILO],,-1)</f>
        <v>31.5</v>
      </c>
      <c r="M83">
        <f>(( _xlfn.XLOOKUP(G83,[1]!O_3[BLO],[1]!O_3[IHI],,-1) - _xlfn.XLOOKUP(G83,[1]!O_3[BLO],[1]!O_3[ILO],,-1))
/
( _xlfn.XLOOKUP(G83,[1]!O_3[BLO],[1]!O_3[BHI],,-1) - _xlfn.XLOOKUP(G83,[1]!O_3[BLO],[1]!O_3[BLO],,-1)))
*
( G83 - _xlfn.XLOOKUP(G83,[1]!O_3[BLO],[1]!O_3[BLO],,-1))
+
_xlfn.XLOOKUP(G83,[1]!O_3[BLO],[1]!O_3[ILO],,-1)</f>
        <v>34</v>
      </c>
      <c r="N83">
        <f>MAX(DAILY_DATA[[#This Row],[AQI_PM2.5]:[AQI_O3]])</f>
        <v>83</v>
      </c>
      <c r="O83" t="str">
        <f>_xlfn.XLOOKUP(DAILY_DATA[[#This Row],[OVERALL_AQI]],[1]!CATEGORY[AQI_LO],[1]!CATEGORY[CATEGORY],,-1)</f>
        <v>Satisfactory</v>
      </c>
      <c r="P83" t="str" cm="1">
        <f t="array" ref="P83">INDEX(
{"PM2.5","PM10","NO2","SO2","CO","O3"},
MATCH(N83,H83:M83,0)
)</f>
        <v>PM10</v>
      </c>
    </row>
    <row r="84" spans="1:16" x14ac:dyDescent="0.25">
      <c r="A84" s="4">
        <v>45374</v>
      </c>
      <c r="B84">
        <f>ROUND(AVERAGEIFS([1]HOURLY_DATA!B84:B8867,[1]HOURLY_DATA!H84:H8867,Daily_AQI!A84),0)</f>
        <v>41</v>
      </c>
      <c r="C84">
        <f>ROUND(AVERAGEIFS([1]HOURLY_DATA!C84:C8867,[1]HOURLY_DATA!H84:H8867,Daily_AQI!A84),0)</f>
        <v>95</v>
      </c>
      <c r="D84">
        <f>ROUND(AVERAGEIFS([1]HOURLY_DATA!D84:D8867,[1]HOURLY_DATA!H84:H8867,Daily_AQI!A84),0)</f>
        <v>16</v>
      </c>
      <c r="E84">
        <f>ROUND(AVERAGEIFS([1]HOURLY_DATA!E84:E8867,[1]HOURLY_DATA!H84:H8867,Daily_AQI!A84),0)</f>
        <v>8</v>
      </c>
      <c r="F84">
        <f>ROUND(AVERAGEIFS([1]HOURLY_DATA!I84:I8867,[1]HOURLY_DATA!H84:H8867,Daily_AQI!A84),2)</f>
        <v>0.62</v>
      </c>
      <c r="G84">
        <f>ROUND(AVERAGEIFS([1]HOURLY_DATA!J84:J8867,[1]HOURLY_DATA!H84:H8867,Daily_AQI!A84),0)</f>
        <v>33</v>
      </c>
      <c r="H84">
        <f>ROUND(((_xlfn.XLOOKUP(B84,[1]!PM2.5[BLO],[1]!PM2.5[IHI],,-1) - _xlfn.XLOOKUP(B84,[1]!PM2.5[BLO],[1]!PM2.5[ILO],,-1))
/
(_xlfn.XLOOKUP(B84,[1]!PM2.5[BLO],[1]!PM2.5[BHI],,-1) - _xlfn.XLOOKUP(B84,[1]!PM2.5[BLO],[1]!PM2.5[BLO],,-1)))
*
(B84 - _xlfn.XLOOKUP(B84,[1]!PM2.5[BLO],[1]!PM2.5[BLO],,-1))
+
_xlfn.XLOOKUP(B84,[1]!PM2.5[BLO],[1]!PM2.5[ILO],,-1),2)</f>
        <v>67.900000000000006</v>
      </c>
      <c r="I84">
        <f>ROUND(((_xlfn.XLOOKUP(C84,[1]!PM_10[BLO],[1]!PM_10[IHI],,-1) - _xlfn.XLOOKUP(C84,[1]!PM_10[BLO],[1]!PM_10[ILO],,-1))
/
(_xlfn.XLOOKUP(C84,[1]!PM_10[BLO],[1]!PM_10[BHI],,-1) - _xlfn.XLOOKUP(C84,[1]!PM_10[BLO],[1]!PM_10[BLO],,-1)))
*
( C84 - _xlfn.XLOOKUP(C84,[1]!PM_10[BLO],[1]!PM_10[BLO],,-1))
+
_xlfn.XLOOKUP(C84,[1]!PM_10[BLO],[1]!PM_10[ILO],,-1),2)</f>
        <v>95</v>
      </c>
      <c r="J84">
        <f>ROUND((( _xlfn.XLOOKUP(D84,[1]!NO_2[BLO],[1]!NO_2[IHI],,-1) - _xlfn.XLOOKUP(D84,[1]!NO_2[BLO],[1]!NO_2[ILO],,-1))
/
( _xlfn.XLOOKUP(D84,[1]!NO_2[BLO],[1]!NO_2[BHI],,-1) - _xlfn.XLOOKUP(D84,[1]!NO_2[BLO],[1]!NO_2[BLO],,-1) ))
*
( D84 - _xlfn.XLOOKUP(D84,[1]!NO_2[BLO],[1]!NO_2[BLO],,-1))
+
_xlfn.XLOOKUP(D84,[1]!NO_2[BLO],[1]!NO_2[ILO],,-1),2)</f>
        <v>20</v>
      </c>
      <c r="K84">
        <f>ROUND(( ( _xlfn.XLOOKUP(E84,[1]!SO_2[BLO],[1]!SO_2[IHI],,-1)  - _xlfn.XLOOKUP(E84,[1]!SO_2[BLO],[1]!SO_2[ILO],,-1) )
/
( _xlfn.XLOOKUP(E84,[1]!SO_2[BLO],[1]!SO_2[BHI],,-1)- _xlfn.XLOOKUP(E84,[1]!SO_2[BLO],[1]!SO_2[BLO],,-1) ))
*
( E84 - _xlfn.XLOOKUP(E84,[1]!SO_2[BLO],[1]!SO_2[BLO],,-1) )
+
_xlfn.XLOOKUP(E84,[1]!SO_2[BLO],[1]!SO_2[ILO],,-1),2)</f>
        <v>10</v>
      </c>
      <c r="L84">
        <f>( ( _xlfn.XLOOKUP(F84,[1]!CO[BLO],[1]!CO[IHI],,-1)
- _xlfn.XLOOKUP(F84,[1]!CO[BLO],[1]!CO[ILO],,-1) )
/
( _xlfn.XLOOKUP(F84,[1]!CO[BLO],[1]!CO[BHI],,-1) - _xlfn.XLOOKUP(F84,[1]!CO[BLO],[1]!CO[BLO],,-1)))
*
( F84 - _xlfn.XLOOKUP(F84,[1]!CO[BLO],[1]!CO[BLO],,-1) )
+
_xlfn.XLOOKUP(F84,[1]!CO[BLO],[1]!CO[ILO],,-1)</f>
        <v>31</v>
      </c>
      <c r="M84">
        <f>(( _xlfn.XLOOKUP(G84,[1]!O_3[BLO],[1]!O_3[IHI],,-1) - _xlfn.XLOOKUP(G84,[1]!O_3[BLO],[1]!O_3[ILO],,-1))
/
( _xlfn.XLOOKUP(G84,[1]!O_3[BLO],[1]!O_3[BHI],,-1) - _xlfn.XLOOKUP(G84,[1]!O_3[BLO],[1]!O_3[BLO],,-1)))
*
( G84 - _xlfn.XLOOKUP(G84,[1]!O_3[BLO],[1]!O_3[BLO],,-1))
+
_xlfn.XLOOKUP(G84,[1]!O_3[BLO],[1]!O_3[ILO],,-1)</f>
        <v>33</v>
      </c>
      <c r="N84">
        <f>MAX(DAILY_DATA[[#This Row],[AQI_PM2.5]:[AQI_O3]])</f>
        <v>95</v>
      </c>
      <c r="O84" t="str">
        <f>_xlfn.XLOOKUP(DAILY_DATA[[#This Row],[OVERALL_AQI]],[1]!CATEGORY[AQI_LO],[1]!CATEGORY[CATEGORY],,-1)</f>
        <v>Satisfactory</v>
      </c>
      <c r="P84" t="str" cm="1">
        <f t="array" ref="P84">INDEX(
{"PM2.5","PM10","NO2","SO2","CO","O3"},
MATCH(N84,H84:M84,0)
)</f>
        <v>PM10</v>
      </c>
    </row>
    <row r="85" spans="1:16" x14ac:dyDescent="0.25">
      <c r="A85" s="4">
        <v>45375</v>
      </c>
      <c r="B85">
        <f>ROUND(AVERAGEIFS([1]HOURLY_DATA!B85:B8868,[1]HOURLY_DATA!H85:H8868,Daily_AQI!A85),0)</f>
        <v>42</v>
      </c>
      <c r="C85">
        <f>ROUND(AVERAGEIFS([1]HOURLY_DATA!C85:C8868,[1]HOURLY_DATA!H85:H8868,Daily_AQI!A85),0)</f>
        <v>91</v>
      </c>
      <c r="D85">
        <f>ROUND(AVERAGEIFS([1]HOURLY_DATA!D85:D8868,[1]HOURLY_DATA!H85:H8868,Daily_AQI!A85),0)</f>
        <v>16</v>
      </c>
      <c r="E85">
        <f>ROUND(AVERAGEIFS([1]HOURLY_DATA!E85:E8868,[1]HOURLY_DATA!H85:H8868,Daily_AQI!A85),0)</f>
        <v>9</v>
      </c>
      <c r="F85">
        <f>ROUND(AVERAGEIFS([1]HOURLY_DATA!I85:I8868,[1]HOURLY_DATA!H85:H8868,Daily_AQI!A85),2)</f>
        <v>0.51</v>
      </c>
      <c r="G85">
        <f>ROUND(AVERAGEIFS([1]HOURLY_DATA!J85:J8868,[1]HOURLY_DATA!H85:H8868,Daily_AQI!A85),0)</f>
        <v>37</v>
      </c>
      <c r="H85">
        <f>ROUND(((_xlfn.XLOOKUP(B85,[1]!PM2.5[BLO],[1]!PM2.5[IHI],,-1) - _xlfn.XLOOKUP(B85,[1]!PM2.5[BLO],[1]!PM2.5[ILO],,-1))
/
(_xlfn.XLOOKUP(B85,[1]!PM2.5[BLO],[1]!PM2.5[BHI],,-1) - _xlfn.XLOOKUP(B85,[1]!PM2.5[BLO],[1]!PM2.5[BLO],,-1)))
*
(B85 - _xlfn.XLOOKUP(B85,[1]!PM2.5[BLO],[1]!PM2.5[BLO],,-1))
+
_xlfn.XLOOKUP(B85,[1]!PM2.5[BLO],[1]!PM2.5[ILO],,-1),2)</f>
        <v>69.59</v>
      </c>
      <c r="I85">
        <f>ROUND(((_xlfn.XLOOKUP(C85,[1]!PM_10[BLO],[1]!PM_10[IHI],,-1) - _xlfn.XLOOKUP(C85,[1]!PM_10[BLO],[1]!PM_10[ILO],,-1))
/
(_xlfn.XLOOKUP(C85,[1]!PM_10[BLO],[1]!PM_10[BHI],,-1) - _xlfn.XLOOKUP(C85,[1]!PM_10[BLO],[1]!PM_10[BLO],,-1)))
*
( C85 - _xlfn.XLOOKUP(C85,[1]!PM_10[BLO],[1]!PM_10[BLO],,-1))
+
_xlfn.XLOOKUP(C85,[1]!PM_10[BLO],[1]!PM_10[ILO],,-1),2)</f>
        <v>91</v>
      </c>
      <c r="J85">
        <f>ROUND((( _xlfn.XLOOKUP(D85,[1]!NO_2[BLO],[1]!NO_2[IHI],,-1) - _xlfn.XLOOKUP(D85,[1]!NO_2[BLO],[1]!NO_2[ILO],,-1))
/
( _xlfn.XLOOKUP(D85,[1]!NO_2[BLO],[1]!NO_2[BHI],,-1) - _xlfn.XLOOKUP(D85,[1]!NO_2[BLO],[1]!NO_2[BLO],,-1) ))
*
( D85 - _xlfn.XLOOKUP(D85,[1]!NO_2[BLO],[1]!NO_2[BLO],,-1))
+
_xlfn.XLOOKUP(D85,[1]!NO_2[BLO],[1]!NO_2[ILO],,-1),2)</f>
        <v>20</v>
      </c>
      <c r="K85">
        <f>ROUND(( ( _xlfn.XLOOKUP(E85,[1]!SO_2[BLO],[1]!SO_2[IHI],,-1)  - _xlfn.XLOOKUP(E85,[1]!SO_2[BLO],[1]!SO_2[ILO],,-1) )
/
( _xlfn.XLOOKUP(E85,[1]!SO_2[BLO],[1]!SO_2[BHI],,-1)- _xlfn.XLOOKUP(E85,[1]!SO_2[BLO],[1]!SO_2[BLO],,-1) ))
*
( E85 - _xlfn.XLOOKUP(E85,[1]!SO_2[BLO],[1]!SO_2[BLO],,-1) )
+
_xlfn.XLOOKUP(E85,[1]!SO_2[BLO],[1]!SO_2[ILO],,-1),2)</f>
        <v>11.25</v>
      </c>
      <c r="L85">
        <f>( ( _xlfn.XLOOKUP(F85,[1]!CO[BLO],[1]!CO[IHI],,-1)
- _xlfn.XLOOKUP(F85,[1]!CO[BLO],[1]!CO[ILO],,-1) )
/
( _xlfn.XLOOKUP(F85,[1]!CO[BLO],[1]!CO[BHI],,-1) - _xlfn.XLOOKUP(F85,[1]!CO[BLO],[1]!CO[BLO],,-1)))
*
( F85 - _xlfn.XLOOKUP(F85,[1]!CO[BLO],[1]!CO[BLO],,-1) )
+
_xlfn.XLOOKUP(F85,[1]!CO[BLO],[1]!CO[ILO],,-1)</f>
        <v>25.5</v>
      </c>
      <c r="M85">
        <f>(( _xlfn.XLOOKUP(G85,[1]!O_3[BLO],[1]!O_3[IHI],,-1) - _xlfn.XLOOKUP(G85,[1]!O_3[BLO],[1]!O_3[ILO],,-1))
/
( _xlfn.XLOOKUP(G85,[1]!O_3[BLO],[1]!O_3[BHI],,-1) - _xlfn.XLOOKUP(G85,[1]!O_3[BLO],[1]!O_3[BLO],,-1)))
*
( G85 - _xlfn.XLOOKUP(G85,[1]!O_3[BLO],[1]!O_3[BLO],,-1))
+
_xlfn.XLOOKUP(G85,[1]!O_3[BLO],[1]!O_3[ILO],,-1)</f>
        <v>37</v>
      </c>
      <c r="N85">
        <f>MAX(DAILY_DATA[[#This Row],[AQI_PM2.5]:[AQI_O3]])</f>
        <v>91</v>
      </c>
      <c r="O85" t="str">
        <f>_xlfn.XLOOKUP(DAILY_DATA[[#This Row],[OVERALL_AQI]],[1]!CATEGORY[AQI_LO],[1]!CATEGORY[CATEGORY],,-1)</f>
        <v>Satisfactory</v>
      </c>
      <c r="P85" t="str" cm="1">
        <f t="array" ref="P85">INDEX(
{"PM2.5","PM10","NO2","SO2","CO","O3"},
MATCH(N85,H85:M85,0)
)</f>
        <v>PM10</v>
      </c>
    </row>
    <row r="86" spans="1:16" x14ac:dyDescent="0.25">
      <c r="A86" s="4">
        <v>45376</v>
      </c>
      <c r="B86">
        <f>ROUND(AVERAGEIFS([1]HOURLY_DATA!B86:B8869,[1]HOURLY_DATA!H86:H8869,Daily_AQI!A86),0)</f>
        <v>43</v>
      </c>
      <c r="C86">
        <f>ROUND(AVERAGEIFS([1]HOURLY_DATA!C86:C8869,[1]HOURLY_DATA!H86:H8869,Daily_AQI!A86),0)</f>
        <v>89</v>
      </c>
      <c r="D86">
        <f>ROUND(AVERAGEIFS([1]HOURLY_DATA!D86:D8869,[1]HOURLY_DATA!H86:H8869,Daily_AQI!A86),0)</f>
        <v>15</v>
      </c>
      <c r="E86">
        <f>ROUND(AVERAGEIFS([1]HOURLY_DATA!E86:E8869,[1]HOURLY_DATA!H86:H8869,Daily_AQI!A86),0)</f>
        <v>7</v>
      </c>
      <c r="F86">
        <f>ROUND(AVERAGEIFS([1]HOURLY_DATA!I86:I8869,[1]HOURLY_DATA!H86:H8869,Daily_AQI!A86),2)</f>
        <v>0.55000000000000004</v>
      </c>
      <c r="G86">
        <f>ROUND(AVERAGEIFS([1]HOURLY_DATA!J86:J8869,[1]HOURLY_DATA!H86:H8869,Daily_AQI!A86),0)</f>
        <v>38</v>
      </c>
      <c r="H86">
        <f>ROUND(((_xlfn.XLOOKUP(B86,[1]!PM2.5[BLO],[1]!PM2.5[IHI],,-1) - _xlfn.XLOOKUP(B86,[1]!PM2.5[BLO],[1]!PM2.5[ILO],,-1))
/
(_xlfn.XLOOKUP(B86,[1]!PM2.5[BLO],[1]!PM2.5[BHI],,-1) - _xlfn.XLOOKUP(B86,[1]!PM2.5[BLO],[1]!PM2.5[BLO],,-1)))
*
(B86 - _xlfn.XLOOKUP(B86,[1]!PM2.5[BLO],[1]!PM2.5[BLO],,-1))
+
_xlfn.XLOOKUP(B86,[1]!PM2.5[BLO],[1]!PM2.5[ILO],,-1),2)</f>
        <v>71.28</v>
      </c>
      <c r="I86">
        <f>ROUND(((_xlfn.XLOOKUP(C86,[1]!PM_10[BLO],[1]!PM_10[IHI],,-1) - _xlfn.XLOOKUP(C86,[1]!PM_10[BLO],[1]!PM_10[ILO],,-1))
/
(_xlfn.XLOOKUP(C86,[1]!PM_10[BLO],[1]!PM_10[BHI],,-1) - _xlfn.XLOOKUP(C86,[1]!PM_10[BLO],[1]!PM_10[BLO],,-1)))
*
( C86 - _xlfn.XLOOKUP(C86,[1]!PM_10[BLO],[1]!PM_10[BLO],,-1))
+
_xlfn.XLOOKUP(C86,[1]!PM_10[BLO],[1]!PM_10[ILO],,-1),2)</f>
        <v>89</v>
      </c>
      <c r="J86">
        <f>ROUND((( _xlfn.XLOOKUP(D86,[1]!NO_2[BLO],[1]!NO_2[IHI],,-1) - _xlfn.XLOOKUP(D86,[1]!NO_2[BLO],[1]!NO_2[ILO],,-1))
/
( _xlfn.XLOOKUP(D86,[1]!NO_2[BLO],[1]!NO_2[BHI],,-1) - _xlfn.XLOOKUP(D86,[1]!NO_2[BLO],[1]!NO_2[BLO],,-1) ))
*
( D86 - _xlfn.XLOOKUP(D86,[1]!NO_2[BLO],[1]!NO_2[BLO],,-1))
+
_xlfn.XLOOKUP(D86,[1]!NO_2[BLO],[1]!NO_2[ILO],,-1),2)</f>
        <v>18.75</v>
      </c>
      <c r="K86">
        <f>ROUND(( ( _xlfn.XLOOKUP(E86,[1]!SO_2[BLO],[1]!SO_2[IHI],,-1)  - _xlfn.XLOOKUP(E86,[1]!SO_2[BLO],[1]!SO_2[ILO],,-1) )
/
( _xlfn.XLOOKUP(E86,[1]!SO_2[BLO],[1]!SO_2[BHI],,-1)- _xlfn.XLOOKUP(E86,[1]!SO_2[BLO],[1]!SO_2[BLO],,-1) ))
*
( E86 - _xlfn.XLOOKUP(E86,[1]!SO_2[BLO],[1]!SO_2[BLO],,-1) )
+
_xlfn.XLOOKUP(E86,[1]!SO_2[BLO],[1]!SO_2[ILO],,-1),2)</f>
        <v>8.75</v>
      </c>
      <c r="L86">
        <f>( ( _xlfn.XLOOKUP(F86,[1]!CO[BLO],[1]!CO[IHI],,-1)
- _xlfn.XLOOKUP(F86,[1]!CO[BLO],[1]!CO[ILO],,-1) )
/
( _xlfn.XLOOKUP(F86,[1]!CO[BLO],[1]!CO[BHI],,-1) - _xlfn.XLOOKUP(F86,[1]!CO[BLO],[1]!CO[BLO],,-1)))
*
( F86 - _xlfn.XLOOKUP(F86,[1]!CO[BLO],[1]!CO[BLO],,-1) )
+
_xlfn.XLOOKUP(F86,[1]!CO[BLO],[1]!CO[ILO],,-1)</f>
        <v>27.500000000000004</v>
      </c>
      <c r="M86">
        <f>(( _xlfn.XLOOKUP(G86,[1]!O_3[BLO],[1]!O_3[IHI],,-1) - _xlfn.XLOOKUP(G86,[1]!O_3[BLO],[1]!O_3[ILO],,-1))
/
( _xlfn.XLOOKUP(G86,[1]!O_3[BLO],[1]!O_3[BHI],,-1) - _xlfn.XLOOKUP(G86,[1]!O_3[BLO],[1]!O_3[BLO],,-1)))
*
( G86 - _xlfn.XLOOKUP(G86,[1]!O_3[BLO],[1]!O_3[BLO],,-1))
+
_xlfn.XLOOKUP(G86,[1]!O_3[BLO],[1]!O_3[ILO],,-1)</f>
        <v>38</v>
      </c>
      <c r="N86">
        <f>MAX(DAILY_DATA[[#This Row],[AQI_PM2.5]:[AQI_O3]])</f>
        <v>89</v>
      </c>
      <c r="O86" t="str">
        <f>_xlfn.XLOOKUP(DAILY_DATA[[#This Row],[OVERALL_AQI]],[1]!CATEGORY[AQI_LO],[1]!CATEGORY[CATEGORY],,-1)</f>
        <v>Satisfactory</v>
      </c>
      <c r="P86" t="str" cm="1">
        <f t="array" ref="P86">INDEX(
{"PM2.5","PM10","NO2","SO2","CO","O3"},
MATCH(N86,H86:M86,0)
)</f>
        <v>PM10</v>
      </c>
    </row>
    <row r="87" spans="1:16" x14ac:dyDescent="0.25">
      <c r="A87" s="4">
        <v>45377</v>
      </c>
      <c r="B87">
        <f>ROUND(AVERAGEIFS([1]HOURLY_DATA!B87:B8870,[1]HOURLY_DATA!H87:H8870,Daily_AQI!A87),0)</f>
        <v>46</v>
      </c>
      <c r="C87">
        <f>ROUND(AVERAGEIFS([1]HOURLY_DATA!C87:C8870,[1]HOURLY_DATA!H87:H8870,Daily_AQI!A87),0)</f>
        <v>89</v>
      </c>
      <c r="D87">
        <f>ROUND(AVERAGEIFS([1]HOURLY_DATA!D87:D8870,[1]HOURLY_DATA!H87:H8870,Daily_AQI!A87),0)</f>
        <v>15</v>
      </c>
      <c r="E87">
        <f>ROUND(AVERAGEIFS([1]HOURLY_DATA!E87:E8870,[1]HOURLY_DATA!H87:H8870,Daily_AQI!A87),0)</f>
        <v>8</v>
      </c>
      <c r="F87">
        <f>ROUND(AVERAGEIFS([1]HOURLY_DATA!I87:I8870,[1]HOURLY_DATA!H87:H8870,Daily_AQI!A87),2)</f>
        <v>0.53</v>
      </c>
      <c r="G87">
        <f>ROUND(AVERAGEIFS([1]HOURLY_DATA!J87:J8870,[1]HOURLY_DATA!H87:H8870,Daily_AQI!A87),0)</f>
        <v>39</v>
      </c>
      <c r="H87">
        <f>ROUND(((_xlfn.XLOOKUP(B87,[1]!PM2.5[BLO],[1]!PM2.5[IHI],,-1) - _xlfn.XLOOKUP(B87,[1]!PM2.5[BLO],[1]!PM2.5[ILO],,-1))
/
(_xlfn.XLOOKUP(B87,[1]!PM2.5[BLO],[1]!PM2.5[BHI],,-1) - _xlfn.XLOOKUP(B87,[1]!PM2.5[BLO],[1]!PM2.5[BLO],,-1)))
*
(B87 - _xlfn.XLOOKUP(B87,[1]!PM2.5[BLO],[1]!PM2.5[BLO],,-1))
+
_xlfn.XLOOKUP(B87,[1]!PM2.5[BLO],[1]!PM2.5[ILO],,-1),2)</f>
        <v>76.34</v>
      </c>
      <c r="I87">
        <f>ROUND(((_xlfn.XLOOKUP(C87,[1]!PM_10[BLO],[1]!PM_10[IHI],,-1) - _xlfn.XLOOKUP(C87,[1]!PM_10[BLO],[1]!PM_10[ILO],,-1))
/
(_xlfn.XLOOKUP(C87,[1]!PM_10[BLO],[1]!PM_10[BHI],,-1) - _xlfn.XLOOKUP(C87,[1]!PM_10[BLO],[1]!PM_10[BLO],,-1)))
*
( C87 - _xlfn.XLOOKUP(C87,[1]!PM_10[BLO],[1]!PM_10[BLO],,-1))
+
_xlfn.XLOOKUP(C87,[1]!PM_10[BLO],[1]!PM_10[ILO],,-1),2)</f>
        <v>89</v>
      </c>
      <c r="J87">
        <f>ROUND((( _xlfn.XLOOKUP(D87,[1]!NO_2[BLO],[1]!NO_2[IHI],,-1) - _xlfn.XLOOKUP(D87,[1]!NO_2[BLO],[1]!NO_2[ILO],,-1))
/
( _xlfn.XLOOKUP(D87,[1]!NO_2[BLO],[1]!NO_2[BHI],,-1) - _xlfn.XLOOKUP(D87,[1]!NO_2[BLO],[1]!NO_2[BLO],,-1) ))
*
( D87 - _xlfn.XLOOKUP(D87,[1]!NO_2[BLO],[1]!NO_2[BLO],,-1))
+
_xlfn.XLOOKUP(D87,[1]!NO_2[BLO],[1]!NO_2[ILO],,-1),2)</f>
        <v>18.75</v>
      </c>
      <c r="K87">
        <f>ROUND(( ( _xlfn.XLOOKUP(E87,[1]!SO_2[BLO],[1]!SO_2[IHI],,-1)  - _xlfn.XLOOKUP(E87,[1]!SO_2[BLO],[1]!SO_2[ILO],,-1) )
/
( _xlfn.XLOOKUP(E87,[1]!SO_2[BLO],[1]!SO_2[BHI],,-1)- _xlfn.XLOOKUP(E87,[1]!SO_2[BLO],[1]!SO_2[BLO],,-1) ))
*
( E87 - _xlfn.XLOOKUP(E87,[1]!SO_2[BLO],[1]!SO_2[BLO],,-1) )
+
_xlfn.XLOOKUP(E87,[1]!SO_2[BLO],[1]!SO_2[ILO],,-1),2)</f>
        <v>10</v>
      </c>
      <c r="L87">
        <f>( ( _xlfn.XLOOKUP(F87,[1]!CO[BLO],[1]!CO[IHI],,-1)
- _xlfn.XLOOKUP(F87,[1]!CO[BLO],[1]!CO[ILO],,-1) )
/
( _xlfn.XLOOKUP(F87,[1]!CO[BLO],[1]!CO[BHI],,-1) - _xlfn.XLOOKUP(F87,[1]!CO[BLO],[1]!CO[BLO],,-1)))
*
( F87 - _xlfn.XLOOKUP(F87,[1]!CO[BLO],[1]!CO[BLO],,-1) )
+
_xlfn.XLOOKUP(F87,[1]!CO[BLO],[1]!CO[ILO],,-1)</f>
        <v>26.5</v>
      </c>
      <c r="M87">
        <f>(( _xlfn.XLOOKUP(G87,[1]!O_3[BLO],[1]!O_3[IHI],,-1) - _xlfn.XLOOKUP(G87,[1]!O_3[BLO],[1]!O_3[ILO],,-1))
/
( _xlfn.XLOOKUP(G87,[1]!O_3[BLO],[1]!O_3[BHI],,-1) - _xlfn.XLOOKUP(G87,[1]!O_3[BLO],[1]!O_3[BLO],,-1)))
*
( G87 - _xlfn.XLOOKUP(G87,[1]!O_3[BLO],[1]!O_3[BLO],,-1))
+
_xlfn.XLOOKUP(G87,[1]!O_3[BLO],[1]!O_3[ILO],,-1)</f>
        <v>39</v>
      </c>
      <c r="N87">
        <f>MAX(DAILY_DATA[[#This Row],[AQI_PM2.5]:[AQI_O3]])</f>
        <v>89</v>
      </c>
      <c r="O87" t="str">
        <f>_xlfn.XLOOKUP(DAILY_DATA[[#This Row],[OVERALL_AQI]],[1]!CATEGORY[AQI_LO],[1]!CATEGORY[CATEGORY],,-1)</f>
        <v>Satisfactory</v>
      </c>
      <c r="P87" t="str" cm="1">
        <f t="array" ref="P87">INDEX(
{"PM2.5","PM10","NO2","SO2","CO","O3"},
MATCH(N87,H87:M87,0)
)</f>
        <v>PM10</v>
      </c>
    </row>
    <row r="88" spans="1:16" x14ac:dyDescent="0.25">
      <c r="A88" s="4">
        <v>45378</v>
      </c>
      <c r="B88">
        <f>ROUND(AVERAGEIFS([1]HOURLY_DATA!B88:B8871,[1]HOURLY_DATA!H88:H8871,Daily_AQI!A88),0)</f>
        <v>38</v>
      </c>
      <c r="C88">
        <f>ROUND(AVERAGEIFS([1]HOURLY_DATA!C88:C8871,[1]HOURLY_DATA!H88:H8871,Daily_AQI!A88),0)</f>
        <v>79</v>
      </c>
      <c r="D88">
        <f>ROUND(AVERAGEIFS([1]HOURLY_DATA!D88:D8871,[1]HOURLY_DATA!H88:H8871,Daily_AQI!A88),0)</f>
        <v>15</v>
      </c>
      <c r="E88">
        <f>ROUND(AVERAGEIFS([1]HOURLY_DATA!E88:E8871,[1]HOURLY_DATA!H88:H8871,Daily_AQI!A88),0)</f>
        <v>8</v>
      </c>
      <c r="F88">
        <f>ROUND(AVERAGEIFS([1]HOURLY_DATA!I88:I8871,[1]HOURLY_DATA!H88:H8871,Daily_AQI!A88),2)</f>
        <v>0.55000000000000004</v>
      </c>
      <c r="G88">
        <f>ROUND(AVERAGEIFS([1]HOURLY_DATA!J88:J8871,[1]HOURLY_DATA!H88:H8871,Daily_AQI!A88),0)</f>
        <v>37</v>
      </c>
      <c r="H88">
        <f>ROUND(((_xlfn.XLOOKUP(B88,[1]!PM2.5[BLO],[1]!PM2.5[IHI],,-1) - _xlfn.XLOOKUP(B88,[1]!PM2.5[BLO],[1]!PM2.5[ILO],,-1))
/
(_xlfn.XLOOKUP(B88,[1]!PM2.5[BLO],[1]!PM2.5[BHI],,-1) - _xlfn.XLOOKUP(B88,[1]!PM2.5[BLO],[1]!PM2.5[BLO],,-1)))
*
(B88 - _xlfn.XLOOKUP(B88,[1]!PM2.5[BLO],[1]!PM2.5[BLO],,-1))
+
_xlfn.XLOOKUP(B88,[1]!PM2.5[BLO],[1]!PM2.5[ILO],,-1),2)</f>
        <v>62.83</v>
      </c>
      <c r="I88">
        <f>ROUND(((_xlfn.XLOOKUP(C88,[1]!PM_10[BLO],[1]!PM_10[IHI],,-1) - _xlfn.XLOOKUP(C88,[1]!PM_10[BLO],[1]!PM_10[ILO],,-1))
/
(_xlfn.XLOOKUP(C88,[1]!PM_10[BLO],[1]!PM_10[BHI],,-1) - _xlfn.XLOOKUP(C88,[1]!PM_10[BLO],[1]!PM_10[BLO],,-1)))
*
( C88 - _xlfn.XLOOKUP(C88,[1]!PM_10[BLO],[1]!PM_10[BLO],,-1))
+
_xlfn.XLOOKUP(C88,[1]!PM_10[BLO],[1]!PM_10[ILO],,-1),2)</f>
        <v>79</v>
      </c>
      <c r="J88">
        <f>ROUND((( _xlfn.XLOOKUP(D88,[1]!NO_2[BLO],[1]!NO_2[IHI],,-1) - _xlfn.XLOOKUP(D88,[1]!NO_2[BLO],[1]!NO_2[ILO],,-1))
/
( _xlfn.XLOOKUP(D88,[1]!NO_2[BLO],[1]!NO_2[BHI],,-1) - _xlfn.XLOOKUP(D88,[1]!NO_2[BLO],[1]!NO_2[BLO],,-1) ))
*
( D88 - _xlfn.XLOOKUP(D88,[1]!NO_2[BLO],[1]!NO_2[BLO],,-1))
+
_xlfn.XLOOKUP(D88,[1]!NO_2[BLO],[1]!NO_2[ILO],,-1),2)</f>
        <v>18.75</v>
      </c>
      <c r="K88">
        <f>ROUND(( ( _xlfn.XLOOKUP(E88,[1]!SO_2[BLO],[1]!SO_2[IHI],,-1)  - _xlfn.XLOOKUP(E88,[1]!SO_2[BLO],[1]!SO_2[ILO],,-1) )
/
( _xlfn.XLOOKUP(E88,[1]!SO_2[BLO],[1]!SO_2[BHI],,-1)- _xlfn.XLOOKUP(E88,[1]!SO_2[BLO],[1]!SO_2[BLO],,-1) ))
*
( E88 - _xlfn.XLOOKUP(E88,[1]!SO_2[BLO],[1]!SO_2[BLO],,-1) )
+
_xlfn.XLOOKUP(E88,[1]!SO_2[BLO],[1]!SO_2[ILO],,-1),2)</f>
        <v>10</v>
      </c>
      <c r="L88">
        <f>( ( _xlfn.XLOOKUP(F88,[1]!CO[BLO],[1]!CO[IHI],,-1)
- _xlfn.XLOOKUP(F88,[1]!CO[BLO],[1]!CO[ILO],,-1) )
/
( _xlfn.XLOOKUP(F88,[1]!CO[BLO],[1]!CO[BHI],,-1) - _xlfn.XLOOKUP(F88,[1]!CO[BLO],[1]!CO[BLO],,-1)))
*
( F88 - _xlfn.XLOOKUP(F88,[1]!CO[BLO],[1]!CO[BLO],,-1) )
+
_xlfn.XLOOKUP(F88,[1]!CO[BLO],[1]!CO[ILO],,-1)</f>
        <v>27.500000000000004</v>
      </c>
      <c r="M88">
        <f>(( _xlfn.XLOOKUP(G88,[1]!O_3[BLO],[1]!O_3[IHI],,-1) - _xlfn.XLOOKUP(G88,[1]!O_3[BLO],[1]!O_3[ILO],,-1))
/
( _xlfn.XLOOKUP(G88,[1]!O_3[BLO],[1]!O_3[BHI],,-1) - _xlfn.XLOOKUP(G88,[1]!O_3[BLO],[1]!O_3[BLO],,-1)))
*
( G88 - _xlfn.XLOOKUP(G88,[1]!O_3[BLO],[1]!O_3[BLO],,-1))
+
_xlfn.XLOOKUP(G88,[1]!O_3[BLO],[1]!O_3[ILO],,-1)</f>
        <v>37</v>
      </c>
      <c r="N88">
        <f>MAX(DAILY_DATA[[#This Row],[AQI_PM2.5]:[AQI_O3]])</f>
        <v>79</v>
      </c>
      <c r="O88" t="str">
        <f>_xlfn.XLOOKUP(DAILY_DATA[[#This Row],[OVERALL_AQI]],[1]!CATEGORY[AQI_LO],[1]!CATEGORY[CATEGORY],,-1)</f>
        <v>Satisfactory</v>
      </c>
      <c r="P88" t="str" cm="1">
        <f t="array" ref="P88">INDEX(
{"PM2.5","PM10","NO2","SO2","CO","O3"},
MATCH(N88,H88:M88,0)
)</f>
        <v>PM10</v>
      </c>
    </row>
    <row r="89" spans="1:16" x14ac:dyDescent="0.25">
      <c r="A89" s="4">
        <v>45379</v>
      </c>
      <c r="B89">
        <f>ROUND(AVERAGEIFS([1]HOURLY_DATA!B89:B8872,[1]HOURLY_DATA!H89:H8872,Daily_AQI!A89),0)</f>
        <v>44</v>
      </c>
      <c r="C89">
        <f>ROUND(AVERAGEIFS([1]HOURLY_DATA!C89:C8872,[1]HOURLY_DATA!H89:H8872,Daily_AQI!A89),0)</f>
        <v>90</v>
      </c>
      <c r="D89">
        <f>ROUND(AVERAGEIFS([1]HOURLY_DATA!D89:D8872,[1]HOURLY_DATA!H89:H8872,Daily_AQI!A89),0)</f>
        <v>16</v>
      </c>
      <c r="E89">
        <f>ROUND(AVERAGEIFS([1]HOURLY_DATA!E89:E8872,[1]HOURLY_DATA!H89:H8872,Daily_AQI!A89),0)</f>
        <v>8</v>
      </c>
      <c r="F89">
        <f>ROUND(AVERAGEIFS([1]HOURLY_DATA!I89:I8872,[1]HOURLY_DATA!H89:H8872,Daily_AQI!A89),2)</f>
        <v>0.63</v>
      </c>
      <c r="G89">
        <f>ROUND(AVERAGEIFS([1]HOURLY_DATA!J89:J8872,[1]HOURLY_DATA!H89:H8872,Daily_AQI!A89),0)</f>
        <v>34</v>
      </c>
      <c r="H89">
        <f>ROUND(((_xlfn.XLOOKUP(B89,[1]!PM2.5[BLO],[1]!PM2.5[IHI],,-1) - _xlfn.XLOOKUP(B89,[1]!PM2.5[BLO],[1]!PM2.5[ILO],,-1))
/
(_xlfn.XLOOKUP(B89,[1]!PM2.5[BLO],[1]!PM2.5[BHI],,-1) - _xlfn.XLOOKUP(B89,[1]!PM2.5[BLO],[1]!PM2.5[BLO],,-1)))
*
(B89 - _xlfn.XLOOKUP(B89,[1]!PM2.5[BLO],[1]!PM2.5[BLO],,-1))
+
_xlfn.XLOOKUP(B89,[1]!PM2.5[BLO],[1]!PM2.5[ILO],,-1),2)</f>
        <v>72.97</v>
      </c>
      <c r="I89">
        <f>ROUND(((_xlfn.XLOOKUP(C89,[1]!PM_10[BLO],[1]!PM_10[IHI],,-1) - _xlfn.XLOOKUP(C89,[1]!PM_10[BLO],[1]!PM_10[ILO],,-1))
/
(_xlfn.XLOOKUP(C89,[1]!PM_10[BLO],[1]!PM_10[BHI],,-1) - _xlfn.XLOOKUP(C89,[1]!PM_10[BLO],[1]!PM_10[BLO],,-1)))
*
( C89 - _xlfn.XLOOKUP(C89,[1]!PM_10[BLO],[1]!PM_10[BLO],,-1))
+
_xlfn.XLOOKUP(C89,[1]!PM_10[BLO],[1]!PM_10[ILO],,-1),2)</f>
        <v>90</v>
      </c>
      <c r="J89">
        <f>ROUND((( _xlfn.XLOOKUP(D89,[1]!NO_2[BLO],[1]!NO_2[IHI],,-1) - _xlfn.XLOOKUP(D89,[1]!NO_2[BLO],[1]!NO_2[ILO],,-1))
/
( _xlfn.XLOOKUP(D89,[1]!NO_2[BLO],[1]!NO_2[BHI],,-1) - _xlfn.XLOOKUP(D89,[1]!NO_2[BLO],[1]!NO_2[BLO],,-1) ))
*
( D89 - _xlfn.XLOOKUP(D89,[1]!NO_2[BLO],[1]!NO_2[BLO],,-1))
+
_xlfn.XLOOKUP(D89,[1]!NO_2[BLO],[1]!NO_2[ILO],,-1),2)</f>
        <v>20</v>
      </c>
      <c r="K89">
        <f>ROUND(( ( _xlfn.XLOOKUP(E89,[1]!SO_2[BLO],[1]!SO_2[IHI],,-1)  - _xlfn.XLOOKUP(E89,[1]!SO_2[BLO],[1]!SO_2[ILO],,-1) )
/
( _xlfn.XLOOKUP(E89,[1]!SO_2[BLO],[1]!SO_2[BHI],,-1)- _xlfn.XLOOKUP(E89,[1]!SO_2[BLO],[1]!SO_2[BLO],,-1) ))
*
( E89 - _xlfn.XLOOKUP(E89,[1]!SO_2[BLO],[1]!SO_2[BLO],,-1) )
+
_xlfn.XLOOKUP(E89,[1]!SO_2[BLO],[1]!SO_2[ILO],,-1),2)</f>
        <v>10</v>
      </c>
      <c r="L89">
        <f>( ( _xlfn.XLOOKUP(F89,[1]!CO[BLO],[1]!CO[IHI],,-1)
- _xlfn.XLOOKUP(F89,[1]!CO[BLO],[1]!CO[ILO],,-1) )
/
( _xlfn.XLOOKUP(F89,[1]!CO[BLO],[1]!CO[BHI],,-1) - _xlfn.XLOOKUP(F89,[1]!CO[BLO],[1]!CO[BLO],,-1)))
*
( F89 - _xlfn.XLOOKUP(F89,[1]!CO[BLO],[1]!CO[BLO],,-1) )
+
_xlfn.XLOOKUP(F89,[1]!CO[BLO],[1]!CO[ILO],,-1)</f>
        <v>31.5</v>
      </c>
      <c r="M89">
        <f>(( _xlfn.XLOOKUP(G89,[1]!O_3[BLO],[1]!O_3[IHI],,-1) - _xlfn.XLOOKUP(G89,[1]!O_3[BLO],[1]!O_3[ILO],,-1))
/
( _xlfn.XLOOKUP(G89,[1]!O_3[BLO],[1]!O_3[BHI],,-1) - _xlfn.XLOOKUP(G89,[1]!O_3[BLO],[1]!O_3[BLO],,-1)))
*
( G89 - _xlfn.XLOOKUP(G89,[1]!O_3[BLO],[1]!O_3[BLO],,-1))
+
_xlfn.XLOOKUP(G89,[1]!O_3[BLO],[1]!O_3[ILO],,-1)</f>
        <v>34</v>
      </c>
      <c r="N89">
        <f>MAX(DAILY_DATA[[#This Row],[AQI_PM2.5]:[AQI_O3]])</f>
        <v>90</v>
      </c>
      <c r="O89" t="str">
        <f>_xlfn.XLOOKUP(DAILY_DATA[[#This Row],[OVERALL_AQI]],[1]!CATEGORY[AQI_LO],[1]!CATEGORY[CATEGORY],,-1)</f>
        <v>Satisfactory</v>
      </c>
      <c r="P89" t="str" cm="1">
        <f t="array" ref="P89">INDEX(
{"PM2.5","PM10","NO2","SO2","CO","O3"},
MATCH(N89,H89:M89,0)
)</f>
        <v>PM10</v>
      </c>
    </row>
    <row r="90" spans="1:16" x14ac:dyDescent="0.25">
      <c r="A90" s="4">
        <v>45380</v>
      </c>
      <c r="B90">
        <f>ROUND(AVERAGEIFS([1]HOURLY_DATA!B90:B8873,[1]HOURLY_DATA!H90:H8873,Daily_AQI!A90),0)</f>
        <v>48</v>
      </c>
      <c r="C90">
        <f>ROUND(AVERAGEIFS([1]HOURLY_DATA!C90:C8873,[1]HOURLY_DATA!H90:H8873,Daily_AQI!A90),0)</f>
        <v>95</v>
      </c>
      <c r="D90">
        <f>ROUND(AVERAGEIFS([1]HOURLY_DATA!D90:D8873,[1]HOURLY_DATA!H90:H8873,Daily_AQI!A90),0)</f>
        <v>16</v>
      </c>
      <c r="E90">
        <f>ROUND(AVERAGEIFS([1]HOURLY_DATA!E90:E8873,[1]HOURLY_DATA!H90:H8873,Daily_AQI!A90),0)</f>
        <v>9</v>
      </c>
      <c r="F90">
        <f>ROUND(AVERAGEIFS([1]HOURLY_DATA!I90:I8873,[1]HOURLY_DATA!H90:H8873,Daily_AQI!A90),2)</f>
        <v>0.67</v>
      </c>
      <c r="G90">
        <f>ROUND(AVERAGEIFS([1]HOURLY_DATA!J90:J8873,[1]HOURLY_DATA!H90:H8873,Daily_AQI!A90),0)</f>
        <v>35</v>
      </c>
      <c r="H90">
        <f>ROUND(((_xlfn.XLOOKUP(B90,[1]!PM2.5[BLO],[1]!PM2.5[IHI],,-1) - _xlfn.XLOOKUP(B90,[1]!PM2.5[BLO],[1]!PM2.5[ILO],,-1))
/
(_xlfn.XLOOKUP(B90,[1]!PM2.5[BLO],[1]!PM2.5[BHI],,-1) - _xlfn.XLOOKUP(B90,[1]!PM2.5[BLO],[1]!PM2.5[BLO],,-1)))
*
(B90 - _xlfn.XLOOKUP(B90,[1]!PM2.5[BLO],[1]!PM2.5[BLO],,-1))
+
_xlfn.XLOOKUP(B90,[1]!PM2.5[BLO],[1]!PM2.5[ILO],,-1),2)</f>
        <v>79.72</v>
      </c>
      <c r="I90">
        <f>ROUND(((_xlfn.XLOOKUP(C90,[1]!PM_10[BLO],[1]!PM_10[IHI],,-1) - _xlfn.XLOOKUP(C90,[1]!PM_10[BLO],[1]!PM_10[ILO],,-1))
/
(_xlfn.XLOOKUP(C90,[1]!PM_10[BLO],[1]!PM_10[BHI],,-1) - _xlfn.XLOOKUP(C90,[1]!PM_10[BLO],[1]!PM_10[BLO],,-1)))
*
( C90 - _xlfn.XLOOKUP(C90,[1]!PM_10[BLO],[1]!PM_10[BLO],,-1))
+
_xlfn.XLOOKUP(C90,[1]!PM_10[BLO],[1]!PM_10[ILO],,-1),2)</f>
        <v>95</v>
      </c>
      <c r="J90">
        <f>ROUND((( _xlfn.XLOOKUP(D90,[1]!NO_2[BLO],[1]!NO_2[IHI],,-1) - _xlfn.XLOOKUP(D90,[1]!NO_2[BLO],[1]!NO_2[ILO],,-1))
/
( _xlfn.XLOOKUP(D90,[1]!NO_2[BLO],[1]!NO_2[BHI],,-1) - _xlfn.XLOOKUP(D90,[1]!NO_2[BLO],[1]!NO_2[BLO],,-1) ))
*
( D90 - _xlfn.XLOOKUP(D90,[1]!NO_2[BLO],[1]!NO_2[BLO],,-1))
+
_xlfn.XLOOKUP(D90,[1]!NO_2[BLO],[1]!NO_2[ILO],,-1),2)</f>
        <v>20</v>
      </c>
      <c r="K90">
        <f>ROUND(( ( _xlfn.XLOOKUP(E90,[1]!SO_2[BLO],[1]!SO_2[IHI],,-1)  - _xlfn.XLOOKUP(E90,[1]!SO_2[BLO],[1]!SO_2[ILO],,-1) )
/
( _xlfn.XLOOKUP(E90,[1]!SO_2[BLO],[1]!SO_2[BHI],,-1)- _xlfn.XLOOKUP(E90,[1]!SO_2[BLO],[1]!SO_2[BLO],,-1) ))
*
( E90 - _xlfn.XLOOKUP(E90,[1]!SO_2[BLO],[1]!SO_2[BLO],,-1) )
+
_xlfn.XLOOKUP(E90,[1]!SO_2[BLO],[1]!SO_2[ILO],,-1),2)</f>
        <v>11.25</v>
      </c>
      <c r="L90">
        <f>( ( _xlfn.XLOOKUP(F90,[1]!CO[BLO],[1]!CO[IHI],,-1)
- _xlfn.XLOOKUP(F90,[1]!CO[BLO],[1]!CO[ILO],,-1) )
/
( _xlfn.XLOOKUP(F90,[1]!CO[BLO],[1]!CO[BHI],,-1) - _xlfn.XLOOKUP(F90,[1]!CO[BLO],[1]!CO[BLO],,-1)))
*
( F90 - _xlfn.XLOOKUP(F90,[1]!CO[BLO],[1]!CO[BLO],,-1) )
+
_xlfn.XLOOKUP(F90,[1]!CO[BLO],[1]!CO[ILO],,-1)</f>
        <v>33.5</v>
      </c>
      <c r="M90">
        <f>(( _xlfn.XLOOKUP(G90,[1]!O_3[BLO],[1]!O_3[IHI],,-1) - _xlfn.XLOOKUP(G90,[1]!O_3[BLO],[1]!O_3[ILO],,-1))
/
( _xlfn.XLOOKUP(G90,[1]!O_3[BLO],[1]!O_3[BHI],,-1) - _xlfn.XLOOKUP(G90,[1]!O_3[BLO],[1]!O_3[BLO],,-1)))
*
( G90 - _xlfn.XLOOKUP(G90,[1]!O_3[BLO],[1]!O_3[BLO],,-1))
+
_xlfn.XLOOKUP(G90,[1]!O_3[BLO],[1]!O_3[ILO],,-1)</f>
        <v>35</v>
      </c>
      <c r="N90">
        <f>MAX(DAILY_DATA[[#This Row],[AQI_PM2.5]:[AQI_O3]])</f>
        <v>95</v>
      </c>
      <c r="O90" t="str">
        <f>_xlfn.XLOOKUP(DAILY_DATA[[#This Row],[OVERALL_AQI]],[1]!CATEGORY[AQI_LO],[1]!CATEGORY[CATEGORY],,-1)</f>
        <v>Satisfactory</v>
      </c>
      <c r="P90" t="str" cm="1">
        <f t="array" ref="P90">INDEX(
{"PM2.5","PM10","NO2","SO2","CO","O3"},
MATCH(N90,H90:M90,0)
)</f>
        <v>PM10</v>
      </c>
    </row>
    <row r="91" spans="1:16" x14ac:dyDescent="0.25">
      <c r="A91" s="4">
        <v>45381</v>
      </c>
      <c r="B91">
        <f>ROUND(AVERAGEIFS([1]HOURLY_DATA!B91:B8874,[1]HOURLY_DATA!H91:H8874,Daily_AQI!A91),0)</f>
        <v>44</v>
      </c>
      <c r="C91">
        <f>ROUND(AVERAGEIFS([1]HOURLY_DATA!C91:C8874,[1]HOURLY_DATA!H91:H8874,Daily_AQI!A91),0)</f>
        <v>92</v>
      </c>
      <c r="D91">
        <f>ROUND(AVERAGEIFS([1]HOURLY_DATA!D91:D8874,[1]HOURLY_DATA!H91:H8874,Daily_AQI!A91),0)</f>
        <v>17</v>
      </c>
      <c r="E91">
        <f>ROUND(AVERAGEIFS([1]HOURLY_DATA!E91:E8874,[1]HOURLY_DATA!H91:H8874,Daily_AQI!A91),0)</f>
        <v>8</v>
      </c>
      <c r="F91">
        <f>ROUND(AVERAGEIFS([1]HOURLY_DATA!I91:I8874,[1]HOURLY_DATA!H91:H8874,Daily_AQI!A91),2)</f>
        <v>0.56000000000000005</v>
      </c>
      <c r="G91">
        <f>ROUND(AVERAGEIFS([1]HOURLY_DATA!J91:J8874,[1]HOURLY_DATA!H91:H8874,Daily_AQI!A91),0)</f>
        <v>34</v>
      </c>
      <c r="H91">
        <f>ROUND(((_xlfn.XLOOKUP(B91,[1]!PM2.5[BLO],[1]!PM2.5[IHI],,-1) - _xlfn.XLOOKUP(B91,[1]!PM2.5[BLO],[1]!PM2.5[ILO],,-1))
/
(_xlfn.XLOOKUP(B91,[1]!PM2.5[BLO],[1]!PM2.5[BHI],,-1) - _xlfn.XLOOKUP(B91,[1]!PM2.5[BLO],[1]!PM2.5[BLO],,-1)))
*
(B91 - _xlfn.XLOOKUP(B91,[1]!PM2.5[BLO],[1]!PM2.5[BLO],,-1))
+
_xlfn.XLOOKUP(B91,[1]!PM2.5[BLO],[1]!PM2.5[ILO],,-1),2)</f>
        <v>72.97</v>
      </c>
      <c r="I91">
        <f>ROUND(((_xlfn.XLOOKUP(C91,[1]!PM_10[BLO],[1]!PM_10[IHI],,-1) - _xlfn.XLOOKUP(C91,[1]!PM_10[BLO],[1]!PM_10[ILO],,-1))
/
(_xlfn.XLOOKUP(C91,[1]!PM_10[BLO],[1]!PM_10[BHI],,-1) - _xlfn.XLOOKUP(C91,[1]!PM_10[BLO],[1]!PM_10[BLO],,-1)))
*
( C91 - _xlfn.XLOOKUP(C91,[1]!PM_10[BLO],[1]!PM_10[BLO],,-1))
+
_xlfn.XLOOKUP(C91,[1]!PM_10[BLO],[1]!PM_10[ILO],,-1),2)</f>
        <v>92</v>
      </c>
      <c r="J91">
        <f>ROUND((( _xlfn.XLOOKUP(D91,[1]!NO_2[BLO],[1]!NO_2[IHI],,-1) - _xlfn.XLOOKUP(D91,[1]!NO_2[BLO],[1]!NO_2[ILO],,-1))
/
( _xlfn.XLOOKUP(D91,[1]!NO_2[BLO],[1]!NO_2[BHI],,-1) - _xlfn.XLOOKUP(D91,[1]!NO_2[BLO],[1]!NO_2[BLO],,-1) ))
*
( D91 - _xlfn.XLOOKUP(D91,[1]!NO_2[BLO],[1]!NO_2[BLO],,-1))
+
_xlfn.XLOOKUP(D91,[1]!NO_2[BLO],[1]!NO_2[ILO],,-1),2)</f>
        <v>21.25</v>
      </c>
      <c r="K91">
        <f>ROUND(( ( _xlfn.XLOOKUP(E91,[1]!SO_2[BLO],[1]!SO_2[IHI],,-1)  - _xlfn.XLOOKUP(E91,[1]!SO_2[BLO],[1]!SO_2[ILO],,-1) )
/
( _xlfn.XLOOKUP(E91,[1]!SO_2[BLO],[1]!SO_2[BHI],,-1)- _xlfn.XLOOKUP(E91,[1]!SO_2[BLO],[1]!SO_2[BLO],,-1) ))
*
( E91 - _xlfn.XLOOKUP(E91,[1]!SO_2[BLO],[1]!SO_2[BLO],,-1) )
+
_xlfn.XLOOKUP(E91,[1]!SO_2[BLO],[1]!SO_2[ILO],,-1),2)</f>
        <v>10</v>
      </c>
      <c r="L91">
        <f>( ( _xlfn.XLOOKUP(F91,[1]!CO[BLO],[1]!CO[IHI],,-1)
- _xlfn.XLOOKUP(F91,[1]!CO[BLO],[1]!CO[ILO],,-1) )
/
( _xlfn.XLOOKUP(F91,[1]!CO[BLO],[1]!CO[BHI],,-1) - _xlfn.XLOOKUP(F91,[1]!CO[BLO],[1]!CO[BLO],,-1)))
*
( F91 - _xlfn.XLOOKUP(F91,[1]!CO[BLO],[1]!CO[BLO],,-1) )
+
_xlfn.XLOOKUP(F91,[1]!CO[BLO],[1]!CO[ILO],,-1)</f>
        <v>28.000000000000004</v>
      </c>
      <c r="M91">
        <f>(( _xlfn.XLOOKUP(G91,[1]!O_3[BLO],[1]!O_3[IHI],,-1) - _xlfn.XLOOKUP(G91,[1]!O_3[BLO],[1]!O_3[ILO],,-1))
/
( _xlfn.XLOOKUP(G91,[1]!O_3[BLO],[1]!O_3[BHI],,-1) - _xlfn.XLOOKUP(G91,[1]!O_3[BLO],[1]!O_3[BLO],,-1)))
*
( G91 - _xlfn.XLOOKUP(G91,[1]!O_3[BLO],[1]!O_3[BLO],,-1))
+
_xlfn.XLOOKUP(G91,[1]!O_3[BLO],[1]!O_3[ILO],,-1)</f>
        <v>34</v>
      </c>
      <c r="N91">
        <f>MAX(DAILY_DATA[[#This Row],[AQI_PM2.5]:[AQI_O3]])</f>
        <v>92</v>
      </c>
      <c r="O91" t="str">
        <f>_xlfn.XLOOKUP(DAILY_DATA[[#This Row],[OVERALL_AQI]],[1]!CATEGORY[AQI_LO],[1]!CATEGORY[CATEGORY],,-1)</f>
        <v>Satisfactory</v>
      </c>
      <c r="P91" t="str" cm="1">
        <f t="array" ref="P91">INDEX(
{"PM2.5","PM10","NO2","SO2","CO","O3"},
MATCH(N91,H91:M91,0)
)</f>
        <v>PM10</v>
      </c>
    </row>
    <row r="92" spans="1:16" x14ac:dyDescent="0.25">
      <c r="A92" s="4">
        <v>45382</v>
      </c>
      <c r="B92">
        <f>ROUND(AVERAGEIFS([1]HOURLY_DATA!B92:B8875,[1]HOURLY_DATA!H92:H8875,Daily_AQI!A92),0)</f>
        <v>44</v>
      </c>
      <c r="C92">
        <f>ROUND(AVERAGEIFS([1]HOURLY_DATA!C92:C8875,[1]HOURLY_DATA!H92:H8875,Daily_AQI!A92),0)</f>
        <v>92</v>
      </c>
      <c r="D92">
        <f>ROUND(AVERAGEIFS([1]HOURLY_DATA!D92:D8875,[1]HOURLY_DATA!H92:H8875,Daily_AQI!A92),0)</f>
        <v>18</v>
      </c>
      <c r="E92">
        <f>ROUND(AVERAGEIFS([1]HOURLY_DATA!E92:E8875,[1]HOURLY_DATA!H92:H8875,Daily_AQI!A92),0)</f>
        <v>9</v>
      </c>
      <c r="F92">
        <f>ROUND(AVERAGEIFS([1]HOURLY_DATA!I92:I8875,[1]HOURLY_DATA!H92:H8875,Daily_AQI!A92),2)</f>
        <v>0.55000000000000004</v>
      </c>
      <c r="G92">
        <f>ROUND(AVERAGEIFS([1]HOURLY_DATA!J92:J8875,[1]HOURLY_DATA!H92:H8875,Daily_AQI!A92),0)</f>
        <v>34</v>
      </c>
      <c r="H92">
        <f>ROUND(((_xlfn.XLOOKUP(B92,[1]!PM2.5[BLO],[1]!PM2.5[IHI],,-1) - _xlfn.XLOOKUP(B92,[1]!PM2.5[BLO],[1]!PM2.5[ILO],,-1))
/
(_xlfn.XLOOKUP(B92,[1]!PM2.5[BLO],[1]!PM2.5[BHI],,-1) - _xlfn.XLOOKUP(B92,[1]!PM2.5[BLO],[1]!PM2.5[BLO],,-1)))
*
(B92 - _xlfn.XLOOKUP(B92,[1]!PM2.5[BLO],[1]!PM2.5[BLO],,-1))
+
_xlfn.XLOOKUP(B92,[1]!PM2.5[BLO],[1]!PM2.5[ILO],,-1),2)</f>
        <v>72.97</v>
      </c>
      <c r="I92">
        <f>ROUND(((_xlfn.XLOOKUP(C92,[1]!PM_10[BLO],[1]!PM_10[IHI],,-1) - _xlfn.XLOOKUP(C92,[1]!PM_10[BLO],[1]!PM_10[ILO],,-1))
/
(_xlfn.XLOOKUP(C92,[1]!PM_10[BLO],[1]!PM_10[BHI],,-1) - _xlfn.XLOOKUP(C92,[1]!PM_10[BLO],[1]!PM_10[BLO],,-1)))
*
( C92 - _xlfn.XLOOKUP(C92,[1]!PM_10[BLO],[1]!PM_10[BLO],,-1))
+
_xlfn.XLOOKUP(C92,[1]!PM_10[BLO],[1]!PM_10[ILO],,-1),2)</f>
        <v>92</v>
      </c>
      <c r="J92">
        <f>ROUND((( _xlfn.XLOOKUP(D92,[1]!NO_2[BLO],[1]!NO_2[IHI],,-1) - _xlfn.XLOOKUP(D92,[1]!NO_2[BLO],[1]!NO_2[ILO],,-1))
/
( _xlfn.XLOOKUP(D92,[1]!NO_2[BLO],[1]!NO_2[BHI],,-1) - _xlfn.XLOOKUP(D92,[1]!NO_2[BLO],[1]!NO_2[BLO],,-1) ))
*
( D92 - _xlfn.XLOOKUP(D92,[1]!NO_2[BLO],[1]!NO_2[BLO],,-1))
+
_xlfn.XLOOKUP(D92,[1]!NO_2[BLO],[1]!NO_2[ILO],,-1),2)</f>
        <v>22.5</v>
      </c>
      <c r="K92">
        <f>ROUND(( ( _xlfn.XLOOKUP(E92,[1]!SO_2[BLO],[1]!SO_2[IHI],,-1)  - _xlfn.XLOOKUP(E92,[1]!SO_2[BLO],[1]!SO_2[ILO],,-1) )
/
( _xlfn.XLOOKUP(E92,[1]!SO_2[BLO],[1]!SO_2[BHI],,-1)- _xlfn.XLOOKUP(E92,[1]!SO_2[BLO],[1]!SO_2[BLO],,-1) ))
*
( E92 - _xlfn.XLOOKUP(E92,[1]!SO_2[BLO],[1]!SO_2[BLO],,-1) )
+
_xlfn.XLOOKUP(E92,[1]!SO_2[BLO],[1]!SO_2[ILO],,-1),2)</f>
        <v>11.25</v>
      </c>
      <c r="L92">
        <f>( ( _xlfn.XLOOKUP(F92,[1]!CO[BLO],[1]!CO[IHI],,-1)
- _xlfn.XLOOKUP(F92,[1]!CO[BLO],[1]!CO[ILO],,-1) )
/
( _xlfn.XLOOKUP(F92,[1]!CO[BLO],[1]!CO[BHI],,-1) - _xlfn.XLOOKUP(F92,[1]!CO[BLO],[1]!CO[BLO],,-1)))
*
( F92 - _xlfn.XLOOKUP(F92,[1]!CO[BLO],[1]!CO[BLO],,-1) )
+
_xlfn.XLOOKUP(F92,[1]!CO[BLO],[1]!CO[ILO],,-1)</f>
        <v>27.500000000000004</v>
      </c>
      <c r="M92">
        <f>(( _xlfn.XLOOKUP(G92,[1]!O_3[BLO],[1]!O_3[IHI],,-1) - _xlfn.XLOOKUP(G92,[1]!O_3[BLO],[1]!O_3[ILO],,-1))
/
( _xlfn.XLOOKUP(G92,[1]!O_3[BLO],[1]!O_3[BHI],,-1) - _xlfn.XLOOKUP(G92,[1]!O_3[BLO],[1]!O_3[BLO],,-1)))
*
( G92 - _xlfn.XLOOKUP(G92,[1]!O_3[BLO],[1]!O_3[BLO],,-1))
+
_xlfn.XLOOKUP(G92,[1]!O_3[BLO],[1]!O_3[ILO],,-1)</f>
        <v>34</v>
      </c>
      <c r="N92">
        <f>MAX(DAILY_DATA[[#This Row],[AQI_PM2.5]:[AQI_O3]])</f>
        <v>92</v>
      </c>
      <c r="O92" t="str">
        <f>_xlfn.XLOOKUP(DAILY_DATA[[#This Row],[OVERALL_AQI]],[1]!CATEGORY[AQI_LO],[1]!CATEGORY[CATEGORY],,-1)</f>
        <v>Satisfactory</v>
      </c>
      <c r="P92" t="str" cm="1">
        <f t="array" ref="P92">INDEX(
{"PM2.5","PM10","NO2","SO2","CO","O3"},
MATCH(N92,H92:M92,0)
)</f>
        <v>PM10</v>
      </c>
    </row>
    <row r="93" spans="1:16" x14ac:dyDescent="0.25">
      <c r="A93" s="4">
        <v>45383</v>
      </c>
      <c r="B93">
        <f>ROUND(AVERAGEIFS([1]HOURLY_DATA!B93:B8876,[1]HOURLY_DATA!H93:H8876,Daily_AQI!A93),0)</f>
        <v>40</v>
      </c>
      <c r="C93">
        <f>ROUND(AVERAGEIFS([1]HOURLY_DATA!C93:C8876,[1]HOURLY_DATA!H93:H8876,Daily_AQI!A93),0)</f>
        <v>87</v>
      </c>
      <c r="D93">
        <f>ROUND(AVERAGEIFS([1]HOURLY_DATA!D93:D8876,[1]HOURLY_DATA!H93:H8876,Daily_AQI!A93),0)</f>
        <v>19</v>
      </c>
      <c r="E93">
        <f>ROUND(AVERAGEIFS([1]HOURLY_DATA!E93:E8876,[1]HOURLY_DATA!H93:H8876,Daily_AQI!A93),0)</f>
        <v>8</v>
      </c>
      <c r="F93">
        <f>ROUND(AVERAGEIFS([1]HOURLY_DATA!I93:I8876,[1]HOURLY_DATA!H93:H8876,Daily_AQI!A93),2)</f>
        <v>0.56000000000000005</v>
      </c>
      <c r="G93">
        <f>ROUND(AVERAGEIFS([1]HOURLY_DATA!J93:J8876,[1]HOURLY_DATA!H93:H8876,Daily_AQI!A93),0)</f>
        <v>35</v>
      </c>
      <c r="H93">
        <f>ROUND(((_xlfn.XLOOKUP(B93,[1]!PM2.5[BLO],[1]!PM2.5[IHI],,-1) - _xlfn.XLOOKUP(B93,[1]!PM2.5[BLO],[1]!PM2.5[ILO],,-1))
/
(_xlfn.XLOOKUP(B93,[1]!PM2.5[BLO],[1]!PM2.5[BHI],,-1) - _xlfn.XLOOKUP(B93,[1]!PM2.5[BLO],[1]!PM2.5[BLO],,-1)))
*
(B93 - _xlfn.XLOOKUP(B93,[1]!PM2.5[BLO],[1]!PM2.5[BLO],,-1))
+
_xlfn.XLOOKUP(B93,[1]!PM2.5[BLO],[1]!PM2.5[ILO],,-1),2)</f>
        <v>66.209999999999994</v>
      </c>
      <c r="I93">
        <f>ROUND(((_xlfn.XLOOKUP(C93,[1]!PM_10[BLO],[1]!PM_10[IHI],,-1) - _xlfn.XLOOKUP(C93,[1]!PM_10[BLO],[1]!PM_10[ILO],,-1))
/
(_xlfn.XLOOKUP(C93,[1]!PM_10[BLO],[1]!PM_10[BHI],,-1) - _xlfn.XLOOKUP(C93,[1]!PM_10[BLO],[1]!PM_10[BLO],,-1)))
*
( C93 - _xlfn.XLOOKUP(C93,[1]!PM_10[BLO],[1]!PM_10[BLO],,-1))
+
_xlfn.XLOOKUP(C93,[1]!PM_10[BLO],[1]!PM_10[ILO],,-1),2)</f>
        <v>87</v>
      </c>
      <c r="J93">
        <f>ROUND((( _xlfn.XLOOKUP(D93,[1]!NO_2[BLO],[1]!NO_2[IHI],,-1) - _xlfn.XLOOKUP(D93,[1]!NO_2[BLO],[1]!NO_2[ILO],,-1))
/
( _xlfn.XLOOKUP(D93,[1]!NO_2[BLO],[1]!NO_2[BHI],,-1) - _xlfn.XLOOKUP(D93,[1]!NO_2[BLO],[1]!NO_2[BLO],,-1) ))
*
( D93 - _xlfn.XLOOKUP(D93,[1]!NO_2[BLO],[1]!NO_2[BLO],,-1))
+
_xlfn.XLOOKUP(D93,[1]!NO_2[BLO],[1]!NO_2[ILO],,-1),2)</f>
        <v>23.75</v>
      </c>
      <c r="K93">
        <f>ROUND(( ( _xlfn.XLOOKUP(E93,[1]!SO_2[BLO],[1]!SO_2[IHI],,-1)  - _xlfn.XLOOKUP(E93,[1]!SO_2[BLO],[1]!SO_2[ILO],,-1) )
/
( _xlfn.XLOOKUP(E93,[1]!SO_2[BLO],[1]!SO_2[BHI],,-1)- _xlfn.XLOOKUP(E93,[1]!SO_2[BLO],[1]!SO_2[BLO],,-1) ))
*
( E93 - _xlfn.XLOOKUP(E93,[1]!SO_2[BLO],[1]!SO_2[BLO],,-1) )
+
_xlfn.XLOOKUP(E93,[1]!SO_2[BLO],[1]!SO_2[ILO],,-1),2)</f>
        <v>10</v>
      </c>
      <c r="L93">
        <f>( ( _xlfn.XLOOKUP(F93,[1]!CO[BLO],[1]!CO[IHI],,-1)
- _xlfn.XLOOKUP(F93,[1]!CO[BLO],[1]!CO[ILO],,-1) )
/
( _xlfn.XLOOKUP(F93,[1]!CO[BLO],[1]!CO[BHI],,-1) - _xlfn.XLOOKUP(F93,[1]!CO[BLO],[1]!CO[BLO],,-1)))
*
( F93 - _xlfn.XLOOKUP(F93,[1]!CO[BLO],[1]!CO[BLO],,-1) )
+
_xlfn.XLOOKUP(F93,[1]!CO[BLO],[1]!CO[ILO],,-1)</f>
        <v>28.000000000000004</v>
      </c>
      <c r="M93">
        <f>(( _xlfn.XLOOKUP(G93,[1]!O_3[BLO],[1]!O_3[IHI],,-1) - _xlfn.XLOOKUP(G93,[1]!O_3[BLO],[1]!O_3[ILO],,-1))
/
( _xlfn.XLOOKUP(G93,[1]!O_3[BLO],[1]!O_3[BHI],,-1) - _xlfn.XLOOKUP(G93,[1]!O_3[BLO],[1]!O_3[BLO],,-1)))
*
( G93 - _xlfn.XLOOKUP(G93,[1]!O_3[BLO],[1]!O_3[BLO],,-1))
+
_xlfn.XLOOKUP(G93,[1]!O_3[BLO],[1]!O_3[ILO],,-1)</f>
        <v>35</v>
      </c>
      <c r="N93">
        <f>MAX(DAILY_DATA[[#This Row],[AQI_PM2.5]:[AQI_O3]])</f>
        <v>87</v>
      </c>
      <c r="O93" t="str">
        <f>_xlfn.XLOOKUP(DAILY_DATA[[#This Row],[OVERALL_AQI]],[1]!CATEGORY[AQI_LO],[1]!CATEGORY[CATEGORY],,-1)</f>
        <v>Satisfactory</v>
      </c>
      <c r="P93" t="str" cm="1">
        <f t="array" ref="P93">INDEX(
{"PM2.5","PM10","NO2","SO2","CO","O3"},
MATCH(N93,H93:M93,0)
)</f>
        <v>PM10</v>
      </c>
    </row>
    <row r="94" spans="1:16" x14ac:dyDescent="0.25">
      <c r="A94" s="4">
        <v>45384</v>
      </c>
      <c r="B94">
        <f>ROUND(AVERAGEIFS([1]HOURLY_DATA!B94:B8877,[1]HOURLY_DATA!H94:H8877,Daily_AQI!A94),0)</f>
        <v>39</v>
      </c>
      <c r="C94">
        <f>ROUND(AVERAGEIFS([1]HOURLY_DATA!C94:C8877,[1]HOURLY_DATA!H94:H8877,Daily_AQI!A94),0)</f>
        <v>84</v>
      </c>
      <c r="D94">
        <f>ROUND(AVERAGEIFS([1]HOURLY_DATA!D94:D8877,[1]HOURLY_DATA!H94:H8877,Daily_AQI!A94),0)</f>
        <v>18</v>
      </c>
      <c r="E94">
        <f>ROUND(AVERAGEIFS([1]HOURLY_DATA!E94:E8877,[1]HOURLY_DATA!H94:H8877,Daily_AQI!A94),0)</f>
        <v>8</v>
      </c>
      <c r="F94">
        <f>ROUND(AVERAGEIFS([1]HOURLY_DATA!I94:I8877,[1]HOURLY_DATA!H94:H8877,Daily_AQI!A94),2)</f>
        <v>0.53</v>
      </c>
      <c r="G94">
        <f>ROUND(AVERAGEIFS([1]HOURLY_DATA!J94:J8877,[1]HOURLY_DATA!H94:H8877,Daily_AQI!A94),0)</f>
        <v>33</v>
      </c>
      <c r="H94">
        <f>ROUND(((_xlfn.XLOOKUP(B94,[1]!PM2.5[BLO],[1]!PM2.5[IHI],,-1) - _xlfn.XLOOKUP(B94,[1]!PM2.5[BLO],[1]!PM2.5[ILO],,-1))
/
(_xlfn.XLOOKUP(B94,[1]!PM2.5[BLO],[1]!PM2.5[BHI],,-1) - _xlfn.XLOOKUP(B94,[1]!PM2.5[BLO],[1]!PM2.5[BLO],,-1)))
*
(B94 - _xlfn.XLOOKUP(B94,[1]!PM2.5[BLO],[1]!PM2.5[BLO],,-1))
+
_xlfn.XLOOKUP(B94,[1]!PM2.5[BLO],[1]!PM2.5[ILO],,-1),2)</f>
        <v>64.52</v>
      </c>
      <c r="I94">
        <f>ROUND(((_xlfn.XLOOKUP(C94,[1]!PM_10[BLO],[1]!PM_10[IHI],,-1) - _xlfn.XLOOKUP(C94,[1]!PM_10[BLO],[1]!PM_10[ILO],,-1))
/
(_xlfn.XLOOKUP(C94,[1]!PM_10[BLO],[1]!PM_10[BHI],,-1) - _xlfn.XLOOKUP(C94,[1]!PM_10[BLO],[1]!PM_10[BLO],,-1)))
*
( C94 - _xlfn.XLOOKUP(C94,[1]!PM_10[BLO],[1]!PM_10[BLO],,-1))
+
_xlfn.XLOOKUP(C94,[1]!PM_10[BLO],[1]!PM_10[ILO],,-1),2)</f>
        <v>84</v>
      </c>
      <c r="J94">
        <f>ROUND((( _xlfn.XLOOKUP(D94,[1]!NO_2[BLO],[1]!NO_2[IHI],,-1) - _xlfn.XLOOKUP(D94,[1]!NO_2[BLO],[1]!NO_2[ILO],,-1))
/
( _xlfn.XLOOKUP(D94,[1]!NO_2[BLO],[1]!NO_2[BHI],,-1) - _xlfn.XLOOKUP(D94,[1]!NO_2[BLO],[1]!NO_2[BLO],,-1) ))
*
( D94 - _xlfn.XLOOKUP(D94,[1]!NO_2[BLO],[1]!NO_2[BLO],,-1))
+
_xlfn.XLOOKUP(D94,[1]!NO_2[BLO],[1]!NO_2[ILO],,-1),2)</f>
        <v>22.5</v>
      </c>
      <c r="K94">
        <f>ROUND(( ( _xlfn.XLOOKUP(E94,[1]!SO_2[BLO],[1]!SO_2[IHI],,-1)  - _xlfn.XLOOKUP(E94,[1]!SO_2[BLO],[1]!SO_2[ILO],,-1) )
/
( _xlfn.XLOOKUP(E94,[1]!SO_2[BLO],[1]!SO_2[BHI],,-1)- _xlfn.XLOOKUP(E94,[1]!SO_2[BLO],[1]!SO_2[BLO],,-1) ))
*
( E94 - _xlfn.XLOOKUP(E94,[1]!SO_2[BLO],[1]!SO_2[BLO],,-1) )
+
_xlfn.XLOOKUP(E94,[1]!SO_2[BLO],[1]!SO_2[ILO],,-1),2)</f>
        <v>10</v>
      </c>
      <c r="L94">
        <f>( ( _xlfn.XLOOKUP(F94,[1]!CO[BLO],[1]!CO[IHI],,-1)
- _xlfn.XLOOKUP(F94,[1]!CO[BLO],[1]!CO[ILO],,-1) )
/
( _xlfn.XLOOKUP(F94,[1]!CO[BLO],[1]!CO[BHI],,-1) - _xlfn.XLOOKUP(F94,[1]!CO[BLO],[1]!CO[BLO],,-1)))
*
( F94 - _xlfn.XLOOKUP(F94,[1]!CO[BLO],[1]!CO[BLO],,-1) )
+
_xlfn.XLOOKUP(F94,[1]!CO[BLO],[1]!CO[ILO],,-1)</f>
        <v>26.5</v>
      </c>
      <c r="M94">
        <f>(( _xlfn.XLOOKUP(G94,[1]!O_3[BLO],[1]!O_3[IHI],,-1) - _xlfn.XLOOKUP(G94,[1]!O_3[BLO],[1]!O_3[ILO],,-1))
/
( _xlfn.XLOOKUP(G94,[1]!O_3[BLO],[1]!O_3[BHI],,-1) - _xlfn.XLOOKUP(G94,[1]!O_3[BLO],[1]!O_3[BLO],,-1)))
*
( G94 - _xlfn.XLOOKUP(G94,[1]!O_3[BLO],[1]!O_3[BLO],,-1))
+
_xlfn.XLOOKUP(G94,[1]!O_3[BLO],[1]!O_3[ILO],,-1)</f>
        <v>33</v>
      </c>
      <c r="N94">
        <f>MAX(DAILY_DATA[[#This Row],[AQI_PM2.5]:[AQI_O3]])</f>
        <v>84</v>
      </c>
      <c r="O94" t="str">
        <f>_xlfn.XLOOKUP(DAILY_DATA[[#This Row],[OVERALL_AQI]],[1]!CATEGORY[AQI_LO],[1]!CATEGORY[CATEGORY],,-1)</f>
        <v>Satisfactory</v>
      </c>
      <c r="P94" t="str" cm="1">
        <f t="array" ref="P94">INDEX(
{"PM2.5","PM10","NO2","SO2","CO","O3"},
MATCH(N94,H94:M94,0)
)</f>
        <v>PM10</v>
      </c>
    </row>
    <row r="95" spans="1:16" x14ac:dyDescent="0.25">
      <c r="A95" s="4">
        <v>45385</v>
      </c>
      <c r="B95">
        <f>ROUND(AVERAGEIFS([1]HOURLY_DATA!B95:B8878,[1]HOURLY_DATA!H95:H8878,Daily_AQI!A95),0)</f>
        <v>37</v>
      </c>
      <c r="C95">
        <f>ROUND(AVERAGEIFS([1]HOURLY_DATA!C95:C8878,[1]HOURLY_DATA!H95:H8878,Daily_AQI!A95),0)</f>
        <v>82</v>
      </c>
      <c r="D95">
        <f>ROUND(AVERAGEIFS([1]HOURLY_DATA!D95:D8878,[1]HOURLY_DATA!H95:H8878,Daily_AQI!A95),0)</f>
        <v>18</v>
      </c>
      <c r="E95">
        <f>ROUND(AVERAGEIFS([1]HOURLY_DATA!E95:E8878,[1]HOURLY_DATA!H95:H8878,Daily_AQI!A95),0)</f>
        <v>8</v>
      </c>
      <c r="F95">
        <f>ROUND(AVERAGEIFS([1]HOURLY_DATA!I95:I8878,[1]HOURLY_DATA!H95:H8878,Daily_AQI!A95),2)</f>
        <v>0.52</v>
      </c>
      <c r="G95">
        <f>ROUND(AVERAGEIFS([1]HOURLY_DATA!J95:J8878,[1]HOURLY_DATA!H95:H8878,Daily_AQI!A95),0)</f>
        <v>31</v>
      </c>
      <c r="H95">
        <f>ROUND(((_xlfn.XLOOKUP(B95,[1]!PM2.5[BLO],[1]!PM2.5[IHI],,-1) - _xlfn.XLOOKUP(B95,[1]!PM2.5[BLO],[1]!PM2.5[ILO],,-1))
/
(_xlfn.XLOOKUP(B95,[1]!PM2.5[BLO],[1]!PM2.5[BHI],,-1) - _xlfn.XLOOKUP(B95,[1]!PM2.5[BLO],[1]!PM2.5[BLO],,-1)))
*
(B95 - _xlfn.XLOOKUP(B95,[1]!PM2.5[BLO],[1]!PM2.5[BLO],,-1))
+
_xlfn.XLOOKUP(B95,[1]!PM2.5[BLO],[1]!PM2.5[ILO],,-1),2)</f>
        <v>61.14</v>
      </c>
      <c r="I95">
        <f>ROUND(((_xlfn.XLOOKUP(C95,[1]!PM_10[BLO],[1]!PM_10[IHI],,-1) - _xlfn.XLOOKUP(C95,[1]!PM_10[BLO],[1]!PM_10[ILO],,-1))
/
(_xlfn.XLOOKUP(C95,[1]!PM_10[BLO],[1]!PM_10[BHI],,-1) - _xlfn.XLOOKUP(C95,[1]!PM_10[BLO],[1]!PM_10[BLO],,-1)))
*
( C95 - _xlfn.XLOOKUP(C95,[1]!PM_10[BLO],[1]!PM_10[BLO],,-1))
+
_xlfn.XLOOKUP(C95,[1]!PM_10[BLO],[1]!PM_10[ILO],,-1),2)</f>
        <v>82</v>
      </c>
      <c r="J95">
        <f>ROUND((( _xlfn.XLOOKUP(D95,[1]!NO_2[BLO],[1]!NO_2[IHI],,-1) - _xlfn.XLOOKUP(D95,[1]!NO_2[BLO],[1]!NO_2[ILO],,-1))
/
( _xlfn.XLOOKUP(D95,[1]!NO_2[BLO],[1]!NO_2[BHI],,-1) - _xlfn.XLOOKUP(D95,[1]!NO_2[BLO],[1]!NO_2[BLO],,-1) ))
*
( D95 - _xlfn.XLOOKUP(D95,[1]!NO_2[BLO],[1]!NO_2[BLO],,-1))
+
_xlfn.XLOOKUP(D95,[1]!NO_2[BLO],[1]!NO_2[ILO],,-1),2)</f>
        <v>22.5</v>
      </c>
      <c r="K95">
        <f>ROUND(( ( _xlfn.XLOOKUP(E95,[1]!SO_2[BLO],[1]!SO_2[IHI],,-1)  - _xlfn.XLOOKUP(E95,[1]!SO_2[BLO],[1]!SO_2[ILO],,-1) )
/
( _xlfn.XLOOKUP(E95,[1]!SO_2[BLO],[1]!SO_2[BHI],,-1)- _xlfn.XLOOKUP(E95,[1]!SO_2[BLO],[1]!SO_2[BLO],,-1) ))
*
( E95 - _xlfn.XLOOKUP(E95,[1]!SO_2[BLO],[1]!SO_2[BLO],,-1) )
+
_xlfn.XLOOKUP(E95,[1]!SO_2[BLO],[1]!SO_2[ILO],,-1),2)</f>
        <v>10</v>
      </c>
      <c r="L95">
        <f>( ( _xlfn.XLOOKUP(F95,[1]!CO[BLO],[1]!CO[IHI],,-1)
- _xlfn.XLOOKUP(F95,[1]!CO[BLO],[1]!CO[ILO],,-1) )
/
( _xlfn.XLOOKUP(F95,[1]!CO[BLO],[1]!CO[BHI],,-1) - _xlfn.XLOOKUP(F95,[1]!CO[BLO],[1]!CO[BLO],,-1)))
*
( F95 - _xlfn.XLOOKUP(F95,[1]!CO[BLO],[1]!CO[BLO],,-1) )
+
_xlfn.XLOOKUP(F95,[1]!CO[BLO],[1]!CO[ILO],,-1)</f>
        <v>26</v>
      </c>
      <c r="M95">
        <f>(( _xlfn.XLOOKUP(G95,[1]!O_3[BLO],[1]!O_3[IHI],,-1) - _xlfn.XLOOKUP(G95,[1]!O_3[BLO],[1]!O_3[ILO],,-1))
/
( _xlfn.XLOOKUP(G95,[1]!O_3[BLO],[1]!O_3[BHI],,-1) - _xlfn.XLOOKUP(G95,[1]!O_3[BLO],[1]!O_3[BLO],,-1)))
*
( G95 - _xlfn.XLOOKUP(G95,[1]!O_3[BLO],[1]!O_3[BLO],,-1))
+
_xlfn.XLOOKUP(G95,[1]!O_3[BLO],[1]!O_3[ILO],,-1)</f>
        <v>31</v>
      </c>
      <c r="N95">
        <f>MAX(DAILY_DATA[[#This Row],[AQI_PM2.5]:[AQI_O3]])</f>
        <v>82</v>
      </c>
      <c r="O95" t="str">
        <f>_xlfn.XLOOKUP(DAILY_DATA[[#This Row],[OVERALL_AQI]],[1]!CATEGORY[AQI_LO],[1]!CATEGORY[CATEGORY],,-1)</f>
        <v>Satisfactory</v>
      </c>
      <c r="P95" t="str" cm="1">
        <f t="array" ref="P95">INDEX(
{"PM2.5","PM10","NO2","SO2","CO","O3"},
MATCH(N95,H95:M95,0)
)</f>
        <v>PM10</v>
      </c>
    </row>
    <row r="96" spans="1:16" x14ac:dyDescent="0.25">
      <c r="A96" s="4">
        <v>45386</v>
      </c>
      <c r="B96">
        <f>ROUND(AVERAGEIFS([1]HOURLY_DATA!B96:B8879,[1]HOURLY_DATA!H96:H8879,Daily_AQI!A96),0)</f>
        <v>34</v>
      </c>
      <c r="C96">
        <f>ROUND(AVERAGEIFS([1]HOURLY_DATA!C96:C8879,[1]HOURLY_DATA!H96:H8879,Daily_AQI!A96),0)</f>
        <v>76</v>
      </c>
      <c r="D96">
        <f>ROUND(AVERAGEIFS([1]HOURLY_DATA!D96:D8879,[1]HOURLY_DATA!H96:H8879,Daily_AQI!A96),0)</f>
        <v>17</v>
      </c>
      <c r="E96">
        <f>ROUND(AVERAGEIFS([1]HOURLY_DATA!E96:E8879,[1]HOURLY_DATA!H96:H8879,Daily_AQI!A96),0)</f>
        <v>8</v>
      </c>
      <c r="F96">
        <f>ROUND(AVERAGEIFS([1]HOURLY_DATA!I96:I8879,[1]HOURLY_DATA!H96:H8879,Daily_AQI!A96),2)</f>
        <v>0.56000000000000005</v>
      </c>
      <c r="G96">
        <f>ROUND(AVERAGEIFS([1]HOURLY_DATA!J96:J8879,[1]HOURLY_DATA!H96:H8879,Daily_AQI!A96),0)</f>
        <v>30</v>
      </c>
      <c r="H96">
        <f>ROUND(((_xlfn.XLOOKUP(B96,[1]!PM2.5[BLO],[1]!PM2.5[IHI],,-1) - _xlfn.XLOOKUP(B96,[1]!PM2.5[BLO],[1]!PM2.5[ILO],,-1))
/
(_xlfn.XLOOKUP(B96,[1]!PM2.5[BLO],[1]!PM2.5[BHI],,-1) - _xlfn.XLOOKUP(B96,[1]!PM2.5[BLO],[1]!PM2.5[BLO],,-1)))
*
(B96 - _xlfn.XLOOKUP(B96,[1]!PM2.5[BLO],[1]!PM2.5[BLO],,-1))
+
_xlfn.XLOOKUP(B96,[1]!PM2.5[BLO],[1]!PM2.5[ILO],,-1),2)</f>
        <v>56.07</v>
      </c>
      <c r="I96">
        <f>ROUND(((_xlfn.XLOOKUP(C96,[1]!PM_10[BLO],[1]!PM_10[IHI],,-1) - _xlfn.XLOOKUP(C96,[1]!PM_10[BLO],[1]!PM_10[ILO],,-1))
/
(_xlfn.XLOOKUP(C96,[1]!PM_10[BLO],[1]!PM_10[BHI],,-1) - _xlfn.XLOOKUP(C96,[1]!PM_10[BLO],[1]!PM_10[BLO],,-1)))
*
( C96 - _xlfn.XLOOKUP(C96,[1]!PM_10[BLO],[1]!PM_10[BLO],,-1))
+
_xlfn.XLOOKUP(C96,[1]!PM_10[BLO],[1]!PM_10[ILO],,-1),2)</f>
        <v>76</v>
      </c>
      <c r="J96">
        <f>ROUND((( _xlfn.XLOOKUP(D96,[1]!NO_2[BLO],[1]!NO_2[IHI],,-1) - _xlfn.XLOOKUP(D96,[1]!NO_2[BLO],[1]!NO_2[ILO],,-1))
/
( _xlfn.XLOOKUP(D96,[1]!NO_2[BLO],[1]!NO_2[BHI],,-1) - _xlfn.XLOOKUP(D96,[1]!NO_2[BLO],[1]!NO_2[BLO],,-1) ))
*
( D96 - _xlfn.XLOOKUP(D96,[1]!NO_2[BLO],[1]!NO_2[BLO],,-1))
+
_xlfn.XLOOKUP(D96,[1]!NO_2[BLO],[1]!NO_2[ILO],,-1),2)</f>
        <v>21.25</v>
      </c>
      <c r="K96">
        <f>ROUND(( ( _xlfn.XLOOKUP(E96,[1]!SO_2[BLO],[1]!SO_2[IHI],,-1)  - _xlfn.XLOOKUP(E96,[1]!SO_2[BLO],[1]!SO_2[ILO],,-1) )
/
( _xlfn.XLOOKUP(E96,[1]!SO_2[BLO],[1]!SO_2[BHI],,-1)- _xlfn.XLOOKUP(E96,[1]!SO_2[BLO],[1]!SO_2[BLO],,-1) ))
*
( E96 - _xlfn.XLOOKUP(E96,[1]!SO_2[BLO],[1]!SO_2[BLO],,-1) )
+
_xlfn.XLOOKUP(E96,[1]!SO_2[BLO],[1]!SO_2[ILO],,-1),2)</f>
        <v>10</v>
      </c>
      <c r="L96">
        <f>( ( _xlfn.XLOOKUP(F96,[1]!CO[BLO],[1]!CO[IHI],,-1)
- _xlfn.XLOOKUP(F96,[1]!CO[BLO],[1]!CO[ILO],,-1) )
/
( _xlfn.XLOOKUP(F96,[1]!CO[BLO],[1]!CO[BHI],,-1) - _xlfn.XLOOKUP(F96,[1]!CO[BLO],[1]!CO[BLO],,-1)))
*
( F96 - _xlfn.XLOOKUP(F96,[1]!CO[BLO],[1]!CO[BLO],,-1) )
+
_xlfn.XLOOKUP(F96,[1]!CO[BLO],[1]!CO[ILO],,-1)</f>
        <v>28.000000000000004</v>
      </c>
      <c r="M96">
        <f>(( _xlfn.XLOOKUP(G96,[1]!O_3[BLO],[1]!O_3[IHI],,-1) - _xlfn.XLOOKUP(G96,[1]!O_3[BLO],[1]!O_3[ILO],,-1))
/
( _xlfn.XLOOKUP(G96,[1]!O_3[BLO],[1]!O_3[BHI],,-1) - _xlfn.XLOOKUP(G96,[1]!O_3[BLO],[1]!O_3[BLO],,-1)))
*
( G96 - _xlfn.XLOOKUP(G96,[1]!O_3[BLO],[1]!O_3[BLO],,-1))
+
_xlfn.XLOOKUP(G96,[1]!O_3[BLO],[1]!O_3[ILO],,-1)</f>
        <v>30</v>
      </c>
      <c r="N96">
        <f>MAX(DAILY_DATA[[#This Row],[AQI_PM2.5]:[AQI_O3]])</f>
        <v>76</v>
      </c>
      <c r="O96" t="str">
        <f>_xlfn.XLOOKUP(DAILY_DATA[[#This Row],[OVERALL_AQI]],[1]!CATEGORY[AQI_LO],[1]!CATEGORY[CATEGORY],,-1)</f>
        <v>Satisfactory</v>
      </c>
      <c r="P96" t="str" cm="1">
        <f t="array" ref="P96">INDEX(
{"PM2.5","PM10","NO2","SO2","CO","O3"},
MATCH(N96,H96:M96,0)
)</f>
        <v>PM10</v>
      </c>
    </row>
    <row r="97" spans="1:16" x14ac:dyDescent="0.25">
      <c r="A97" s="4">
        <v>45387</v>
      </c>
      <c r="B97">
        <f>ROUND(AVERAGEIFS([1]HOURLY_DATA!B97:B8880,[1]HOURLY_DATA!H97:H8880,Daily_AQI!A97),0)</f>
        <v>38</v>
      </c>
      <c r="C97">
        <f>ROUND(AVERAGEIFS([1]HOURLY_DATA!C97:C8880,[1]HOURLY_DATA!H97:H8880,Daily_AQI!A97),0)</f>
        <v>80</v>
      </c>
      <c r="D97">
        <f>ROUND(AVERAGEIFS([1]HOURLY_DATA!D97:D8880,[1]HOURLY_DATA!H97:H8880,Daily_AQI!A97),0)</f>
        <v>17</v>
      </c>
      <c r="E97">
        <f>ROUND(AVERAGEIFS([1]HOURLY_DATA!E97:E8880,[1]HOURLY_DATA!H97:H8880,Daily_AQI!A97),0)</f>
        <v>8</v>
      </c>
      <c r="F97">
        <f>ROUND(AVERAGEIFS([1]HOURLY_DATA!I97:I8880,[1]HOURLY_DATA!H97:H8880,Daily_AQI!A97),2)</f>
        <v>0.56000000000000005</v>
      </c>
      <c r="G97">
        <f>ROUND(AVERAGEIFS([1]HOURLY_DATA!J97:J8880,[1]HOURLY_DATA!H97:H8880,Daily_AQI!A97),0)</f>
        <v>31</v>
      </c>
      <c r="H97">
        <f>ROUND(((_xlfn.XLOOKUP(B97,[1]!PM2.5[BLO],[1]!PM2.5[IHI],,-1) - _xlfn.XLOOKUP(B97,[1]!PM2.5[BLO],[1]!PM2.5[ILO],,-1))
/
(_xlfn.XLOOKUP(B97,[1]!PM2.5[BLO],[1]!PM2.5[BHI],,-1) - _xlfn.XLOOKUP(B97,[1]!PM2.5[BLO],[1]!PM2.5[BLO],,-1)))
*
(B97 - _xlfn.XLOOKUP(B97,[1]!PM2.5[BLO],[1]!PM2.5[BLO],,-1))
+
_xlfn.XLOOKUP(B97,[1]!PM2.5[BLO],[1]!PM2.5[ILO],,-1),2)</f>
        <v>62.83</v>
      </c>
      <c r="I97">
        <f>ROUND(((_xlfn.XLOOKUP(C97,[1]!PM_10[BLO],[1]!PM_10[IHI],,-1) - _xlfn.XLOOKUP(C97,[1]!PM_10[BLO],[1]!PM_10[ILO],,-1))
/
(_xlfn.XLOOKUP(C97,[1]!PM_10[BLO],[1]!PM_10[BHI],,-1) - _xlfn.XLOOKUP(C97,[1]!PM_10[BLO],[1]!PM_10[BLO],,-1)))
*
( C97 - _xlfn.XLOOKUP(C97,[1]!PM_10[BLO],[1]!PM_10[BLO],,-1))
+
_xlfn.XLOOKUP(C97,[1]!PM_10[BLO],[1]!PM_10[ILO],,-1),2)</f>
        <v>80</v>
      </c>
      <c r="J97">
        <f>ROUND((( _xlfn.XLOOKUP(D97,[1]!NO_2[BLO],[1]!NO_2[IHI],,-1) - _xlfn.XLOOKUP(D97,[1]!NO_2[BLO],[1]!NO_2[ILO],,-1))
/
( _xlfn.XLOOKUP(D97,[1]!NO_2[BLO],[1]!NO_2[BHI],,-1) - _xlfn.XLOOKUP(D97,[1]!NO_2[BLO],[1]!NO_2[BLO],,-1) ))
*
( D97 - _xlfn.XLOOKUP(D97,[1]!NO_2[BLO],[1]!NO_2[BLO],,-1))
+
_xlfn.XLOOKUP(D97,[1]!NO_2[BLO],[1]!NO_2[ILO],,-1),2)</f>
        <v>21.25</v>
      </c>
      <c r="K97">
        <f>ROUND(( ( _xlfn.XLOOKUP(E97,[1]!SO_2[BLO],[1]!SO_2[IHI],,-1)  - _xlfn.XLOOKUP(E97,[1]!SO_2[BLO],[1]!SO_2[ILO],,-1) )
/
( _xlfn.XLOOKUP(E97,[1]!SO_2[BLO],[1]!SO_2[BHI],,-1)- _xlfn.XLOOKUP(E97,[1]!SO_2[BLO],[1]!SO_2[BLO],,-1) ))
*
( E97 - _xlfn.XLOOKUP(E97,[1]!SO_2[BLO],[1]!SO_2[BLO],,-1) )
+
_xlfn.XLOOKUP(E97,[1]!SO_2[BLO],[1]!SO_2[ILO],,-1),2)</f>
        <v>10</v>
      </c>
      <c r="L97">
        <f>( ( _xlfn.XLOOKUP(F97,[1]!CO[BLO],[1]!CO[IHI],,-1)
- _xlfn.XLOOKUP(F97,[1]!CO[BLO],[1]!CO[ILO],,-1) )
/
( _xlfn.XLOOKUP(F97,[1]!CO[BLO],[1]!CO[BHI],,-1) - _xlfn.XLOOKUP(F97,[1]!CO[BLO],[1]!CO[BLO],,-1)))
*
( F97 - _xlfn.XLOOKUP(F97,[1]!CO[BLO],[1]!CO[BLO],,-1) )
+
_xlfn.XLOOKUP(F97,[1]!CO[BLO],[1]!CO[ILO],,-1)</f>
        <v>28.000000000000004</v>
      </c>
      <c r="M97">
        <f>(( _xlfn.XLOOKUP(G97,[1]!O_3[BLO],[1]!O_3[IHI],,-1) - _xlfn.XLOOKUP(G97,[1]!O_3[BLO],[1]!O_3[ILO],,-1))
/
( _xlfn.XLOOKUP(G97,[1]!O_3[BLO],[1]!O_3[BHI],,-1) - _xlfn.XLOOKUP(G97,[1]!O_3[BLO],[1]!O_3[BLO],,-1)))
*
( G97 - _xlfn.XLOOKUP(G97,[1]!O_3[BLO],[1]!O_3[BLO],,-1))
+
_xlfn.XLOOKUP(G97,[1]!O_3[BLO],[1]!O_3[ILO],,-1)</f>
        <v>31</v>
      </c>
      <c r="N97">
        <f>MAX(DAILY_DATA[[#This Row],[AQI_PM2.5]:[AQI_O3]])</f>
        <v>80</v>
      </c>
      <c r="O97" t="str">
        <f>_xlfn.XLOOKUP(DAILY_DATA[[#This Row],[OVERALL_AQI]],[1]!CATEGORY[AQI_LO],[1]!CATEGORY[CATEGORY],,-1)</f>
        <v>Satisfactory</v>
      </c>
      <c r="P97" t="str" cm="1">
        <f t="array" ref="P97">INDEX(
{"PM2.5","PM10","NO2","SO2","CO","O3"},
MATCH(N97,H97:M97,0)
)</f>
        <v>PM10</v>
      </c>
    </row>
    <row r="98" spans="1:16" x14ac:dyDescent="0.25">
      <c r="A98" s="4">
        <v>45388</v>
      </c>
      <c r="B98">
        <f>ROUND(AVERAGEIFS([1]HOURLY_DATA!B98:B8881,[1]HOURLY_DATA!H98:H8881,Daily_AQI!A98),0)</f>
        <v>43</v>
      </c>
      <c r="C98">
        <f>ROUND(AVERAGEIFS([1]HOURLY_DATA!C98:C8881,[1]HOURLY_DATA!H98:H8881,Daily_AQI!A98),0)</f>
        <v>92</v>
      </c>
      <c r="D98">
        <f>ROUND(AVERAGEIFS([1]HOURLY_DATA!D98:D8881,[1]HOURLY_DATA!H98:H8881,Daily_AQI!A98),0)</f>
        <v>18</v>
      </c>
      <c r="E98">
        <f>ROUND(AVERAGEIFS([1]HOURLY_DATA!E98:E8881,[1]HOURLY_DATA!H98:H8881,Daily_AQI!A98),0)</f>
        <v>8</v>
      </c>
      <c r="F98">
        <f>ROUND(AVERAGEIFS([1]HOURLY_DATA!I98:I8881,[1]HOURLY_DATA!H98:H8881,Daily_AQI!A98),2)</f>
        <v>0.61</v>
      </c>
      <c r="G98">
        <f>ROUND(AVERAGEIFS([1]HOURLY_DATA!J98:J8881,[1]HOURLY_DATA!H98:H8881,Daily_AQI!A98),0)</f>
        <v>36</v>
      </c>
      <c r="H98">
        <f>ROUND(((_xlfn.XLOOKUP(B98,[1]!PM2.5[BLO],[1]!PM2.5[IHI],,-1) - _xlfn.XLOOKUP(B98,[1]!PM2.5[BLO],[1]!PM2.5[ILO],,-1))
/
(_xlfn.XLOOKUP(B98,[1]!PM2.5[BLO],[1]!PM2.5[BHI],,-1) - _xlfn.XLOOKUP(B98,[1]!PM2.5[BLO],[1]!PM2.5[BLO],,-1)))
*
(B98 - _xlfn.XLOOKUP(B98,[1]!PM2.5[BLO],[1]!PM2.5[BLO],,-1))
+
_xlfn.XLOOKUP(B98,[1]!PM2.5[BLO],[1]!PM2.5[ILO],,-1),2)</f>
        <v>71.28</v>
      </c>
      <c r="I98">
        <f>ROUND(((_xlfn.XLOOKUP(C98,[1]!PM_10[BLO],[1]!PM_10[IHI],,-1) - _xlfn.XLOOKUP(C98,[1]!PM_10[BLO],[1]!PM_10[ILO],,-1))
/
(_xlfn.XLOOKUP(C98,[1]!PM_10[BLO],[1]!PM_10[BHI],,-1) - _xlfn.XLOOKUP(C98,[1]!PM_10[BLO],[1]!PM_10[BLO],,-1)))
*
( C98 - _xlfn.XLOOKUP(C98,[1]!PM_10[BLO],[1]!PM_10[BLO],,-1))
+
_xlfn.XLOOKUP(C98,[1]!PM_10[BLO],[1]!PM_10[ILO],,-1),2)</f>
        <v>92</v>
      </c>
      <c r="J98">
        <f>ROUND((( _xlfn.XLOOKUP(D98,[1]!NO_2[BLO],[1]!NO_2[IHI],,-1) - _xlfn.XLOOKUP(D98,[1]!NO_2[BLO],[1]!NO_2[ILO],,-1))
/
( _xlfn.XLOOKUP(D98,[1]!NO_2[BLO],[1]!NO_2[BHI],,-1) - _xlfn.XLOOKUP(D98,[1]!NO_2[BLO],[1]!NO_2[BLO],,-1) ))
*
( D98 - _xlfn.XLOOKUP(D98,[1]!NO_2[BLO],[1]!NO_2[BLO],,-1))
+
_xlfn.XLOOKUP(D98,[1]!NO_2[BLO],[1]!NO_2[ILO],,-1),2)</f>
        <v>22.5</v>
      </c>
      <c r="K98">
        <f>ROUND(( ( _xlfn.XLOOKUP(E98,[1]!SO_2[BLO],[1]!SO_2[IHI],,-1)  - _xlfn.XLOOKUP(E98,[1]!SO_2[BLO],[1]!SO_2[ILO],,-1) )
/
( _xlfn.XLOOKUP(E98,[1]!SO_2[BLO],[1]!SO_2[BHI],,-1)- _xlfn.XLOOKUP(E98,[1]!SO_2[BLO],[1]!SO_2[BLO],,-1) ))
*
( E98 - _xlfn.XLOOKUP(E98,[1]!SO_2[BLO],[1]!SO_2[BLO],,-1) )
+
_xlfn.XLOOKUP(E98,[1]!SO_2[BLO],[1]!SO_2[ILO],,-1),2)</f>
        <v>10</v>
      </c>
      <c r="L98">
        <f>( ( _xlfn.XLOOKUP(F98,[1]!CO[BLO],[1]!CO[IHI],,-1)
- _xlfn.XLOOKUP(F98,[1]!CO[BLO],[1]!CO[ILO],,-1) )
/
( _xlfn.XLOOKUP(F98,[1]!CO[BLO],[1]!CO[BHI],,-1) - _xlfn.XLOOKUP(F98,[1]!CO[BLO],[1]!CO[BLO],,-1)))
*
( F98 - _xlfn.XLOOKUP(F98,[1]!CO[BLO],[1]!CO[BLO],,-1) )
+
_xlfn.XLOOKUP(F98,[1]!CO[BLO],[1]!CO[ILO],,-1)</f>
        <v>30.5</v>
      </c>
      <c r="M98">
        <f>(( _xlfn.XLOOKUP(G98,[1]!O_3[BLO],[1]!O_3[IHI],,-1) - _xlfn.XLOOKUP(G98,[1]!O_3[BLO],[1]!O_3[ILO],,-1))
/
( _xlfn.XLOOKUP(G98,[1]!O_3[BLO],[1]!O_3[BHI],,-1) - _xlfn.XLOOKUP(G98,[1]!O_3[BLO],[1]!O_3[BLO],,-1)))
*
( G98 - _xlfn.XLOOKUP(G98,[1]!O_3[BLO],[1]!O_3[BLO],,-1))
+
_xlfn.XLOOKUP(G98,[1]!O_3[BLO],[1]!O_3[ILO],,-1)</f>
        <v>36</v>
      </c>
      <c r="N98">
        <f>MAX(DAILY_DATA[[#This Row],[AQI_PM2.5]:[AQI_O3]])</f>
        <v>92</v>
      </c>
      <c r="O98" t="str">
        <f>_xlfn.XLOOKUP(DAILY_DATA[[#This Row],[OVERALL_AQI]],[1]!CATEGORY[AQI_LO],[1]!CATEGORY[CATEGORY],,-1)</f>
        <v>Satisfactory</v>
      </c>
      <c r="P98" t="str" cm="1">
        <f t="array" ref="P98">INDEX(
{"PM2.5","PM10","NO2","SO2","CO","O3"},
MATCH(N98,H98:M98,0)
)</f>
        <v>PM10</v>
      </c>
    </row>
    <row r="99" spans="1:16" x14ac:dyDescent="0.25">
      <c r="A99" s="4">
        <v>45389</v>
      </c>
      <c r="B99">
        <f>ROUND(AVERAGEIFS([1]HOURLY_DATA!B99:B8882,[1]HOURLY_DATA!H99:H8882,Daily_AQI!A99),0)</f>
        <v>36</v>
      </c>
      <c r="C99">
        <f>ROUND(AVERAGEIFS([1]HOURLY_DATA!C99:C8882,[1]HOURLY_DATA!H99:H8882,Daily_AQI!A99),0)</f>
        <v>74</v>
      </c>
      <c r="D99">
        <f>ROUND(AVERAGEIFS([1]HOURLY_DATA!D99:D8882,[1]HOURLY_DATA!H99:H8882,Daily_AQI!A99),0)</f>
        <v>18</v>
      </c>
      <c r="E99">
        <f>ROUND(AVERAGEIFS([1]HOURLY_DATA!E99:E8882,[1]HOURLY_DATA!H99:H8882,Daily_AQI!A99),0)</f>
        <v>8</v>
      </c>
      <c r="F99">
        <f>ROUND(AVERAGEIFS([1]HOURLY_DATA!I99:I8882,[1]HOURLY_DATA!H99:H8882,Daily_AQI!A99),2)</f>
        <v>0.61</v>
      </c>
      <c r="G99">
        <f>ROUND(AVERAGEIFS([1]HOURLY_DATA!J99:J8882,[1]HOURLY_DATA!H99:H8882,Daily_AQI!A99),0)</f>
        <v>36</v>
      </c>
      <c r="H99">
        <f>ROUND(((_xlfn.XLOOKUP(B99,[1]!PM2.5[BLO],[1]!PM2.5[IHI],,-1) - _xlfn.XLOOKUP(B99,[1]!PM2.5[BLO],[1]!PM2.5[ILO],,-1))
/
(_xlfn.XLOOKUP(B99,[1]!PM2.5[BLO],[1]!PM2.5[BHI],,-1) - _xlfn.XLOOKUP(B99,[1]!PM2.5[BLO],[1]!PM2.5[BLO],,-1)))
*
(B99 - _xlfn.XLOOKUP(B99,[1]!PM2.5[BLO],[1]!PM2.5[BLO],,-1))
+
_xlfn.XLOOKUP(B99,[1]!PM2.5[BLO],[1]!PM2.5[ILO],,-1),2)</f>
        <v>59.45</v>
      </c>
      <c r="I99">
        <f>ROUND(((_xlfn.XLOOKUP(C99,[1]!PM_10[BLO],[1]!PM_10[IHI],,-1) - _xlfn.XLOOKUP(C99,[1]!PM_10[BLO],[1]!PM_10[ILO],,-1))
/
(_xlfn.XLOOKUP(C99,[1]!PM_10[BLO],[1]!PM_10[BHI],,-1) - _xlfn.XLOOKUP(C99,[1]!PM_10[BLO],[1]!PM_10[BLO],,-1)))
*
( C99 - _xlfn.XLOOKUP(C99,[1]!PM_10[BLO],[1]!PM_10[BLO],,-1))
+
_xlfn.XLOOKUP(C99,[1]!PM_10[BLO],[1]!PM_10[ILO],,-1),2)</f>
        <v>74</v>
      </c>
      <c r="J99">
        <f>ROUND((( _xlfn.XLOOKUP(D99,[1]!NO_2[BLO],[1]!NO_2[IHI],,-1) - _xlfn.XLOOKUP(D99,[1]!NO_2[BLO],[1]!NO_2[ILO],,-1))
/
( _xlfn.XLOOKUP(D99,[1]!NO_2[BLO],[1]!NO_2[BHI],,-1) - _xlfn.XLOOKUP(D99,[1]!NO_2[BLO],[1]!NO_2[BLO],,-1) ))
*
( D99 - _xlfn.XLOOKUP(D99,[1]!NO_2[BLO],[1]!NO_2[BLO],,-1))
+
_xlfn.XLOOKUP(D99,[1]!NO_2[BLO],[1]!NO_2[ILO],,-1),2)</f>
        <v>22.5</v>
      </c>
      <c r="K99">
        <f>ROUND(( ( _xlfn.XLOOKUP(E99,[1]!SO_2[BLO],[1]!SO_2[IHI],,-1)  - _xlfn.XLOOKUP(E99,[1]!SO_2[BLO],[1]!SO_2[ILO],,-1) )
/
( _xlfn.XLOOKUP(E99,[1]!SO_2[BLO],[1]!SO_2[BHI],,-1)- _xlfn.XLOOKUP(E99,[1]!SO_2[BLO],[1]!SO_2[BLO],,-1) ))
*
( E99 - _xlfn.XLOOKUP(E99,[1]!SO_2[BLO],[1]!SO_2[BLO],,-1) )
+
_xlfn.XLOOKUP(E99,[1]!SO_2[BLO],[1]!SO_2[ILO],,-1),2)</f>
        <v>10</v>
      </c>
      <c r="L99">
        <f>( ( _xlfn.XLOOKUP(F99,[1]!CO[BLO],[1]!CO[IHI],,-1)
- _xlfn.XLOOKUP(F99,[1]!CO[BLO],[1]!CO[ILO],,-1) )
/
( _xlfn.XLOOKUP(F99,[1]!CO[BLO],[1]!CO[BHI],,-1) - _xlfn.XLOOKUP(F99,[1]!CO[BLO],[1]!CO[BLO],,-1)))
*
( F99 - _xlfn.XLOOKUP(F99,[1]!CO[BLO],[1]!CO[BLO],,-1) )
+
_xlfn.XLOOKUP(F99,[1]!CO[BLO],[1]!CO[ILO],,-1)</f>
        <v>30.5</v>
      </c>
      <c r="M99">
        <f>(( _xlfn.XLOOKUP(G99,[1]!O_3[BLO],[1]!O_3[IHI],,-1) - _xlfn.XLOOKUP(G99,[1]!O_3[BLO],[1]!O_3[ILO],,-1))
/
( _xlfn.XLOOKUP(G99,[1]!O_3[BLO],[1]!O_3[BHI],,-1) - _xlfn.XLOOKUP(G99,[1]!O_3[BLO],[1]!O_3[BLO],,-1)))
*
( G99 - _xlfn.XLOOKUP(G99,[1]!O_3[BLO],[1]!O_3[BLO],,-1))
+
_xlfn.XLOOKUP(G99,[1]!O_3[BLO],[1]!O_3[ILO],,-1)</f>
        <v>36</v>
      </c>
      <c r="N99">
        <f>MAX(DAILY_DATA[[#This Row],[AQI_PM2.5]:[AQI_O3]])</f>
        <v>74</v>
      </c>
      <c r="O99" t="str">
        <f>_xlfn.XLOOKUP(DAILY_DATA[[#This Row],[OVERALL_AQI]],[1]!CATEGORY[AQI_LO],[1]!CATEGORY[CATEGORY],,-1)</f>
        <v>Satisfactory</v>
      </c>
      <c r="P99" t="str" cm="1">
        <f t="array" ref="P99">INDEX(
{"PM2.5","PM10","NO2","SO2","CO","O3"},
MATCH(N99,H99:M99,0)
)</f>
        <v>PM10</v>
      </c>
    </row>
    <row r="100" spans="1:16" x14ac:dyDescent="0.25">
      <c r="A100" s="4">
        <v>45390</v>
      </c>
      <c r="B100">
        <f>ROUND(AVERAGEIFS([1]HOURLY_DATA!B100:B8883,[1]HOURLY_DATA!H100:H8883,Daily_AQI!A100),0)</f>
        <v>37</v>
      </c>
      <c r="C100">
        <f>ROUND(AVERAGEIFS([1]HOURLY_DATA!C100:C8883,[1]HOURLY_DATA!H100:H8883,Daily_AQI!A100),0)</f>
        <v>76</v>
      </c>
      <c r="D100">
        <f>ROUND(AVERAGEIFS([1]HOURLY_DATA!D100:D8883,[1]HOURLY_DATA!H100:H8883,Daily_AQI!A100),0)</f>
        <v>16</v>
      </c>
      <c r="E100">
        <f>ROUND(AVERAGEIFS([1]HOURLY_DATA!E100:E8883,[1]HOURLY_DATA!H100:H8883,Daily_AQI!A100),0)</f>
        <v>9</v>
      </c>
      <c r="F100">
        <f>ROUND(AVERAGEIFS([1]HOURLY_DATA!I100:I8883,[1]HOURLY_DATA!H100:H8883,Daily_AQI!A100),2)</f>
        <v>0.59</v>
      </c>
      <c r="G100">
        <f>ROUND(AVERAGEIFS([1]HOURLY_DATA!J100:J8883,[1]HOURLY_DATA!H100:H8883,Daily_AQI!A100),0)</f>
        <v>36</v>
      </c>
      <c r="H100">
        <f>ROUND(((_xlfn.XLOOKUP(B100,[1]!PM2.5[BLO],[1]!PM2.5[IHI],,-1) - _xlfn.XLOOKUP(B100,[1]!PM2.5[BLO],[1]!PM2.5[ILO],,-1))
/
(_xlfn.XLOOKUP(B100,[1]!PM2.5[BLO],[1]!PM2.5[BHI],,-1) - _xlfn.XLOOKUP(B100,[1]!PM2.5[BLO],[1]!PM2.5[BLO],,-1)))
*
(B100 - _xlfn.XLOOKUP(B100,[1]!PM2.5[BLO],[1]!PM2.5[BLO],,-1))
+
_xlfn.XLOOKUP(B100,[1]!PM2.5[BLO],[1]!PM2.5[ILO],,-1),2)</f>
        <v>61.14</v>
      </c>
      <c r="I100">
        <f>ROUND(((_xlfn.XLOOKUP(C100,[1]!PM_10[BLO],[1]!PM_10[IHI],,-1) - _xlfn.XLOOKUP(C100,[1]!PM_10[BLO],[1]!PM_10[ILO],,-1))
/
(_xlfn.XLOOKUP(C100,[1]!PM_10[BLO],[1]!PM_10[BHI],,-1) - _xlfn.XLOOKUP(C100,[1]!PM_10[BLO],[1]!PM_10[BLO],,-1)))
*
( C100 - _xlfn.XLOOKUP(C100,[1]!PM_10[BLO],[1]!PM_10[BLO],,-1))
+
_xlfn.XLOOKUP(C100,[1]!PM_10[BLO],[1]!PM_10[ILO],,-1),2)</f>
        <v>76</v>
      </c>
      <c r="J100">
        <f>ROUND((( _xlfn.XLOOKUP(D100,[1]!NO_2[BLO],[1]!NO_2[IHI],,-1) - _xlfn.XLOOKUP(D100,[1]!NO_2[BLO],[1]!NO_2[ILO],,-1))
/
( _xlfn.XLOOKUP(D100,[1]!NO_2[BLO],[1]!NO_2[BHI],,-1) - _xlfn.XLOOKUP(D100,[1]!NO_2[BLO],[1]!NO_2[BLO],,-1) ))
*
( D100 - _xlfn.XLOOKUP(D100,[1]!NO_2[BLO],[1]!NO_2[BLO],,-1))
+
_xlfn.XLOOKUP(D100,[1]!NO_2[BLO],[1]!NO_2[ILO],,-1),2)</f>
        <v>20</v>
      </c>
      <c r="K100">
        <f>ROUND(( ( _xlfn.XLOOKUP(E100,[1]!SO_2[BLO],[1]!SO_2[IHI],,-1)  - _xlfn.XLOOKUP(E100,[1]!SO_2[BLO],[1]!SO_2[ILO],,-1) )
/
( _xlfn.XLOOKUP(E100,[1]!SO_2[BLO],[1]!SO_2[BHI],,-1)- _xlfn.XLOOKUP(E100,[1]!SO_2[BLO],[1]!SO_2[BLO],,-1) ))
*
( E100 - _xlfn.XLOOKUP(E100,[1]!SO_2[BLO],[1]!SO_2[BLO],,-1) )
+
_xlfn.XLOOKUP(E100,[1]!SO_2[BLO],[1]!SO_2[ILO],,-1),2)</f>
        <v>11.25</v>
      </c>
      <c r="L100">
        <f>( ( _xlfn.XLOOKUP(F100,[1]!CO[BLO],[1]!CO[IHI],,-1)
- _xlfn.XLOOKUP(F100,[1]!CO[BLO],[1]!CO[ILO],,-1) )
/
( _xlfn.XLOOKUP(F100,[1]!CO[BLO],[1]!CO[BHI],,-1) - _xlfn.XLOOKUP(F100,[1]!CO[BLO],[1]!CO[BLO],,-1)))
*
( F100 - _xlfn.XLOOKUP(F100,[1]!CO[BLO],[1]!CO[BLO],,-1) )
+
_xlfn.XLOOKUP(F100,[1]!CO[BLO],[1]!CO[ILO],,-1)</f>
        <v>29.5</v>
      </c>
      <c r="M100">
        <f>(( _xlfn.XLOOKUP(G100,[1]!O_3[BLO],[1]!O_3[IHI],,-1) - _xlfn.XLOOKUP(G100,[1]!O_3[BLO],[1]!O_3[ILO],,-1))
/
( _xlfn.XLOOKUP(G100,[1]!O_3[BLO],[1]!O_3[BHI],,-1) - _xlfn.XLOOKUP(G100,[1]!O_3[BLO],[1]!O_3[BLO],,-1)))
*
( G100 - _xlfn.XLOOKUP(G100,[1]!O_3[BLO],[1]!O_3[BLO],,-1))
+
_xlfn.XLOOKUP(G100,[1]!O_3[BLO],[1]!O_3[ILO],,-1)</f>
        <v>36</v>
      </c>
      <c r="N100">
        <f>MAX(DAILY_DATA[[#This Row],[AQI_PM2.5]:[AQI_O3]])</f>
        <v>76</v>
      </c>
      <c r="O100" t="str">
        <f>_xlfn.XLOOKUP(DAILY_DATA[[#This Row],[OVERALL_AQI]],[1]!CATEGORY[AQI_LO],[1]!CATEGORY[CATEGORY],,-1)</f>
        <v>Satisfactory</v>
      </c>
      <c r="P100" t="str" cm="1">
        <f t="array" ref="P100">INDEX(
{"PM2.5","PM10","NO2","SO2","CO","O3"},
MATCH(N100,H100:M100,0)
)</f>
        <v>PM10</v>
      </c>
    </row>
    <row r="101" spans="1:16" x14ac:dyDescent="0.25">
      <c r="A101" s="4">
        <v>45391</v>
      </c>
      <c r="B101">
        <f>ROUND(AVERAGEIFS([1]HOURLY_DATA!B101:B8884,[1]HOURLY_DATA!H101:H8884,Daily_AQI!A101),0)</f>
        <v>38</v>
      </c>
      <c r="C101">
        <f>ROUND(AVERAGEIFS([1]HOURLY_DATA!C101:C8884,[1]HOURLY_DATA!H101:H8884,Daily_AQI!A101),0)</f>
        <v>75</v>
      </c>
      <c r="D101">
        <f>ROUND(AVERAGEIFS([1]HOURLY_DATA!D101:D8884,[1]HOURLY_DATA!H101:H8884,Daily_AQI!A101),0)</f>
        <v>16</v>
      </c>
      <c r="E101">
        <f>ROUND(AVERAGEIFS([1]HOURLY_DATA!E101:E8884,[1]HOURLY_DATA!H101:H8884,Daily_AQI!A101),0)</f>
        <v>10</v>
      </c>
      <c r="F101">
        <f>ROUND(AVERAGEIFS([1]HOURLY_DATA!I101:I8884,[1]HOURLY_DATA!H101:H8884,Daily_AQI!A101),2)</f>
        <v>0.54</v>
      </c>
      <c r="G101">
        <f>ROUND(AVERAGEIFS([1]HOURLY_DATA!J101:J8884,[1]HOURLY_DATA!H101:H8884,Daily_AQI!A101),0)</f>
        <v>37</v>
      </c>
      <c r="H101">
        <f>ROUND(((_xlfn.XLOOKUP(B101,[1]!PM2.5[BLO],[1]!PM2.5[IHI],,-1) - _xlfn.XLOOKUP(B101,[1]!PM2.5[BLO],[1]!PM2.5[ILO],,-1))
/
(_xlfn.XLOOKUP(B101,[1]!PM2.5[BLO],[1]!PM2.5[BHI],,-1) - _xlfn.XLOOKUP(B101,[1]!PM2.5[BLO],[1]!PM2.5[BLO],,-1)))
*
(B101 - _xlfn.XLOOKUP(B101,[1]!PM2.5[BLO],[1]!PM2.5[BLO],,-1))
+
_xlfn.XLOOKUP(B101,[1]!PM2.5[BLO],[1]!PM2.5[ILO],,-1),2)</f>
        <v>62.83</v>
      </c>
      <c r="I101">
        <f>ROUND(((_xlfn.XLOOKUP(C101,[1]!PM_10[BLO],[1]!PM_10[IHI],,-1) - _xlfn.XLOOKUP(C101,[1]!PM_10[BLO],[1]!PM_10[ILO],,-1))
/
(_xlfn.XLOOKUP(C101,[1]!PM_10[BLO],[1]!PM_10[BHI],,-1) - _xlfn.XLOOKUP(C101,[1]!PM_10[BLO],[1]!PM_10[BLO],,-1)))
*
( C101 - _xlfn.XLOOKUP(C101,[1]!PM_10[BLO],[1]!PM_10[BLO],,-1))
+
_xlfn.XLOOKUP(C101,[1]!PM_10[BLO],[1]!PM_10[ILO],,-1),2)</f>
        <v>75</v>
      </c>
      <c r="J101">
        <f>ROUND((( _xlfn.XLOOKUP(D101,[1]!NO_2[BLO],[1]!NO_2[IHI],,-1) - _xlfn.XLOOKUP(D101,[1]!NO_2[BLO],[1]!NO_2[ILO],,-1))
/
( _xlfn.XLOOKUP(D101,[1]!NO_2[BLO],[1]!NO_2[BHI],,-1) - _xlfn.XLOOKUP(D101,[1]!NO_2[BLO],[1]!NO_2[BLO],,-1) ))
*
( D101 - _xlfn.XLOOKUP(D101,[1]!NO_2[BLO],[1]!NO_2[BLO],,-1))
+
_xlfn.XLOOKUP(D101,[1]!NO_2[BLO],[1]!NO_2[ILO],,-1),2)</f>
        <v>20</v>
      </c>
      <c r="K101">
        <f>ROUND(( ( _xlfn.XLOOKUP(E101,[1]!SO_2[BLO],[1]!SO_2[IHI],,-1)  - _xlfn.XLOOKUP(E101,[1]!SO_2[BLO],[1]!SO_2[ILO],,-1) )
/
( _xlfn.XLOOKUP(E101,[1]!SO_2[BLO],[1]!SO_2[BHI],,-1)- _xlfn.XLOOKUP(E101,[1]!SO_2[BLO],[1]!SO_2[BLO],,-1) ))
*
( E101 - _xlfn.XLOOKUP(E101,[1]!SO_2[BLO],[1]!SO_2[BLO],,-1) )
+
_xlfn.XLOOKUP(E101,[1]!SO_2[BLO],[1]!SO_2[ILO],,-1),2)</f>
        <v>12.5</v>
      </c>
      <c r="L101">
        <f>( ( _xlfn.XLOOKUP(F101,[1]!CO[BLO],[1]!CO[IHI],,-1)
- _xlfn.XLOOKUP(F101,[1]!CO[BLO],[1]!CO[ILO],,-1) )
/
( _xlfn.XLOOKUP(F101,[1]!CO[BLO],[1]!CO[BHI],,-1) - _xlfn.XLOOKUP(F101,[1]!CO[BLO],[1]!CO[BLO],,-1)))
*
( F101 - _xlfn.XLOOKUP(F101,[1]!CO[BLO],[1]!CO[BLO],,-1) )
+
_xlfn.XLOOKUP(F101,[1]!CO[BLO],[1]!CO[ILO],,-1)</f>
        <v>27</v>
      </c>
      <c r="M101">
        <f>(( _xlfn.XLOOKUP(G101,[1]!O_3[BLO],[1]!O_3[IHI],,-1) - _xlfn.XLOOKUP(G101,[1]!O_3[BLO],[1]!O_3[ILO],,-1))
/
( _xlfn.XLOOKUP(G101,[1]!O_3[BLO],[1]!O_3[BHI],,-1) - _xlfn.XLOOKUP(G101,[1]!O_3[BLO],[1]!O_3[BLO],,-1)))
*
( G101 - _xlfn.XLOOKUP(G101,[1]!O_3[BLO],[1]!O_3[BLO],,-1))
+
_xlfn.XLOOKUP(G101,[1]!O_3[BLO],[1]!O_3[ILO],,-1)</f>
        <v>37</v>
      </c>
      <c r="N101">
        <f>MAX(DAILY_DATA[[#This Row],[AQI_PM2.5]:[AQI_O3]])</f>
        <v>75</v>
      </c>
      <c r="O101" t="str">
        <f>_xlfn.XLOOKUP(DAILY_DATA[[#This Row],[OVERALL_AQI]],[1]!CATEGORY[AQI_LO],[1]!CATEGORY[CATEGORY],,-1)</f>
        <v>Satisfactory</v>
      </c>
      <c r="P101" t="str" cm="1">
        <f t="array" ref="P101">INDEX(
{"PM2.5","PM10","NO2","SO2","CO","O3"},
MATCH(N101,H101:M101,0)
)</f>
        <v>PM10</v>
      </c>
    </row>
    <row r="102" spans="1:16" x14ac:dyDescent="0.25">
      <c r="A102" s="4">
        <v>45392</v>
      </c>
      <c r="B102">
        <f>ROUND(AVERAGEIFS([1]HOURLY_DATA!B102:B8885,[1]HOURLY_DATA!H102:H8885,Daily_AQI!A102),0)</f>
        <v>43</v>
      </c>
      <c r="C102">
        <f>ROUND(AVERAGEIFS([1]HOURLY_DATA!C102:C8885,[1]HOURLY_DATA!H102:H8885,Daily_AQI!A102),0)</f>
        <v>82</v>
      </c>
      <c r="D102">
        <f>ROUND(AVERAGEIFS([1]HOURLY_DATA!D102:D8885,[1]HOURLY_DATA!H102:H8885,Daily_AQI!A102),0)</f>
        <v>16</v>
      </c>
      <c r="E102">
        <f>ROUND(AVERAGEIFS([1]HOURLY_DATA!E102:E8885,[1]HOURLY_DATA!H102:H8885,Daily_AQI!A102),0)</f>
        <v>8</v>
      </c>
      <c r="F102">
        <f>ROUND(AVERAGEIFS([1]HOURLY_DATA!I102:I8885,[1]HOURLY_DATA!H102:H8885,Daily_AQI!A102),2)</f>
        <v>0.55000000000000004</v>
      </c>
      <c r="G102">
        <f>ROUND(AVERAGEIFS([1]HOURLY_DATA!J102:J8885,[1]HOURLY_DATA!H102:H8885,Daily_AQI!A102),0)</f>
        <v>37</v>
      </c>
      <c r="H102">
        <f>ROUND(((_xlfn.XLOOKUP(B102,[1]!PM2.5[BLO],[1]!PM2.5[IHI],,-1) - _xlfn.XLOOKUP(B102,[1]!PM2.5[BLO],[1]!PM2.5[ILO],,-1))
/
(_xlfn.XLOOKUP(B102,[1]!PM2.5[BLO],[1]!PM2.5[BHI],,-1) - _xlfn.XLOOKUP(B102,[1]!PM2.5[BLO],[1]!PM2.5[BLO],,-1)))
*
(B102 - _xlfn.XLOOKUP(B102,[1]!PM2.5[BLO],[1]!PM2.5[BLO],,-1))
+
_xlfn.XLOOKUP(B102,[1]!PM2.5[BLO],[1]!PM2.5[ILO],,-1),2)</f>
        <v>71.28</v>
      </c>
      <c r="I102">
        <f>ROUND(((_xlfn.XLOOKUP(C102,[1]!PM_10[BLO],[1]!PM_10[IHI],,-1) - _xlfn.XLOOKUP(C102,[1]!PM_10[BLO],[1]!PM_10[ILO],,-1))
/
(_xlfn.XLOOKUP(C102,[1]!PM_10[BLO],[1]!PM_10[BHI],,-1) - _xlfn.XLOOKUP(C102,[1]!PM_10[BLO],[1]!PM_10[BLO],,-1)))
*
( C102 - _xlfn.XLOOKUP(C102,[1]!PM_10[BLO],[1]!PM_10[BLO],,-1))
+
_xlfn.XLOOKUP(C102,[1]!PM_10[BLO],[1]!PM_10[ILO],,-1),2)</f>
        <v>82</v>
      </c>
      <c r="J102">
        <f>ROUND((( _xlfn.XLOOKUP(D102,[1]!NO_2[BLO],[1]!NO_2[IHI],,-1) - _xlfn.XLOOKUP(D102,[1]!NO_2[BLO],[1]!NO_2[ILO],,-1))
/
( _xlfn.XLOOKUP(D102,[1]!NO_2[BLO],[1]!NO_2[BHI],,-1) - _xlfn.XLOOKUP(D102,[1]!NO_2[BLO],[1]!NO_2[BLO],,-1) ))
*
( D102 - _xlfn.XLOOKUP(D102,[1]!NO_2[BLO],[1]!NO_2[BLO],,-1))
+
_xlfn.XLOOKUP(D102,[1]!NO_2[BLO],[1]!NO_2[ILO],,-1),2)</f>
        <v>20</v>
      </c>
      <c r="K102">
        <f>ROUND(( ( _xlfn.XLOOKUP(E102,[1]!SO_2[BLO],[1]!SO_2[IHI],,-1)  - _xlfn.XLOOKUP(E102,[1]!SO_2[BLO],[1]!SO_2[ILO],,-1) )
/
( _xlfn.XLOOKUP(E102,[1]!SO_2[BLO],[1]!SO_2[BHI],,-1)- _xlfn.XLOOKUP(E102,[1]!SO_2[BLO],[1]!SO_2[BLO],,-1) ))
*
( E102 - _xlfn.XLOOKUP(E102,[1]!SO_2[BLO],[1]!SO_2[BLO],,-1) )
+
_xlfn.XLOOKUP(E102,[1]!SO_2[BLO],[1]!SO_2[ILO],,-1),2)</f>
        <v>10</v>
      </c>
      <c r="L102">
        <f>( ( _xlfn.XLOOKUP(F102,[1]!CO[BLO],[1]!CO[IHI],,-1)
- _xlfn.XLOOKUP(F102,[1]!CO[BLO],[1]!CO[ILO],,-1) )
/
( _xlfn.XLOOKUP(F102,[1]!CO[BLO],[1]!CO[BHI],,-1) - _xlfn.XLOOKUP(F102,[1]!CO[BLO],[1]!CO[BLO],,-1)))
*
( F102 - _xlfn.XLOOKUP(F102,[1]!CO[BLO],[1]!CO[BLO],,-1) )
+
_xlfn.XLOOKUP(F102,[1]!CO[BLO],[1]!CO[ILO],,-1)</f>
        <v>27.500000000000004</v>
      </c>
      <c r="M102">
        <f>(( _xlfn.XLOOKUP(G102,[1]!O_3[BLO],[1]!O_3[IHI],,-1) - _xlfn.XLOOKUP(G102,[1]!O_3[BLO],[1]!O_3[ILO],,-1))
/
( _xlfn.XLOOKUP(G102,[1]!O_3[BLO],[1]!O_3[BHI],,-1) - _xlfn.XLOOKUP(G102,[1]!O_3[BLO],[1]!O_3[BLO],,-1)))
*
( G102 - _xlfn.XLOOKUP(G102,[1]!O_3[BLO],[1]!O_3[BLO],,-1))
+
_xlfn.XLOOKUP(G102,[1]!O_3[BLO],[1]!O_3[ILO],,-1)</f>
        <v>37</v>
      </c>
      <c r="N102">
        <f>MAX(DAILY_DATA[[#This Row],[AQI_PM2.5]:[AQI_O3]])</f>
        <v>82</v>
      </c>
      <c r="O102" t="str">
        <f>_xlfn.XLOOKUP(DAILY_DATA[[#This Row],[OVERALL_AQI]],[1]!CATEGORY[AQI_LO],[1]!CATEGORY[CATEGORY],,-1)</f>
        <v>Satisfactory</v>
      </c>
      <c r="P102" t="str" cm="1">
        <f t="array" ref="P102">INDEX(
{"PM2.5","PM10","NO2","SO2","CO","O3"},
MATCH(N102,H102:M102,0)
)</f>
        <v>PM10</v>
      </c>
    </row>
    <row r="103" spans="1:16" x14ac:dyDescent="0.25">
      <c r="A103" s="4">
        <v>45393</v>
      </c>
      <c r="B103">
        <f>ROUND(AVERAGEIFS([1]HOURLY_DATA!B103:B8886,[1]HOURLY_DATA!H103:H8886,Daily_AQI!A103),0)</f>
        <v>30</v>
      </c>
      <c r="C103">
        <f>ROUND(AVERAGEIFS([1]HOURLY_DATA!C103:C8886,[1]HOURLY_DATA!H103:H8886,Daily_AQI!A103),0)</f>
        <v>66</v>
      </c>
      <c r="D103">
        <f>ROUND(AVERAGEIFS([1]HOURLY_DATA!D103:D8886,[1]HOURLY_DATA!H103:H8886,Daily_AQI!A103),0)</f>
        <v>15</v>
      </c>
      <c r="E103">
        <f>ROUND(AVERAGEIFS([1]HOURLY_DATA!E103:E8886,[1]HOURLY_DATA!H103:H8886,Daily_AQI!A103),0)</f>
        <v>8</v>
      </c>
      <c r="F103">
        <f>ROUND(AVERAGEIFS([1]HOURLY_DATA!I103:I8886,[1]HOURLY_DATA!H103:H8886,Daily_AQI!A103),2)</f>
        <v>0.48</v>
      </c>
      <c r="G103">
        <f>ROUND(AVERAGEIFS([1]HOURLY_DATA!J103:J8886,[1]HOURLY_DATA!H103:H8886,Daily_AQI!A103),0)</f>
        <v>35</v>
      </c>
      <c r="H103">
        <f>ROUND(((_xlfn.XLOOKUP(B103,[1]!PM2.5[BLO],[1]!PM2.5[IHI],,-1) - _xlfn.XLOOKUP(B103,[1]!PM2.5[BLO],[1]!PM2.5[ILO],,-1))
/
(_xlfn.XLOOKUP(B103,[1]!PM2.5[BLO],[1]!PM2.5[BHI],,-1) - _xlfn.XLOOKUP(B103,[1]!PM2.5[BLO],[1]!PM2.5[BLO],,-1)))
*
(B103 - _xlfn.XLOOKUP(B103,[1]!PM2.5[BLO],[1]!PM2.5[BLO],,-1))
+
_xlfn.XLOOKUP(B103,[1]!PM2.5[BLO],[1]!PM2.5[ILO],,-1),2)</f>
        <v>50</v>
      </c>
      <c r="I103">
        <f>ROUND(((_xlfn.XLOOKUP(C103,[1]!PM_10[BLO],[1]!PM_10[IHI],,-1) - _xlfn.XLOOKUP(C103,[1]!PM_10[BLO],[1]!PM_10[ILO],,-1))
/
(_xlfn.XLOOKUP(C103,[1]!PM_10[BLO],[1]!PM_10[BHI],,-1) - _xlfn.XLOOKUP(C103,[1]!PM_10[BLO],[1]!PM_10[BLO],,-1)))
*
( C103 - _xlfn.XLOOKUP(C103,[1]!PM_10[BLO],[1]!PM_10[BLO],,-1))
+
_xlfn.XLOOKUP(C103,[1]!PM_10[BLO],[1]!PM_10[ILO],,-1),2)</f>
        <v>66</v>
      </c>
      <c r="J103">
        <f>ROUND((( _xlfn.XLOOKUP(D103,[1]!NO_2[BLO],[1]!NO_2[IHI],,-1) - _xlfn.XLOOKUP(D103,[1]!NO_2[BLO],[1]!NO_2[ILO],,-1))
/
( _xlfn.XLOOKUP(D103,[1]!NO_2[BLO],[1]!NO_2[BHI],,-1) - _xlfn.XLOOKUP(D103,[1]!NO_2[BLO],[1]!NO_2[BLO],,-1) ))
*
( D103 - _xlfn.XLOOKUP(D103,[1]!NO_2[BLO],[1]!NO_2[BLO],,-1))
+
_xlfn.XLOOKUP(D103,[1]!NO_2[BLO],[1]!NO_2[ILO],,-1),2)</f>
        <v>18.75</v>
      </c>
      <c r="K103">
        <f>ROUND(( ( _xlfn.XLOOKUP(E103,[1]!SO_2[BLO],[1]!SO_2[IHI],,-1)  - _xlfn.XLOOKUP(E103,[1]!SO_2[BLO],[1]!SO_2[ILO],,-1) )
/
( _xlfn.XLOOKUP(E103,[1]!SO_2[BLO],[1]!SO_2[BHI],,-1)- _xlfn.XLOOKUP(E103,[1]!SO_2[BLO],[1]!SO_2[BLO],,-1) ))
*
( E103 - _xlfn.XLOOKUP(E103,[1]!SO_2[BLO],[1]!SO_2[BLO],,-1) )
+
_xlfn.XLOOKUP(E103,[1]!SO_2[BLO],[1]!SO_2[ILO],,-1),2)</f>
        <v>10</v>
      </c>
      <c r="L103">
        <f>( ( _xlfn.XLOOKUP(F103,[1]!CO[BLO],[1]!CO[IHI],,-1)
- _xlfn.XLOOKUP(F103,[1]!CO[BLO],[1]!CO[ILO],,-1) )
/
( _xlfn.XLOOKUP(F103,[1]!CO[BLO],[1]!CO[BHI],,-1) - _xlfn.XLOOKUP(F103,[1]!CO[BLO],[1]!CO[BLO],,-1)))
*
( F103 - _xlfn.XLOOKUP(F103,[1]!CO[BLO],[1]!CO[BLO],,-1) )
+
_xlfn.XLOOKUP(F103,[1]!CO[BLO],[1]!CO[ILO],,-1)</f>
        <v>24</v>
      </c>
      <c r="M103">
        <f>(( _xlfn.XLOOKUP(G103,[1]!O_3[BLO],[1]!O_3[IHI],,-1) - _xlfn.XLOOKUP(G103,[1]!O_3[BLO],[1]!O_3[ILO],,-1))
/
( _xlfn.XLOOKUP(G103,[1]!O_3[BLO],[1]!O_3[BHI],,-1) - _xlfn.XLOOKUP(G103,[1]!O_3[BLO],[1]!O_3[BLO],,-1)))
*
( G103 - _xlfn.XLOOKUP(G103,[1]!O_3[BLO],[1]!O_3[BLO],,-1))
+
_xlfn.XLOOKUP(G103,[1]!O_3[BLO],[1]!O_3[ILO],,-1)</f>
        <v>35</v>
      </c>
      <c r="N103">
        <f>MAX(DAILY_DATA[[#This Row],[AQI_PM2.5]:[AQI_O3]])</f>
        <v>66</v>
      </c>
      <c r="O103" t="str">
        <f>_xlfn.XLOOKUP(DAILY_DATA[[#This Row],[OVERALL_AQI]],[1]!CATEGORY[AQI_LO],[1]!CATEGORY[CATEGORY],,-1)</f>
        <v>Satisfactory</v>
      </c>
      <c r="P103" t="str" cm="1">
        <f t="array" ref="P103">INDEX(
{"PM2.5","PM10","NO2","SO2","CO","O3"},
MATCH(N103,H103:M103,0)
)</f>
        <v>PM10</v>
      </c>
    </row>
    <row r="104" spans="1:16" x14ac:dyDescent="0.25">
      <c r="A104" s="4">
        <v>45394</v>
      </c>
      <c r="B104">
        <f>ROUND(AVERAGEIFS([1]HOURLY_DATA!B104:B8887,[1]HOURLY_DATA!H104:H8887,Daily_AQI!A104),0)</f>
        <v>26</v>
      </c>
      <c r="C104">
        <f>ROUND(AVERAGEIFS([1]HOURLY_DATA!C104:C8887,[1]HOURLY_DATA!H104:H8887,Daily_AQI!A104),0)</f>
        <v>56</v>
      </c>
      <c r="D104">
        <f>ROUND(AVERAGEIFS([1]HOURLY_DATA!D104:D8887,[1]HOURLY_DATA!H104:H8887,Daily_AQI!A104),0)</f>
        <v>14</v>
      </c>
      <c r="E104">
        <f>ROUND(AVERAGEIFS([1]HOURLY_DATA!E104:E8887,[1]HOURLY_DATA!H104:H8887,Daily_AQI!A104),0)</f>
        <v>7</v>
      </c>
      <c r="F104">
        <f>ROUND(AVERAGEIFS([1]HOURLY_DATA!I104:I8887,[1]HOURLY_DATA!H104:H8887,Daily_AQI!A104),2)</f>
        <v>0.49</v>
      </c>
      <c r="G104">
        <f>ROUND(AVERAGEIFS([1]HOURLY_DATA!J104:J8887,[1]HOURLY_DATA!H104:H8887,Daily_AQI!A104),0)</f>
        <v>31</v>
      </c>
      <c r="H104">
        <f>ROUND(((_xlfn.XLOOKUP(B104,[1]!PM2.5[BLO],[1]!PM2.5[IHI],,-1) - _xlfn.XLOOKUP(B104,[1]!PM2.5[BLO],[1]!PM2.5[ILO],,-1))
/
(_xlfn.XLOOKUP(B104,[1]!PM2.5[BLO],[1]!PM2.5[BHI],,-1) - _xlfn.XLOOKUP(B104,[1]!PM2.5[BLO],[1]!PM2.5[BLO],,-1)))
*
(B104 - _xlfn.XLOOKUP(B104,[1]!PM2.5[BLO],[1]!PM2.5[BLO],,-1))
+
_xlfn.XLOOKUP(B104,[1]!PM2.5[BLO],[1]!PM2.5[ILO],,-1),2)</f>
        <v>43.33</v>
      </c>
      <c r="I104">
        <f>ROUND(((_xlfn.XLOOKUP(C104,[1]!PM_10[BLO],[1]!PM_10[IHI],,-1) - _xlfn.XLOOKUP(C104,[1]!PM_10[BLO],[1]!PM_10[ILO],,-1))
/
(_xlfn.XLOOKUP(C104,[1]!PM_10[BLO],[1]!PM_10[BHI],,-1) - _xlfn.XLOOKUP(C104,[1]!PM_10[BLO],[1]!PM_10[BLO],,-1)))
*
( C104 - _xlfn.XLOOKUP(C104,[1]!PM_10[BLO],[1]!PM_10[BLO],,-1))
+
_xlfn.XLOOKUP(C104,[1]!PM_10[BLO],[1]!PM_10[ILO],,-1),2)</f>
        <v>56</v>
      </c>
      <c r="J104">
        <f>ROUND((( _xlfn.XLOOKUP(D104,[1]!NO_2[BLO],[1]!NO_2[IHI],,-1) - _xlfn.XLOOKUP(D104,[1]!NO_2[BLO],[1]!NO_2[ILO],,-1))
/
( _xlfn.XLOOKUP(D104,[1]!NO_2[BLO],[1]!NO_2[BHI],,-1) - _xlfn.XLOOKUP(D104,[1]!NO_2[BLO],[1]!NO_2[BLO],,-1) ))
*
( D104 - _xlfn.XLOOKUP(D104,[1]!NO_2[BLO],[1]!NO_2[BLO],,-1))
+
_xlfn.XLOOKUP(D104,[1]!NO_2[BLO],[1]!NO_2[ILO],,-1),2)</f>
        <v>17.5</v>
      </c>
      <c r="K104">
        <f>ROUND(( ( _xlfn.XLOOKUP(E104,[1]!SO_2[BLO],[1]!SO_2[IHI],,-1)  - _xlfn.XLOOKUP(E104,[1]!SO_2[BLO],[1]!SO_2[ILO],,-1) )
/
( _xlfn.XLOOKUP(E104,[1]!SO_2[BLO],[1]!SO_2[BHI],,-1)- _xlfn.XLOOKUP(E104,[1]!SO_2[BLO],[1]!SO_2[BLO],,-1) ))
*
( E104 - _xlfn.XLOOKUP(E104,[1]!SO_2[BLO],[1]!SO_2[BLO],,-1) )
+
_xlfn.XLOOKUP(E104,[1]!SO_2[BLO],[1]!SO_2[ILO],,-1),2)</f>
        <v>8.75</v>
      </c>
      <c r="L104">
        <f>( ( _xlfn.XLOOKUP(F104,[1]!CO[BLO],[1]!CO[IHI],,-1)
- _xlfn.XLOOKUP(F104,[1]!CO[BLO],[1]!CO[ILO],,-1) )
/
( _xlfn.XLOOKUP(F104,[1]!CO[BLO],[1]!CO[BHI],,-1) - _xlfn.XLOOKUP(F104,[1]!CO[BLO],[1]!CO[BLO],,-1)))
*
( F104 - _xlfn.XLOOKUP(F104,[1]!CO[BLO],[1]!CO[BLO],,-1) )
+
_xlfn.XLOOKUP(F104,[1]!CO[BLO],[1]!CO[ILO],,-1)</f>
        <v>24.5</v>
      </c>
      <c r="M104">
        <f>(( _xlfn.XLOOKUP(G104,[1]!O_3[BLO],[1]!O_3[IHI],,-1) - _xlfn.XLOOKUP(G104,[1]!O_3[BLO],[1]!O_3[ILO],,-1))
/
( _xlfn.XLOOKUP(G104,[1]!O_3[BLO],[1]!O_3[BHI],,-1) - _xlfn.XLOOKUP(G104,[1]!O_3[BLO],[1]!O_3[BLO],,-1)))
*
( G104 - _xlfn.XLOOKUP(G104,[1]!O_3[BLO],[1]!O_3[BLO],,-1))
+
_xlfn.XLOOKUP(G104,[1]!O_3[BLO],[1]!O_3[ILO],,-1)</f>
        <v>31</v>
      </c>
      <c r="N104">
        <f>MAX(DAILY_DATA[[#This Row],[AQI_PM2.5]:[AQI_O3]])</f>
        <v>56</v>
      </c>
      <c r="O104" t="str">
        <f>_xlfn.XLOOKUP(DAILY_DATA[[#This Row],[OVERALL_AQI]],[1]!CATEGORY[AQI_LO],[1]!CATEGORY[CATEGORY],,-1)</f>
        <v>Satisfactory</v>
      </c>
      <c r="P104" t="str" cm="1">
        <f t="array" ref="P104">INDEX(
{"PM2.5","PM10","NO2","SO2","CO","O3"},
MATCH(N104,H104:M104,0)
)</f>
        <v>PM10</v>
      </c>
    </row>
    <row r="105" spans="1:16" x14ac:dyDescent="0.25">
      <c r="A105" s="4">
        <v>45395</v>
      </c>
      <c r="B105">
        <f>ROUND(AVERAGEIFS([1]HOURLY_DATA!B105:B8888,[1]HOURLY_DATA!H105:H8888,Daily_AQI!A105),0)</f>
        <v>29</v>
      </c>
      <c r="C105">
        <f>ROUND(AVERAGEIFS([1]HOURLY_DATA!C105:C8888,[1]HOURLY_DATA!H105:H8888,Daily_AQI!A105),0)</f>
        <v>60</v>
      </c>
      <c r="D105">
        <f>ROUND(AVERAGEIFS([1]HOURLY_DATA!D105:D8888,[1]HOURLY_DATA!H105:H8888,Daily_AQI!A105),0)</f>
        <v>15</v>
      </c>
      <c r="E105">
        <f>ROUND(AVERAGEIFS([1]HOURLY_DATA!E105:E8888,[1]HOURLY_DATA!H105:H8888,Daily_AQI!A105),0)</f>
        <v>8</v>
      </c>
      <c r="F105">
        <f>ROUND(AVERAGEIFS([1]HOURLY_DATA!I105:I8888,[1]HOURLY_DATA!H105:H8888,Daily_AQI!A105),2)</f>
        <v>0.45</v>
      </c>
      <c r="G105">
        <f>ROUND(AVERAGEIFS([1]HOURLY_DATA!J105:J8888,[1]HOURLY_DATA!H105:H8888,Daily_AQI!A105),0)</f>
        <v>27</v>
      </c>
      <c r="H105">
        <f>ROUND(((_xlfn.XLOOKUP(B105,[1]!PM2.5[BLO],[1]!PM2.5[IHI],,-1) - _xlfn.XLOOKUP(B105,[1]!PM2.5[BLO],[1]!PM2.5[ILO],,-1))
/
(_xlfn.XLOOKUP(B105,[1]!PM2.5[BLO],[1]!PM2.5[BHI],,-1) - _xlfn.XLOOKUP(B105,[1]!PM2.5[BLO],[1]!PM2.5[BLO],,-1)))
*
(B105 - _xlfn.XLOOKUP(B105,[1]!PM2.5[BLO],[1]!PM2.5[BLO],,-1))
+
_xlfn.XLOOKUP(B105,[1]!PM2.5[BLO],[1]!PM2.5[ILO],,-1),2)</f>
        <v>48.33</v>
      </c>
      <c r="I105">
        <f>ROUND(((_xlfn.XLOOKUP(C105,[1]!PM_10[BLO],[1]!PM_10[IHI],,-1) - _xlfn.XLOOKUP(C105,[1]!PM_10[BLO],[1]!PM_10[ILO],,-1))
/
(_xlfn.XLOOKUP(C105,[1]!PM_10[BLO],[1]!PM_10[BHI],,-1) - _xlfn.XLOOKUP(C105,[1]!PM_10[BLO],[1]!PM_10[BLO],,-1)))
*
( C105 - _xlfn.XLOOKUP(C105,[1]!PM_10[BLO],[1]!PM_10[BLO],,-1))
+
_xlfn.XLOOKUP(C105,[1]!PM_10[BLO],[1]!PM_10[ILO],,-1),2)</f>
        <v>60</v>
      </c>
      <c r="J105">
        <f>ROUND((( _xlfn.XLOOKUP(D105,[1]!NO_2[BLO],[1]!NO_2[IHI],,-1) - _xlfn.XLOOKUP(D105,[1]!NO_2[BLO],[1]!NO_2[ILO],,-1))
/
( _xlfn.XLOOKUP(D105,[1]!NO_2[BLO],[1]!NO_2[BHI],,-1) - _xlfn.XLOOKUP(D105,[1]!NO_2[BLO],[1]!NO_2[BLO],,-1) ))
*
( D105 - _xlfn.XLOOKUP(D105,[1]!NO_2[BLO],[1]!NO_2[BLO],,-1))
+
_xlfn.XLOOKUP(D105,[1]!NO_2[BLO],[1]!NO_2[ILO],,-1),2)</f>
        <v>18.75</v>
      </c>
      <c r="K105">
        <f>ROUND(( ( _xlfn.XLOOKUP(E105,[1]!SO_2[BLO],[1]!SO_2[IHI],,-1)  - _xlfn.XLOOKUP(E105,[1]!SO_2[BLO],[1]!SO_2[ILO],,-1) )
/
( _xlfn.XLOOKUP(E105,[1]!SO_2[BLO],[1]!SO_2[BHI],,-1)- _xlfn.XLOOKUP(E105,[1]!SO_2[BLO],[1]!SO_2[BLO],,-1) ))
*
( E105 - _xlfn.XLOOKUP(E105,[1]!SO_2[BLO],[1]!SO_2[BLO],,-1) )
+
_xlfn.XLOOKUP(E105,[1]!SO_2[BLO],[1]!SO_2[ILO],,-1),2)</f>
        <v>10</v>
      </c>
      <c r="L105">
        <f>( ( _xlfn.XLOOKUP(F105,[1]!CO[BLO],[1]!CO[IHI],,-1)
- _xlfn.XLOOKUP(F105,[1]!CO[BLO],[1]!CO[ILO],,-1) )
/
( _xlfn.XLOOKUP(F105,[1]!CO[BLO],[1]!CO[BHI],,-1) - _xlfn.XLOOKUP(F105,[1]!CO[BLO],[1]!CO[BLO],,-1)))
*
( F105 - _xlfn.XLOOKUP(F105,[1]!CO[BLO],[1]!CO[BLO],,-1) )
+
_xlfn.XLOOKUP(F105,[1]!CO[BLO],[1]!CO[ILO],,-1)</f>
        <v>22.5</v>
      </c>
      <c r="M105">
        <f>(( _xlfn.XLOOKUP(G105,[1]!O_3[BLO],[1]!O_3[IHI],,-1) - _xlfn.XLOOKUP(G105,[1]!O_3[BLO],[1]!O_3[ILO],,-1))
/
( _xlfn.XLOOKUP(G105,[1]!O_3[BLO],[1]!O_3[BHI],,-1) - _xlfn.XLOOKUP(G105,[1]!O_3[BLO],[1]!O_3[BLO],,-1)))
*
( G105 - _xlfn.XLOOKUP(G105,[1]!O_3[BLO],[1]!O_3[BLO],,-1))
+
_xlfn.XLOOKUP(G105,[1]!O_3[BLO],[1]!O_3[ILO],,-1)</f>
        <v>27</v>
      </c>
      <c r="N105">
        <f>MAX(DAILY_DATA[[#This Row],[AQI_PM2.5]:[AQI_O3]])</f>
        <v>60</v>
      </c>
      <c r="O105" t="str">
        <f>_xlfn.XLOOKUP(DAILY_DATA[[#This Row],[OVERALL_AQI]],[1]!CATEGORY[AQI_LO],[1]!CATEGORY[CATEGORY],,-1)</f>
        <v>Satisfactory</v>
      </c>
      <c r="P105" t="str" cm="1">
        <f t="array" ref="P105">INDEX(
{"PM2.5","PM10","NO2","SO2","CO","O3"},
MATCH(N105,H105:M105,0)
)</f>
        <v>PM10</v>
      </c>
    </row>
    <row r="106" spans="1:16" x14ac:dyDescent="0.25">
      <c r="A106" s="4">
        <v>45396</v>
      </c>
      <c r="B106">
        <f>ROUND(AVERAGEIFS([1]HOURLY_DATA!B106:B8889,[1]HOURLY_DATA!H106:H8889,Daily_AQI!A106),0)</f>
        <v>31</v>
      </c>
      <c r="C106">
        <f>ROUND(AVERAGEIFS([1]HOURLY_DATA!C106:C8889,[1]HOURLY_DATA!H106:H8889,Daily_AQI!A106),0)</f>
        <v>64</v>
      </c>
      <c r="D106">
        <f>ROUND(AVERAGEIFS([1]HOURLY_DATA!D106:D8889,[1]HOURLY_DATA!H106:H8889,Daily_AQI!A106),0)</f>
        <v>15</v>
      </c>
      <c r="E106">
        <f>ROUND(AVERAGEIFS([1]HOURLY_DATA!E106:E8889,[1]HOURLY_DATA!H106:H8889,Daily_AQI!A106),0)</f>
        <v>8</v>
      </c>
      <c r="F106">
        <f>ROUND(AVERAGEIFS([1]HOURLY_DATA!I106:I8889,[1]HOURLY_DATA!H106:H8889,Daily_AQI!A106),2)</f>
        <v>0.46</v>
      </c>
      <c r="G106">
        <f>ROUND(AVERAGEIFS([1]HOURLY_DATA!J106:J8889,[1]HOURLY_DATA!H106:H8889,Daily_AQI!A106),0)</f>
        <v>32</v>
      </c>
      <c r="H106">
        <f>ROUND(((_xlfn.XLOOKUP(B106,[1]!PM2.5[BLO],[1]!PM2.5[IHI],,-1) - _xlfn.XLOOKUP(B106,[1]!PM2.5[BLO],[1]!PM2.5[ILO],,-1))
/
(_xlfn.XLOOKUP(B106,[1]!PM2.5[BLO],[1]!PM2.5[BHI],,-1) - _xlfn.XLOOKUP(B106,[1]!PM2.5[BLO],[1]!PM2.5[BLO],,-1)))
*
(B106 - _xlfn.XLOOKUP(B106,[1]!PM2.5[BLO],[1]!PM2.5[BLO],,-1))
+
_xlfn.XLOOKUP(B106,[1]!PM2.5[BLO],[1]!PM2.5[ILO],,-1),2)</f>
        <v>51</v>
      </c>
      <c r="I106">
        <f>ROUND(((_xlfn.XLOOKUP(C106,[1]!PM_10[BLO],[1]!PM_10[IHI],,-1) - _xlfn.XLOOKUP(C106,[1]!PM_10[BLO],[1]!PM_10[ILO],,-1))
/
(_xlfn.XLOOKUP(C106,[1]!PM_10[BLO],[1]!PM_10[BHI],,-1) - _xlfn.XLOOKUP(C106,[1]!PM_10[BLO],[1]!PM_10[BLO],,-1)))
*
( C106 - _xlfn.XLOOKUP(C106,[1]!PM_10[BLO],[1]!PM_10[BLO],,-1))
+
_xlfn.XLOOKUP(C106,[1]!PM_10[BLO],[1]!PM_10[ILO],,-1),2)</f>
        <v>64</v>
      </c>
      <c r="J106">
        <f>ROUND((( _xlfn.XLOOKUP(D106,[1]!NO_2[BLO],[1]!NO_2[IHI],,-1) - _xlfn.XLOOKUP(D106,[1]!NO_2[BLO],[1]!NO_2[ILO],,-1))
/
( _xlfn.XLOOKUP(D106,[1]!NO_2[BLO],[1]!NO_2[BHI],,-1) - _xlfn.XLOOKUP(D106,[1]!NO_2[BLO],[1]!NO_2[BLO],,-1) ))
*
( D106 - _xlfn.XLOOKUP(D106,[1]!NO_2[BLO],[1]!NO_2[BLO],,-1))
+
_xlfn.XLOOKUP(D106,[1]!NO_2[BLO],[1]!NO_2[ILO],,-1),2)</f>
        <v>18.75</v>
      </c>
      <c r="K106">
        <f>ROUND(( ( _xlfn.XLOOKUP(E106,[1]!SO_2[BLO],[1]!SO_2[IHI],,-1)  - _xlfn.XLOOKUP(E106,[1]!SO_2[BLO],[1]!SO_2[ILO],,-1) )
/
( _xlfn.XLOOKUP(E106,[1]!SO_2[BLO],[1]!SO_2[BHI],,-1)- _xlfn.XLOOKUP(E106,[1]!SO_2[BLO],[1]!SO_2[BLO],,-1) ))
*
( E106 - _xlfn.XLOOKUP(E106,[1]!SO_2[BLO],[1]!SO_2[BLO],,-1) )
+
_xlfn.XLOOKUP(E106,[1]!SO_2[BLO],[1]!SO_2[ILO],,-1),2)</f>
        <v>10</v>
      </c>
      <c r="L106">
        <f>( ( _xlfn.XLOOKUP(F106,[1]!CO[BLO],[1]!CO[IHI],,-1)
- _xlfn.XLOOKUP(F106,[1]!CO[BLO],[1]!CO[ILO],,-1) )
/
( _xlfn.XLOOKUP(F106,[1]!CO[BLO],[1]!CO[BHI],,-1) - _xlfn.XLOOKUP(F106,[1]!CO[BLO],[1]!CO[BLO],,-1)))
*
( F106 - _xlfn.XLOOKUP(F106,[1]!CO[BLO],[1]!CO[BLO],,-1) )
+
_xlfn.XLOOKUP(F106,[1]!CO[BLO],[1]!CO[ILO],,-1)</f>
        <v>23</v>
      </c>
      <c r="M106">
        <f>(( _xlfn.XLOOKUP(G106,[1]!O_3[BLO],[1]!O_3[IHI],,-1) - _xlfn.XLOOKUP(G106,[1]!O_3[BLO],[1]!O_3[ILO],,-1))
/
( _xlfn.XLOOKUP(G106,[1]!O_3[BLO],[1]!O_3[BHI],,-1) - _xlfn.XLOOKUP(G106,[1]!O_3[BLO],[1]!O_3[BLO],,-1)))
*
( G106 - _xlfn.XLOOKUP(G106,[1]!O_3[BLO],[1]!O_3[BLO],,-1))
+
_xlfn.XLOOKUP(G106,[1]!O_3[BLO],[1]!O_3[ILO],,-1)</f>
        <v>32</v>
      </c>
      <c r="N106">
        <f>MAX(DAILY_DATA[[#This Row],[AQI_PM2.5]:[AQI_O3]])</f>
        <v>64</v>
      </c>
      <c r="O106" t="str">
        <f>_xlfn.XLOOKUP(DAILY_DATA[[#This Row],[OVERALL_AQI]],[1]!CATEGORY[AQI_LO],[1]!CATEGORY[CATEGORY],,-1)</f>
        <v>Satisfactory</v>
      </c>
      <c r="P106" t="str" cm="1">
        <f t="array" ref="P106">INDEX(
{"PM2.5","PM10","NO2","SO2","CO","O3"},
MATCH(N106,H106:M106,0)
)</f>
        <v>PM10</v>
      </c>
    </row>
    <row r="107" spans="1:16" x14ac:dyDescent="0.25">
      <c r="A107" s="4">
        <v>45397</v>
      </c>
      <c r="B107">
        <f>ROUND(AVERAGEIFS([1]HOURLY_DATA!B107:B8890,[1]HOURLY_DATA!H107:H8890,Daily_AQI!A107),0)</f>
        <v>29</v>
      </c>
      <c r="C107">
        <f>ROUND(AVERAGEIFS([1]HOURLY_DATA!C107:C8890,[1]HOURLY_DATA!H107:H8890,Daily_AQI!A107),0)</f>
        <v>64</v>
      </c>
      <c r="D107">
        <f>ROUND(AVERAGEIFS([1]HOURLY_DATA!D107:D8890,[1]HOURLY_DATA!H107:H8890,Daily_AQI!A107),0)</f>
        <v>15</v>
      </c>
      <c r="E107">
        <f>ROUND(AVERAGEIFS([1]HOURLY_DATA!E107:E8890,[1]HOURLY_DATA!H107:H8890,Daily_AQI!A107),0)</f>
        <v>10</v>
      </c>
      <c r="F107">
        <f>ROUND(AVERAGEIFS([1]HOURLY_DATA!I107:I8890,[1]HOURLY_DATA!H107:H8890,Daily_AQI!A107),2)</f>
        <v>0.46</v>
      </c>
      <c r="G107">
        <f>ROUND(AVERAGEIFS([1]HOURLY_DATA!J107:J8890,[1]HOURLY_DATA!H107:H8890,Daily_AQI!A107),0)</f>
        <v>31</v>
      </c>
      <c r="H107">
        <f>ROUND(((_xlfn.XLOOKUP(B107,[1]!PM2.5[BLO],[1]!PM2.5[IHI],,-1) - _xlfn.XLOOKUP(B107,[1]!PM2.5[BLO],[1]!PM2.5[ILO],,-1))
/
(_xlfn.XLOOKUP(B107,[1]!PM2.5[BLO],[1]!PM2.5[BHI],,-1) - _xlfn.XLOOKUP(B107,[1]!PM2.5[BLO],[1]!PM2.5[BLO],,-1)))
*
(B107 - _xlfn.XLOOKUP(B107,[1]!PM2.5[BLO],[1]!PM2.5[BLO],,-1))
+
_xlfn.XLOOKUP(B107,[1]!PM2.5[BLO],[1]!PM2.5[ILO],,-1),2)</f>
        <v>48.33</v>
      </c>
      <c r="I107">
        <f>ROUND(((_xlfn.XLOOKUP(C107,[1]!PM_10[BLO],[1]!PM_10[IHI],,-1) - _xlfn.XLOOKUP(C107,[1]!PM_10[BLO],[1]!PM_10[ILO],,-1))
/
(_xlfn.XLOOKUP(C107,[1]!PM_10[BLO],[1]!PM_10[BHI],,-1) - _xlfn.XLOOKUP(C107,[1]!PM_10[BLO],[1]!PM_10[BLO],,-1)))
*
( C107 - _xlfn.XLOOKUP(C107,[1]!PM_10[BLO],[1]!PM_10[BLO],,-1))
+
_xlfn.XLOOKUP(C107,[1]!PM_10[BLO],[1]!PM_10[ILO],,-1),2)</f>
        <v>64</v>
      </c>
      <c r="J107">
        <f>ROUND((( _xlfn.XLOOKUP(D107,[1]!NO_2[BLO],[1]!NO_2[IHI],,-1) - _xlfn.XLOOKUP(D107,[1]!NO_2[BLO],[1]!NO_2[ILO],,-1))
/
( _xlfn.XLOOKUP(D107,[1]!NO_2[BLO],[1]!NO_2[BHI],,-1) - _xlfn.XLOOKUP(D107,[1]!NO_2[BLO],[1]!NO_2[BLO],,-1) ))
*
( D107 - _xlfn.XLOOKUP(D107,[1]!NO_2[BLO],[1]!NO_2[BLO],,-1))
+
_xlfn.XLOOKUP(D107,[1]!NO_2[BLO],[1]!NO_2[ILO],,-1),2)</f>
        <v>18.75</v>
      </c>
      <c r="K107">
        <f>ROUND(( ( _xlfn.XLOOKUP(E107,[1]!SO_2[BLO],[1]!SO_2[IHI],,-1)  - _xlfn.XLOOKUP(E107,[1]!SO_2[BLO],[1]!SO_2[ILO],,-1) )
/
( _xlfn.XLOOKUP(E107,[1]!SO_2[BLO],[1]!SO_2[BHI],,-1)- _xlfn.XLOOKUP(E107,[1]!SO_2[BLO],[1]!SO_2[BLO],,-1) ))
*
( E107 - _xlfn.XLOOKUP(E107,[1]!SO_2[BLO],[1]!SO_2[BLO],,-1) )
+
_xlfn.XLOOKUP(E107,[1]!SO_2[BLO],[1]!SO_2[ILO],,-1),2)</f>
        <v>12.5</v>
      </c>
      <c r="L107">
        <f>( ( _xlfn.XLOOKUP(F107,[1]!CO[BLO],[1]!CO[IHI],,-1)
- _xlfn.XLOOKUP(F107,[1]!CO[BLO],[1]!CO[ILO],,-1) )
/
( _xlfn.XLOOKUP(F107,[1]!CO[BLO],[1]!CO[BHI],,-1) - _xlfn.XLOOKUP(F107,[1]!CO[BLO],[1]!CO[BLO],,-1)))
*
( F107 - _xlfn.XLOOKUP(F107,[1]!CO[BLO],[1]!CO[BLO],,-1) )
+
_xlfn.XLOOKUP(F107,[1]!CO[BLO],[1]!CO[ILO],,-1)</f>
        <v>23</v>
      </c>
      <c r="M107">
        <f>(( _xlfn.XLOOKUP(G107,[1]!O_3[BLO],[1]!O_3[IHI],,-1) - _xlfn.XLOOKUP(G107,[1]!O_3[BLO],[1]!O_3[ILO],,-1))
/
( _xlfn.XLOOKUP(G107,[1]!O_3[BLO],[1]!O_3[BHI],,-1) - _xlfn.XLOOKUP(G107,[1]!O_3[BLO],[1]!O_3[BLO],,-1)))
*
( G107 - _xlfn.XLOOKUP(G107,[1]!O_3[BLO],[1]!O_3[BLO],,-1))
+
_xlfn.XLOOKUP(G107,[1]!O_3[BLO],[1]!O_3[ILO],,-1)</f>
        <v>31</v>
      </c>
      <c r="N107">
        <f>MAX(DAILY_DATA[[#This Row],[AQI_PM2.5]:[AQI_O3]])</f>
        <v>64</v>
      </c>
      <c r="O107" t="str">
        <f>_xlfn.XLOOKUP(DAILY_DATA[[#This Row],[OVERALL_AQI]],[1]!CATEGORY[AQI_LO],[1]!CATEGORY[CATEGORY],,-1)</f>
        <v>Satisfactory</v>
      </c>
      <c r="P107" t="str" cm="1">
        <f t="array" ref="P107">INDEX(
{"PM2.5","PM10","NO2","SO2","CO","O3"},
MATCH(N107,H107:M107,0)
)</f>
        <v>PM10</v>
      </c>
    </row>
    <row r="108" spans="1:16" x14ac:dyDescent="0.25">
      <c r="A108" s="4">
        <v>45398</v>
      </c>
      <c r="B108">
        <f>ROUND(AVERAGEIFS([1]HOURLY_DATA!B108:B8891,[1]HOURLY_DATA!H108:H8891,Daily_AQI!A108),0)</f>
        <v>33</v>
      </c>
      <c r="C108">
        <f>ROUND(AVERAGEIFS([1]HOURLY_DATA!C108:C8891,[1]HOURLY_DATA!H108:H8891,Daily_AQI!A108),0)</f>
        <v>71</v>
      </c>
      <c r="D108">
        <f>ROUND(AVERAGEIFS([1]HOURLY_DATA!D108:D8891,[1]HOURLY_DATA!H108:H8891,Daily_AQI!A108),0)</f>
        <v>15</v>
      </c>
      <c r="E108">
        <f>ROUND(AVERAGEIFS([1]HOURLY_DATA!E108:E8891,[1]HOURLY_DATA!H108:H8891,Daily_AQI!A108),0)</f>
        <v>8</v>
      </c>
      <c r="F108">
        <f>ROUND(AVERAGEIFS([1]HOURLY_DATA!I108:I8891,[1]HOURLY_DATA!H108:H8891,Daily_AQI!A108),2)</f>
        <v>0.47</v>
      </c>
      <c r="G108">
        <f>ROUND(AVERAGEIFS([1]HOURLY_DATA!J108:J8891,[1]HOURLY_DATA!H108:H8891,Daily_AQI!A108),0)</f>
        <v>33</v>
      </c>
      <c r="H108">
        <f>ROUND(((_xlfn.XLOOKUP(B108,[1]!PM2.5[BLO],[1]!PM2.5[IHI],,-1) - _xlfn.XLOOKUP(B108,[1]!PM2.5[BLO],[1]!PM2.5[ILO],,-1))
/
(_xlfn.XLOOKUP(B108,[1]!PM2.5[BLO],[1]!PM2.5[BHI],,-1) - _xlfn.XLOOKUP(B108,[1]!PM2.5[BLO],[1]!PM2.5[BLO],,-1)))
*
(B108 - _xlfn.XLOOKUP(B108,[1]!PM2.5[BLO],[1]!PM2.5[BLO],,-1))
+
_xlfn.XLOOKUP(B108,[1]!PM2.5[BLO],[1]!PM2.5[ILO],,-1),2)</f>
        <v>54.38</v>
      </c>
      <c r="I108">
        <f>ROUND(((_xlfn.XLOOKUP(C108,[1]!PM_10[BLO],[1]!PM_10[IHI],,-1) - _xlfn.XLOOKUP(C108,[1]!PM_10[BLO],[1]!PM_10[ILO],,-1))
/
(_xlfn.XLOOKUP(C108,[1]!PM_10[BLO],[1]!PM_10[BHI],,-1) - _xlfn.XLOOKUP(C108,[1]!PM_10[BLO],[1]!PM_10[BLO],,-1)))
*
( C108 - _xlfn.XLOOKUP(C108,[1]!PM_10[BLO],[1]!PM_10[BLO],,-1))
+
_xlfn.XLOOKUP(C108,[1]!PM_10[BLO],[1]!PM_10[ILO],,-1),2)</f>
        <v>71</v>
      </c>
      <c r="J108">
        <f>ROUND((( _xlfn.XLOOKUP(D108,[1]!NO_2[BLO],[1]!NO_2[IHI],,-1) - _xlfn.XLOOKUP(D108,[1]!NO_2[BLO],[1]!NO_2[ILO],,-1))
/
( _xlfn.XLOOKUP(D108,[1]!NO_2[BLO],[1]!NO_2[BHI],,-1) - _xlfn.XLOOKUP(D108,[1]!NO_2[BLO],[1]!NO_2[BLO],,-1) ))
*
( D108 - _xlfn.XLOOKUP(D108,[1]!NO_2[BLO],[1]!NO_2[BLO],,-1))
+
_xlfn.XLOOKUP(D108,[1]!NO_2[BLO],[1]!NO_2[ILO],,-1),2)</f>
        <v>18.75</v>
      </c>
      <c r="K108">
        <f>ROUND(( ( _xlfn.XLOOKUP(E108,[1]!SO_2[BLO],[1]!SO_2[IHI],,-1)  - _xlfn.XLOOKUP(E108,[1]!SO_2[BLO],[1]!SO_2[ILO],,-1) )
/
( _xlfn.XLOOKUP(E108,[1]!SO_2[BLO],[1]!SO_2[BHI],,-1)- _xlfn.XLOOKUP(E108,[1]!SO_2[BLO],[1]!SO_2[BLO],,-1) ))
*
( E108 - _xlfn.XLOOKUP(E108,[1]!SO_2[BLO],[1]!SO_2[BLO],,-1) )
+
_xlfn.XLOOKUP(E108,[1]!SO_2[BLO],[1]!SO_2[ILO],,-1),2)</f>
        <v>10</v>
      </c>
      <c r="L108">
        <f>( ( _xlfn.XLOOKUP(F108,[1]!CO[BLO],[1]!CO[IHI],,-1)
- _xlfn.XLOOKUP(F108,[1]!CO[BLO],[1]!CO[ILO],,-1) )
/
( _xlfn.XLOOKUP(F108,[1]!CO[BLO],[1]!CO[BHI],,-1) - _xlfn.XLOOKUP(F108,[1]!CO[BLO],[1]!CO[BLO],,-1)))
*
( F108 - _xlfn.XLOOKUP(F108,[1]!CO[BLO],[1]!CO[BLO],,-1) )
+
_xlfn.XLOOKUP(F108,[1]!CO[BLO],[1]!CO[ILO],,-1)</f>
        <v>23.5</v>
      </c>
      <c r="M108">
        <f>(( _xlfn.XLOOKUP(G108,[1]!O_3[BLO],[1]!O_3[IHI],,-1) - _xlfn.XLOOKUP(G108,[1]!O_3[BLO],[1]!O_3[ILO],,-1))
/
( _xlfn.XLOOKUP(G108,[1]!O_3[BLO],[1]!O_3[BHI],,-1) - _xlfn.XLOOKUP(G108,[1]!O_3[BLO],[1]!O_3[BLO],,-1)))
*
( G108 - _xlfn.XLOOKUP(G108,[1]!O_3[BLO],[1]!O_3[BLO],,-1))
+
_xlfn.XLOOKUP(G108,[1]!O_3[BLO],[1]!O_3[ILO],,-1)</f>
        <v>33</v>
      </c>
      <c r="N108">
        <f>MAX(DAILY_DATA[[#This Row],[AQI_PM2.5]:[AQI_O3]])</f>
        <v>71</v>
      </c>
      <c r="O108" t="str">
        <f>_xlfn.XLOOKUP(DAILY_DATA[[#This Row],[OVERALL_AQI]],[1]!CATEGORY[AQI_LO],[1]!CATEGORY[CATEGORY],,-1)</f>
        <v>Satisfactory</v>
      </c>
      <c r="P108" t="str" cm="1">
        <f t="array" ref="P108">INDEX(
{"PM2.5","PM10","NO2","SO2","CO","O3"},
MATCH(N108,H108:M108,0)
)</f>
        <v>PM10</v>
      </c>
    </row>
    <row r="109" spans="1:16" x14ac:dyDescent="0.25">
      <c r="A109" s="4">
        <v>45399</v>
      </c>
      <c r="B109">
        <f>ROUND(AVERAGEIFS([1]HOURLY_DATA!B109:B8892,[1]HOURLY_DATA!H109:H8892,Daily_AQI!A109),0)</f>
        <v>46</v>
      </c>
      <c r="C109">
        <f>ROUND(AVERAGEIFS([1]HOURLY_DATA!C109:C8892,[1]HOURLY_DATA!H109:H8892,Daily_AQI!A109),0)</f>
        <v>99</v>
      </c>
      <c r="D109">
        <f>ROUND(AVERAGEIFS([1]HOURLY_DATA!D109:D8892,[1]HOURLY_DATA!H109:H8892,Daily_AQI!A109),0)</f>
        <v>14</v>
      </c>
      <c r="E109">
        <f>ROUND(AVERAGEIFS([1]HOURLY_DATA!E109:E8892,[1]HOURLY_DATA!H109:H8892,Daily_AQI!A109),0)</f>
        <v>8</v>
      </c>
      <c r="F109">
        <f>ROUND(AVERAGEIFS([1]HOURLY_DATA!I109:I8892,[1]HOURLY_DATA!H109:H8892,Daily_AQI!A109),2)</f>
        <v>0.5</v>
      </c>
      <c r="G109">
        <f>ROUND(AVERAGEIFS([1]HOURLY_DATA!J109:J8892,[1]HOURLY_DATA!H109:H8892,Daily_AQI!A109),0)</f>
        <v>32</v>
      </c>
      <c r="H109">
        <f>ROUND(((_xlfn.XLOOKUP(B109,[1]!PM2.5[BLO],[1]!PM2.5[IHI],,-1) - _xlfn.XLOOKUP(B109,[1]!PM2.5[BLO],[1]!PM2.5[ILO],,-1))
/
(_xlfn.XLOOKUP(B109,[1]!PM2.5[BLO],[1]!PM2.5[BHI],,-1) - _xlfn.XLOOKUP(B109,[1]!PM2.5[BLO],[1]!PM2.5[BLO],,-1)))
*
(B109 - _xlfn.XLOOKUP(B109,[1]!PM2.5[BLO],[1]!PM2.5[BLO],,-1))
+
_xlfn.XLOOKUP(B109,[1]!PM2.5[BLO],[1]!PM2.5[ILO],,-1),2)</f>
        <v>76.34</v>
      </c>
      <c r="I109">
        <f>ROUND(((_xlfn.XLOOKUP(C109,[1]!PM_10[BLO],[1]!PM_10[IHI],,-1) - _xlfn.XLOOKUP(C109,[1]!PM_10[BLO],[1]!PM_10[ILO],,-1))
/
(_xlfn.XLOOKUP(C109,[1]!PM_10[BLO],[1]!PM_10[BHI],,-1) - _xlfn.XLOOKUP(C109,[1]!PM_10[BLO],[1]!PM_10[BLO],,-1)))
*
( C109 - _xlfn.XLOOKUP(C109,[1]!PM_10[BLO],[1]!PM_10[BLO],,-1))
+
_xlfn.XLOOKUP(C109,[1]!PM_10[BLO],[1]!PM_10[ILO],,-1),2)</f>
        <v>99</v>
      </c>
      <c r="J109">
        <f>ROUND((( _xlfn.XLOOKUP(D109,[1]!NO_2[BLO],[1]!NO_2[IHI],,-1) - _xlfn.XLOOKUP(D109,[1]!NO_2[BLO],[1]!NO_2[ILO],,-1))
/
( _xlfn.XLOOKUP(D109,[1]!NO_2[BLO],[1]!NO_2[BHI],,-1) - _xlfn.XLOOKUP(D109,[1]!NO_2[BLO],[1]!NO_2[BLO],,-1) ))
*
( D109 - _xlfn.XLOOKUP(D109,[1]!NO_2[BLO],[1]!NO_2[BLO],,-1))
+
_xlfn.XLOOKUP(D109,[1]!NO_2[BLO],[1]!NO_2[ILO],,-1),2)</f>
        <v>17.5</v>
      </c>
      <c r="K109">
        <f>ROUND(( ( _xlfn.XLOOKUP(E109,[1]!SO_2[BLO],[1]!SO_2[IHI],,-1)  - _xlfn.XLOOKUP(E109,[1]!SO_2[BLO],[1]!SO_2[ILO],,-1) )
/
( _xlfn.XLOOKUP(E109,[1]!SO_2[BLO],[1]!SO_2[BHI],,-1)- _xlfn.XLOOKUP(E109,[1]!SO_2[BLO],[1]!SO_2[BLO],,-1) ))
*
( E109 - _xlfn.XLOOKUP(E109,[1]!SO_2[BLO],[1]!SO_2[BLO],,-1) )
+
_xlfn.XLOOKUP(E109,[1]!SO_2[BLO],[1]!SO_2[ILO],,-1),2)</f>
        <v>10</v>
      </c>
      <c r="L109">
        <f>( ( _xlfn.XLOOKUP(F109,[1]!CO[BLO],[1]!CO[IHI],,-1)
- _xlfn.XLOOKUP(F109,[1]!CO[BLO],[1]!CO[ILO],,-1) )
/
( _xlfn.XLOOKUP(F109,[1]!CO[BLO],[1]!CO[BHI],,-1) - _xlfn.XLOOKUP(F109,[1]!CO[BLO],[1]!CO[BLO],,-1)))
*
( F109 - _xlfn.XLOOKUP(F109,[1]!CO[BLO],[1]!CO[BLO],,-1) )
+
_xlfn.XLOOKUP(F109,[1]!CO[BLO],[1]!CO[ILO],,-1)</f>
        <v>25</v>
      </c>
      <c r="M109">
        <f>(( _xlfn.XLOOKUP(G109,[1]!O_3[BLO],[1]!O_3[IHI],,-1) - _xlfn.XLOOKUP(G109,[1]!O_3[BLO],[1]!O_3[ILO],,-1))
/
( _xlfn.XLOOKUP(G109,[1]!O_3[BLO],[1]!O_3[BHI],,-1) - _xlfn.XLOOKUP(G109,[1]!O_3[BLO],[1]!O_3[BLO],,-1)))
*
( G109 - _xlfn.XLOOKUP(G109,[1]!O_3[BLO],[1]!O_3[BLO],,-1))
+
_xlfn.XLOOKUP(G109,[1]!O_3[BLO],[1]!O_3[ILO],,-1)</f>
        <v>32</v>
      </c>
      <c r="N109">
        <f>MAX(DAILY_DATA[[#This Row],[AQI_PM2.5]:[AQI_O3]])</f>
        <v>99</v>
      </c>
      <c r="O109" t="str">
        <f>_xlfn.XLOOKUP(DAILY_DATA[[#This Row],[OVERALL_AQI]],[1]!CATEGORY[AQI_LO],[1]!CATEGORY[CATEGORY],,-1)</f>
        <v>Satisfactory</v>
      </c>
      <c r="P109" t="str" cm="1">
        <f t="array" ref="P109">INDEX(
{"PM2.5","PM10","NO2","SO2","CO","O3"},
MATCH(N109,H109:M109,0)
)</f>
        <v>PM10</v>
      </c>
    </row>
    <row r="110" spans="1:16" x14ac:dyDescent="0.25">
      <c r="A110" s="4">
        <v>45400</v>
      </c>
      <c r="B110">
        <f>ROUND(AVERAGEIFS([1]HOURLY_DATA!B110:B8893,[1]HOURLY_DATA!H110:H8893,Daily_AQI!A110),0)</f>
        <v>44</v>
      </c>
      <c r="C110">
        <f>ROUND(AVERAGEIFS([1]HOURLY_DATA!C110:C8893,[1]HOURLY_DATA!H110:H8893,Daily_AQI!A110),0)</f>
        <v>94</v>
      </c>
      <c r="D110">
        <f>ROUND(AVERAGEIFS([1]HOURLY_DATA!D110:D8893,[1]HOURLY_DATA!H110:H8893,Daily_AQI!A110),0)</f>
        <v>14</v>
      </c>
      <c r="E110">
        <f>ROUND(AVERAGEIFS([1]HOURLY_DATA!E110:E8893,[1]HOURLY_DATA!H110:H8893,Daily_AQI!A110),0)</f>
        <v>7</v>
      </c>
      <c r="F110">
        <f>ROUND(AVERAGEIFS([1]HOURLY_DATA!I110:I8893,[1]HOURLY_DATA!H110:H8893,Daily_AQI!A110),2)</f>
        <v>0.56000000000000005</v>
      </c>
      <c r="G110">
        <f>ROUND(AVERAGEIFS([1]HOURLY_DATA!J110:J8893,[1]HOURLY_DATA!H110:H8893,Daily_AQI!A110),0)</f>
        <v>28</v>
      </c>
      <c r="H110">
        <f>ROUND(((_xlfn.XLOOKUP(B110,[1]!PM2.5[BLO],[1]!PM2.5[IHI],,-1) - _xlfn.XLOOKUP(B110,[1]!PM2.5[BLO],[1]!PM2.5[ILO],,-1))
/
(_xlfn.XLOOKUP(B110,[1]!PM2.5[BLO],[1]!PM2.5[BHI],,-1) - _xlfn.XLOOKUP(B110,[1]!PM2.5[BLO],[1]!PM2.5[BLO],,-1)))
*
(B110 - _xlfn.XLOOKUP(B110,[1]!PM2.5[BLO],[1]!PM2.5[BLO],,-1))
+
_xlfn.XLOOKUP(B110,[1]!PM2.5[BLO],[1]!PM2.5[ILO],,-1),2)</f>
        <v>72.97</v>
      </c>
      <c r="I110">
        <f>ROUND(((_xlfn.XLOOKUP(C110,[1]!PM_10[BLO],[1]!PM_10[IHI],,-1) - _xlfn.XLOOKUP(C110,[1]!PM_10[BLO],[1]!PM_10[ILO],,-1))
/
(_xlfn.XLOOKUP(C110,[1]!PM_10[BLO],[1]!PM_10[BHI],,-1) - _xlfn.XLOOKUP(C110,[1]!PM_10[BLO],[1]!PM_10[BLO],,-1)))
*
( C110 - _xlfn.XLOOKUP(C110,[1]!PM_10[BLO],[1]!PM_10[BLO],,-1))
+
_xlfn.XLOOKUP(C110,[1]!PM_10[BLO],[1]!PM_10[ILO],,-1),2)</f>
        <v>94</v>
      </c>
      <c r="J110">
        <f>ROUND((( _xlfn.XLOOKUP(D110,[1]!NO_2[BLO],[1]!NO_2[IHI],,-1) - _xlfn.XLOOKUP(D110,[1]!NO_2[BLO],[1]!NO_2[ILO],,-1))
/
( _xlfn.XLOOKUP(D110,[1]!NO_2[BLO],[1]!NO_2[BHI],,-1) - _xlfn.XLOOKUP(D110,[1]!NO_2[BLO],[1]!NO_2[BLO],,-1) ))
*
( D110 - _xlfn.XLOOKUP(D110,[1]!NO_2[BLO],[1]!NO_2[BLO],,-1))
+
_xlfn.XLOOKUP(D110,[1]!NO_2[BLO],[1]!NO_2[ILO],,-1),2)</f>
        <v>17.5</v>
      </c>
      <c r="K110">
        <f>ROUND(( ( _xlfn.XLOOKUP(E110,[1]!SO_2[BLO],[1]!SO_2[IHI],,-1)  - _xlfn.XLOOKUP(E110,[1]!SO_2[BLO],[1]!SO_2[ILO],,-1) )
/
( _xlfn.XLOOKUP(E110,[1]!SO_2[BLO],[1]!SO_2[BHI],,-1)- _xlfn.XLOOKUP(E110,[1]!SO_2[BLO],[1]!SO_2[BLO],,-1) ))
*
( E110 - _xlfn.XLOOKUP(E110,[1]!SO_2[BLO],[1]!SO_2[BLO],,-1) )
+
_xlfn.XLOOKUP(E110,[1]!SO_2[BLO],[1]!SO_2[ILO],,-1),2)</f>
        <v>8.75</v>
      </c>
      <c r="L110">
        <f>( ( _xlfn.XLOOKUP(F110,[1]!CO[BLO],[1]!CO[IHI],,-1)
- _xlfn.XLOOKUP(F110,[1]!CO[BLO],[1]!CO[ILO],,-1) )
/
( _xlfn.XLOOKUP(F110,[1]!CO[BLO],[1]!CO[BHI],,-1) - _xlfn.XLOOKUP(F110,[1]!CO[BLO],[1]!CO[BLO],,-1)))
*
( F110 - _xlfn.XLOOKUP(F110,[1]!CO[BLO],[1]!CO[BLO],,-1) )
+
_xlfn.XLOOKUP(F110,[1]!CO[BLO],[1]!CO[ILO],,-1)</f>
        <v>28.000000000000004</v>
      </c>
      <c r="M110">
        <f>(( _xlfn.XLOOKUP(G110,[1]!O_3[BLO],[1]!O_3[IHI],,-1) - _xlfn.XLOOKUP(G110,[1]!O_3[BLO],[1]!O_3[ILO],,-1))
/
( _xlfn.XLOOKUP(G110,[1]!O_3[BLO],[1]!O_3[BHI],,-1) - _xlfn.XLOOKUP(G110,[1]!O_3[BLO],[1]!O_3[BLO],,-1)))
*
( G110 - _xlfn.XLOOKUP(G110,[1]!O_3[BLO],[1]!O_3[BLO],,-1))
+
_xlfn.XLOOKUP(G110,[1]!O_3[BLO],[1]!O_3[ILO],,-1)</f>
        <v>28</v>
      </c>
      <c r="N110">
        <f>MAX(DAILY_DATA[[#This Row],[AQI_PM2.5]:[AQI_O3]])</f>
        <v>94</v>
      </c>
      <c r="O110" t="str">
        <f>_xlfn.XLOOKUP(DAILY_DATA[[#This Row],[OVERALL_AQI]],[1]!CATEGORY[AQI_LO],[1]!CATEGORY[CATEGORY],,-1)</f>
        <v>Satisfactory</v>
      </c>
      <c r="P110" t="str" cm="1">
        <f t="array" ref="P110">INDEX(
{"PM2.5","PM10","NO2","SO2","CO","O3"},
MATCH(N110,H110:M110,0)
)</f>
        <v>PM10</v>
      </c>
    </row>
    <row r="111" spans="1:16" x14ac:dyDescent="0.25">
      <c r="A111" s="4">
        <v>45401</v>
      </c>
      <c r="B111">
        <f>ROUND(AVERAGEIFS([1]HOURLY_DATA!B111:B8894,[1]HOURLY_DATA!H111:H8894,Daily_AQI!A111),0)</f>
        <v>45</v>
      </c>
      <c r="C111">
        <f>ROUND(AVERAGEIFS([1]HOURLY_DATA!C111:C8894,[1]HOURLY_DATA!H111:H8894,Daily_AQI!A111),0)</f>
        <v>86</v>
      </c>
      <c r="D111">
        <f>ROUND(AVERAGEIFS([1]HOURLY_DATA!D111:D8894,[1]HOURLY_DATA!H111:H8894,Daily_AQI!A111),0)</f>
        <v>15</v>
      </c>
      <c r="E111">
        <f>ROUND(AVERAGEIFS([1]HOURLY_DATA!E111:E8894,[1]HOURLY_DATA!H111:H8894,Daily_AQI!A111),0)</f>
        <v>8</v>
      </c>
      <c r="F111">
        <f>ROUND(AVERAGEIFS([1]HOURLY_DATA!I111:I8894,[1]HOURLY_DATA!H111:H8894,Daily_AQI!A111),2)</f>
        <v>0.53</v>
      </c>
      <c r="G111">
        <f>ROUND(AVERAGEIFS([1]HOURLY_DATA!J111:J8894,[1]HOURLY_DATA!H111:H8894,Daily_AQI!A111),0)</f>
        <v>30</v>
      </c>
      <c r="H111">
        <f>ROUND(((_xlfn.XLOOKUP(B111,[1]!PM2.5[BLO],[1]!PM2.5[IHI],,-1) - _xlfn.XLOOKUP(B111,[1]!PM2.5[BLO],[1]!PM2.5[ILO],,-1))
/
(_xlfn.XLOOKUP(B111,[1]!PM2.5[BLO],[1]!PM2.5[BHI],,-1) - _xlfn.XLOOKUP(B111,[1]!PM2.5[BLO],[1]!PM2.5[BLO],,-1)))
*
(B111 - _xlfn.XLOOKUP(B111,[1]!PM2.5[BLO],[1]!PM2.5[BLO],,-1))
+
_xlfn.XLOOKUP(B111,[1]!PM2.5[BLO],[1]!PM2.5[ILO],,-1),2)</f>
        <v>74.66</v>
      </c>
      <c r="I111">
        <f>ROUND(((_xlfn.XLOOKUP(C111,[1]!PM_10[BLO],[1]!PM_10[IHI],,-1) - _xlfn.XLOOKUP(C111,[1]!PM_10[BLO],[1]!PM_10[ILO],,-1))
/
(_xlfn.XLOOKUP(C111,[1]!PM_10[BLO],[1]!PM_10[BHI],,-1) - _xlfn.XLOOKUP(C111,[1]!PM_10[BLO],[1]!PM_10[BLO],,-1)))
*
( C111 - _xlfn.XLOOKUP(C111,[1]!PM_10[BLO],[1]!PM_10[BLO],,-1))
+
_xlfn.XLOOKUP(C111,[1]!PM_10[BLO],[1]!PM_10[ILO],,-1),2)</f>
        <v>86</v>
      </c>
      <c r="J111">
        <f>ROUND((( _xlfn.XLOOKUP(D111,[1]!NO_2[BLO],[1]!NO_2[IHI],,-1) - _xlfn.XLOOKUP(D111,[1]!NO_2[BLO],[1]!NO_2[ILO],,-1))
/
( _xlfn.XLOOKUP(D111,[1]!NO_2[BLO],[1]!NO_2[BHI],,-1) - _xlfn.XLOOKUP(D111,[1]!NO_2[BLO],[1]!NO_2[BLO],,-1) ))
*
( D111 - _xlfn.XLOOKUP(D111,[1]!NO_2[BLO],[1]!NO_2[BLO],,-1))
+
_xlfn.XLOOKUP(D111,[1]!NO_2[BLO],[1]!NO_2[ILO],,-1),2)</f>
        <v>18.75</v>
      </c>
      <c r="K111">
        <f>ROUND(( ( _xlfn.XLOOKUP(E111,[1]!SO_2[BLO],[1]!SO_2[IHI],,-1)  - _xlfn.XLOOKUP(E111,[1]!SO_2[BLO],[1]!SO_2[ILO],,-1) )
/
( _xlfn.XLOOKUP(E111,[1]!SO_2[BLO],[1]!SO_2[BHI],,-1)- _xlfn.XLOOKUP(E111,[1]!SO_2[BLO],[1]!SO_2[BLO],,-1) ))
*
( E111 - _xlfn.XLOOKUP(E111,[1]!SO_2[BLO],[1]!SO_2[BLO],,-1) )
+
_xlfn.XLOOKUP(E111,[1]!SO_2[BLO],[1]!SO_2[ILO],,-1),2)</f>
        <v>10</v>
      </c>
      <c r="L111">
        <f>( ( _xlfn.XLOOKUP(F111,[1]!CO[BLO],[1]!CO[IHI],,-1)
- _xlfn.XLOOKUP(F111,[1]!CO[BLO],[1]!CO[ILO],,-1) )
/
( _xlfn.XLOOKUP(F111,[1]!CO[BLO],[1]!CO[BHI],,-1) - _xlfn.XLOOKUP(F111,[1]!CO[BLO],[1]!CO[BLO],,-1)))
*
( F111 - _xlfn.XLOOKUP(F111,[1]!CO[BLO],[1]!CO[BLO],,-1) )
+
_xlfn.XLOOKUP(F111,[1]!CO[BLO],[1]!CO[ILO],,-1)</f>
        <v>26.5</v>
      </c>
      <c r="M111">
        <f>(( _xlfn.XLOOKUP(G111,[1]!O_3[BLO],[1]!O_3[IHI],,-1) - _xlfn.XLOOKUP(G111,[1]!O_3[BLO],[1]!O_3[ILO],,-1))
/
( _xlfn.XLOOKUP(G111,[1]!O_3[BLO],[1]!O_3[BHI],,-1) - _xlfn.XLOOKUP(G111,[1]!O_3[BLO],[1]!O_3[BLO],,-1)))
*
( G111 - _xlfn.XLOOKUP(G111,[1]!O_3[BLO],[1]!O_3[BLO],,-1))
+
_xlfn.XLOOKUP(G111,[1]!O_3[BLO],[1]!O_3[ILO],,-1)</f>
        <v>30</v>
      </c>
      <c r="N111">
        <f>MAX(DAILY_DATA[[#This Row],[AQI_PM2.5]:[AQI_O3]])</f>
        <v>86</v>
      </c>
      <c r="O111" t="str">
        <f>_xlfn.XLOOKUP(DAILY_DATA[[#This Row],[OVERALL_AQI]],[1]!CATEGORY[AQI_LO],[1]!CATEGORY[CATEGORY],,-1)</f>
        <v>Satisfactory</v>
      </c>
      <c r="P111" t="str" cm="1">
        <f t="array" ref="P111">INDEX(
{"PM2.5","PM10","NO2","SO2","CO","O3"},
MATCH(N111,H111:M111,0)
)</f>
        <v>PM10</v>
      </c>
    </row>
    <row r="112" spans="1:16" x14ac:dyDescent="0.25">
      <c r="A112" s="4">
        <v>45402</v>
      </c>
      <c r="B112">
        <f>ROUND(AVERAGEIFS([1]HOURLY_DATA!B112:B8895,[1]HOURLY_DATA!H112:H8895,Daily_AQI!A112),0)</f>
        <v>41</v>
      </c>
      <c r="C112">
        <f>ROUND(AVERAGEIFS([1]HOURLY_DATA!C112:C8895,[1]HOURLY_DATA!H112:H8895,Daily_AQI!A112),0)</f>
        <v>85</v>
      </c>
      <c r="D112">
        <f>ROUND(AVERAGEIFS([1]HOURLY_DATA!D112:D8895,[1]HOURLY_DATA!H112:H8895,Daily_AQI!A112),0)</f>
        <v>14</v>
      </c>
      <c r="E112">
        <f>ROUND(AVERAGEIFS([1]HOURLY_DATA!E112:E8895,[1]HOURLY_DATA!H112:H8895,Daily_AQI!A112),0)</f>
        <v>9</v>
      </c>
      <c r="F112">
        <f>ROUND(AVERAGEIFS([1]HOURLY_DATA!I112:I8895,[1]HOURLY_DATA!H112:H8895,Daily_AQI!A112),2)</f>
        <v>0.51</v>
      </c>
      <c r="G112">
        <f>ROUND(AVERAGEIFS([1]HOURLY_DATA!J112:J8895,[1]HOURLY_DATA!H112:H8895,Daily_AQI!A112),0)</f>
        <v>28</v>
      </c>
      <c r="H112">
        <f>ROUND(((_xlfn.XLOOKUP(B112,[1]!PM2.5[BLO],[1]!PM2.5[IHI],,-1) - _xlfn.XLOOKUP(B112,[1]!PM2.5[BLO],[1]!PM2.5[ILO],,-1))
/
(_xlfn.XLOOKUP(B112,[1]!PM2.5[BLO],[1]!PM2.5[BHI],,-1) - _xlfn.XLOOKUP(B112,[1]!PM2.5[BLO],[1]!PM2.5[BLO],,-1)))
*
(B112 - _xlfn.XLOOKUP(B112,[1]!PM2.5[BLO],[1]!PM2.5[BLO],,-1))
+
_xlfn.XLOOKUP(B112,[1]!PM2.5[BLO],[1]!PM2.5[ILO],,-1),2)</f>
        <v>67.900000000000006</v>
      </c>
      <c r="I112">
        <f>ROUND(((_xlfn.XLOOKUP(C112,[1]!PM_10[BLO],[1]!PM_10[IHI],,-1) - _xlfn.XLOOKUP(C112,[1]!PM_10[BLO],[1]!PM_10[ILO],,-1))
/
(_xlfn.XLOOKUP(C112,[1]!PM_10[BLO],[1]!PM_10[BHI],,-1) - _xlfn.XLOOKUP(C112,[1]!PM_10[BLO],[1]!PM_10[BLO],,-1)))
*
( C112 - _xlfn.XLOOKUP(C112,[1]!PM_10[BLO],[1]!PM_10[BLO],,-1))
+
_xlfn.XLOOKUP(C112,[1]!PM_10[BLO],[1]!PM_10[ILO],,-1),2)</f>
        <v>85</v>
      </c>
      <c r="J112">
        <f>ROUND((( _xlfn.XLOOKUP(D112,[1]!NO_2[BLO],[1]!NO_2[IHI],,-1) - _xlfn.XLOOKUP(D112,[1]!NO_2[BLO],[1]!NO_2[ILO],,-1))
/
( _xlfn.XLOOKUP(D112,[1]!NO_2[BLO],[1]!NO_2[BHI],,-1) - _xlfn.XLOOKUP(D112,[1]!NO_2[BLO],[1]!NO_2[BLO],,-1) ))
*
( D112 - _xlfn.XLOOKUP(D112,[1]!NO_2[BLO],[1]!NO_2[BLO],,-1))
+
_xlfn.XLOOKUP(D112,[1]!NO_2[BLO],[1]!NO_2[ILO],,-1),2)</f>
        <v>17.5</v>
      </c>
      <c r="K112">
        <f>ROUND(( ( _xlfn.XLOOKUP(E112,[1]!SO_2[BLO],[1]!SO_2[IHI],,-1)  - _xlfn.XLOOKUP(E112,[1]!SO_2[BLO],[1]!SO_2[ILO],,-1) )
/
( _xlfn.XLOOKUP(E112,[1]!SO_2[BLO],[1]!SO_2[BHI],,-1)- _xlfn.XLOOKUP(E112,[1]!SO_2[BLO],[1]!SO_2[BLO],,-1) ))
*
( E112 - _xlfn.XLOOKUP(E112,[1]!SO_2[BLO],[1]!SO_2[BLO],,-1) )
+
_xlfn.XLOOKUP(E112,[1]!SO_2[BLO],[1]!SO_2[ILO],,-1),2)</f>
        <v>11.25</v>
      </c>
      <c r="L112">
        <f>( ( _xlfn.XLOOKUP(F112,[1]!CO[BLO],[1]!CO[IHI],,-1)
- _xlfn.XLOOKUP(F112,[1]!CO[BLO],[1]!CO[ILO],,-1) )
/
( _xlfn.XLOOKUP(F112,[1]!CO[BLO],[1]!CO[BHI],,-1) - _xlfn.XLOOKUP(F112,[1]!CO[BLO],[1]!CO[BLO],,-1)))
*
( F112 - _xlfn.XLOOKUP(F112,[1]!CO[BLO],[1]!CO[BLO],,-1) )
+
_xlfn.XLOOKUP(F112,[1]!CO[BLO],[1]!CO[ILO],,-1)</f>
        <v>25.5</v>
      </c>
      <c r="M112">
        <f>(( _xlfn.XLOOKUP(G112,[1]!O_3[BLO],[1]!O_3[IHI],,-1) - _xlfn.XLOOKUP(G112,[1]!O_3[BLO],[1]!O_3[ILO],,-1))
/
( _xlfn.XLOOKUP(G112,[1]!O_3[BLO],[1]!O_3[BHI],,-1) - _xlfn.XLOOKUP(G112,[1]!O_3[BLO],[1]!O_3[BLO],,-1)))
*
( G112 - _xlfn.XLOOKUP(G112,[1]!O_3[BLO],[1]!O_3[BLO],,-1))
+
_xlfn.XLOOKUP(G112,[1]!O_3[BLO],[1]!O_3[ILO],,-1)</f>
        <v>28</v>
      </c>
      <c r="N112">
        <f>MAX(DAILY_DATA[[#This Row],[AQI_PM2.5]:[AQI_O3]])</f>
        <v>85</v>
      </c>
      <c r="O112" t="str">
        <f>_xlfn.XLOOKUP(DAILY_DATA[[#This Row],[OVERALL_AQI]],[1]!CATEGORY[AQI_LO],[1]!CATEGORY[CATEGORY],,-1)</f>
        <v>Satisfactory</v>
      </c>
      <c r="P112" t="str" cm="1">
        <f t="array" ref="P112">INDEX(
{"PM2.5","PM10","NO2","SO2","CO","O3"},
MATCH(N112,H112:M112,0)
)</f>
        <v>PM10</v>
      </c>
    </row>
    <row r="113" spans="1:16" x14ac:dyDescent="0.25">
      <c r="A113" s="4">
        <v>45403</v>
      </c>
      <c r="B113">
        <f>ROUND(AVERAGEIFS([1]HOURLY_DATA!B113:B8896,[1]HOURLY_DATA!H113:H8896,Daily_AQI!A113),0)</f>
        <v>52</v>
      </c>
      <c r="C113">
        <f>ROUND(AVERAGEIFS([1]HOURLY_DATA!C113:C8896,[1]HOURLY_DATA!H113:H8896,Daily_AQI!A113),0)</f>
        <v>85</v>
      </c>
      <c r="D113">
        <f>ROUND(AVERAGEIFS([1]HOURLY_DATA!D113:D8896,[1]HOURLY_DATA!H113:H8896,Daily_AQI!A113),0)</f>
        <v>15</v>
      </c>
      <c r="E113">
        <f>ROUND(AVERAGEIFS([1]HOURLY_DATA!E113:E8896,[1]HOURLY_DATA!H113:H8896,Daily_AQI!A113),0)</f>
        <v>8</v>
      </c>
      <c r="F113">
        <f>ROUND(AVERAGEIFS([1]HOURLY_DATA!I113:I8896,[1]HOURLY_DATA!H113:H8896,Daily_AQI!A113),2)</f>
        <v>0.49</v>
      </c>
      <c r="G113">
        <f>ROUND(AVERAGEIFS([1]HOURLY_DATA!J113:J8896,[1]HOURLY_DATA!H113:H8896,Daily_AQI!A113),0)</f>
        <v>31</v>
      </c>
      <c r="H113">
        <f>ROUND(((_xlfn.XLOOKUP(B113,[1]!PM2.5[BLO],[1]!PM2.5[IHI],,-1) - _xlfn.XLOOKUP(B113,[1]!PM2.5[BLO],[1]!PM2.5[ILO],,-1))
/
(_xlfn.XLOOKUP(B113,[1]!PM2.5[BLO],[1]!PM2.5[BHI],,-1) - _xlfn.XLOOKUP(B113,[1]!PM2.5[BLO],[1]!PM2.5[BLO],,-1)))
*
(B113 - _xlfn.XLOOKUP(B113,[1]!PM2.5[BLO],[1]!PM2.5[BLO],,-1))
+
_xlfn.XLOOKUP(B113,[1]!PM2.5[BLO],[1]!PM2.5[ILO],,-1),2)</f>
        <v>86.48</v>
      </c>
      <c r="I113">
        <f>ROUND(((_xlfn.XLOOKUP(C113,[1]!PM_10[BLO],[1]!PM_10[IHI],,-1) - _xlfn.XLOOKUP(C113,[1]!PM_10[BLO],[1]!PM_10[ILO],,-1))
/
(_xlfn.XLOOKUP(C113,[1]!PM_10[BLO],[1]!PM_10[BHI],,-1) - _xlfn.XLOOKUP(C113,[1]!PM_10[BLO],[1]!PM_10[BLO],,-1)))
*
( C113 - _xlfn.XLOOKUP(C113,[1]!PM_10[BLO],[1]!PM_10[BLO],,-1))
+
_xlfn.XLOOKUP(C113,[1]!PM_10[BLO],[1]!PM_10[ILO],,-1),2)</f>
        <v>85</v>
      </c>
      <c r="J113">
        <f>ROUND((( _xlfn.XLOOKUP(D113,[1]!NO_2[BLO],[1]!NO_2[IHI],,-1) - _xlfn.XLOOKUP(D113,[1]!NO_2[BLO],[1]!NO_2[ILO],,-1))
/
( _xlfn.XLOOKUP(D113,[1]!NO_2[BLO],[1]!NO_2[BHI],,-1) - _xlfn.XLOOKUP(D113,[1]!NO_2[BLO],[1]!NO_2[BLO],,-1) ))
*
( D113 - _xlfn.XLOOKUP(D113,[1]!NO_2[BLO],[1]!NO_2[BLO],,-1))
+
_xlfn.XLOOKUP(D113,[1]!NO_2[BLO],[1]!NO_2[ILO],,-1),2)</f>
        <v>18.75</v>
      </c>
      <c r="K113">
        <f>ROUND(( ( _xlfn.XLOOKUP(E113,[1]!SO_2[BLO],[1]!SO_2[IHI],,-1)  - _xlfn.XLOOKUP(E113,[1]!SO_2[BLO],[1]!SO_2[ILO],,-1) )
/
( _xlfn.XLOOKUP(E113,[1]!SO_2[BLO],[1]!SO_2[BHI],,-1)- _xlfn.XLOOKUP(E113,[1]!SO_2[BLO],[1]!SO_2[BLO],,-1) ))
*
( E113 - _xlfn.XLOOKUP(E113,[1]!SO_2[BLO],[1]!SO_2[BLO],,-1) )
+
_xlfn.XLOOKUP(E113,[1]!SO_2[BLO],[1]!SO_2[ILO],,-1),2)</f>
        <v>10</v>
      </c>
      <c r="L113">
        <f>( ( _xlfn.XLOOKUP(F113,[1]!CO[BLO],[1]!CO[IHI],,-1)
- _xlfn.XLOOKUP(F113,[1]!CO[BLO],[1]!CO[ILO],,-1) )
/
( _xlfn.XLOOKUP(F113,[1]!CO[BLO],[1]!CO[BHI],,-1) - _xlfn.XLOOKUP(F113,[1]!CO[BLO],[1]!CO[BLO],,-1)))
*
( F113 - _xlfn.XLOOKUP(F113,[1]!CO[BLO],[1]!CO[BLO],,-1) )
+
_xlfn.XLOOKUP(F113,[1]!CO[BLO],[1]!CO[ILO],,-1)</f>
        <v>24.5</v>
      </c>
      <c r="M113">
        <f>(( _xlfn.XLOOKUP(G113,[1]!O_3[BLO],[1]!O_3[IHI],,-1) - _xlfn.XLOOKUP(G113,[1]!O_3[BLO],[1]!O_3[ILO],,-1))
/
( _xlfn.XLOOKUP(G113,[1]!O_3[BLO],[1]!O_3[BHI],,-1) - _xlfn.XLOOKUP(G113,[1]!O_3[BLO],[1]!O_3[BLO],,-1)))
*
( G113 - _xlfn.XLOOKUP(G113,[1]!O_3[BLO],[1]!O_3[BLO],,-1))
+
_xlfn.XLOOKUP(G113,[1]!O_3[BLO],[1]!O_3[ILO],,-1)</f>
        <v>31</v>
      </c>
      <c r="N113">
        <f>MAX(DAILY_DATA[[#This Row],[AQI_PM2.5]:[AQI_O3]])</f>
        <v>86.48</v>
      </c>
      <c r="O113" t="str">
        <f>_xlfn.XLOOKUP(DAILY_DATA[[#This Row],[OVERALL_AQI]],[1]!CATEGORY[AQI_LO],[1]!CATEGORY[CATEGORY],,-1)</f>
        <v>Satisfactory</v>
      </c>
      <c r="P113" t="str" cm="1">
        <f t="array" ref="P113">INDEX(
{"PM2.5","PM10","NO2","SO2","CO","O3"},
MATCH(N113,H113:M113,0)
)</f>
        <v>PM2.5</v>
      </c>
    </row>
    <row r="114" spans="1:16" x14ac:dyDescent="0.25">
      <c r="A114" s="4">
        <v>45404</v>
      </c>
      <c r="B114">
        <f>ROUND(AVERAGEIFS([1]HOURLY_DATA!B114:B8897,[1]HOURLY_DATA!H114:H8897,Daily_AQI!A114),0)</f>
        <v>41</v>
      </c>
      <c r="C114">
        <f>ROUND(AVERAGEIFS([1]HOURLY_DATA!C114:C8897,[1]HOURLY_DATA!H114:H8897,Daily_AQI!A114),0)</f>
        <v>78</v>
      </c>
      <c r="D114">
        <f>ROUND(AVERAGEIFS([1]HOURLY_DATA!D114:D8897,[1]HOURLY_DATA!H114:H8897,Daily_AQI!A114),0)</f>
        <v>16</v>
      </c>
      <c r="E114">
        <f>ROUND(AVERAGEIFS([1]HOURLY_DATA!E114:E8897,[1]HOURLY_DATA!H114:H8897,Daily_AQI!A114),0)</f>
        <v>8</v>
      </c>
      <c r="F114">
        <f>ROUND(AVERAGEIFS([1]HOURLY_DATA!I114:I8897,[1]HOURLY_DATA!H114:H8897,Daily_AQI!A114),2)</f>
        <v>0.52</v>
      </c>
      <c r="G114">
        <f>ROUND(AVERAGEIFS([1]HOURLY_DATA!J114:J8897,[1]HOURLY_DATA!H114:H8897,Daily_AQI!A114),0)</f>
        <v>34</v>
      </c>
      <c r="H114">
        <f>ROUND(((_xlfn.XLOOKUP(B114,[1]!PM2.5[BLO],[1]!PM2.5[IHI],,-1) - _xlfn.XLOOKUP(B114,[1]!PM2.5[BLO],[1]!PM2.5[ILO],,-1))
/
(_xlfn.XLOOKUP(B114,[1]!PM2.5[BLO],[1]!PM2.5[BHI],,-1) - _xlfn.XLOOKUP(B114,[1]!PM2.5[BLO],[1]!PM2.5[BLO],,-1)))
*
(B114 - _xlfn.XLOOKUP(B114,[1]!PM2.5[BLO],[1]!PM2.5[BLO],,-1))
+
_xlfn.XLOOKUP(B114,[1]!PM2.5[BLO],[1]!PM2.5[ILO],,-1),2)</f>
        <v>67.900000000000006</v>
      </c>
      <c r="I114">
        <f>ROUND(((_xlfn.XLOOKUP(C114,[1]!PM_10[BLO],[1]!PM_10[IHI],,-1) - _xlfn.XLOOKUP(C114,[1]!PM_10[BLO],[1]!PM_10[ILO],,-1))
/
(_xlfn.XLOOKUP(C114,[1]!PM_10[BLO],[1]!PM_10[BHI],,-1) - _xlfn.XLOOKUP(C114,[1]!PM_10[BLO],[1]!PM_10[BLO],,-1)))
*
( C114 - _xlfn.XLOOKUP(C114,[1]!PM_10[BLO],[1]!PM_10[BLO],,-1))
+
_xlfn.XLOOKUP(C114,[1]!PM_10[BLO],[1]!PM_10[ILO],,-1),2)</f>
        <v>78</v>
      </c>
      <c r="J114">
        <f>ROUND((( _xlfn.XLOOKUP(D114,[1]!NO_2[BLO],[1]!NO_2[IHI],,-1) - _xlfn.XLOOKUP(D114,[1]!NO_2[BLO],[1]!NO_2[ILO],,-1))
/
( _xlfn.XLOOKUP(D114,[1]!NO_2[BLO],[1]!NO_2[BHI],,-1) - _xlfn.XLOOKUP(D114,[1]!NO_2[BLO],[1]!NO_2[BLO],,-1) ))
*
( D114 - _xlfn.XLOOKUP(D114,[1]!NO_2[BLO],[1]!NO_2[BLO],,-1))
+
_xlfn.XLOOKUP(D114,[1]!NO_2[BLO],[1]!NO_2[ILO],,-1),2)</f>
        <v>20</v>
      </c>
      <c r="K114">
        <f>ROUND(( ( _xlfn.XLOOKUP(E114,[1]!SO_2[BLO],[1]!SO_2[IHI],,-1)  - _xlfn.XLOOKUP(E114,[1]!SO_2[BLO],[1]!SO_2[ILO],,-1) )
/
( _xlfn.XLOOKUP(E114,[1]!SO_2[BLO],[1]!SO_2[BHI],,-1)- _xlfn.XLOOKUP(E114,[1]!SO_2[BLO],[1]!SO_2[BLO],,-1) ))
*
( E114 - _xlfn.XLOOKUP(E114,[1]!SO_2[BLO],[1]!SO_2[BLO],,-1) )
+
_xlfn.XLOOKUP(E114,[1]!SO_2[BLO],[1]!SO_2[ILO],,-1),2)</f>
        <v>10</v>
      </c>
      <c r="L114">
        <f>( ( _xlfn.XLOOKUP(F114,[1]!CO[BLO],[1]!CO[IHI],,-1)
- _xlfn.XLOOKUP(F114,[1]!CO[BLO],[1]!CO[ILO],,-1) )
/
( _xlfn.XLOOKUP(F114,[1]!CO[BLO],[1]!CO[BHI],,-1) - _xlfn.XLOOKUP(F114,[1]!CO[BLO],[1]!CO[BLO],,-1)))
*
( F114 - _xlfn.XLOOKUP(F114,[1]!CO[BLO],[1]!CO[BLO],,-1) )
+
_xlfn.XLOOKUP(F114,[1]!CO[BLO],[1]!CO[ILO],,-1)</f>
        <v>26</v>
      </c>
      <c r="M114">
        <f>(( _xlfn.XLOOKUP(G114,[1]!O_3[BLO],[1]!O_3[IHI],,-1) - _xlfn.XLOOKUP(G114,[1]!O_3[BLO],[1]!O_3[ILO],,-1))
/
( _xlfn.XLOOKUP(G114,[1]!O_3[BLO],[1]!O_3[BHI],,-1) - _xlfn.XLOOKUP(G114,[1]!O_3[BLO],[1]!O_3[BLO],,-1)))
*
( G114 - _xlfn.XLOOKUP(G114,[1]!O_3[BLO],[1]!O_3[BLO],,-1))
+
_xlfn.XLOOKUP(G114,[1]!O_3[BLO],[1]!O_3[ILO],,-1)</f>
        <v>34</v>
      </c>
      <c r="N114">
        <f>MAX(DAILY_DATA[[#This Row],[AQI_PM2.5]:[AQI_O3]])</f>
        <v>78</v>
      </c>
      <c r="O114" t="str">
        <f>_xlfn.XLOOKUP(DAILY_DATA[[#This Row],[OVERALL_AQI]],[1]!CATEGORY[AQI_LO],[1]!CATEGORY[CATEGORY],,-1)</f>
        <v>Satisfactory</v>
      </c>
      <c r="P114" t="str" cm="1">
        <f t="array" ref="P114">INDEX(
{"PM2.5","PM10","NO2","SO2","CO","O3"},
MATCH(N114,H114:M114,0)
)</f>
        <v>PM10</v>
      </c>
    </row>
    <row r="115" spans="1:16" x14ac:dyDescent="0.25">
      <c r="A115" s="4">
        <v>45405</v>
      </c>
      <c r="B115">
        <f>ROUND(AVERAGEIFS([1]HOURLY_DATA!B115:B8898,[1]HOURLY_DATA!H115:H8898,Daily_AQI!A115),0)</f>
        <v>41</v>
      </c>
      <c r="C115">
        <f>ROUND(AVERAGEIFS([1]HOURLY_DATA!C115:C8898,[1]HOURLY_DATA!H115:H8898,Daily_AQI!A115),0)</f>
        <v>80</v>
      </c>
      <c r="D115">
        <f>ROUND(AVERAGEIFS([1]HOURLY_DATA!D115:D8898,[1]HOURLY_DATA!H115:H8898,Daily_AQI!A115),0)</f>
        <v>14</v>
      </c>
      <c r="E115">
        <f>ROUND(AVERAGEIFS([1]HOURLY_DATA!E115:E8898,[1]HOURLY_DATA!H115:H8898,Daily_AQI!A115),0)</f>
        <v>8</v>
      </c>
      <c r="F115">
        <f>ROUND(AVERAGEIFS([1]HOURLY_DATA!I115:I8898,[1]HOURLY_DATA!H115:H8898,Daily_AQI!A115),2)</f>
        <v>0.53</v>
      </c>
      <c r="G115">
        <f>ROUND(AVERAGEIFS([1]HOURLY_DATA!J115:J8898,[1]HOURLY_DATA!H115:H8898,Daily_AQI!A115),0)</f>
        <v>37</v>
      </c>
      <c r="H115">
        <f>ROUND(((_xlfn.XLOOKUP(B115,[1]!PM2.5[BLO],[1]!PM2.5[IHI],,-1) - _xlfn.XLOOKUP(B115,[1]!PM2.5[BLO],[1]!PM2.5[ILO],,-1))
/
(_xlfn.XLOOKUP(B115,[1]!PM2.5[BLO],[1]!PM2.5[BHI],,-1) - _xlfn.XLOOKUP(B115,[1]!PM2.5[BLO],[1]!PM2.5[BLO],,-1)))
*
(B115 - _xlfn.XLOOKUP(B115,[1]!PM2.5[BLO],[1]!PM2.5[BLO],,-1))
+
_xlfn.XLOOKUP(B115,[1]!PM2.5[BLO],[1]!PM2.5[ILO],,-1),2)</f>
        <v>67.900000000000006</v>
      </c>
      <c r="I115">
        <f>ROUND(((_xlfn.XLOOKUP(C115,[1]!PM_10[BLO],[1]!PM_10[IHI],,-1) - _xlfn.XLOOKUP(C115,[1]!PM_10[BLO],[1]!PM_10[ILO],,-1))
/
(_xlfn.XLOOKUP(C115,[1]!PM_10[BLO],[1]!PM_10[BHI],,-1) - _xlfn.XLOOKUP(C115,[1]!PM_10[BLO],[1]!PM_10[BLO],,-1)))
*
( C115 - _xlfn.XLOOKUP(C115,[1]!PM_10[BLO],[1]!PM_10[BLO],,-1))
+
_xlfn.XLOOKUP(C115,[1]!PM_10[BLO],[1]!PM_10[ILO],,-1),2)</f>
        <v>80</v>
      </c>
      <c r="J115">
        <f>ROUND((( _xlfn.XLOOKUP(D115,[1]!NO_2[BLO],[1]!NO_2[IHI],,-1) - _xlfn.XLOOKUP(D115,[1]!NO_2[BLO],[1]!NO_2[ILO],,-1))
/
( _xlfn.XLOOKUP(D115,[1]!NO_2[BLO],[1]!NO_2[BHI],,-1) - _xlfn.XLOOKUP(D115,[1]!NO_2[BLO],[1]!NO_2[BLO],,-1) ))
*
( D115 - _xlfn.XLOOKUP(D115,[1]!NO_2[BLO],[1]!NO_2[BLO],,-1))
+
_xlfn.XLOOKUP(D115,[1]!NO_2[BLO],[1]!NO_2[ILO],,-1),2)</f>
        <v>17.5</v>
      </c>
      <c r="K115">
        <f>ROUND(( ( _xlfn.XLOOKUP(E115,[1]!SO_2[BLO],[1]!SO_2[IHI],,-1)  - _xlfn.XLOOKUP(E115,[1]!SO_2[BLO],[1]!SO_2[ILO],,-1) )
/
( _xlfn.XLOOKUP(E115,[1]!SO_2[BLO],[1]!SO_2[BHI],,-1)- _xlfn.XLOOKUP(E115,[1]!SO_2[BLO],[1]!SO_2[BLO],,-1) ))
*
( E115 - _xlfn.XLOOKUP(E115,[1]!SO_2[BLO],[1]!SO_2[BLO],,-1) )
+
_xlfn.XLOOKUP(E115,[1]!SO_2[BLO],[1]!SO_2[ILO],,-1),2)</f>
        <v>10</v>
      </c>
      <c r="L115">
        <f>( ( _xlfn.XLOOKUP(F115,[1]!CO[BLO],[1]!CO[IHI],,-1)
- _xlfn.XLOOKUP(F115,[1]!CO[BLO],[1]!CO[ILO],,-1) )
/
( _xlfn.XLOOKUP(F115,[1]!CO[BLO],[1]!CO[BHI],,-1) - _xlfn.XLOOKUP(F115,[1]!CO[BLO],[1]!CO[BLO],,-1)))
*
( F115 - _xlfn.XLOOKUP(F115,[1]!CO[BLO],[1]!CO[BLO],,-1) )
+
_xlfn.XLOOKUP(F115,[1]!CO[BLO],[1]!CO[ILO],,-1)</f>
        <v>26.5</v>
      </c>
      <c r="M115">
        <f>(( _xlfn.XLOOKUP(G115,[1]!O_3[BLO],[1]!O_3[IHI],,-1) - _xlfn.XLOOKUP(G115,[1]!O_3[BLO],[1]!O_3[ILO],,-1))
/
( _xlfn.XLOOKUP(G115,[1]!O_3[BLO],[1]!O_3[BHI],,-1) - _xlfn.XLOOKUP(G115,[1]!O_3[BLO],[1]!O_3[BLO],,-1)))
*
( G115 - _xlfn.XLOOKUP(G115,[1]!O_3[BLO],[1]!O_3[BLO],,-1))
+
_xlfn.XLOOKUP(G115,[1]!O_3[BLO],[1]!O_3[ILO],,-1)</f>
        <v>37</v>
      </c>
      <c r="N115">
        <f>MAX(DAILY_DATA[[#This Row],[AQI_PM2.5]:[AQI_O3]])</f>
        <v>80</v>
      </c>
      <c r="O115" t="str">
        <f>_xlfn.XLOOKUP(DAILY_DATA[[#This Row],[OVERALL_AQI]],[1]!CATEGORY[AQI_LO],[1]!CATEGORY[CATEGORY],,-1)</f>
        <v>Satisfactory</v>
      </c>
      <c r="P115" t="str" cm="1">
        <f t="array" ref="P115">INDEX(
{"PM2.5","PM10","NO2","SO2","CO","O3"},
MATCH(N115,H115:M115,0)
)</f>
        <v>PM10</v>
      </c>
    </row>
    <row r="116" spans="1:16" x14ac:dyDescent="0.25">
      <c r="A116" s="4">
        <v>45406</v>
      </c>
      <c r="B116">
        <f>ROUND(AVERAGEIFS([1]HOURLY_DATA!B116:B8899,[1]HOURLY_DATA!H116:H8899,Daily_AQI!A116),0)</f>
        <v>38</v>
      </c>
      <c r="C116">
        <f>ROUND(AVERAGEIFS([1]HOURLY_DATA!C116:C8899,[1]HOURLY_DATA!H116:H8899,Daily_AQI!A116),0)</f>
        <v>85</v>
      </c>
      <c r="D116">
        <f>ROUND(AVERAGEIFS([1]HOURLY_DATA!D116:D8899,[1]HOURLY_DATA!H116:H8899,Daily_AQI!A116),0)</f>
        <v>14</v>
      </c>
      <c r="E116">
        <f>ROUND(AVERAGEIFS([1]HOURLY_DATA!E116:E8899,[1]HOURLY_DATA!H116:H8899,Daily_AQI!A116),0)</f>
        <v>10</v>
      </c>
      <c r="F116">
        <f>ROUND(AVERAGEIFS([1]HOURLY_DATA!I116:I8899,[1]HOURLY_DATA!H116:H8899,Daily_AQI!A116),2)</f>
        <v>0.49</v>
      </c>
      <c r="G116">
        <f>ROUND(AVERAGEIFS([1]HOURLY_DATA!J116:J8899,[1]HOURLY_DATA!H116:H8899,Daily_AQI!A116),0)</f>
        <v>34</v>
      </c>
      <c r="H116">
        <f>ROUND(((_xlfn.XLOOKUP(B116,[1]!PM2.5[BLO],[1]!PM2.5[IHI],,-1) - _xlfn.XLOOKUP(B116,[1]!PM2.5[BLO],[1]!PM2.5[ILO],,-1))
/
(_xlfn.XLOOKUP(B116,[1]!PM2.5[BLO],[1]!PM2.5[BHI],,-1) - _xlfn.XLOOKUP(B116,[1]!PM2.5[BLO],[1]!PM2.5[BLO],,-1)))
*
(B116 - _xlfn.XLOOKUP(B116,[1]!PM2.5[BLO],[1]!PM2.5[BLO],,-1))
+
_xlfn.XLOOKUP(B116,[1]!PM2.5[BLO],[1]!PM2.5[ILO],,-1),2)</f>
        <v>62.83</v>
      </c>
      <c r="I116">
        <f>ROUND(((_xlfn.XLOOKUP(C116,[1]!PM_10[BLO],[1]!PM_10[IHI],,-1) - _xlfn.XLOOKUP(C116,[1]!PM_10[BLO],[1]!PM_10[ILO],,-1))
/
(_xlfn.XLOOKUP(C116,[1]!PM_10[BLO],[1]!PM_10[BHI],,-1) - _xlfn.XLOOKUP(C116,[1]!PM_10[BLO],[1]!PM_10[BLO],,-1)))
*
( C116 - _xlfn.XLOOKUP(C116,[1]!PM_10[BLO],[1]!PM_10[BLO],,-1))
+
_xlfn.XLOOKUP(C116,[1]!PM_10[BLO],[1]!PM_10[ILO],,-1),2)</f>
        <v>85</v>
      </c>
      <c r="J116">
        <f>ROUND((( _xlfn.XLOOKUP(D116,[1]!NO_2[BLO],[1]!NO_2[IHI],,-1) - _xlfn.XLOOKUP(D116,[1]!NO_2[BLO],[1]!NO_2[ILO],,-1))
/
( _xlfn.XLOOKUP(D116,[1]!NO_2[BLO],[1]!NO_2[BHI],,-1) - _xlfn.XLOOKUP(D116,[1]!NO_2[BLO],[1]!NO_2[BLO],,-1) ))
*
( D116 - _xlfn.XLOOKUP(D116,[1]!NO_2[BLO],[1]!NO_2[BLO],,-1))
+
_xlfn.XLOOKUP(D116,[1]!NO_2[BLO],[1]!NO_2[ILO],,-1),2)</f>
        <v>17.5</v>
      </c>
      <c r="K116">
        <f>ROUND(( ( _xlfn.XLOOKUP(E116,[1]!SO_2[BLO],[1]!SO_2[IHI],,-1)  - _xlfn.XLOOKUP(E116,[1]!SO_2[BLO],[1]!SO_2[ILO],,-1) )
/
( _xlfn.XLOOKUP(E116,[1]!SO_2[BLO],[1]!SO_2[BHI],,-1)- _xlfn.XLOOKUP(E116,[1]!SO_2[BLO],[1]!SO_2[BLO],,-1) ))
*
( E116 - _xlfn.XLOOKUP(E116,[1]!SO_2[BLO],[1]!SO_2[BLO],,-1) )
+
_xlfn.XLOOKUP(E116,[1]!SO_2[BLO],[1]!SO_2[ILO],,-1),2)</f>
        <v>12.5</v>
      </c>
      <c r="L116">
        <f>( ( _xlfn.XLOOKUP(F116,[1]!CO[BLO],[1]!CO[IHI],,-1)
- _xlfn.XLOOKUP(F116,[1]!CO[BLO],[1]!CO[ILO],,-1) )
/
( _xlfn.XLOOKUP(F116,[1]!CO[BLO],[1]!CO[BHI],,-1) - _xlfn.XLOOKUP(F116,[1]!CO[BLO],[1]!CO[BLO],,-1)))
*
( F116 - _xlfn.XLOOKUP(F116,[1]!CO[BLO],[1]!CO[BLO],,-1) )
+
_xlfn.XLOOKUP(F116,[1]!CO[BLO],[1]!CO[ILO],,-1)</f>
        <v>24.5</v>
      </c>
      <c r="M116">
        <f>(( _xlfn.XLOOKUP(G116,[1]!O_3[BLO],[1]!O_3[IHI],,-1) - _xlfn.XLOOKUP(G116,[1]!O_3[BLO],[1]!O_3[ILO],,-1))
/
( _xlfn.XLOOKUP(G116,[1]!O_3[BLO],[1]!O_3[BHI],,-1) - _xlfn.XLOOKUP(G116,[1]!O_3[BLO],[1]!O_3[BLO],,-1)))
*
( G116 - _xlfn.XLOOKUP(G116,[1]!O_3[BLO],[1]!O_3[BLO],,-1))
+
_xlfn.XLOOKUP(G116,[1]!O_3[BLO],[1]!O_3[ILO],,-1)</f>
        <v>34</v>
      </c>
      <c r="N116">
        <f>MAX(DAILY_DATA[[#This Row],[AQI_PM2.5]:[AQI_O3]])</f>
        <v>85</v>
      </c>
      <c r="O116" t="str">
        <f>_xlfn.XLOOKUP(DAILY_DATA[[#This Row],[OVERALL_AQI]],[1]!CATEGORY[AQI_LO],[1]!CATEGORY[CATEGORY],,-1)</f>
        <v>Satisfactory</v>
      </c>
      <c r="P116" t="str" cm="1">
        <f t="array" ref="P116">INDEX(
{"PM2.5","PM10","NO2","SO2","CO","O3"},
MATCH(N116,H116:M116,0)
)</f>
        <v>PM10</v>
      </c>
    </row>
    <row r="117" spans="1:16" x14ac:dyDescent="0.25">
      <c r="A117" s="4">
        <v>45407</v>
      </c>
      <c r="B117">
        <f>ROUND(AVERAGEIFS([1]HOURLY_DATA!B117:B8900,[1]HOURLY_DATA!H117:H8900,Daily_AQI!A117),0)</f>
        <v>44</v>
      </c>
      <c r="C117">
        <f>ROUND(AVERAGEIFS([1]HOURLY_DATA!C117:C8900,[1]HOURLY_DATA!H117:H8900,Daily_AQI!A117),0)</f>
        <v>91</v>
      </c>
      <c r="D117">
        <f>ROUND(AVERAGEIFS([1]HOURLY_DATA!D117:D8900,[1]HOURLY_DATA!H117:H8900,Daily_AQI!A117),0)</f>
        <v>15</v>
      </c>
      <c r="E117">
        <f>ROUND(AVERAGEIFS([1]HOURLY_DATA!E117:E8900,[1]HOURLY_DATA!H117:H8900,Daily_AQI!A117),0)</f>
        <v>9</v>
      </c>
      <c r="F117">
        <f>ROUND(AVERAGEIFS([1]HOURLY_DATA!I117:I8900,[1]HOURLY_DATA!H117:H8900,Daily_AQI!A117),2)</f>
        <v>0.57999999999999996</v>
      </c>
      <c r="G117">
        <f>ROUND(AVERAGEIFS([1]HOURLY_DATA!J117:J8900,[1]HOURLY_DATA!H117:H8900,Daily_AQI!A117),0)</f>
        <v>36</v>
      </c>
      <c r="H117">
        <f>ROUND(((_xlfn.XLOOKUP(B117,[1]!PM2.5[BLO],[1]!PM2.5[IHI],,-1) - _xlfn.XLOOKUP(B117,[1]!PM2.5[BLO],[1]!PM2.5[ILO],,-1))
/
(_xlfn.XLOOKUP(B117,[1]!PM2.5[BLO],[1]!PM2.5[BHI],,-1) - _xlfn.XLOOKUP(B117,[1]!PM2.5[BLO],[1]!PM2.5[BLO],,-1)))
*
(B117 - _xlfn.XLOOKUP(B117,[1]!PM2.5[BLO],[1]!PM2.5[BLO],,-1))
+
_xlfn.XLOOKUP(B117,[1]!PM2.5[BLO],[1]!PM2.5[ILO],,-1),2)</f>
        <v>72.97</v>
      </c>
      <c r="I117">
        <f>ROUND(((_xlfn.XLOOKUP(C117,[1]!PM_10[BLO],[1]!PM_10[IHI],,-1) - _xlfn.XLOOKUP(C117,[1]!PM_10[BLO],[1]!PM_10[ILO],,-1))
/
(_xlfn.XLOOKUP(C117,[1]!PM_10[BLO],[1]!PM_10[BHI],,-1) - _xlfn.XLOOKUP(C117,[1]!PM_10[BLO],[1]!PM_10[BLO],,-1)))
*
( C117 - _xlfn.XLOOKUP(C117,[1]!PM_10[BLO],[1]!PM_10[BLO],,-1))
+
_xlfn.XLOOKUP(C117,[1]!PM_10[BLO],[1]!PM_10[ILO],,-1),2)</f>
        <v>91</v>
      </c>
      <c r="J117">
        <f>ROUND((( _xlfn.XLOOKUP(D117,[1]!NO_2[BLO],[1]!NO_2[IHI],,-1) - _xlfn.XLOOKUP(D117,[1]!NO_2[BLO],[1]!NO_2[ILO],,-1))
/
( _xlfn.XLOOKUP(D117,[1]!NO_2[BLO],[1]!NO_2[BHI],,-1) - _xlfn.XLOOKUP(D117,[1]!NO_2[BLO],[1]!NO_2[BLO],,-1) ))
*
( D117 - _xlfn.XLOOKUP(D117,[1]!NO_2[BLO],[1]!NO_2[BLO],,-1))
+
_xlfn.XLOOKUP(D117,[1]!NO_2[BLO],[1]!NO_2[ILO],,-1),2)</f>
        <v>18.75</v>
      </c>
      <c r="K117">
        <f>ROUND(( ( _xlfn.XLOOKUP(E117,[1]!SO_2[BLO],[1]!SO_2[IHI],,-1)  - _xlfn.XLOOKUP(E117,[1]!SO_2[BLO],[1]!SO_2[ILO],,-1) )
/
( _xlfn.XLOOKUP(E117,[1]!SO_2[BLO],[1]!SO_2[BHI],,-1)- _xlfn.XLOOKUP(E117,[1]!SO_2[BLO],[1]!SO_2[BLO],,-1) ))
*
( E117 - _xlfn.XLOOKUP(E117,[1]!SO_2[BLO],[1]!SO_2[BLO],,-1) )
+
_xlfn.XLOOKUP(E117,[1]!SO_2[BLO],[1]!SO_2[ILO],,-1),2)</f>
        <v>11.25</v>
      </c>
      <c r="L117">
        <f>( ( _xlfn.XLOOKUP(F117,[1]!CO[BLO],[1]!CO[IHI],,-1)
- _xlfn.XLOOKUP(F117,[1]!CO[BLO],[1]!CO[ILO],,-1) )
/
( _xlfn.XLOOKUP(F117,[1]!CO[BLO],[1]!CO[BHI],,-1) - _xlfn.XLOOKUP(F117,[1]!CO[BLO],[1]!CO[BLO],,-1)))
*
( F117 - _xlfn.XLOOKUP(F117,[1]!CO[BLO],[1]!CO[BLO],,-1) )
+
_xlfn.XLOOKUP(F117,[1]!CO[BLO],[1]!CO[ILO],,-1)</f>
        <v>28.999999999999996</v>
      </c>
      <c r="M117">
        <f>(( _xlfn.XLOOKUP(G117,[1]!O_3[BLO],[1]!O_3[IHI],,-1) - _xlfn.XLOOKUP(G117,[1]!O_3[BLO],[1]!O_3[ILO],,-1))
/
( _xlfn.XLOOKUP(G117,[1]!O_3[BLO],[1]!O_3[BHI],,-1) - _xlfn.XLOOKUP(G117,[1]!O_3[BLO],[1]!O_3[BLO],,-1)))
*
( G117 - _xlfn.XLOOKUP(G117,[1]!O_3[BLO],[1]!O_3[BLO],,-1))
+
_xlfn.XLOOKUP(G117,[1]!O_3[BLO],[1]!O_3[ILO],,-1)</f>
        <v>36</v>
      </c>
      <c r="N117">
        <f>MAX(DAILY_DATA[[#This Row],[AQI_PM2.5]:[AQI_O3]])</f>
        <v>91</v>
      </c>
      <c r="O117" t="str">
        <f>_xlfn.XLOOKUP(DAILY_DATA[[#This Row],[OVERALL_AQI]],[1]!CATEGORY[AQI_LO],[1]!CATEGORY[CATEGORY],,-1)</f>
        <v>Satisfactory</v>
      </c>
      <c r="P117" t="str" cm="1">
        <f t="array" ref="P117">INDEX(
{"PM2.5","PM10","NO2","SO2","CO","O3"},
MATCH(N117,H117:M117,0)
)</f>
        <v>PM10</v>
      </c>
    </row>
    <row r="118" spans="1:16" x14ac:dyDescent="0.25">
      <c r="A118" s="4">
        <v>45408</v>
      </c>
      <c r="B118">
        <f>ROUND(AVERAGEIFS([1]HOURLY_DATA!B118:B8901,[1]HOURLY_DATA!H118:H8901,Daily_AQI!A118),0)</f>
        <v>44</v>
      </c>
      <c r="C118">
        <f>ROUND(AVERAGEIFS([1]HOURLY_DATA!C118:C8901,[1]HOURLY_DATA!H118:H8901,Daily_AQI!A118),0)</f>
        <v>89</v>
      </c>
      <c r="D118">
        <f>ROUND(AVERAGEIFS([1]HOURLY_DATA!D118:D8901,[1]HOURLY_DATA!H118:H8901,Daily_AQI!A118),0)</f>
        <v>14</v>
      </c>
      <c r="E118">
        <f>ROUND(AVERAGEIFS([1]HOURLY_DATA!E118:E8901,[1]HOURLY_DATA!H118:H8901,Daily_AQI!A118),0)</f>
        <v>9</v>
      </c>
      <c r="F118">
        <f>ROUND(AVERAGEIFS([1]HOURLY_DATA!I118:I8901,[1]HOURLY_DATA!H118:H8901,Daily_AQI!A118),2)</f>
        <v>0.55000000000000004</v>
      </c>
      <c r="G118">
        <f>ROUND(AVERAGEIFS([1]HOURLY_DATA!J118:J8901,[1]HOURLY_DATA!H118:H8901,Daily_AQI!A118),0)</f>
        <v>36</v>
      </c>
      <c r="H118">
        <f>ROUND(((_xlfn.XLOOKUP(B118,[1]!PM2.5[BLO],[1]!PM2.5[IHI],,-1) - _xlfn.XLOOKUP(B118,[1]!PM2.5[BLO],[1]!PM2.5[ILO],,-1))
/
(_xlfn.XLOOKUP(B118,[1]!PM2.5[BLO],[1]!PM2.5[BHI],,-1) - _xlfn.XLOOKUP(B118,[1]!PM2.5[BLO],[1]!PM2.5[BLO],,-1)))
*
(B118 - _xlfn.XLOOKUP(B118,[1]!PM2.5[BLO],[1]!PM2.5[BLO],,-1))
+
_xlfn.XLOOKUP(B118,[1]!PM2.5[BLO],[1]!PM2.5[ILO],,-1),2)</f>
        <v>72.97</v>
      </c>
      <c r="I118">
        <f>ROUND(((_xlfn.XLOOKUP(C118,[1]!PM_10[BLO],[1]!PM_10[IHI],,-1) - _xlfn.XLOOKUP(C118,[1]!PM_10[BLO],[1]!PM_10[ILO],,-1))
/
(_xlfn.XLOOKUP(C118,[1]!PM_10[BLO],[1]!PM_10[BHI],,-1) - _xlfn.XLOOKUP(C118,[1]!PM_10[BLO],[1]!PM_10[BLO],,-1)))
*
( C118 - _xlfn.XLOOKUP(C118,[1]!PM_10[BLO],[1]!PM_10[BLO],,-1))
+
_xlfn.XLOOKUP(C118,[1]!PM_10[BLO],[1]!PM_10[ILO],,-1),2)</f>
        <v>89</v>
      </c>
      <c r="J118">
        <f>ROUND((( _xlfn.XLOOKUP(D118,[1]!NO_2[BLO],[1]!NO_2[IHI],,-1) - _xlfn.XLOOKUP(D118,[1]!NO_2[BLO],[1]!NO_2[ILO],,-1))
/
( _xlfn.XLOOKUP(D118,[1]!NO_2[BLO],[1]!NO_2[BHI],,-1) - _xlfn.XLOOKUP(D118,[1]!NO_2[BLO],[1]!NO_2[BLO],,-1) ))
*
( D118 - _xlfn.XLOOKUP(D118,[1]!NO_2[BLO],[1]!NO_2[BLO],,-1))
+
_xlfn.XLOOKUP(D118,[1]!NO_2[BLO],[1]!NO_2[ILO],,-1),2)</f>
        <v>17.5</v>
      </c>
      <c r="K118">
        <f>ROUND(( ( _xlfn.XLOOKUP(E118,[1]!SO_2[BLO],[1]!SO_2[IHI],,-1)  - _xlfn.XLOOKUP(E118,[1]!SO_2[BLO],[1]!SO_2[ILO],,-1) )
/
( _xlfn.XLOOKUP(E118,[1]!SO_2[BLO],[1]!SO_2[BHI],,-1)- _xlfn.XLOOKUP(E118,[1]!SO_2[BLO],[1]!SO_2[BLO],,-1) ))
*
( E118 - _xlfn.XLOOKUP(E118,[1]!SO_2[BLO],[1]!SO_2[BLO],,-1) )
+
_xlfn.XLOOKUP(E118,[1]!SO_2[BLO],[1]!SO_2[ILO],,-1),2)</f>
        <v>11.25</v>
      </c>
      <c r="L118">
        <f>( ( _xlfn.XLOOKUP(F118,[1]!CO[BLO],[1]!CO[IHI],,-1)
- _xlfn.XLOOKUP(F118,[1]!CO[BLO],[1]!CO[ILO],,-1) )
/
( _xlfn.XLOOKUP(F118,[1]!CO[BLO],[1]!CO[BHI],,-1) - _xlfn.XLOOKUP(F118,[1]!CO[BLO],[1]!CO[BLO],,-1)))
*
( F118 - _xlfn.XLOOKUP(F118,[1]!CO[BLO],[1]!CO[BLO],,-1) )
+
_xlfn.XLOOKUP(F118,[1]!CO[BLO],[1]!CO[ILO],,-1)</f>
        <v>27.500000000000004</v>
      </c>
      <c r="M118">
        <f>(( _xlfn.XLOOKUP(G118,[1]!O_3[BLO],[1]!O_3[IHI],,-1) - _xlfn.XLOOKUP(G118,[1]!O_3[BLO],[1]!O_3[ILO],,-1))
/
( _xlfn.XLOOKUP(G118,[1]!O_3[BLO],[1]!O_3[BHI],,-1) - _xlfn.XLOOKUP(G118,[1]!O_3[BLO],[1]!O_3[BLO],,-1)))
*
( G118 - _xlfn.XLOOKUP(G118,[1]!O_3[BLO],[1]!O_3[BLO],,-1))
+
_xlfn.XLOOKUP(G118,[1]!O_3[BLO],[1]!O_3[ILO],,-1)</f>
        <v>36</v>
      </c>
      <c r="N118">
        <f>MAX(DAILY_DATA[[#This Row],[AQI_PM2.5]:[AQI_O3]])</f>
        <v>89</v>
      </c>
      <c r="O118" t="str">
        <f>_xlfn.XLOOKUP(DAILY_DATA[[#This Row],[OVERALL_AQI]],[1]!CATEGORY[AQI_LO],[1]!CATEGORY[CATEGORY],,-1)</f>
        <v>Satisfactory</v>
      </c>
      <c r="P118" t="str" cm="1">
        <f t="array" ref="P118">INDEX(
{"PM2.5","PM10","NO2","SO2","CO","O3"},
MATCH(N118,H118:M118,0)
)</f>
        <v>PM10</v>
      </c>
    </row>
    <row r="119" spans="1:16" x14ac:dyDescent="0.25">
      <c r="A119" s="4">
        <v>45409</v>
      </c>
      <c r="B119">
        <f>ROUND(AVERAGEIFS([1]HOURLY_DATA!B119:B8902,[1]HOURLY_DATA!H119:H8902,Daily_AQI!A119),0)</f>
        <v>53</v>
      </c>
      <c r="C119">
        <f>ROUND(AVERAGEIFS([1]HOURLY_DATA!C119:C8902,[1]HOURLY_DATA!H119:H8902,Daily_AQI!A119),0)</f>
        <v>98</v>
      </c>
      <c r="D119">
        <f>ROUND(AVERAGEIFS([1]HOURLY_DATA!D119:D8902,[1]HOURLY_DATA!H119:H8902,Daily_AQI!A119),0)</f>
        <v>15</v>
      </c>
      <c r="E119">
        <f>ROUND(AVERAGEIFS([1]HOURLY_DATA!E119:E8902,[1]HOURLY_DATA!H119:H8902,Daily_AQI!A119),0)</f>
        <v>11</v>
      </c>
      <c r="F119">
        <f>ROUND(AVERAGEIFS([1]HOURLY_DATA!I119:I8902,[1]HOURLY_DATA!H119:H8902,Daily_AQI!A119),2)</f>
        <v>0.55000000000000004</v>
      </c>
      <c r="G119">
        <f>ROUND(AVERAGEIFS([1]HOURLY_DATA!J119:J8902,[1]HOURLY_DATA!H119:H8902,Daily_AQI!A119),0)</f>
        <v>39</v>
      </c>
      <c r="H119">
        <f>ROUND(((_xlfn.XLOOKUP(B119,[1]!PM2.5[BLO],[1]!PM2.5[IHI],,-1) - _xlfn.XLOOKUP(B119,[1]!PM2.5[BLO],[1]!PM2.5[ILO],,-1))
/
(_xlfn.XLOOKUP(B119,[1]!PM2.5[BLO],[1]!PM2.5[BHI],,-1) - _xlfn.XLOOKUP(B119,[1]!PM2.5[BLO],[1]!PM2.5[BLO],,-1)))
*
(B119 - _xlfn.XLOOKUP(B119,[1]!PM2.5[BLO],[1]!PM2.5[BLO],,-1))
+
_xlfn.XLOOKUP(B119,[1]!PM2.5[BLO],[1]!PM2.5[ILO],,-1),2)</f>
        <v>88.17</v>
      </c>
      <c r="I119">
        <f>ROUND(((_xlfn.XLOOKUP(C119,[1]!PM_10[BLO],[1]!PM_10[IHI],,-1) - _xlfn.XLOOKUP(C119,[1]!PM_10[BLO],[1]!PM_10[ILO],,-1))
/
(_xlfn.XLOOKUP(C119,[1]!PM_10[BLO],[1]!PM_10[BHI],,-1) - _xlfn.XLOOKUP(C119,[1]!PM_10[BLO],[1]!PM_10[BLO],,-1)))
*
( C119 - _xlfn.XLOOKUP(C119,[1]!PM_10[BLO],[1]!PM_10[BLO],,-1))
+
_xlfn.XLOOKUP(C119,[1]!PM_10[BLO],[1]!PM_10[ILO],,-1),2)</f>
        <v>98</v>
      </c>
      <c r="J119">
        <f>ROUND((( _xlfn.XLOOKUP(D119,[1]!NO_2[BLO],[1]!NO_2[IHI],,-1) - _xlfn.XLOOKUP(D119,[1]!NO_2[BLO],[1]!NO_2[ILO],,-1))
/
( _xlfn.XLOOKUP(D119,[1]!NO_2[BLO],[1]!NO_2[BHI],,-1) - _xlfn.XLOOKUP(D119,[1]!NO_2[BLO],[1]!NO_2[BLO],,-1) ))
*
( D119 - _xlfn.XLOOKUP(D119,[1]!NO_2[BLO],[1]!NO_2[BLO],,-1))
+
_xlfn.XLOOKUP(D119,[1]!NO_2[BLO],[1]!NO_2[ILO],,-1),2)</f>
        <v>18.75</v>
      </c>
      <c r="K119">
        <f>ROUND(( ( _xlfn.XLOOKUP(E119,[1]!SO_2[BLO],[1]!SO_2[IHI],,-1)  - _xlfn.XLOOKUP(E119,[1]!SO_2[BLO],[1]!SO_2[ILO],,-1) )
/
( _xlfn.XLOOKUP(E119,[1]!SO_2[BLO],[1]!SO_2[BHI],,-1)- _xlfn.XLOOKUP(E119,[1]!SO_2[BLO],[1]!SO_2[BLO],,-1) ))
*
( E119 - _xlfn.XLOOKUP(E119,[1]!SO_2[BLO],[1]!SO_2[BLO],,-1) )
+
_xlfn.XLOOKUP(E119,[1]!SO_2[BLO],[1]!SO_2[ILO],,-1),2)</f>
        <v>13.75</v>
      </c>
      <c r="L119">
        <f>( ( _xlfn.XLOOKUP(F119,[1]!CO[BLO],[1]!CO[IHI],,-1)
- _xlfn.XLOOKUP(F119,[1]!CO[BLO],[1]!CO[ILO],,-1) )
/
( _xlfn.XLOOKUP(F119,[1]!CO[BLO],[1]!CO[BHI],,-1) - _xlfn.XLOOKUP(F119,[1]!CO[BLO],[1]!CO[BLO],,-1)))
*
( F119 - _xlfn.XLOOKUP(F119,[1]!CO[BLO],[1]!CO[BLO],,-1) )
+
_xlfn.XLOOKUP(F119,[1]!CO[BLO],[1]!CO[ILO],,-1)</f>
        <v>27.500000000000004</v>
      </c>
      <c r="M119">
        <f>(( _xlfn.XLOOKUP(G119,[1]!O_3[BLO],[1]!O_3[IHI],,-1) - _xlfn.XLOOKUP(G119,[1]!O_3[BLO],[1]!O_3[ILO],,-1))
/
( _xlfn.XLOOKUP(G119,[1]!O_3[BLO],[1]!O_3[BHI],,-1) - _xlfn.XLOOKUP(G119,[1]!O_3[BLO],[1]!O_3[BLO],,-1)))
*
( G119 - _xlfn.XLOOKUP(G119,[1]!O_3[BLO],[1]!O_3[BLO],,-1))
+
_xlfn.XLOOKUP(G119,[1]!O_3[BLO],[1]!O_3[ILO],,-1)</f>
        <v>39</v>
      </c>
      <c r="N119">
        <f>MAX(DAILY_DATA[[#This Row],[AQI_PM2.5]:[AQI_O3]])</f>
        <v>98</v>
      </c>
      <c r="O119" t="str">
        <f>_xlfn.XLOOKUP(DAILY_DATA[[#This Row],[OVERALL_AQI]],[1]!CATEGORY[AQI_LO],[1]!CATEGORY[CATEGORY],,-1)</f>
        <v>Satisfactory</v>
      </c>
      <c r="P119" t="str" cm="1">
        <f t="array" ref="P119">INDEX(
{"PM2.5","PM10","NO2","SO2","CO","O3"},
MATCH(N119,H119:M119,0)
)</f>
        <v>PM10</v>
      </c>
    </row>
    <row r="120" spans="1:16" x14ac:dyDescent="0.25">
      <c r="A120" s="4">
        <v>45410</v>
      </c>
      <c r="B120">
        <f>ROUND(AVERAGEIFS([1]HOURLY_DATA!B120:B8903,[1]HOURLY_DATA!H120:H8903,Daily_AQI!A120),0)</f>
        <v>37</v>
      </c>
      <c r="C120">
        <f>ROUND(AVERAGEIFS([1]HOURLY_DATA!C120:C8903,[1]HOURLY_DATA!H120:H8903,Daily_AQI!A120),0)</f>
        <v>76</v>
      </c>
      <c r="D120">
        <f>ROUND(AVERAGEIFS([1]HOURLY_DATA!D120:D8903,[1]HOURLY_DATA!H120:H8903,Daily_AQI!A120),0)</f>
        <v>14</v>
      </c>
      <c r="E120">
        <f>ROUND(AVERAGEIFS([1]HOURLY_DATA!E120:E8903,[1]HOURLY_DATA!H120:H8903,Daily_AQI!A120),0)</f>
        <v>8</v>
      </c>
      <c r="F120">
        <f>ROUND(AVERAGEIFS([1]HOURLY_DATA!I120:I8903,[1]HOURLY_DATA!H120:H8903,Daily_AQI!A120),2)</f>
        <v>0.52</v>
      </c>
      <c r="G120">
        <f>ROUND(AVERAGEIFS([1]HOURLY_DATA!J120:J8903,[1]HOURLY_DATA!H120:H8903,Daily_AQI!A120),0)</f>
        <v>42</v>
      </c>
      <c r="H120">
        <f>ROUND(((_xlfn.XLOOKUP(B120,[1]!PM2.5[BLO],[1]!PM2.5[IHI],,-1) - _xlfn.XLOOKUP(B120,[1]!PM2.5[BLO],[1]!PM2.5[ILO],,-1))
/
(_xlfn.XLOOKUP(B120,[1]!PM2.5[BLO],[1]!PM2.5[BHI],,-1) - _xlfn.XLOOKUP(B120,[1]!PM2.5[BLO],[1]!PM2.5[BLO],,-1)))
*
(B120 - _xlfn.XLOOKUP(B120,[1]!PM2.5[BLO],[1]!PM2.5[BLO],,-1))
+
_xlfn.XLOOKUP(B120,[1]!PM2.5[BLO],[1]!PM2.5[ILO],,-1),2)</f>
        <v>61.14</v>
      </c>
      <c r="I120">
        <f>ROUND(((_xlfn.XLOOKUP(C120,[1]!PM_10[BLO],[1]!PM_10[IHI],,-1) - _xlfn.XLOOKUP(C120,[1]!PM_10[BLO],[1]!PM_10[ILO],,-1))
/
(_xlfn.XLOOKUP(C120,[1]!PM_10[BLO],[1]!PM_10[BHI],,-1) - _xlfn.XLOOKUP(C120,[1]!PM_10[BLO],[1]!PM_10[BLO],,-1)))
*
( C120 - _xlfn.XLOOKUP(C120,[1]!PM_10[BLO],[1]!PM_10[BLO],,-1))
+
_xlfn.XLOOKUP(C120,[1]!PM_10[BLO],[1]!PM_10[ILO],,-1),2)</f>
        <v>76</v>
      </c>
      <c r="J120">
        <f>ROUND((( _xlfn.XLOOKUP(D120,[1]!NO_2[BLO],[1]!NO_2[IHI],,-1) - _xlfn.XLOOKUP(D120,[1]!NO_2[BLO],[1]!NO_2[ILO],,-1))
/
( _xlfn.XLOOKUP(D120,[1]!NO_2[BLO],[1]!NO_2[BHI],,-1) - _xlfn.XLOOKUP(D120,[1]!NO_2[BLO],[1]!NO_2[BLO],,-1) ))
*
( D120 - _xlfn.XLOOKUP(D120,[1]!NO_2[BLO],[1]!NO_2[BLO],,-1))
+
_xlfn.XLOOKUP(D120,[1]!NO_2[BLO],[1]!NO_2[ILO],,-1),2)</f>
        <v>17.5</v>
      </c>
      <c r="K120">
        <f>ROUND(( ( _xlfn.XLOOKUP(E120,[1]!SO_2[BLO],[1]!SO_2[IHI],,-1)  - _xlfn.XLOOKUP(E120,[1]!SO_2[BLO],[1]!SO_2[ILO],,-1) )
/
( _xlfn.XLOOKUP(E120,[1]!SO_2[BLO],[1]!SO_2[BHI],,-1)- _xlfn.XLOOKUP(E120,[1]!SO_2[BLO],[1]!SO_2[BLO],,-1) ))
*
( E120 - _xlfn.XLOOKUP(E120,[1]!SO_2[BLO],[1]!SO_2[BLO],,-1) )
+
_xlfn.XLOOKUP(E120,[1]!SO_2[BLO],[1]!SO_2[ILO],,-1),2)</f>
        <v>10</v>
      </c>
      <c r="L120">
        <f>( ( _xlfn.XLOOKUP(F120,[1]!CO[BLO],[1]!CO[IHI],,-1)
- _xlfn.XLOOKUP(F120,[1]!CO[BLO],[1]!CO[ILO],,-1) )
/
( _xlfn.XLOOKUP(F120,[1]!CO[BLO],[1]!CO[BHI],,-1) - _xlfn.XLOOKUP(F120,[1]!CO[BLO],[1]!CO[BLO],,-1)))
*
( F120 - _xlfn.XLOOKUP(F120,[1]!CO[BLO],[1]!CO[BLO],,-1) )
+
_xlfn.XLOOKUP(F120,[1]!CO[BLO],[1]!CO[ILO],,-1)</f>
        <v>26</v>
      </c>
      <c r="M120">
        <f>(( _xlfn.XLOOKUP(G120,[1]!O_3[BLO],[1]!O_3[IHI],,-1) - _xlfn.XLOOKUP(G120,[1]!O_3[BLO],[1]!O_3[ILO],,-1))
/
( _xlfn.XLOOKUP(G120,[1]!O_3[BLO],[1]!O_3[BHI],,-1) - _xlfn.XLOOKUP(G120,[1]!O_3[BLO],[1]!O_3[BLO],,-1)))
*
( G120 - _xlfn.XLOOKUP(G120,[1]!O_3[BLO],[1]!O_3[BLO],,-1))
+
_xlfn.XLOOKUP(G120,[1]!O_3[BLO],[1]!O_3[ILO],,-1)</f>
        <v>42</v>
      </c>
      <c r="N120">
        <f>MAX(DAILY_DATA[[#This Row],[AQI_PM2.5]:[AQI_O3]])</f>
        <v>76</v>
      </c>
      <c r="O120" t="str">
        <f>_xlfn.XLOOKUP(DAILY_DATA[[#This Row],[OVERALL_AQI]],[1]!CATEGORY[AQI_LO],[1]!CATEGORY[CATEGORY],,-1)</f>
        <v>Satisfactory</v>
      </c>
      <c r="P120" t="str" cm="1">
        <f t="array" ref="P120">INDEX(
{"PM2.5","PM10","NO2","SO2","CO","O3"},
MATCH(N120,H120:M120,0)
)</f>
        <v>PM10</v>
      </c>
    </row>
    <row r="121" spans="1:16" x14ac:dyDescent="0.25">
      <c r="A121" s="4">
        <v>45411</v>
      </c>
      <c r="B121">
        <f>ROUND(AVERAGEIFS([1]HOURLY_DATA!B121:B8904,[1]HOURLY_DATA!H121:H8904,Daily_AQI!A121),0)</f>
        <v>32</v>
      </c>
      <c r="C121">
        <f>ROUND(AVERAGEIFS([1]HOURLY_DATA!C121:C8904,[1]HOURLY_DATA!H121:H8904,Daily_AQI!A121),0)</f>
        <v>69</v>
      </c>
      <c r="D121">
        <f>ROUND(AVERAGEIFS([1]HOURLY_DATA!D121:D8904,[1]HOURLY_DATA!H121:H8904,Daily_AQI!A121),0)</f>
        <v>15</v>
      </c>
      <c r="E121">
        <f>ROUND(AVERAGEIFS([1]HOURLY_DATA!E121:E8904,[1]HOURLY_DATA!H121:H8904,Daily_AQI!A121),0)</f>
        <v>8</v>
      </c>
      <c r="F121">
        <f>ROUND(AVERAGEIFS([1]HOURLY_DATA!I121:I8904,[1]HOURLY_DATA!H121:H8904,Daily_AQI!A121),2)</f>
        <v>0.52</v>
      </c>
      <c r="G121">
        <f>ROUND(AVERAGEIFS([1]HOURLY_DATA!J121:J8904,[1]HOURLY_DATA!H121:H8904,Daily_AQI!A121),0)</f>
        <v>35</v>
      </c>
      <c r="H121">
        <f>ROUND(((_xlfn.XLOOKUP(B121,[1]!PM2.5[BLO],[1]!PM2.5[IHI],,-1) - _xlfn.XLOOKUP(B121,[1]!PM2.5[BLO],[1]!PM2.5[ILO],,-1))
/
(_xlfn.XLOOKUP(B121,[1]!PM2.5[BLO],[1]!PM2.5[BHI],,-1) - _xlfn.XLOOKUP(B121,[1]!PM2.5[BLO],[1]!PM2.5[BLO],,-1)))
*
(B121 - _xlfn.XLOOKUP(B121,[1]!PM2.5[BLO],[1]!PM2.5[BLO],,-1))
+
_xlfn.XLOOKUP(B121,[1]!PM2.5[BLO],[1]!PM2.5[ILO],,-1),2)</f>
        <v>52.69</v>
      </c>
      <c r="I121">
        <f>ROUND(((_xlfn.XLOOKUP(C121,[1]!PM_10[BLO],[1]!PM_10[IHI],,-1) - _xlfn.XLOOKUP(C121,[1]!PM_10[BLO],[1]!PM_10[ILO],,-1))
/
(_xlfn.XLOOKUP(C121,[1]!PM_10[BLO],[1]!PM_10[BHI],,-1) - _xlfn.XLOOKUP(C121,[1]!PM_10[BLO],[1]!PM_10[BLO],,-1)))
*
( C121 - _xlfn.XLOOKUP(C121,[1]!PM_10[BLO],[1]!PM_10[BLO],,-1))
+
_xlfn.XLOOKUP(C121,[1]!PM_10[BLO],[1]!PM_10[ILO],,-1),2)</f>
        <v>69</v>
      </c>
      <c r="J121">
        <f>ROUND((( _xlfn.XLOOKUP(D121,[1]!NO_2[BLO],[1]!NO_2[IHI],,-1) - _xlfn.XLOOKUP(D121,[1]!NO_2[BLO],[1]!NO_2[ILO],,-1))
/
( _xlfn.XLOOKUP(D121,[1]!NO_2[BLO],[1]!NO_2[BHI],,-1) - _xlfn.XLOOKUP(D121,[1]!NO_2[BLO],[1]!NO_2[BLO],,-1) ))
*
( D121 - _xlfn.XLOOKUP(D121,[1]!NO_2[BLO],[1]!NO_2[BLO],,-1))
+
_xlfn.XLOOKUP(D121,[1]!NO_2[BLO],[1]!NO_2[ILO],,-1),2)</f>
        <v>18.75</v>
      </c>
      <c r="K121">
        <f>ROUND(( ( _xlfn.XLOOKUP(E121,[1]!SO_2[BLO],[1]!SO_2[IHI],,-1)  - _xlfn.XLOOKUP(E121,[1]!SO_2[BLO],[1]!SO_2[ILO],,-1) )
/
( _xlfn.XLOOKUP(E121,[1]!SO_2[BLO],[1]!SO_2[BHI],,-1)- _xlfn.XLOOKUP(E121,[1]!SO_2[BLO],[1]!SO_2[BLO],,-1) ))
*
( E121 - _xlfn.XLOOKUP(E121,[1]!SO_2[BLO],[1]!SO_2[BLO],,-1) )
+
_xlfn.XLOOKUP(E121,[1]!SO_2[BLO],[1]!SO_2[ILO],,-1),2)</f>
        <v>10</v>
      </c>
      <c r="L121">
        <f>( ( _xlfn.XLOOKUP(F121,[1]!CO[BLO],[1]!CO[IHI],,-1)
- _xlfn.XLOOKUP(F121,[1]!CO[BLO],[1]!CO[ILO],,-1) )
/
( _xlfn.XLOOKUP(F121,[1]!CO[BLO],[1]!CO[BHI],,-1) - _xlfn.XLOOKUP(F121,[1]!CO[BLO],[1]!CO[BLO],,-1)))
*
( F121 - _xlfn.XLOOKUP(F121,[1]!CO[BLO],[1]!CO[BLO],,-1) )
+
_xlfn.XLOOKUP(F121,[1]!CO[BLO],[1]!CO[ILO],,-1)</f>
        <v>26</v>
      </c>
      <c r="M121">
        <f>(( _xlfn.XLOOKUP(G121,[1]!O_3[BLO],[1]!O_3[IHI],,-1) - _xlfn.XLOOKUP(G121,[1]!O_3[BLO],[1]!O_3[ILO],,-1))
/
( _xlfn.XLOOKUP(G121,[1]!O_3[BLO],[1]!O_3[BHI],,-1) - _xlfn.XLOOKUP(G121,[1]!O_3[BLO],[1]!O_3[BLO],,-1)))
*
( G121 - _xlfn.XLOOKUP(G121,[1]!O_3[BLO],[1]!O_3[BLO],,-1))
+
_xlfn.XLOOKUP(G121,[1]!O_3[BLO],[1]!O_3[ILO],,-1)</f>
        <v>35</v>
      </c>
      <c r="N121">
        <f>MAX(DAILY_DATA[[#This Row],[AQI_PM2.5]:[AQI_O3]])</f>
        <v>69</v>
      </c>
      <c r="O121" t="str">
        <f>_xlfn.XLOOKUP(DAILY_DATA[[#This Row],[OVERALL_AQI]],[1]!CATEGORY[AQI_LO],[1]!CATEGORY[CATEGORY],,-1)</f>
        <v>Satisfactory</v>
      </c>
      <c r="P121" t="str" cm="1">
        <f t="array" ref="P121">INDEX(
{"PM2.5","PM10","NO2","SO2","CO","O3"},
MATCH(N121,H121:M121,0)
)</f>
        <v>PM10</v>
      </c>
    </row>
    <row r="122" spans="1:16" x14ac:dyDescent="0.25">
      <c r="A122" s="4">
        <v>45412</v>
      </c>
      <c r="B122">
        <f>ROUND(AVERAGEIFS([1]HOURLY_DATA!B122:B8905,[1]HOURLY_DATA!H122:H8905,Daily_AQI!A122),0)</f>
        <v>33</v>
      </c>
      <c r="C122">
        <f>ROUND(AVERAGEIFS([1]HOURLY_DATA!C122:C8905,[1]HOURLY_DATA!H122:H8905,Daily_AQI!A122),0)</f>
        <v>74</v>
      </c>
      <c r="D122">
        <f>ROUND(AVERAGEIFS([1]HOURLY_DATA!D122:D8905,[1]HOURLY_DATA!H122:H8905,Daily_AQI!A122),0)</f>
        <v>15</v>
      </c>
      <c r="E122">
        <f>ROUND(AVERAGEIFS([1]HOURLY_DATA!E122:E8905,[1]HOURLY_DATA!H122:H8905,Daily_AQI!A122),0)</f>
        <v>8</v>
      </c>
      <c r="F122">
        <f>ROUND(AVERAGEIFS([1]HOURLY_DATA!I122:I8905,[1]HOURLY_DATA!H122:H8905,Daily_AQI!A122),2)</f>
        <v>0.54</v>
      </c>
      <c r="G122">
        <f>ROUND(AVERAGEIFS([1]HOURLY_DATA!J122:J8905,[1]HOURLY_DATA!H122:H8905,Daily_AQI!A122),0)</f>
        <v>33</v>
      </c>
      <c r="H122">
        <f>ROUND(((_xlfn.XLOOKUP(B122,[1]!PM2.5[BLO],[1]!PM2.5[IHI],,-1) - _xlfn.XLOOKUP(B122,[1]!PM2.5[BLO],[1]!PM2.5[ILO],,-1))
/
(_xlfn.XLOOKUP(B122,[1]!PM2.5[BLO],[1]!PM2.5[BHI],,-1) - _xlfn.XLOOKUP(B122,[1]!PM2.5[BLO],[1]!PM2.5[BLO],,-1)))
*
(B122 - _xlfn.XLOOKUP(B122,[1]!PM2.5[BLO],[1]!PM2.5[BLO],,-1))
+
_xlfn.XLOOKUP(B122,[1]!PM2.5[BLO],[1]!PM2.5[ILO],,-1),2)</f>
        <v>54.38</v>
      </c>
      <c r="I122">
        <f>ROUND(((_xlfn.XLOOKUP(C122,[1]!PM_10[BLO],[1]!PM_10[IHI],,-1) - _xlfn.XLOOKUP(C122,[1]!PM_10[BLO],[1]!PM_10[ILO],,-1))
/
(_xlfn.XLOOKUP(C122,[1]!PM_10[BLO],[1]!PM_10[BHI],,-1) - _xlfn.XLOOKUP(C122,[1]!PM_10[BLO],[1]!PM_10[BLO],,-1)))
*
( C122 - _xlfn.XLOOKUP(C122,[1]!PM_10[BLO],[1]!PM_10[BLO],,-1))
+
_xlfn.XLOOKUP(C122,[1]!PM_10[BLO],[1]!PM_10[ILO],,-1),2)</f>
        <v>74</v>
      </c>
      <c r="J122">
        <f>ROUND((( _xlfn.XLOOKUP(D122,[1]!NO_2[BLO],[1]!NO_2[IHI],,-1) - _xlfn.XLOOKUP(D122,[1]!NO_2[BLO],[1]!NO_2[ILO],,-1))
/
( _xlfn.XLOOKUP(D122,[1]!NO_2[BLO],[1]!NO_2[BHI],,-1) - _xlfn.XLOOKUP(D122,[1]!NO_2[BLO],[1]!NO_2[BLO],,-1) ))
*
( D122 - _xlfn.XLOOKUP(D122,[1]!NO_2[BLO],[1]!NO_2[BLO],,-1))
+
_xlfn.XLOOKUP(D122,[1]!NO_2[BLO],[1]!NO_2[ILO],,-1),2)</f>
        <v>18.75</v>
      </c>
      <c r="K122">
        <f>ROUND(( ( _xlfn.XLOOKUP(E122,[1]!SO_2[BLO],[1]!SO_2[IHI],,-1)  - _xlfn.XLOOKUP(E122,[1]!SO_2[BLO],[1]!SO_2[ILO],,-1) )
/
( _xlfn.XLOOKUP(E122,[1]!SO_2[BLO],[1]!SO_2[BHI],,-1)- _xlfn.XLOOKUP(E122,[1]!SO_2[BLO],[1]!SO_2[BLO],,-1) ))
*
( E122 - _xlfn.XLOOKUP(E122,[1]!SO_2[BLO],[1]!SO_2[BLO],,-1) )
+
_xlfn.XLOOKUP(E122,[1]!SO_2[BLO],[1]!SO_2[ILO],,-1),2)</f>
        <v>10</v>
      </c>
      <c r="L122">
        <f>( ( _xlfn.XLOOKUP(F122,[1]!CO[BLO],[1]!CO[IHI],,-1)
- _xlfn.XLOOKUP(F122,[1]!CO[BLO],[1]!CO[ILO],,-1) )
/
( _xlfn.XLOOKUP(F122,[1]!CO[BLO],[1]!CO[BHI],,-1) - _xlfn.XLOOKUP(F122,[1]!CO[BLO],[1]!CO[BLO],,-1)))
*
( F122 - _xlfn.XLOOKUP(F122,[1]!CO[BLO],[1]!CO[BLO],,-1) )
+
_xlfn.XLOOKUP(F122,[1]!CO[BLO],[1]!CO[ILO],,-1)</f>
        <v>27</v>
      </c>
      <c r="M122">
        <f>(( _xlfn.XLOOKUP(G122,[1]!O_3[BLO],[1]!O_3[IHI],,-1) - _xlfn.XLOOKUP(G122,[1]!O_3[BLO],[1]!O_3[ILO],,-1))
/
( _xlfn.XLOOKUP(G122,[1]!O_3[BLO],[1]!O_3[BHI],,-1) - _xlfn.XLOOKUP(G122,[1]!O_3[BLO],[1]!O_3[BLO],,-1)))
*
( G122 - _xlfn.XLOOKUP(G122,[1]!O_3[BLO],[1]!O_3[BLO],,-1))
+
_xlfn.XLOOKUP(G122,[1]!O_3[BLO],[1]!O_3[ILO],,-1)</f>
        <v>33</v>
      </c>
      <c r="N122">
        <f>MAX(DAILY_DATA[[#This Row],[AQI_PM2.5]:[AQI_O3]])</f>
        <v>74</v>
      </c>
      <c r="O122" t="str">
        <f>_xlfn.XLOOKUP(DAILY_DATA[[#This Row],[OVERALL_AQI]],[1]!CATEGORY[AQI_LO],[1]!CATEGORY[CATEGORY],,-1)</f>
        <v>Satisfactory</v>
      </c>
      <c r="P122" t="str" cm="1">
        <f t="array" ref="P122">INDEX(
{"PM2.5","PM10","NO2","SO2","CO","O3"},
MATCH(N122,H122:M122,0)
)</f>
        <v>PM10</v>
      </c>
    </row>
    <row r="123" spans="1:16" x14ac:dyDescent="0.25">
      <c r="A123" s="4">
        <v>45413</v>
      </c>
      <c r="B123">
        <f>ROUND(AVERAGEIFS([1]HOURLY_DATA!B123:B8906,[1]HOURLY_DATA!H123:H8906,Daily_AQI!A123),0)</f>
        <v>55</v>
      </c>
      <c r="C123">
        <f>ROUND(AVERAGEIFS([1]HOURLY_DATA!C123:C8906,[1]HOURLY_DATA!H123:H8906,Daily_AQI!A123),0)</f>
        <v>96</v>
      </c>
      <c r="D123">
        <f>ROUND(AVERAGEIFS([1]HOURLY_DATA!D123:D8906,[1]HOURLY_DATA!H123:H8906,Daily_AQI!A123),0)</f>
        <v>16</v>
      </c>
      <c r="E123">
        <f>ROUND(AVERAGEIFS([1]HOURLY_DATA!E123:E8906,[1]HOURLY_DATA!H123:H8906,Daily_AQI!A123),0)</f>
        <v>9</v>
      </c>
      <c r="F123">
        <f>ROUND(AVERAGEIFS([1]HOURLY_DATA!I123:I8906,[1]HOURLY_DATA!H123:H8906,Daily_AQI!A123),2)</f>
        <v>0.55000000000000004</v>
      </c>
      <c r="G123">
        <f>ROUND(AVERAGEIFS([1]HOURLY_DATA!J123:J8906,[1]HOURLY_DATA!H123:H8906,Daily_AQI!A123),0)</f>
        <v>32</v>
      </c>
      <c r="H123">
        <f>ROUND(((_xlfn.XLOOKUP(B123,[1]!PM2.5[BLO],[1]!PM2.5[IHI],,-1) - _xlfn.XLOOKUP(B123,[1]!PM2.5[BLO],[1]!PM2.5[ILO],,-1))
/
(_xlfn.XLOOKUP(B123,[1]!PM2.5[BLO],[1]!PM2.5[BHI],,-1) - _xlfn.XLOOKUP(B123,[1]!PM2.5[BLO],[1]!PM2.5[BLO],,-1)))
*
(B123 - _xlfn.XLOOKUP(B123,[1]!PM2.5[BLO],[1]!PM2.5[BLO],,-1))
+
_xlfn.XLOOKUP(B123,[1]!PM2.5[BLO],[1]!PM2.5[ILO],,-1),2)</f>
        <v>91.55</v>
      </c>
      <c r="I123">
        <f>ROUND(((_xlfn.XLOOKUP(C123,[1]!PM_10[BLO],[1]!PM_10[IHI],,-1) - _xlfn.XLOOKUP(C123,[1]!PM_10[BLO],[1]!PM_10[ILO],,-1))
/
(_xlfn.XLOOKUP(C123,[1]!PM_10[BLO],[1]!PM_10[BHI],,-1) - _xlfn.XLOOKUP(C123,[1]!PM_10[BLO],[1]!PM_10[BLO],,-1)))
*
( C123 - _xlfn.XLOOKUP(C123,[1]!PM_10[BLO],[1]!PM_10[BLO],,-1))
+
_xlfn.XLOOKUP(C123,[1]!PM_10[BLO],[1]!PM_10[ILO],,-1),2)</f>
        <v>96</v>
      </c>
      <c r="J123">
        <f>ROUND((( _xlfn.XLOOKUP(D123,[1]!NO_2[BLO],[1]!NO_2[IHI],,-1) - _xlfn.XLOOKUP(D123,[1]!NO_2[BLO],[1]!NO_2[ILO],,-1))
/
( _xlfn.XLOOKUP(D123,[1]!NO_2[BLO],[1]!NO_2[BHI],,-1) - _xlfn.XLOOKUP(D123,[1]!NO_2[BLO],[1]!NO_2[BLO],,-1) ))
*
( D123 - _xlfn.XLOOKUP(D123,[1]!NO_2[BLO],[1]!NO_2[BLO],,-1))
+
_xlfn.XLOOKUP(D123,[1]!NO_2[BLO],[1]!NO_2[ILO],,-1),2)</f>
        <v>20</v>
      </c>
      <c r="K123">
        <f>ROUND(( ( _xlfn.XLOOKUP(E123,[1]!SO_2[BLO],[1]!SO_2[IHI],,-1)  - _xlfn.XLOOKUP(E123,[1]!SO_2[BLO],[1]!SO_2[ILO],,-1) )
/
( _xlfn.XLOOKUP(E123,[1]!SO_2[BLO],[1]!SO_2[BHI],,-1)- _xlfn.XLOOKUP(E123,[1]!SO_2[BLO],[1]!SO_2[BLO],,-1) ))
*
( E123 - _xlfn.XLOOKUP(E123,[1]!SO_2[BLO],[1]!SO_2[BLO],,-1) )
+
_xlfn.XLOOKUP(E123,[1]!SO_2[BLO],[1]!SO_2[ILO],,-1),2)</f>
        <v>11.25</v>
      </c>
      <c r="L123">
        <f>( ( _xlfn.XLOOKUP(F123,[1]!CO[BLO],[1]!CO[IHI],,-1)
- _xlfn.XLOOKUP(F123,[1]!CO[BLO],[1]!CO[ILO],,-1) )
/
( _xlfn.XLOOKUP(F123,[1]!CO[BLO],[1]!CO[BHI],,-1) - _xlfn.XLOOKUP(F123,[1]!CO[BLO],[1]!CO[BLO],,-1)))
*
( F123 - _xlfn.XLOOKUP(F123,[1]!CO[BLO],[1]!CO[BLO],,-1) )
+
_xlfn.XLOOKUP(F123,[1]!CO[BLO],[1]!CO[ILO],,-1)</f>
        <v>27.500000000000004</v>
      </c>
      <c r="M123">
        <f>(( _xlfn.XLOOKUP(G123,[1]!O_3[BLO],[1]!O_3[IHI],,-1) - _xlfn.XLOOKUP(G123,[1]!O_3[BLO],[1]!O_3[ILO],,-1))
/
( _xlfn.XLOOKUP(G123,[1]!O_3[BLO],[1]!O_3[BHI],,-1) - _xlfn.XLOOKUP(G123,[1]!O_3[BLO],[1]!O_3[BLO],,-1)))
*
( G123 - _xlfn.XLOOKUP(G123,[1]!O_3[BLO],[1]!O_3[BLO],,-1))
+
_xlfn.XLOOKUP(G123,[1]!O_3[BLO],[1]!O_3[ILO],,-1)</f>
        <v>32</v>
      </c>
      <c r="N123">
        <f>MAX(DAILY_DATA[[#This Row],[AQI_PM2.5]:[AQI_O3]])</f>
        <v>96</v>
      </c>
      <c r="O123" t="str">
        <f>_xlfn.XLOOKUP(DAILY_DATA[[#This Row],[OVERALL_AQI]],[1]!CATEGORY[AQI_LO],[1]!CATEGORY[CATEGORY],,-1)</f>
        <v>Satisfactory</v>
      </c>
      <c r="P123" t="str" cm="1">
        <f t="array" ref="P123">INDEX(
{"PM2.5","PM10","NO2","SO2","CO","O3"},
MATCH(N123,H123:M123,0)
)</f>
        <v>PM10</v>
      </c>
    </row>
    <row r="124" spans="1:16" x14ac:dyDescent="0.25">
      <c r="A124" s="4">
        <v>45414</v>
      </c>
      <c r="B124">
        <f>ROUND(AVERAGEIFS([1]HOURLY_DATA!B124:B8907,[1]HOURLY_DATA!H124:H8907,Daily_AQI!A124),0)</f>
        <v>45</v>
      </c>
      <c r="C124">
        <f>ROUND(AVERAGEIFS([1]HOURLY_DATA!C124:C8907,[1]HOURLY_DATA!H124:H8907,Daily_AQI!A124),0)</f>
        <v>95</v>
      </c>
      <c r="D124">
        <f>ROUND(AVERAGEIFS([1]HOURLY_DATA!D124:D8907,[1]HOURLY_DATA!H124:H8907,Daily_AQI!A124),0)</f>
        <v>15</v>
      </c>
      <c r="E124">
        <f>ROUND(AVERAGEIFS([1]HOURLY_DATA!E124:E8907,[1]HOURLY_DATA!H124:H8907,Daily_AQI!A124),0)</f>
        <v>8</v>
      </c>
      <c r="F124">
        <f>ROUND(AVERAGEIFS([1]HOURLY_DATA!I124:I8907,[1]HOURLY_DATA!H124:H8907,Daily_AQI!A124),2)</f>
        <v>0.65</v>
      </c>
      <c r="G124">
        <f>ROUND(AVERAGEIFS([1]HOURLY_DATA!J124:J8907,[1]HOURLY_DATA!H124:H8907,Daily_AQI!A124),0)</f>
        <v>34</v>
      </c>
      <c r="H124">
        <f>ROUND(((_xlfn.XLOOKUP(B124,[1]!PM2.5[BLO],[1]!PM2.5[IHI],,-1) - _xlfn.XLOOKUP(B124,[1]!PM2.5[BLO],[1]!PM2.5[ILO],,-1))
/
(_xlfn.XLOOKUP(B124,[1]!PM2.5[BLO],[1]!PM2.5[BHI],,-1) - _xlfn.XLOOKUP(B124,[1]!PM2.5[BLO],[1]!PM2.5[BLO],,-1)))
*
(B124 - _xlfn.XLOOKUP(B124,[1]!PM2.5[BLO],[1]!PM2.5[BLO],,-1))
+
_xlfn.XLOOKUP(B124,[1]!PM2.5[BLO],[1]!PM2.5[ILO],,-1),2)</f>
        <v>74.66</v>
      </c>
      <c r="I124">
        <f>ROUND(((_xlfn.XLOOKUP(C124,[1]!PM_10[BLO],[1]!PM_10[IHI],,-1) - _xlfn.XLOOKUP(C124,[1]!PM_10[BLO],[1]!PM_10[ILO],,-1))
/
(_xlfn.XLOOKUP(C124,[1]!PM_10[BLO],[1]!PM_10[BHI],,-1) - _xlfn.XLOOKUP(C124,[1]!PM_10[BLO],[1]!PM_10[BLO],,-1)))
*
( C124 - _xlfn.XLOOKUP(C124,[1]!PM_10[BLO],[1]!PM_10[BLO],,-1))
+
_xlfn.XLOOKUP(C124,[1]!PM_10[BLO],[1]!PM_10[ILO],,-1),2)</f>
        <v>95</v>
      </c>
      <c r="J124">
        <f>ROUND((( _xlfn.XLOOKUP(D124,[1]!NO_2[BLO],[1]!NO_2[IHI],,-1) - _xlfn.XLOOKUP(D124,[1]!NO_2[BLO],[1]!NO_2[ILO],,-1))
/
( _xlfn.XLOOKUP(D124,[1]!NO_2[BLO],[1]!NO_2[BHI],,-1) - _xlfn.XLOOKUP(D124,[1]!NO_2[BLO],[1]!NO_2[BLO],,-1) ))
*
( D124 - _xlfn.XLOOKUP(D124,[1]!NO_2[BLO],[1]!NO_2[BLO],,-1))
+
_xlfn.XLOOKUP(D124,[1]!NO_2[BLO],[1]!NO_2[ILO],,-1),2)</f>
        <v>18.75</v>
      </c>
      <c r="K124">
        <f>ROUND(( ( _xlfn.XLOOKUP(E124,[1]!SO_2[BLO],[1]!SO_2[IHI],,-1)  - _xlfn.XLOOKUP(E124,[1]!SO_2[BLO],[1]!SO_2[ILO],,-1) )
/
( _xlfn.XLOOKUP(E124,[1]!SO_2[BLO],[1]!SO_2[BHI],,-1)- _xlfn.XLOOKUP(E124,[1]!SO_2[BLO],[1]!SO_2[BLO],,-1) ))
*
( E124 - _xlfn.XLOOKUP(E124,[1]!SO_2[BLO],[1]!SO_2[BLO],,-1) )
+
_xlfn.XLOOKUP(E124,[1]!SO_2[BLO],[1]!SO_2[ILO],,-1),2)</f>
        <v>10</v>
      </c>
      <c r="L124">
        <f>( ( _xlfn.XLOOKUP(F124,[1]!CO[BLO],[1]!CO[IHI],,-1)
- _xlfn.XLOOKUP(F124,[1]!CO[BLO],[1]!CO[ILO],,-1) )
/
( _xlfn.XLOOKUP(F124,[1]!CO[BLO],[1]!CO[BHI],,-1) - _xlfn.XLOOKUP(F124,[1]!CO[BLO],[1]!CO[BLO],,-1)))
*
( F124 - _xlfn.XLOOKUP(F124,[1]!CO[BLO],[1]!CO[BLO],,-1) )
+
_xlfn.XLOOKUP(F124,[1]!CO[BLO],[1]!CO[ILO],,-1)</f>
        <v>32.5</v>
      </c>
      <c r="M124">
        <f>(( _xlfn.XLOOKUP(G124,[1]!O_3[BLO],[1]!O_3[IHI],,-1) - _xlfn.XLOOKUP(G124,[1]!O_3[BLO],[1]!O_3[ILO],,-1))
/
( _xlfn.XLOOKUP(G124,[1]!O_3[BLO],[1]!O_3[BHI],,-1) - _xlfn.XLOOKUP(G124,[1]!O_3[BLO],[1]!O_3[BLO],,-1)))
*
( G124 - _xlfn.XLOOKUP(G124,[1]!O_3[BLO],[1]!O_3[BLO],,-1))
+
_xlfn.XLOOKUP(G124,[1]!O_3[BLO],[1]!O_3[ILO],,-1)</f>
        <v>34</v>
      </c>
      <c r="N124">
        <f>MAX(DAILY_DATA[[#This Row],[AQI_PM2.5]:[AQI_O3]])</f>
        <v>95</v>
      </c>
      <c r="O124" t="str">
        <f>_xlfn.XLOOKUP(DAILY_DATA[[#This Row],[OVERALL_AQI]],[1]!CATEGORY[AQI_LO],[1]!CATEGORY[CATEGORY],,-1)</f>
        <v>Satisfactory</v>
      </c>
      <c r="P124" t="str" cm="1">
        <f t="array" ref="P124">INDEX(
{"PM2.5","PM10","NO2","SO2","CO","O3"},
MATCH(N124,H124:M124,0)
)</f>
        <v>PM10</v>
      </c>
    </row>
    <row r="125" spans="1:16" x14ac:dyDescent="0.25">
      <c r="A125" s="4">
        <v>45415</v>
      </c>
      <c r="B125">
        <f>ROUND(AVERAGEIFS([1]HOURLY_DATA!B125:B8908,[1]HOURLY_DATA!H125:H8908,Daily_AQI!A125),0)</f>
        <v>44</v>
      </c>
      <c r="C125">
        <f>ROUND(AVERAGEIFS([1]HOURLY_DATA!C125:C8908,[1]HOURLY_DATA!H125:H8908,Daily_AQI!A125),0)</f>
        <v>79</v>
      </c>
      <c r="D125">
        <f>ROUND(AVERAGEIFS([1]HOURLY_DATA!D125:D8908,[1]HOURLY_DATA!H125:H8908,Daily_AQI!A125),0)</f>
        <v>14</v>
      </c>
      <c r="E125">
        <f>ROUND(AVERAGEIFS([1]HOURLY_DATA!E125:E8908,[1]HOURLY_DATA!H125:H8908,Daily_AQI!A125),0)</f>
        <v>7</v>
      </c>
      <c r="F125">
        <f>ROUND(AVERAGEIFS([1]HOURLY_DATA!I125:I8908,[1]HOURLY_DATA!H125:H8908,Daily_AQI!A125),2)</f>
        <v>0.61</v>
      </c>
      <c r="G125">
        <f>ROUND(AVERAGEIFS([1]HOURLY_DATA!J125:J8908,[1]HOURLY_DATA!H125:H8908,Daily_AQI!A125),0)</f>
        <v>30</v>
      </c>
      <c r="H125">
        <f>ROUND(((_xlfn.XLOOKUP(B125,[1]!PM2.5[BLO],[1]!PM2.5[IHI],,-1) - _xlfn.XLOOKUP(B125,[1]!PM2.5[BLO],[1]!PM2.5[ILO],,-1))
/
(_xlfn.XLOOKUP(B125,[1]!PM2.5[BLO],[1]!PM2.5[BHI],,-1) - _xlfn.XLOOKUP(B125,[1]!PM2.5[BLO],[1]!PM2.5[BLO],,-1)))
*
(B125 - _xlfn.XLOOKUP(B125,[1]!PM2.5[BLO],[1]!PM2.5[BLO],,-1))
+
_xlfn.XLOOKUP(B125,[1]!PM2.5[BLO],[1]!PM2.5[ILO],,-1),2)</f>
        <v>72.97</v>
      </c>
      <c r="I125">
        <f>ROUND(((_xlfn.XLOOKUP(C125,[1]!PM_10[BLO],[1]!PM_10[IHI],,-1) - _xlfn.XLOOKUP(C125,[1]!PM_10[BLO],[1]!PM_10[ILO],,-1))
/
(_xlfn.XLOOKUP(C125,[1]!PM_10[BLO],[1]!PM_10[BHI],,-1) - _xlfn.XLOOKUP(C125,[1]!PM_10[BLO],[1]!PM_10[BLO],,-1)))
*
( C125 - _xlfn.XLOOKUP(C125,[1]!PM_10[BLO],[1]!PM_10[BLO],,-1))
+
_xlfn.XLOOKUP(C125,[1]!PM_10[BLO],[1]!PM_10[ILO],,-1),2)</f>
        <v>79</v>
      </c>
      <c r="J125">
        <f>ROUND((( _xlfn.XLOOKUP(D125,[1]!NO_2[BLO],[1]!NO_2[IHI],,-1) - _xlfn.XLOOKUP(D125,[1]!NO_2[BLO],[1]!NO_2[ILO],,-1))
/
( _xlfn.XLOOKUP(D125,[1]!NO_2[BLO],[1]!NO_2[BHI],,-1) - _xlfn.XLOOKUP(D125,[1]!NO_2[BLO],[1]!NO_2[BLO],,-1) ))
*
( D125 - _xlfn.XLOOKUP(D125,[1]!NO_2[BLO],[1]!NO_2[BLO],,-1))
+
_xlfn.XLOOKUP(D125,[1]!NO_2[BLO],[1]!NO_2[ILO],,-1),2)</f>
        <v>17.5</v>
      </c>
      <c r="K125">
        <f>ROUND(( ( _xlfn.XLOOKUP(E125,[1]!SO_2[BLO],[1]!SO_2[IHI],,-1)  - _xlfn.XLOOKUP(E125,[1]!SO_2[BLO],[1]!SO_2[ILO],,-1) )
/
( _xlfn.XLOOKUP(E125,[1]!SO_2[BLO],[1]!SO_2[BHI],,-1)- _xlfn.XLOOKUP(E125,[1]!SO_2[BLO],[1]!SO_2[BLO],,-1) ))
*
( E125 - _xlfn.XLOOKUP(E125,[1]!SO_2[BLO],[1]!SO_2[BLO],,-1) )
+
_xlfn.XLOOKUP(E125,[1]!SO_2[BLO],[1]!SO_2[ILO],,-1),2)</f>
        <v>8.75</v>
      </c>
      <c r="L125">
        <f>( ( _xlfn.XLOOKUP(F125,[1]!CO[BLO],[1]!CO[IHI],,-1)
- _xlfn.XLOOKUP(F125,[1]!CO[BLO],[1]!CO[ILO],,-1) )
/
( _xlfn.XLOOKUP(F125,[1]!CO[BLO],[1]!CO[BHI],,-1) - _xlfn.XLOOKUP(F125,[1]!CO[BLO],[1]!CO[BLO],,-1)))
*
( F125 - _xlfn.XLOOKUP(F125,[1]!CO[BLO],[1]!CO[BLO],,-1) )
+
_xlfn.XLOOKUP(F125,[1]!CO[BLO],[1]!CO[ILO],,-1)</f>
        <v>30.5</v>
      </c>
      <c r="M125">
        <f>(( _xlfn.XLOOKUP(G125,[1]!O_3[BLO],[1]!O_3[IHI],,-1) - _xlfn.XLOOKUP(G125,[1]!O_3[BLO],[1]!O_3[ILO],,-1))
/
( _xlfn.XLOOKUP(G125,[1]!O_3[BLO],[1]!O_3[BHI],,-1) - _xlfn.XLOOKUP(G125,[1]!O_3[BLO],[1]!O_3[BLO],,-1)))
*
( G125 - _xlfn.XLOOKUP(G125,[1]!O_3[BLO],[1]!O_3[BLO],,-1))
+
_xlfn.XLOOKUP(G125,[1]!O_3[BLO],[1]!O_3[ILO],,-1)</f>
        <v>30</v>
      </c>
      <c r="N125">
        <f>MAX(DAILY_DATA[[#This Row],[AQI_PM2.5]:[AQI_O3]])</f>
        <v>79</v>
      </c>
      <c r="O125" t="str">
        <f>_xlfn.XLOOKUP(DAILY_DATA[[#This Row],[OVERALL_AQI]],[1]!CATEGORY[AQI_LO],[1]!CATEGORY[CATEGORY],,-1)</f>
        <v>Satisfactory</v>
      </c>
      <c r="P125" t="str" cm="1">
        <f t="array" ref="P125">INDEX(
{"PM2.5","PM10","NO2","SO2","CO","O3"},
MATCH(N125,H125:M125,0)
)</f>
        <v>PM10</v>
      </c>
    </row>
    <row r="126" spans="1:16" x14ac:dyDescent="0.25">
      <c r="A126" s="4">
        <v>45416</v>
      </c>
      <c r="B126">
        <f>ROUND(AVERAGEIFS([1]HOURLY_DATA!B126:B8909,[1]HOURLY_DATA!H126:H8909,Daily_AQI!A126),0)</f>
        <v>39</v>
      </c>
      <c r="C126">
        <f>ROUND(AVERAGEIFS([1]HOURLY_DATA!C126:C8909,[1]HOURLY_DATA!H126:H8909,Daily_AQI!A126),0)</f>
        <v>81</v>
      </c>
      <c r="D126">
        <f>ROUND(AVERAGEIFS([1]HOURLY_DATA!D126:D8909,[1]HOURLY_DATA!H126:H8909,Daily_AQI!A126),0)</f>
        <v>15</v>
      </c>
      <c r="E126">
        <f>ROUND(AVERAGEIFS([1]HOURLY_DATA!E126:E8909,[1]HOURLY_DATA!H126:H8909,Daily_AQI!A126),0)</f>
        <v>8</v>
      </c>
      <c r="F126">
        <f>ROUND(AVERAGEIFS([1]HOURLY_DATA!I126:I8909,[1]HOURLY_DATA!H126:H8909,Daily_AQI!A126),2)</f>
        <v>0.63</v>
      </c>
      <c r="G126">
        <f>ROUND(AVERAGEIFS([1]HOURLY_DATA!J126:J8909,[1]HOURLY_DATA!H126:H8909,Daily_AQI!A126),0)</f>
        <v>33</v>
      </c>
      <c r="H126">
        <f>ROUND(((_xlfn.XLOOKUP(B126,[1]!PM2.5[BLO],[1]!PM2.5[IHI],,-1) - _xlfn.XLOOKUP(B126,[1]!PM2.5[BLO],[1]!PM2.5[ILO],,-1))
/
(_xlfn.XLOOKUP(B126,[1]!PM2.5[BLO],[1]!PM2.5[BHI],,-1) - _xlfn.XLOOKUP(B126,[1]!PM2.5[BLO],[1]!PM2.5[BLO],,-1)))
*
(B126 - _xlfn.XLOOKUP(B126,[1]!PM2.5[BLO],[1]!PM2.5[BLO],,-1))
+
_xlfn.XLOOKUP(B126,[1]!PM2.5[BLO],[1]!PM2.5[ILO],,-1),2)</f>
        <v>64.52</v>
      </c>
      <c r="I126">
        <f>ROUND(((_xlfn.XLOOKUP(C126,[1]!PM_10[BLO],[1]!PM_10[IHI],,-1) - _xlfn.XLOOKUP(C126,[1]!PM_10[BLO],[1]!PM_10[ILO],,-1))
/
(_xlfn.XLOOKUP(C126,[1]!PM_10[BLO],[1]!PM_10[BHI],,-1) - _xlfn.XLOOKUP(C126,[1]!PM_10[BLO],[1]!PM_10[BLO],,-1)))
*
( C126 - _xlfn.XLOOKUP(C126,[1]!PM_10[BLO],[1]!PM_10[BLO],,-1))
+
_xlfn.XLOOKUP(C126,[1]!PM_10[BLO],[1]!PM_10[ILO],,-1),2)</f>
        <v>81</v>
      </c>
      <c r="J126">
        <f>ROUND((( _xlfn.XLOOKUP(D126,[1]!NO_2[BLO],[1]!NO_2[IHI],,-1) - _xlfn.XLOOKUP(D126,[1]!NO_2[BLO],[1]!NO_2[ILO],,-1))
/
( _xlfn.XLOOKUP(D126,[1]!NO_2[BLO],[1]!NO_2[BHI],,-1) - _xlfn.XLOOKUP(D126,[1]!NO_2[BLO],[1]!NO_2[BLO],,-1) ))
*
( D126 - _xlfn.XLOOKUP(D126,[1]!NO_2[BLO],[1]!NO_2[BLO],,-1))
+
_xlfn.XLOOKUP(D126,[1]!NO_2[BLO],[1]!NO_2[ILO],,-1),2)</f>
        <v>18.75</v>
      </c>
      <c r="K126">
        <f>ROUND(( ( _xlfn.XLOOKUP(E126,[1]!SO_2[BLO],[1]!SO_2[IHI],,-1)  - _xlfn.XLOOKUP(E126,[1]!SO_2[BLO],[1]!SO_2[ILO],,-1) )
/
( _xlfn.XLOOKUP(E126,[1]!SO_2[BLO],[1]!SO_2[BHI],,-1)- _xlfn.XLOOKUP(E126,[1]!SO_2[BLO],[1]!SO_2[BLO],,-1) ))
*
( E126 - _xlfn.XLOOKUP(E126,[1]!SO_2[BLO],[1]!SO_2[BLO],,-1) )
+
_xlfn.XLOOKUP(E126,[1]!SO_2[BLO],[1]!SO_2[ILO],,-1),2)</f>
        <v>10</v>
      </c>
      <c r="L126">
        <f>( ( _xlfn.XLOOKUP(F126,[1]!CO[BLO],[1]!CO[IHI],,-1)
- _xlfn.XLOOKUP(F126,[1]!CO[BLO],[1]!CO[ILO],,-1) )
/
( _xlfn.XLOOKUP(F126,[1]!CO[BLO],[1]!CO[BHI],,-1) - _xlfn.XLOOKUP(F126,[1]!CO[BLO],[1]!CO[BLO],,-1)))
*
( F126 - _xlfn.XLOOKUP(F126,[1]!CO[BLO],[1]!CO[BLO],,-1) )
+
_xlfn.XLOOKUP(F126,[1]!CO[BLO],[1]!CO[ILO],,-1)</f>
        <v>31.5</v>
      </c>
      <c r="M126">
        <f>(( _xlfn.XLOOKUP(G126,[1]!O_3[BLO],[1]!O_3[IHI],,-1) - _xlfn.XLOOKUP(G126,[1]!O_3[BLO],[1]!O_3[ILO],,-1))
/
( _xlfn.XLOOKUP(G126,[1]!O_3[BLO],[1]!O_3[BHI],,-1) - _xlfn.XLOOKUP(G126,[1]!O_3[BLO],[1]!O_3[BLO],,-1)))
*
( G126 - _xlfn.XLOOKUP(G126,[1]!O_3[BLO],[1]!O_3[BLO],,-1))
+
_xlfn.XLOOKUP(G126,[1]!O_3[BLO],[1]!O_3[ILO],,-1)</f>
        <v>33</v>
      </c>
      <c r="N126">
        <f>MAX(DAILY_DATA[[#This Row],[AQI_PM2.5]:[AQI_O3]])</f>
        <v>81</v>
      </c>
      <c r="O126" t="str">
        <f>_xlfn.XLOOKUP(DAILY_DATA[[#This Row],[OVERALL_AQI]],[1]!CATEGORY[AQI_LO],[1]!CATEGORY[CATEGORY],,-1)</f>
        <v>Satisfactory</v>
      </c>
      <c r="P126" t="str" cm="1">
        <f t="array" ref="P126">INDEX(
{"PM2.5","PM10","NO2","SO2","CO","O3"},
MATCH(N126,H126:M126,0)
)</f>
        <v>PM10</v>
      </c>
    </row>
    <row r="127" spans="1:16" x14ac:dyDescent="0.25">
      <c r="A127" s="4">
        <v>45417</v>
      </c>
      <c r="B127">
        <f>ROUND(AVERAGEIFS([1]HOURLY_DATA!B127:B8910,[1]HOURLY_DATA!H127:H8910,Daily_AQI!A127),0)</f>
        <v>34</v>
      </c>
      <c r="C127">
        <f>ROUND(AVERAGEIFS([1]HOURLY_DATA!C127:C8910,[1]HOURLY_DATA!H127:H8910,Daily_AQI!A127),0)</f>
        <v>74</v>
      </c>
      <c r="D127">
        <f>ROUND(AVERAGEIFS([1]HOURLY_DATA!D127:D8910,[1]HOURLY_DATA!H127:H8910,Daily_AQI!A127),0)</f>
        <v>16</v>
      </c>
      <c r="E127">
        <f>ROUND(AVERAGEIFS([1]HOURLY_DATA!E127:E8910,[1]HOURLY_DATA!H127:H8910,Daily_AQI!A127),0)</f>
        <v>8</v>
      </c>
      <c r="F127">
        <f>ROUND(AVERAGEIFS([1]HOURLY_DATA!I127:I8910,[1]HOURLY_DATA!H127:H8910,Daily_AQI!A127),2)</f>
        <v>0.55000000000000004</v>
      </c>
      <c r="G127">
        <f>ROUND(AVERAGEIFS([1]HOURLY_DATA!J127:J8910,[1]HOURLY_DATA!H127:H8910,Daily_AQI!A127),0)</f>
        <v>34</v>
      </c>
      <c r="H127">
        <f>ROUND(((_xlfn.XLOOKUP(B127,[1]!PM2.5[BLO],[1]!PM2.5[IHI],,-1) - _xlfn.XLOOKUP(B127,[1]!PM2.5[BLO],[1]!PM2.5[ILO],,-1))
/
(_xlfn.XLOOKUP(B127,[1]!PM2.5[BLO],[1]!PM2.5[BHI],,-1) - _xlfn.XLOOKUP(B127,[1]!PM2.5[BLO],[1]!PM2.5[BLO],,-1)))
*
(B127 - _xlfn.XLOOKUP(B127,[1]!PM2.5[BLO],[1]!PM2.5[BLO],,-1))
+
_xlfn.XLOOKUP(B127,[1]!PM2.5[BLO],[1]!PM2.5[ILO],,-1),2)</f>
        <v>56.07</v>
      </c>
      <c r="I127">
        <f>ROUND(((_xlfn.XLOOKUP(C127,[1]!PM_10[BLO],[1]!PM_10[IHI],,-1) - _xlfn.XLOOKUP(C127,[1]!PM_10[BLO],[1]!PM_10[ILO],,-1))
/
(_xlfn.XLOOKUP(C127,[1]!PM_10[BLO],[1]!PM_10[BHI],,-1) - _xlfn.XLOOKUP(C127,[1]!PM_10[BLO],[1]!PM_10[BLO],,-1)))
*
( C127 - _xlfn.XLOOKUP(C127,[1]!PM_10[BLO],[1]!PM_10[BLO],,-1))
+
_xlfn.XLOOKUP(C127,[1]!PM_10[BLO],[1]!PM_10[ILO],,-1),2)</f>
        <v>74</v>
      </c>
      <c r="J127">
        <f>ROUND((( _xlfn.XLOOKUP(D127,[1]!NO_2[BLO],[1]!NO_2[IHI],,-1) - _xlfn.XLOOKUP(D127,[1]!NO_2[BLO],[1]!NO_2[ILO],,-1))
/
( _xlfn.XLOOKUP(D127,[1]!NO_2[BLO],[1]!NO_2[BHI],,-1) - _xlfn.XLOOKUP(D127,[1]!NO_2[BLO],[1]!NO_2[BLO],,-1) ))
*
( D127 - _xlfn.XLOOKUP(D127,[1]!NO_2[BLO],[1]!NO_2[BLO],,-1))
+
_xlfn.XLOOKUP(D127,[1]!NO_2[BLO],[1]!NO_2[ILO],,-1),2)</f>
        <v>20</v>
      </c>
      <c r="K127">
        <f>ROUND(( ( _xlfn.XLOOKUP(E127,[1]!SO_2[BLO],[1]!SO_2[IHI],,-1)  - _xlfn.XLOOKUP(E127,[1]!SO_2[BLO],[1]!SO_2[ILO],,-1) )
/
( _xlfn.XLOOKUP(E127,[1]!SO_2[BLO],[1]!SO_2[BHI],,-1)- _xlfn.XLOOKUP(E127,[1]!SO_2[BLO],[1]!SO_2[BLO],,-1) ))
*
( E127 - _xlfn.XLOOKUP(E127,[1]!SO_2[BLO],[1]!SO_2[BLO],,-1) )
+
_xlfn.XLOOKUP(E127,[1]!SO_2[BLO],[1]!SO_2[ILO],,-1),2)</f>
        <v>10</v>
      </c>
      <c r="L127">
        <f>( ( _xlfn.XLOOKUP(F127,[1]!CO[BLO],[1]!CO[IHI],,-1)
- _xlfn.XLOOKUP(F127,[1]!CO[BLO],[1]!CO[ILO],,-1) )
/
( _xlfn.XLOOKUP(F127,[1]!CO[BLO],[1]!CO[BHI],,-1) - _xlfn.XLOOKUP(F127,[1]!CO[BLO],[1]!CO[BLO],,-1)))
*
( F127 - _xlfn.XLOOKUP(F127,[1]!CO[BLO],[1]!CO[BLO],,-1) )
+
_xlfn.XLOOKUP(F127,[1]!CO[BLO],[1]!CO[ILO],,-1)</f>
        <v>27.500000000000004</v>
      </c>
      <c r="M127">
        <f>(( _xlfn.XLOOKUP(G127,[1]!O_3[BLO],[1]!O_3[IHI],,-1) - _xlfn.XLOOKUP(G127,[1]!O_3[BLO],[1]!O_3[ILO],,-1))
/
( _xlfn.XLOOKUP(G127,[1]!O_3[BLO],[1]!O_3[BHI],,-1) - _xlfn.XLOOKUP(G127,[1]!O_3[BLO],[1]!O_3[BLO],,-1)))
*
( G127 - _xlfn.XLOOKUP(G127,[1]!O_3[BLO],[1]!O_3[BLO],,-1))
+
_xlfn.XLOOKUP(G127,[1]!O_3[BLO],[1]!O_3[ILO],,-1)</f>
        <v>34</v>
      </c>
      <c r="N127">
        <f>MAX(DAILY_DATA[[#This Row],[AQI_PM2.5]:[AQI_O3]])</f>
        <v>74</v>
      </c>
      <c r="O127" t="str">
        <f>_xlfn.XLOOKUP(DAILY_DATA[[#This Row],[OVERALL_AQI]],[1]!CATEGORY[AQI_LO],[1]!CATEGORY[CATEGORY],,-1)</f>
        <v>Satisfactory</v>
      </c>
      <c r="P127" t="str" cm="1">
        <f t="array" ref="P127">INDEX(
{"PM2.5","PM10","NO2","SO2","CO","O3"},
MATCH(N127,H127:M127,0)
)</f>
        <v>PM10</v>
      </c>
    </row>
    <row r="128" spans="1:16" x14ac:dyDescent="0.25">
      <c r="A128" s="4">
        <v>45418</v>
      </c>
      <c r="B128">
        <f>ROUND(AVERAGEIFS([1]HOURLY_DATA!B128:B8911,[1]HOURLY_DATA!H128:H8911,Daily_AQI!A128),0)</f>
        <v>38</v>
      </c>
      <c r="C128">
        <f>ROUND(AVERAGEIFS([1]HOURLY_DATA!C128:C8911,[1]HOURLY_DATA!H128:H8911,Daily_AQI!A128),0)</f>
        <v>75</v>
      </c>
      <c r="D128">
        <f>ROUND(AVERAGEIFS([1]HOURLY_DATA!D128:D8911,[1]HOURLY_DATA!H128:H8911,Daily_AQI!A128),0)</f>
        <v>16</v>
      </c>
      <c r="E128">
        <f>ROUND(AVERAGEIFS([1]HOURLY_DATA!E128:E8911,[1]HOURLY_DATA!H128:H8911,Daily_AQI!A128),0)</f>
        <v>8</v>
      </c>
      <c r="F128">
        <f>ROUND(AVERAGEIFS([1]HOURLY_DATA!I128:I8911,[1]HOURLY_DATA!H128:H8911,Daily_AQI!A128),2)</f>
        <v>0.56999999999999995</v>
      </c>
      <c r="G128">
        <f>ROUND(AVERAGEIFS([1]HOURLY_DATA!J128:J8911,[1]HOURLY_DATA!H128:H8911,Daily_AQI!A128),0)</f>
        <v>37</v>
      </c>
      <c r="H128">
        <f>ROUND(((_xlfn.XLOOKUP(B128,[1]!PM2.5[BLO],[1]!PM2.5[IHI],,-1) - _xlfn.XLOOKUP(B128,[1]!PM2.5[BLO],[1]!PM2.5[ILO],,-1))
/
(_xlfn.XLOOKUP(B128,[1]!PM2.5[BLO],[1]!PM2.5[BHI],,-1) - _xlfn.XLOOKUP(B128,[1]!PM2.5[BLO],[1]!PM2.5[BLO],,-1)))
*
(B128 - _xlfn.XLOOKUP(B128,[1]!PM2.5[BLO],[1]!PM2.5[BLO],,-1))
+
_xlfn.XLOOKUP(B128,[1]!PM2.5[BLO],[1]!PM2.5[ILO],,-1),2)</f>
        <v>62.83</v>
      </c>
      <c r="I128">
        <f>ROUND(((_xlfn.XLOOKUP(C128,[1]!PM_10[BLO],[1]!PM_10[IHI],,-1) - _xlfn.XLOOKUP(C128,[1]!PM_10[BLO],[1]!PM_10[ILO],,-1))
/
(_xlfn.XLOOKUP(C128,[1]!PM_10[BLO],[1]!PM_10[BHI],,-1) - _xlfn.XLOOKUP(C128,[1]!PM_10[BLO],[1]!PM_10[BLO],,-1)))
*
( C128 - _xlfn.XLOOKUP(C128,[1]!PM_10[BLO],[1]!PM_10[BLO],,-1))
+
_xlfn.XLOOKUP(C128,[1]!PM_10[BLO],[1]!PM_10[ILO],,-1),2)</f>
        <v>75</v>
      </c>
      <c r="J128">
        <f>ROUND((( _xlfn.XLOOKUP(D128,[1]!NO_2[BLO],[1]!NO_2[IHI],,-1) - _xlfn.XLOOKUP(D128,[1]!NO_2[BLO],[1]!NO_2[ILO],,-1))
/
( _xlfn.XLOOKUP(D128,[1]!NO_2[BLO],[1]!NO_2[BHI],,-1) - _xlfn.XLOOKUP(D128,[1]!NO_2[BLO],[1]!NO_2[BLO],,-1) ))
*
( D128 - _xlfn.XLOOKUP(D128,[1]!NO_2[BLO],[1]!NO_2[BLO],,-1))
+
_xlfn.XLOOKUP(D128,[1]!NO_2[BLO],[1]!NO_2[ILO],,-1),2)</f>
        <v>20</v>
      </c>
      <c r="K128">
        <f>ROUND(( ( _xlfn.XLOOKUP(E128,[1]!SO_2[BLO],[1]!SO_2[IHI],,-1)  - _xlfn.XLOOKUP(E128,[1]!SO_2[BLO],[1]!SO_2[ILO],,-1) )
/
( _xlfn.XLOOKUP(E128,[1]!SO_2[BLO],[1]!SO_2[BHI],,-1)- _xlfn.XLOOKUP(E128,[1]!SO_2[BLO],[1]!SO_2[BLO],,-1) ))
*
( E128 - _xlfn.XLOOKUP(E128,[1]!SO_2[BLO],[1]!SO_2[BLO],,-1) )
+
_xlfn.XLOOKUP(E128,[1]!SO_2[BLO],[1]!SO_2[ILO],,-1),2)</f>
        <v>10</v>
      </c>
      <c r="L128">
        <f>( ( _xlfn.XLOOKUP(F128,[1]!CO[BLO],[1]!CO[IHI],,-1)
- _xlfn.XLOOKUP(F128,[1]!CO[BLO],[1]!CO[ILO],,-1) )
/
( _xlfn.XLOOKUP(F128,[1]!CO[BLO],[1]!CO[BHI],,-1) - _xlfn.XLOOKUP(F128,[1]!CO[BLO],[1]!CO[BLO],,-1)))
*
( F128 - _xlfn.XLOOKUP(F128,[1]!CO[BLO],[1]!CO[BLO],,-1) )
+
_xlfn.XLOOKUP(F128,[1]!CO[BLO],[1]!CO[ILO],,-1)</f>
        <v>28.499999999999996</v>
      </c>
      <c r="M128">
        <f>(( _xlfn.XLOOKUP(G128,[1]!O_3[BLO],[1]!O_3[IHI],,-1) - _xlfn.XLOOKUP(G128,[1]!O_3[BLO],[1]!O_3[ILO],,-1))
/
( _xlfn.XLOOKUP(G128,[1]!O_3[BLO],[1]!O_3[BHI],,-1) - _xlfn.XLOOKUP(G128,[1]!O_3[BLO],[1]!O_3[BLO],,-1)))
*
( G128 - _xlfn.XLOOKUP(G128,[1]!O_3[BLO],[1]!O_3[BLO],,-1))
+
_xlfn.XLOOKUP(G128,[1]!O_3[BLO],[1]!O_3[ILO],,-1)</f>
        <v>37</v>
      </c>
      <c r="N128">
        <f>MAX(DAILY_DATA[[#This Row],[AQI_PM2.5]:[AQI_O3]])</f>
        <v>75</v>
      </c>
      <c r="O128" t="str">
        <f>_xlfn.XLOOKUP(DAILY_DATA[[#This Row],[OVERALL_AQI]],[1]!CATEGORY[AQI_LO],[1]!CATEGORY[CATEGORY],,-1)</f>
        <v>Satisfactory</v>
      </c>
      <c r="P128" t="str" cm="1">
        <f t="array" ref="P128">INDEX(
{"PM2.5","PM10","NO2","SO2","CO","O3"},
MATCH(N128,H128:M128,0)
)</f>
        <v>PM10</v>
      </c>
    </row>
    <row r="129" spans="1:16" x14ac:dyDescent="0.25">
      <c r="A129" s="4">
        <v>45419</v>
      </c>
      <c r="B129">
        <f>ROUND(AVERAGEIFS([1]HOURLY_DATA!B129:B8912,[1]HOURLY_DATA!H129:H8912,Daily_AQI!A129),0)</f>
        <v>22</v>
      </c>
      <c r="C129">
        <f>ROUND(AVERAGEIFS([1]HOURLY_DATA!C129:C8912,[1]HOURLY_DATA!H129:H8912,Daily_AQI!A129),0)</f>
        <v>62</v>
      </c>
      <c r="D129">
        <f>ROUND(AVERAGEIFS([1]HOURLY_DATA!D129:D8912,[1]HOURLY_DATA!H129:H8912,Daily_AQI!A129),0)</f>
        <v>14</v>
      </c>
      <c r="E129">
        <f>ROUND(AVERAGEIFS([1]HOURLY_DATA!E129:E8912,[1]HOURLY_DATA!H129:H8912,Daily_AQI!A129),0)</f>
        <v>9</v>
      </c>
      <c r="F129">
        <f>ROUND(AVERAGEIFS([1]HOURLY_DATA!I129:I8912,[1]HOURLY_DATA!H129:H8912,Daily_AQI!A129),2)</f>
        <v>0.6</v>
      </c>
      <c r="G129">
        <f>ROUND(AVERAGEIFS([1]HOURLY_DATA!J129:J8912,[1]HOURLY_DATA!H129:H8912,Daily_AQI!A129),0)</f>
        <v>41</v>
      </c>
      <c r="H129">
        <f>ROUND(((_xlfn.XLOOKUP(B129,[1]!PM2.5[BLO],[1]!PM2.5[IHI],,-1) - _xlfn.XLOOKUP(B129,[1]!PM2.5[BLO],[1]!PM2.5[ILO],,-1))
/
(_xlfn.XLOOKUP(B129,[1]!PM2.5[BLO],[1]!PM2.5[BHI],,-1) - _xlfn.XLOOKUP(B129,[1]!PM2.5[BLO],[1]!PM2.5[BLO],,-1)))
*
(B129 - _xlfn.XLOOKUP(B129,[1]!PM2.5[BLO],[1]!PM2.5[BLO],,-1))
+
_xlfn.XLOOKUP(B129,[1]!PM2.5[BLO],[1]!PM2.5[ILO],,-1),2)</f>
        <v>36.67</v>
      </c>
      <c r="I129">
        <f>ROUND(((_xlfn.XLOOKUP(C129,[1]!PM_10[BLO],[1]!PM_10[IHI],,-1) - _xlfn.XLOOKUP(C129,[1]!PM_10[BLO],[1]!PM_10[ILO],,-1))
/
(_xlfn.XLOOKUP(C129,[1]!PM_10[BLO],[1]!PM_10[BHI],,-1) - _xlfn.XLOOKUP(C129,[1]!PM_10[BLO],[1]!PM_10[BLO],,-1)))
*
( C129 - _xlfn.XLOOKUP(C129,[1]!PM_10[BLO],[1]!PM_10[BLO],,-1))
+
_xlfn.XLOOKUP(C129,[1]!PM_10[BLO],[1]!PM_10[ILO],,-1),2)</f>
        <v>62</v>
      </c>
      <c r="J129">
        <f>ROUND((( _xlfn.XLOOKUP(D129,[1]!NO_2[BLO],[1]!NO_2[IHI],,-1) - _xlfn.XLOOKUP(D129,[1]!NO_2[BLO],[1]!NO_2[ILO],,-1))
/
( _xlfn.XLOOKUP(D129,[1]!NO_2[BLO],[1]!NO_2[BHI],,-1) - _xlfn.XLOOKUP(D129,[1]!NO_2[BLO],[1]!NO_2[BLO],,-1) ))
*
( D129 - _xlfn.XLOOKUP(D129,[1]!NO_2[BLO],[1]!NO_2[BLO],,-1))
+
_xlfn.XLOOKUP(D129,[1]!NO_2[BLO],[1]!NO_2[ILO],,-1),2)</f>
        <v>17.5</v>
      </c>
      <c r="K129">
        <f>ROUND(( ( _xlfn.XLOOKUP(E129,[1]!SO_2[BLO],[1]!SO_2[IHI],,-1)  - _xlfn.XLOOKUP(E129,[1]!SO_2[BLO],[1]!SO_2[ILO],,-1) )
/
( _xlfn.XLOOKUP(E129,[1]!SO_2[BLO],[1]!SO_2[BHI],,-1)- _xlfn.XLOOKUP(E129,[1]!SO_2[BLO],[1]!SO_2[BLO],,-1) ))
*
( E129 - _xlfn.XLOOKUP(E129,[1]!SO_2[BLO],[1]!SO_2[BLO],,-1) )
+
_xlfn.XLOOKUP(E129,[1]!SO_2[BLO],[1]!SO_2[ILO],,-1),2)</f>
        <v>11.25</v>
      </c>
      <c r="L129">
        <f>( ( _xlfn.XLOOKUP(F129,[1]!CO[BLO],[1]!CO[IHI],,-1)
- _xlfn.XLOOKUP(F129,[1]!CO[BLO],[1]!CO[ILO],,-1) )
/
( _xlfn.XLOOKUP(F129,[1]!CO[BLO],[1]!CO[BHI],,-1) - _xlfn.XLOOKUP(F129,[1]!CO[BLO],[1]!CO[BLO],,-1)))
*
( F129 - _xlfn.XLOOKUP(F129,[1]!CO[BLO],[1]!CO[BLO],,-1) )
+
_xlfn.XLOOKUP(F129,[1]!CO[BLO],[1]!CO[ILO],,-1)</f>
        <v>30</v>
      </c>
      <c r="M129">
        <f>(( _xlfn.XLOOKUP(G129,[1]!O_3[BLO],[1]!O_3[IHI],,-1) - _xlfn.XLOOKUP(G129,[1]!O_3[BLO],[1]!O_3[ILO],,-1))
/
( _xlfn.XLOOKUP(G129,[1]!O_3[BLO],[1]!O_3[BHI],,-1) - _xlfn.XLOOKUP(G129,[1]!O_3[BLO],[1]!O_3[BLO],,-1)))
*
( G129 - _xlfn.XLOOKUP(G129,[1]!O_3[BLO],[1]!O_3[BLO],,-1))
+
_xlfn.XLOOKUP(G129,[1]!O_3[BLO],[1]!O_3[ILO],,-1)</f>
        <v>41</v>
      </c>
      <c r="N129">
        <f>MAX(DAILY_DATA[[#This Row],[AQI_PM2.5]:[AQI_O3]])</f>
        <v>62</v>
      </c>
      <c r="O129" t="str">
        <f>_xlfn.XLOOKUP(DAILY_DATA[[#This Row],[OVERALL_AQI]],[1]!CATEGORY[AQI_LO],[1]!CATEGORY[CATEGORY],,-1)</f>
        <v>Satisfactory</v>
      </c>
      <c r="P129" t="str" cm="1">
        <f t="array" ref="P129">INDEX(
{"PM2.5","PM10","NO2","SO2","CO","O3"},
MATCH(N129,H129:M129,0)
)</f>
        <v>PM10</v>
      </c>
    </row>
    <row r="130" spans="1:16" x14ac:dyDescent="0.25">
      <c r="A130" s="4">
        <v>45420</v>
      </c>
      <c r="B130">
        <f>ROUND(AVERAGEIFS([1]HOURLY_DATA!B130:B8913,[1]HOURLY_DATA!H130:H8913,Daily_AQI!A130),0)</f>
        <v>29</v>
      </c>
      <c r="C130">
        <f>ROUND(AVERAGEIFS([1]HOURLY_DATA!C130:C8913,[1]HOURLY_DATA!H130:H8913,Daily_AQI!A130),0)</f>
        <v>95</v>
      </c>
      <c r="D130">
        <f>ROUND(AVERAGEIFS([1]HOURLY_DATA!D130:D8913,[1]HOURLY_DATA!H130:H8913,Daily_AQI!A130),0)</f>
        <v>16</v>
      </c>
      <c r="E130">
        <f>ROUND(AVERAGEIFS([1]HOURLY_DATA!E130:E8913,[1]HOURLY_DATA!H130:H8913,Daily_AQI!A130),0)</f>
        <v>8</v>
      </c>
      <c r="F130">
        <f>ROUND(AVERAGEIFS([1]HOURLY_DATA!I130:I8913,[1]HOURLY_DATA!H130:H8913,Daily_AQI!A130),2)</f>
        <v>0.56000000000000005</v>
      </c>
      <c r="G130">
        <f>ROUND(AVERAGEIFS([1]HOURLY_DATA!J130:J8913,[1]HOURLY_DATA!H130:H8913,Daily_AQI!A130),0)</f>
        <v>35</v>
      </c>
      <c r="H130">
        <f>ROUND(((_xlfn.XLOOKUP(B130,[1]!PM2.5[BLO],[1]!PM2.5[IHI],,-1) - _xlfn.XLOOKUP(B130,[1]!PM2.5[BLO],[1]!PM2.5[ILO],,-1))
/
(_xlfn.XLOOKUP(B130,[1]!PM2.5[BLO],[1]!PM2.5[BHI],,-1) - _xlfn.XLOOKUP(B130,[1]!PM2.5[BLO],[1]!PM2.5[BLO],,-1)))
*
(B130 - _xlfn.XLOOKUP(B130,[1]!PM2.5[BLO],[1]!PM2.5[BLO],,-1))
+
_xlfn.XLOOKUP(B130,[1]!PM2.5[BLO],[1]!PM2.5[ILO],,-1),2)</f>
        <v>48.33</v>
      </c>
      <c r="I130">
        <f>ROUND(((_xlfn.XLOOKUP(C130,[1]!PM_10[BLO],[1]!PM_10[IHI],,-1) - _xlfn.XLOOKUP(C130,[1]!PM_10[BLO],[1]!PM_10[ILO],,-1))
/
(_xlfn.XLOOKUP(C130,[1]!PM_10[BLO],[1]!PM_10[BHI],,-1) - _xlfn.XLOOKUP(C130,[1]!PM_10[BLO],[1]!PM_10[BLO],,-1)))
*
( C130 - _xlfn.XLOOKUP(C130,[1]!PM_10[BLO],[1]!PM_10[BLO],,-1))
+
_xlfn.XLOOKUP(C130,[1]!PM_10[BLO],[1]!PM_10[ILO],,-1),2)</f>
        <v>95</v>
      </c>
      <c r="J130">
        <f>ROUND((( _xlfn.XLOOKUP(D130,[1]!NO_2[BLO],[1]!NO_2[IHI],,-1) - _xlfn.XLOOKUP(D130,[1]!NO_2[BLO],[1]!NO_2[ILO],,-1))
/
( _xlfn.XLOOKUP(D130,[1]!NO_2[BLO],[1]!NO_2[BHI],,-1) - _xlfn.XLOOKUP(D130,[1]!NO_2[BLO],[1]!NO_2[BLO],,-1) ))
*
( D130 - _xlfn.XLOOKUP(D130,[1]!NO_2[BLO],[1]!NO_2[BLO],,-1))
+
_xlfn.XLOOKUP(D130,[1]!NO_2[BLO],[1]!NO_2[ILO],,-1),2)</f>
        <v>20</v>
      </c>
      <c r="K130">
        <f>ROUND(( ( _xlfn.XLOOKUP(E130,[1]!SO_2[BLO],[1]!SO_2[IHI],,-1)  - _xlfn.XLOOKUP(E130,[1]!SO_2[BLO],[1]!SO_2[ILO],,-1) )
/
( _xlfn.XLOOKUP(E130,[1]!SO_2[BLO],[1]!SO_2[BHI],,-1)- _xlfn.XLOOKUP(E130,[1]!SO_2[BLO],[1]!SO_2[BLO],,-1) ))
*
( E130 - _xlfn.XLOOKUP(E130,[1]!SO_2[BLO],[1]!SO_2[BLO],,-1) )
+
_xlfn.XLOOKUP(E130,[1]!SO_2[BLO],[1]!SO_2[ILO],,-1),2)</f>
        <v>10</v>
      </c>
      <c r="L130">
        <f>( ( _xlfn.XLOOKUP(F130,[1]!CO[BLO],[1]!CO[IHI],,-1)
- _xlfn.XLOOKUP(F130,[1]!CO[BLO],[1]!CO[ILO],,-1) )
/
( _xlfn.XLOOKUP(F130,[1]!CO[BLO],[1]!CO[BHI],,-1) - _xlfn.XLOOKUP(F130,[1]!CO[BLO],[1]!CO[BLO],,-1)))
*
( F130 - _xlfn.XLOOKUP(F130,[1]!CO[BLO],[1]!CO[BLO],,-1) )
+
_xlfn.XLOOKUP(F130,[1]!CO[BLO],[1]!CO[ILO],,-1)</f>
        <v>28.000000000000004</v>
      </c>
      <c r="M130">
        <f>(( _xlfn.XLOOKUP(G130,[1]!O_3[BLO],[1]!O_3[IHI],,-1) - _xlfn.XLOOKUP(G130,[1]!O_3[BLO],[1]!O_3[ILO],,-1))
/
( _xlfn.XLOOKUP(G130,[1]!O_3[BLO],[1]!O_3[BHI],,-1) - _xlfn.XLOOKUP(G130,[1]!O_3[BLO],[1]!O_3[BLO],,-1)))
*
( G130 - _xlfn.XLOOKUP(G130,[1]!O_3[BLO],[1]!O_3[BLO],,-1))
+
_xlfn.XLOOKUP(G130,[1]!O_3[BLO],[1]!O_3[ILO],,-1)</f>
        <v>35</v>
      </c>
      <c r="N130">
        <f>MAX(DAILY_DATA[[#This Row],[AQI_PM2.5]:[AQI_O3]])</f>
        <v>95</v>
      </c>
      <c r="O130" t="str">
        <f>_xlfn.XLOOKUP(DAILY_DATA[[#This Row],[OVERALL_AQI]],[1]!CATEGORY[AQI_LO],[1]!CATEGORY[CATEGORY],,-1)</f>
        <v>Satisfactory</v>
      </c>
      <c r="P130" t="str" cm="1">
        <f t="array" ref="P130">INDEX(
{"PM2.5","PM10","NO2","SO2","CO","O3"},
MATCH(N130,H130:M130,0)
)</f>
        <v>PM10</v>
      </c>
    </row>
    <row r="131" spans="1:16" x14ac:dyDescent="0.25">
      <c r="A131" s="4">
        <v>45421</v>
      </c>
      <c r="B131">
        <f>ROUND(AVERAGEIFS([1]HOURLY_DATA!B131:B8914,[1]HOURLY_DATA!H131:H8914,Daily_AQI!A131),0)</f>
        <v>29</v>
      </c>
      <c r="C131">
        <f>ROUND(AVERAGEIFS([1]HOURLY_DATA!C131:C8914,[1]HOURLY_DATA!H131:H8914,Daily_AQI!A131),0)</f>
        <v>60</v>
      </c>
      <c r="D131">
        <f>ROUND(AVERAGEIFS([1]HOURLY_DATA!D131:D8914,[1]HOURLY_DATA!H131:H8914,Daily_AQI!A131),0)</f>
        <v>16</v>
      </c>
      <c r="E131">
        <f>ROUND(AVERAGEIFS([1]HOURLY_DATA!E131:E8914,[1]HOURLY_DATA!H131:H8914,Daily_AQI!A131),0)</f>
        <v>7</v>
      </c>
      <c r="F131">
        <f>ROUND(AVERAGEIFS([1]HOURLY_DATA!I131:I8914,[1]HOURLY_DATA!H131:H8914,Daily_AQI!A131),2)</f>
        <v>0.56000000000000005</v>
      </c>
      <c r="G131">
        <f>ROUND(AVERAGEIFS([1]HOURLY_DATA!J131:J8914,[1]HOURLY_DATA!H131:H8914,Daily_AQI!A131),0)</f>
        <v>39</v>
      </c>
      <c r="H131">
        <f>ROUND(((_xlfn.XLOOKUP(B131,[1]!PM2.5[BLO],[1]!PM2.5[IHI],,-1) - _xlfn.XLOOKUP(B131,[1]!PM2.5[BLO],[1]!PM2.5[ILO],,-1))
/
(_xlfn.XLOOKUP(B131,[1]!PM2.5[BLO],[1]!PM2.5[BHI],,-1) - _xlfn.XLOOKUP(B131,[1]!PM2.5[BLO],[1]!PM2.5[BLO],,-1)))
*
(B131 - _xlfn.XLOOKUP(B131,[1]!PM2.5[BLO],[1]!PM2.5[BLO],,-1))
+
_xlfn.XLOOKUP(B131,[1]!PM2.5[BLO],[1]!PM2.5[ILO],,-1),2)</f>
        <v>48.33</v>
      </c>
      <c r="I131">
        <f>ROUND(((_xlfn.XLOOKUP(C131,[1]!PM_10[BLO],[1]!PM_10[IHI],,-1) - _xlfn.XLOOKUP(C131,[1]!PM_10[BLO],[1]!PM_10[ILO],,-1))
/
(_xlfn.XLOOKUP(C131,[1]!PM_10[BLO],[1]!PM_10[BHI],,-1) - _xlfn.XLOOKUP(C131,[1]!PM_10[BLO],[1]!PM_10[BLO],,-1)))
*
( C131 - _xlfn.XLOOKUP(C131,[1]!PM_10[BLO],[1]!PM_10[BLO],,-1))
+
_xlfn.XLOOKUP(C131,[1]!PM_10[BLO],[1]!PM_10[ILO],,-1),2)</f>
        <v>60</v>
      </c>
      <c r="J131">
        <f>ROUND((( _xlfn.XLOOKUP(D131,[1]!NO_2[BLO],[1]!NO_2[IHI],,-1) - _xlfn.XLOOKUP(D131,[1]!NO_2[BLO],[1]!NO_2[ILO],,-1))
/
( _xlfn.XLOOKUP(D131,[1]!NO_2[BLO],[1]!NO_2[BHI],,-1) - _xlfn.XLOOKUP(D131,[1]!NO_2[BLO],[1]!NO_2[BLO],,-1) ))
*
( D131 - _xlfn.XLOOKUP(D131,[1]!NO_2[BLO],[1]!NO_2[BLO],,-1))
+
_xlfn.XLOOKUP(D131,[1]!NO_2[BLO],[1]!NO_2[ILO],,-1),2)</f>
        <v>20</v>
      </c>
      <c r="K131">
        <f>ROUND(( ( _xlfn.XLOOKUP(E131,[1]!SO_2[BLO],[1]!SO_2[IHI],,-1)  - _xlfn.XLOOKUP(E131,[1]!SO_2[BLO],[1]!SO_2[ILO],,-1) )
/
( _xlfn.XLOOKUP(E131,[1]!SO_2[BLO],[1]!SO_2[BHI],,-1)- _xlfn.XLOOKUP(E131,[1]!SO_2[BLO],[1]!SO_2[BLO],,-1) ))
*
( E131 - _xlfn.XLOOKUP(E131,[1]!SO_2[BLO],[1]!SO_2[BLO],,-1) )
+
_xlfn.XLOOKUP(E131,[1]!SO_2[BLO],[1]!SO_2[ILO],,-1),2)</f>
        <v>8.75</v>
      </c>
      <c r="L131">
        <f>( ( _xlfn.XLOOKUP(F131,[1]!CO[BLO],[1]!CO[IHI],,-1)
- _xlfn.XLOOKUP(F131,[1]!CO[BLO],[1]!CO[ILO],,-1) )
/
( _xlfn.XLOOKUP(F131,[1]!CO[BLO],[1]!CO[BHI],,-1) - _xlfn.XLOOKUP(F131,[1]!CO[BLO],[1]!CO[BLO],,-1)))
*
( F131 - _xlfn.XLOOKUP(F131,[1]!CO[BLO],[1]!CO[BLO],,-1) )
+
_xlfn.XLOOKUP(F131,[1]!CO[BLO],[1]!CO[ILO],,-1)</f>
        <v>28.000000000000004</v>
      </c>
      <c r="M131">
        <f>(( _xlfn.XLOOKUP(G131,[1]!O_3[BLO],[1]!O_3[IHI],,-1) - _xlfn.XLOOKUP(G131,[1]!O_3[BLO],[1]!O_3[ILO],,-1))
/
( _xlfn.XLOOKUP(G131,[1]!O_3[BLO],[1]!O_3[BHI],,-1) - _xlfn.XLOOKUP(G131,[1]!O_3[BLO],[1]!O_3[BLO],,-1)))
*
( G131 - _xlfn.XLOOKUP(G131,[1]!O_3[BLO],[1]!O_3[BLO],,-1))
+
_xlfn.XLOOKUP(G131,[1]!O_3[BLO],[1]!O_3[ILO],,-1)</f>
        <v>39</v>
      </c>
      <c r="N131">
        <f>MAX(DAILY_DATA[[#This Row],[AQI_PM2.5]:[AQI_O3]])</f>
        <v>60</v>
      </c>
      <c r="O131" t="str">
        <f>_xlfn.XLOOKUP(DAILY_DATA[[#This Row],[OVERALL_AQI]],[1]!CATEGORY[AQI_LO],[1]!CATEGORY[CATEGORY],,-1)</f>
        <v>Satisfactory</v>
      </c>
      <c r="P131" t="str" cm="1">
        <f t="array" ref="P131">INDEX(
{"PM2.5","PM10","NO2","SO2","CO","O3"},
MATCH(N131,H131:M131,0)
)</f>
        <v>PM10</v>
      </c>
    </row>
    <row r="132" spans="1:16" x14ac:dyDescent="0.25">
      <c r="A132" s="4">
        <v>45422</v>
      </c>
      <c r="B132">
        <f>ROUND(AVERAGEIFS([1]HOURLY_DATA!B132:B8915,[1]HOURLY_DATA!H132:H8915,Daily_AQI!A132),0)</f>
        <v>29</v>
      </c>
      <c r="C132">
        <f>ROUND(AVERAGEIFS([1]HOURLY_DATA!C132:C8915,[1]HOURLY_DATA!H132:H8915,Daily_AQI!A132),0)</f>
        <v>61</v>
      </c>
      <c r="D132">
        <f>ROUND(AVERAGEIFS([1]HOURLY_DATA!D132:D8915,[1]HOURLY_DATA!H132:H8915,Daily_AQI!A132),0)</f>
        <v>13</v>
      </c>
      <c r="E132">
        <f>ROUND(AVERAGEIFS([1]HOURLY_DATA!E132:E8915,[1]HOURLY_DATA!H132:H8915,Daily_AQI!A132),0)</f>
        <v>8</v>
      </c>
      <c r="F132">
        <f>ROUND(AVERAGEIFS([1]HOURLY_DATA!I132:I8915,[1]HOURLY_DATA!H132:H8915,Daily_AQI!A132),2)</f>
        <v>0.54</v>
      </c>
      <c r="G132">
        <f>ROUND(AVERAGEIFS([1]HOURLY_DATA!J132:J8915,[1]HOURLY_DATA!H132:H8915,Daily_AQI!A132),0)</f>
        <v>36</v>
      </c>
      <c r="H132">
        <f>ROUND(((_xlfn.XLOOKUP(B132,[1]!PM2.5[BLO],[1]!PM2.5[IHI],,-1) - _xlfn.XLOOKUP(B132,[1]!PM2.5[BLO],[1]!PM2.5[ILO],,-1))
/
(_xlfn.XLOOKUP(B132,[1]!PM2.5[BLO],[1]!PM2.5[BHI],,-1) - _xlfn.XLOOKUP(B132,[1]!PM2.5[BLO],[1]!PM2.5[BLO],,-1)))
*
(B132 - _xlfn.XLOOKUP(B132,[1]!PM2.5[BLO],[1]!PM2.5[BLO],,-1))
+
_xlfn.XLOOKUP(B132,[1]!PM2.5[BLO],[1]!PM2.5[ILO],,-1),2)</f>
        <v>48.33</v>
      </c>
      <c r="I132">
        <f>ROUND(((_xlfn.XLOOKUP(C132,[1]!PM_10[BLO],[1]!PM_10[IHI],,-1) - _xlfn.XLOOKUP(C132,[1]!PM_10[BLO],[1]!PM_10[ILO],,-1))
/
(_xlfn.XLOOKUP(C132,[1]!PM_10[BLO],[1]!PM_10[BHI],,-1) - _xlfn.XLOOKUP(C132,[1]!PM_10[BLO],[1]!PM_10[BLO],,-1)))
*
( C132 - _xlfn.XLOOKUP(C132,[1]!PM_10[BLO],[1]!PM_10[BLO],,-1))
+
_xlfn.XLOOKUP(C132,[1]!PM_10[BLO],[1]!PM_10[ILO],,-1),2)</f>
        <v>61</v>
      </c>
      <c r="J132">
        <f>ROUND((( _xlfn.XLOOKUP(D132,[1]!NO_2[BLO],[1]!NO_2[IHI],,-1) - _xlfn.XLOOKUP(D132,[1]!NO_2[BLO],[1]!NO_2[ILO],,-1))
/
( _xlfn.XLOOKUP(D132,[1]!NO_2[BLO],[1]!NO_2[BHI],,-1) - _xlfn.XLOOKUP(D132,[1]!NO_2[BLO],[1]!NO_2[BLO],,-1) ))
*
( D132 - _xlfn.XLOOKUP(D132,[1]!NO_2[BLO],[1]!NO_2[BLO],,-1))
+
_xlfn.XLOOKUP(D132,[1]!NO_2[BLO],[1]!NO_2[ILO],,-1),2)</f>
        <v>16.25</v>
      </c>
      <c r="K132">
        <f>ROUND(( ( _xlfn.XLOOKUP(E132,[1]!SO_2[BLO],[1]!SO_2[IHI],,-1)  - _xlfn.XLOOKUP(E132,[1]!SO_2[BLO],[1]!SO_2[ILO],,-1) )
/
( _xlfn.XLOOKUP(E132,[1]!SO_2[BLO],[1]!SO_2[BHI],,-1)- _xlfn.XLOOKUP(E132,[1]!SO_2[BLO],[1]!SO_2[BLO],,-1) ))
*
( E132 - _xlfn.XLOOKUP(E132,[1]!SO_2[BLO],[1]!SO_2[BLO],,-1) )
+
_xlfn.XLOOKUP(E132,[1]!SO_2[BLO],[1]!SO_2[ILO],,-1),2)</f>
        <v>10</v>
      </c>
      <c r="L132">
        <f>( ( _xlfn.XLOOKUP(F132,[1]!CO[BLO],[1]!CO[IHI],,-1)
- _xlfn.XLOOKUP(F132,[1]!CO[BLO],[1]!CO[ILO],,-1) )
/
( _xlfn.XLOOKUP(F132,[1]!CO[BLO],[1]!CO[BHI],,-1) - _xlfn.XLOOKUP(F132,[1]!CO[BLO],[1]!CO[BLO],,-1)))
*
( F132 - _xlfn.XLOOKUP(F132,[1]!CO[BLO],[1]!CO[BLO],,-1) )
+
_xlfn.XLOOKUP(F132,[1]!CO[BLO],[1]!CO[ILO],,-1)</f>
        <v>27</v>
      </c>
      <c r="M132">
        <f>(( _xlfn.XLOOKUP(G132,[1]!O_3[BLO],[1]!O_3[IHI],,-1) - _xlfn.XLOOKUP(G132,[1]!O_3[BLO],[1]!O_3[ILO],,-1))
/
( _xlfn.XLOOKUP(G132,[1]!O_3[BLO],[1]!O_3[BHI],,-1) - _xlfn.XLOOKUP(G132,[1]!O_3[BLO],[1]!O_3[BLO],,-1)))
*
( G132 - _xlfn.XLOOKUP(G132,[1]!O_3[BLO],[1]!O_3[BLO],,-1))
+
_xlfn.XLOOKUP(G132,[1]!O_3[BLO],[1]!O_3[ILO],,-1)</f>
        <v>36</v>
      </c>
      <c r="N132">
        <f>MAX(DAILY_DATA[[#This Row],[AQI_PM2.5]:[AQI_O3]])</f>
        <v>61</v>
      </c>
      <c r="O132" t="str">
        <f>_xlfn.XLOOKUP(DAILY_DATA[[#This Row],[OVERALL_AQI]],[1]!CATEGORY[AQI_LO],[1]!CATEGORY[CATEGORY],,-1)</f>
        <v>Satisfactory</v>
      </c>
      <c r="P132" t="str" cm="1">
        <f t="array" ref="P132">INDEX(
{"PM2.5","PM10","NO2","SO2","CO","O3"},
MATCH(N132,H132:M132,0)
)</f>
        <v>PM10</v>
      </c>
    </row>
    <row r="133" spans="1:16" x14ac:dyDescent="0.25">
      <c r="A133" s="4">
        <v>45423</v>
      </c>
      <c r="B133">
        <f>ROUND(AVERAGEIFS([1]HOURLY_DATA!B133:B8916,[1]HOURLY_DATA!H133:H8916,Daily_AQI!A133),0)</f>
        <v>23</v>
      </c>
      <c r="C133">
        <f>ROUND(AVERAGEIFS([1]HOURLY_DATA!C133:C8916,[1]HOURLY_DATA!H133:H8916,Daily_AQI!A133),0)</f>
        <v>54</v>
      </c>
      <c r="D133">
        <f>ROUND(AVERAGEIFS([1]HOURLY_DATA!D133:D8916,[1]HOURLY_DATA!H133:H8916,Daily_AQI!A133),0)</f>
        <v>13</v>
      </c>
      <c r="E133">
        <f>ROUND(AVERAGEIFS([1]HOURLY_DATA!E133:E8916,[1]HOURLY_DATA!H133:H8916,Daily_AQI!A133),0)</f>
        <v>8</v>
      </c>
      <c r="F133">
        <f>ROUND(AVERAGEIFS([1]HOURLY_DATA!I133:I8916,[1]HOURLY_DATA!H133:H8916,Daily_AQI!A133),2)</f>
        <v>0.56000000000000005</v>
      </c>
      <c r="G133">
        <f>ROUND(AVERAGEIFS([1]HOURLY_DATA!J133:J8916,[1]HOURLY_DATA!H133:H8916,Daily_AQI!A133),0)</f>
        <v>36</v>
      </c>
      <c r="H133">
        <f>ROUND(((_xlfn.XLOOKUP(B133,[1]!PM2.5[BLO],[1]!PM2.5[IHI],,-1) - _xlfn.XLOOKUP(B133,[1]!PM2.5[BLO],[1]!PM2.5[ILO],,-1))
/
(_xlfn.XLOOKUP(B133,[1]!PM2.5[BLO],[1]!PM2.5[BHI],,-1) - _xlfn.XLOOKUP(B133,[1]!PM2.5[BLO],[1]!PM2.5[BLO],,-1)))
*
(B133 - _xlfn.XLOOKUP(B133,[1]!PM2.5[BLO],[1]!PM2.5[BLO],,-1))
+
_xlfn.XLOOKUP(B133,[1]!PM2.5[BLO],[1]!PM2.5[ILO],,-1),2)</f>
        <v>38.33</v>
      </c>
      <c r="I133">
        <f>ROUND(((_xlfn.XLOOKUP(C133,[1]!PM_10[BLO],[1]!PM_10[IHI],,-1) - _xlfn.XLOOKUP(C133,[1]!PM_10[BLO],[1]!PM_10[ILO],,-1))
/
(_xlfn.XLOOKUP(C133,[1]!PM_10[BLO],[1]!PM_10[BHI],,-1) - _xlfn.XLOOKUP(C133,[1]!PM_10[BLO],[1]!PM_10[BLO],,-1)))
*
( C133 - _xlfn.XLOOKUP(C133,[1]!PM_10[BLO],[1]!PM_10[BLO],,-1))
+
_xlfn.XLOOKUP(C133,[1]!PM_10[BLO],[1]!PM_10[ILO],,-1),2)</f>
        <v>54</v>
      </c>
      <c r="J133">
        <f>ROUND((( _xlfn.XLOOKUP(D133,[1]!NO_2[BLO],[1]!NO_2[IHI],,-1) - _xlfn.XLOOKUP(D133,[1]!NO_2[BLO],[1]!NO_2[ILO],,-1))
/
( _xlfn.XLOOKUP(D133,[1]!NO_2[BLO],[1]!NO_2[BHI],,-1) - _xlfn.XLOOKUP(D133,[1]!NO_2[BLO],[1]!NO_2[BLO],,-1) ))
*
( D133 - _xlfn.XLOOKUP(D133,[1]!NO_2[BLO],[1]!NO_2[BLO],,-1))
+
_xlfn.XLOOKUP(D133,[1]!NO_2[BLO],[1]!NO_2[ILO],,-1),2)</f>
        <v>16.25</v>
      </c>
      <c r="K133">
        <f>ROUND(( ( _xlfn.XLOOKUP(E133,[1]!SO_2[BLO],[1]!SO_2[IHI],,-1)  - _xlfn.XLOOKUP(E133,[1]!SO_2[BLO],[1]!SO_2[ILO],,-1) )
/
( _xlfn.XLOOKUP(E133,[1]!SO_2[BLO],[1]!SO_2[BHI],,-1)- _xlfn.XLOOKUP(E133,[1]!SO_2[BLO],[1]!SO_2[BLO],,-1) ))
*
( E133 - _xlfn.XLOOKUP(E133,[1]!SO_2[BLO],[1]!SO_2[BLO],,-1) )
+
_xlfn.XLOOKUP(E133,[1]!SO_2[BLO],[1]!SO_2[ILO],,-1),2)</f>
        <v>10</v>
      </c>
      <c r="L133">
        <f>( ( _xlfn.XLOOKUP(F133,[1]!CO[BLO],[1]!CO[IHI],,-1)
- _xlfn.XLOOKUP(F133,[1]!CO[BLO],[1]!CO[ILO],,-1) )
/
( _xlfn.XLOOKUP(F133,[1]!CO[BLO],[1]!CO[BHI],,-1) - _xlfn.XLOOKUP(F133,[1]!CO[BLO],[1]!CO[BLO],,-1)))
*
( F133 - _xlfn.XLOOKUP(F133,[1]!CO[BLO],[1]!CO[BLO],,-1) )
+
_xlfn.XLOOKUP(F133,[1]!CO[BLO],[1]!CO[ILO],,-1)</f>
        <v>28.000000000000004</v>
      </c>
      <c r="M133">
        <f>(( _xlfn.XLOOKUP(G133,[1]!O_3[BLO],[1]!O_3[IHI],,-1) - _xlfn.XLOOKUP(G133,[1]!O_3[BLO],[1]!O_3[ILO],,-1))
/
( _xlfn.XLOOKUP(G133,[1]!O_3[BLO],[1]!O_3[BHI],,-1) - _xlfn.XLOOKUP(G133,[1]!O_3[BLO],[1]!O_3[BLO],,-1)))
*
( G133 - _xlfn.XLOOKUP(G133,[1]!O_3[BLO],[1]!O_3[BLO],,-1))
+
_xlfn.XLOOKUP(G133,[1]!O_3[BLO],[1]!O_3[ILO],,-1)</f>
        <v>36</v>
      </c>
      <c r="N133">
        <f>MAX(DAILY_DATA[[#This Row],[AQI_PM2.5]:[AQI_O3]])</f>
        <v>54</v>
      </c>
      <c r="O133" t="str">
        <f>_xlfn.XLOOKUP(DAILY_DATA[[#This Row],[OVERALL_AQI]],[1]!CATEGORY[AQI_LO],[1]!CATEGORY[CATEGORY],,-1)</f>
        <v>Satisfactory</v>
      </c>
      <c r="P133" t="str" cm="1">
        <f t="array" ref="P133">INDEX(
{"PM2.5","PM10","NO2","SO2","CO","O3"},
MATCH(N133,H133:M133,0)
)</f>
        <v>PM10</v>
      </c>
    </row>
    <row r="134" spans="1:16" x14ac:dyDescent="0.25">
      <c r="A134" s="4">
        <v>45424</v>
      </c>
      <c r="B134">
        <f>ROUND(AVERAGEIFS([1]HOURLY_DATA!B134:B8917,[1]HOURLY_DATA!H134:H8917,Daily_AQI!A134),0)</f>
        <v>25</v>
      </c>
      <c r="C134">
        <f>ROUND(AVERAGEIFS([1]HOURLY_DATA!C134:C8917,[1]HOURLY_DATA!H134:H8917,Daily_AQI!A134),0)</f>
        <v>57</v>
      </c>
      <c r="D134">
        <f>ROUND(AVERAGEIFS([1]HOURLY_DATA!D134:D8917,[1]HOURLY_DATA!H134:H8917,Daily_AQI!A134),0)</f>
        <v>13</v>
      </c>
      <c r="E134">
        <f>ROUND(AVERAGEIFS([1]HOURLY_DATA!E134:E8917,[1]HOURLY_DATA!H134:H8917,Daily_AQI!A134),0)</f>
        <v>8</v>
      </c>
      <c r="F134">
        <f>ROUND(AVERAGEIFS([1]HOURLY_DATA!I134:I8917,[1]HOURLY_DATA!H134:H8917,Daily_AQI!A134),2)</f>
        <v>0.56999999999999995</v>
      </c>
      <c r="G134">
        <f>ROUND(AVERAGEIFS([1]HOURLY_DATA!J134:J8917,[1]HOURLY_DATA!H134:H8917,Daily_AQI!A134),0)</f>
        <v>38</v>
      </c>
      <c r="H134">
        <f>ROUND(((_xlfn.XLOOKUP(B134,[1]!PM2.5[BLO],[1]!PM2.5[IHI],,-1) - _xlfn.XLOOKUP(B134,[1]!PM2.5[BLO],[1]!PM2.5[ILO],,-1))
/
(_xlfn.XLOOKUP(B134,[1]!PM2.5[BLO],[1]!PM2.5[BHI],,-1) - _xlfn.XLOOKUP(B134,[1]!PM2.5[BLO],[1]!PM2.5[BLO],,-1)))
*
(B134 - _xlfn.XLOOKUP(B134,[1]!PM2.5[BLO],[1]!PM2.5[BLO],,-1))
+
_xlfn.XLOOKUP(B134,[1]!PM2.5[BLO],[1]!PM2.5[ILO],,-1),2)</f>
        <v>41.67</v>
      </c>
      <c r="I134">
        <f>ROUND(((_xlfn.XLOOKUP(C134,[1]!PM_10[BLO],[1]!PM_10[IHI],,-1) - _xlfn.XLOOKUP(C134,[1]!PM_10[BLO],[1]!PM_10[ILO],,-1))
/
(_xlfn.XLOOKUP(C134,[1]!PM_10[BLO],[1]!PM_10[BHI],,-1) - _xlfn.XLOOKUP(C134,[1]!PM_10[BLO],[1]!PM_10[BLO],,-1)))
*
( C134 - _xlfn.XLOOKUP(C134,[1]!PM_10[BLO],[1]!PM_10[BLO],,-1))
+
_xlfn.XLOOKUP(C134,[1]!PM_10[BLO],[1]!PM_10[ILO],,-1),2)</f>
        <v>57</v>
      </c>
      <c r="J134">
        <f>ROUND((( _xlfn.XLOOKUP(D134,[1]!NO_2[BLO],[1]!NO_2[IHI],,-1) - _xlfn.XLOOKUP(D134,[1]!NO_2[BLO],[1]!NO_2[ILO],,-1))
/
( _xlfn.XLOOKUP(D134,[1]!NO_2[BLO],[1]!NO_2[BHI],,-1) - _xlfn.XLOOKUP(D134,[1]!NO_2[BLO],[1]!NO_2[BLO],,-1) ))
*
( D134 - _xlfn.XLOOKUP(D134,[1]!NO_2[BLO],[1]!NO_2[BLO],,-1))
+
_xlfn.XLOOKUP(D134,[1]!NO_2[BLO],[1]!NO_2[ILO],,-1),2)</f>
        <v>16.25</v>
      </c>
      <c r="K134">
        <f>ROUND(( ( _xlfn.XLOOKUP(E134,[1]!SO_2[BLO],[1]!SO_2[IHI],,-1)  - _xlfn.XLOOKUP(E134,[1]!SO_2[BLO],[1]!SO_2[ILO],,-1) )
/
( _xlfn.XLOOKUP(E134,[1]!SO_2[BLO],[1]!SO_2[BHI],,-1)- _xlfn.XLOOKUP(E134,[1]!SO_2[BLO],[1]!SO_2[BLO],,-1) ))
*
( E134 - _xlfn.XLOOKUP(E134,[1]!SO_2[BLO],[1]!SO_2[BLO],,-1) )
+
_xlfn.XLOOKUP(E134,[1]!SO_2[BLO],[1]!SO_2[ILO],,-1),2)</f>
        <v>10</v>
      </c>
      <c r="L134">
        <f>( ( _xlfn.XLOOKUP(F134,[1]!CO[BLO],[1]!CO[IHI],,-1)
- _xlfn.XLOOKUP(F134,[1]!CO[BLO],[1]!CO[ILO],,-1) )
/
( _xlfn.XLOOKUP(F134,[1]!CO[BLO],[1]!CO[BHI],,-1) - _xlfn.XLOOKUP(F134,[1]!CO[BLO],[1]!CO[BLO],,-1)))
*
( F134 - _xlfn.XLOOKUP(F134,[1]!CO[BLO],[1]!CO[BLO],,-1) )
+
_xlfn.XLOOKUP(F134,[1]!CO[BLO],[1]!CO[ILO],,-1)</f>
        <v>28.499999999999996</v>
      </c>
      <c r="M134">
        <f>(( _xlfn.XLOOKUP(G134,[1]!O_3[BLO],[1]!O_3[IHI],,-1) - _xlfn.XLOOKUP(G134,[1]!O_3[BLO],[1]!O_3[ILO],,-1))
/
( _xlfn.XLOOKUP(G134,[1]!O_3[BLO],[1]!O_3[BHI],,-1) - _xlfn.XLOOKUP(G134,[1]!O_3[BLO],[1]!O_3[BLO],,-1)))
*
( G134 - _xlfn.XLOOKUP(G134,[1]!O_3[BLO],[1]!O_3[BLO],,-1))
+
_xlfn.XLOOKUP(G134,[1]!O_3[BLO],[1]!O_3[ILO],,-1)</f>
        <v>38</v>
      </c>
      <c r="N134">
        <f>MAX(DAILY_DATA[[#This Row],[AQI_PM2.5]:[AQI_O3]])</f>
        <v>57</v>
      </c>
      <c r="O134" t="str">
        <f>_xlfn.XLOOKUP(DAILY_DATA[[#This Row],[OVERALL_AQI]],[1]!CATEGORY[AQI_LO],[1]!CATEGORY[CATEGORY],,-1)</f>
        <v>Satisfactory</v>
      </c>
      <c r="P134" t="str" cm="1">
        <f t="array" ref="P134">INDEX(
{"PM2.5","PM10","NO2","SO2","CO","O3"},
MATCH(N134,H134:M134,0)
)</f>
        <v>PM10</v>
      </c>
    </row>
    <row r="135" spans="1:16" x14ac:dyDescent="0.25">
      <c r="A135" s="4">
        <v>45425</v>
      </c>
      <c r="B135">
        <f>ROUND(AVERAGEIFS([1]HOURLY_DATA!B135:B8918,[1]HOURLY_DATA!H135:H8918,Daily_AQI!A135),0)</f>
        <v>29</v>
      </c>
      <c r="C135">
        <f>ROUND(AVERAGEIFS([1]HOURLY_DATA!C135:C8918,[1]HOURLY_DATA!H135:H8918,Daily_AQI!A135),0)</f>
        <v>58</v>
      </c>
      <c r="D135">
        <f>ROUND(AVERAGEIFS([1]HOURLY_DATA!D135:D8918,[1]HOURLY_DATA!H135:H8918,Daily_AQI!A135),0)</f>
        <v>13</v>
      </c>
      <c r="E135">
        <f>ROUND(AVERAGEIFS([1]HOURLY_DATA!E135:E8918,[1]HOURLY_DATA!H135:H8918,Daily_AQI!A135),0)</f>
        <v>10</v>
      </c>
      <c r="F135">
        <f>ROUND(AVERAGEIFS([1]HOURLY_DATA!I135:I8918,[1]HOURLY_DATA!H135:H8918,Daily_AQI!A135),2)</f>
        <v>0.56000000000000005</v>
      </c>
      <c r="G135">
        <f>ROUND(AVERAGEIFS([1]HOURLY_DATA!J135:J8918,[1]HOURLY_DATA!H135:H8918,Daily_AQI!A135),0)</f>
        <v>33</v>
      </c>
      <c r="H135">
        <f>ROUND(((_xlfn.XLOOKUP(B135,[1]!PM2.5[BLO],[1]!PM2.5[IHI],,-1) - _xlfn.XLOOKUP(B135,[1]!PM2.5[BLO],[1]!PM2.5[ILO],,-1))
/
(_xlfn.XLOOKUP(B135,[1]!PM2.5[BLO],[1]!PM2.5[BHI],,-1) - _xlfn.XLOOKUP(B135,[1]!PM2.5[BLO],[1]!PM2.5[BLO],,-1)))
*
(B135 - _xlfn.XLOOKUP(B135,[1]!PM2.5[BLO],[1]!PM2.5[BLO],,-1))
+
_xlfn.XLOOKUP(B135,[1]!PM2.5[BLO],[1]!PM2.5[ILO],,-1),2)</f>
        <v>48.33</v>
      </c>
      <c r="I135">
        <f>ROUND(((_xlfn.XLOOKUP(C135,[1]!PM_10[BLO],[1]!PM_10[IHI],,-1) - _xlfn.XLOOKUP(C135,[1]!PM_10[BLO],[1]!PM_10[ILO],,-1))
/
(_xlfn.XLOOKUP(C135,[1]!PM_10[BLO],[1]!PM_10[BHI],,-1) - _xlfn.XLOOKUP(C135,[1]!PM_10[BLO],[1]!PM_10[BLO],,-1)))
*
( C135 - _xlfn.XLOOKUP(C135,[1]!PM_10[BLO],[1]!PM_10[BLO],,-1))
+
_xlfn.XLOOKUP(C135,[1]!PM_10[BLO],[1]!PM_10[ILO],,-1),2)</f>
        <v>58</v>
      </c>
      <c r="J135">
        <f>ROUND((( _xlfn.XLOOKUP(D135,[1]!NO_2[BLO],[1]!NO_2[IHI],,-1) - _xlfn.XLOOKUP(D135,[1]!NO_2[BLO],[1]!NO_2[ILO],,-1))
/
( _xlfn.XLOOKUP(D135,[1]!NO_2[BLO],[1]!NO_2[BHI],,-1) - _xlfn.XLOOKUP(D135,[1]!NO_2[BLO],[1]!NO_2[BLO],,-1) ))
*
( D135 - _xlfn.XLOOKUP(D135,[1]!NO_2[BLO],[1]!NO_2[BLO],,-1))
+
_xlfn.XLOOKUP(D135,[1]!NO_2[BLO],[1]!NO_2[ILO],,-1),2)</f>
        <v>16.25</v>
      </c>
      <c r="K135">
        <f>ROUND(( ( _xlfn.XLOOKUP(E135,[1]!SO_2[BLO],[1]!SO_2[IHI],,-1)  - _xlfn.XLOOKUP(E135,[1]!SO_2[BLO],[1]!SO_2[ILO],,-1) )
/
( _xlfn.XLOOKUP(E135,[1]!SO_2[BLO],[1]!SO_2[BHI],,-1)- _xlfn.XLOOKUP(E135,[1]!SO_2[BLO],[1]!SO_2[BLO],,-1) ))
*
( E135 - _xlfn.XLOOKUP(E135,[1]!SO_2[BLO],[1]!SO_2[BLO],,-1) )
+
_xlfn.XLOOKUP(E135,[1]!SO_2[BLO],[1]!SO_2[ILO],,-1),2)</f>
        <v>12.5</v>
      </c>
      <c r="L135">
        <f>( ( _xlfn.XLOOKUP(F135,[1]!CO[BLO],[1]!CO[IHI],,-1)
- _xlfn.XLOOKUP(F135,[1]!CO[BLO],[1]!CO[ILO],,-1) )
/
( _xlfn.XLOOKUP(F135,[1]!CO[BLO],[1]!CO[BHI],,-1) - _xlfn.XLOOKUP(F135,[1]!CO[BLO],[1]!CO[BLO],,-1)))
*
( F135 - _xlfn.XLOOKUP(F135,[1]!CO[BLO],[1]!CO[BLO],,-1) )
+
_xlfn.XLOOKUP(F135,[1]!CO[BLO],[1]!CO[ILO],,-1)</f>
        <v>28.000000000000004</v>
      </c>
      <c r="M135">
        <f>(( _xlfn.XLOOKUP(G135,[1]!O_3[BLO],[1]!O_3[IHI],,-1) - _xlfn.XLOOKUP(G135,[1]!O_3[BLO],[1]!O_3[ILO],,-1))
/
( _xlfn.XLOOKUP(G135,[1]!O_3[BLO],[1]!O_3[BHI],,-1) - _xlfn.XLOOKUP(G135,[1]!O_3[BLO],[1]!O_3[BLO],,-1)))
*
( G135 - _xlfn.XLOOKUP(G135,[1]!O_3[BLO],[1]!O_3[BLO],,-1))
+
_xlfn.XLOOKUP(G135,[1]!O_3[BLO],[1]!O_3[ILO],,-1)</f>
        <v>33</v>
      </c>
      <c r="N135">
        <f>MAX(DAILY_DATA[[#This Row],[AQI_PM2.5]:[AQI_O3]])</f>
        <v>58</v>
      </c>
      <c r="O135" t="str">
        <f>_xlfn.XLOOKUP(DAILY_DATA[[#This Row],[OVERALL_AQI]],[1]!CATEGORY[AQI_LO],[1]!CATEGORY[CATEGORY],,-1)</f>
        <v>Satisfactory</v>
      </c>
      <c r="P135" t="str" cm="1">
        <f t="array" ref="P135">INDEX(
{"PM2.5","PM10","NO2","SO2","CO","O3"},
MATCH(N135,H135:M135,0)
)</f>
        <v>PM10</v>
      </c>
    </row>
    <row r="136" spans="1:16" x14ac:dyDescent="0.25">
      <c r="A136" s="4">
        <v>45426</v>
      </c>
      <c r="B136">
        <f>ROUND(AVERAGEIFS([1]HOURLY_DATA!B136:B8919,[1]HOURLY_DATA!H136:H8919,Daily_AQI!A136),0)</f>
        <v>18</v>
      </c>
      <c r="C136">
        <f>ROUND(AVERAGEIFS([1]HOURLY_DATA!C136:C8919,[1]HOURLY_DATA!H136:H8919,Daily_AQI!A136),0)</f>
        <v>52</v>
      </c>
      <c r="D136">
        <f>ROUND(AVERAGEIFS([1]HOURLY_DATA!D136:D8919,[1]HOURLY_DATA!H136:H8919,Daily_AQI!A136),0)</f>
        <v>14</v>
      </c>
      <c r="E136">
        <f>ROUND(AVERAGEIFS([1]HOURLY_DATA!E136:E8919,[1]HOURLY_DATA!H136:H8919,Daily_AQI!A136),0)</f>
        <v>8</v>
      </c>
      <c r="F136">
        <f>ROUND(AVERAGEIFS([1]HOURLY_DATA!I136:I8919,[1]HOURLY_DATA!H136:H8919,Daily_AQI!A136),2)</f>
        <v>0.59</v>
      </c>
      <c r="G136">
        <f>ROUND(AVERAGEIFS([1]HOURLY_DATA!J136:J8919,[1]HOURLY_DATA!H136:H8919,Daily_AQI!A136),0)</f>
        <v>33</v>
      </c>
      <c r="H136">
        <f>ROUND(((_xlfn.XLOOKUP(B136,[1]!PM2.5[BLO],[1]!PM2.5[IHI],,-1) - _xlfn.XLOOKUP(B136,[1]!PM2.5[BLO],[1]!PM2.5[ILO],,-1))
/
(_xlfn.XLOOKUP(B136,[1]!PM2.5[BLO],[1]!PM2.5[BHI],,-1) - _xlfn.XLOOKUP(B136,[1]!PM2.5[BLO],[1]!PM2.5[BLO],,-1)))
*
(B136 - _xlfn.XLOOKUP(B136,[1]!PM2.5[BLO],[1]!PM2.5[BLO],,-1))
+
_xlfn.XLOOKUP(B136,[1]!PM2.5[BLO],[1]!PM2.5[ILO],,-1),2)</f>
        <v>30</v>
      </c>
      <c r="I136">
        <f>ROUND(((_xlfn.XLOOKUP(C136,[1]!PM_10[BLO],[1]!PM_10[IHI],,-1) - _xlfn.XLOOKUP(C136,[1]!PM_10[BLO],[1]!PM_10[ILO],,-1))
/
(_xlfn.XLOOKUP(C136,[1]!PM_10[BLO],[1]!PM_10[BHI],,-1) - _xlfn.XLOOKUP(C136,[1]!PM_10[BLO],[1]!PM_10[BLO],,-1)))
*
( C136 - _xlfn.XLOOKUP(C136,[1]!PM_10[BLO],[1]!PM_10[BLO],,-1))
+
_xlfn.XLOOKUP(C136,[1]!PM_10[BLO],[1]!PM_10[ILO],,-1),2)</f>
        <v>52</v>
      </c>
      <c r="J136">
        <f>ROUND((( _xlfn.XLOOKUP(D136,[1]!NO_2[BLO],[1]!NO_2[IHI],,-1) - _xlfn.XLOOKUP(D136,[1]!NO_2[BLO],[1]!NO_2[ILO],,-1))
/
( _xlfn.XLOOKUP(D136,[1]!NO_2[BLO],[1]!NO_2[BHI],,-1) - _xlfn.XLOOKUP(D136,[1]!NO_2[BLO],[1]!NO_2[BLO],,-1) ))
*
( D136 - _xlfn.XLOOKUP(D136,[1]!NO_2[BLO],[1]!NO_2[BLO],,-1))
+
_xlfn.XLOOKUP(D136,[1]!NO_2[BLO],[1]!NO_2[ILO],,-1),2)</f>
        <v>17.5</v>
      </c>
      <c r="K136">
        <f>ROUND(( ( _xlfn.XLOOKUP(E136,[1]!SO_2[BLO],[1]!SO_2[IHI],,-1)  - _xlfn.XLOOKUP(E136,[1]!SO_2[BLO],[1]!SO_2[ILO],,-1) )
/
( _xlfn.XLOOKUP(E136,[1]!SO_2[BLO],[1]!SO_2[BHI],,-1)- _xlfn.XLOOKUP(E136,[1]!SO_2[BLO],[1]!SO_2[BLO],,-1) ))
*
( E136 - _xlfn.XLOOKUP(E136,[1]!SO_2[BLO],[1]!SO_2[BLO],,-1) )
+
_xlfn.XLOOKUP(E136,[1]!SO_2[BLO],[1]!SO_2[ILO],,-1),2)</f>
        <v>10</v>
      </c>
      <c r="L136">
        <f>( ( _xlfn.XLOOKUP(F136,[1]!CO[BLO],[1]!CO[IHI],,-1)
- _xlfn.XLOOKUP(F136,[1]!CO[BLO],[1]!CO[ILO],,-1) )
/
( _xlfn.XLOOKUP(F136,[1]!CO[BLO],[1]!CO[BHI],,-1) - _xlfn.XLOOKUP(F136,[1]!CO[BLO],[1]!CO[BLO],,-1)))
*
( F136 - _xlfn.XLOOKUP(F136,[1]!CO[BLO],[1]!CO[BLO],,-1) )
+
_xlfn.XLOOKUP(F136,[1]!CO[BLO],[1]!CO[ILO],,-1)</f>
        <v>29.5</v>
      </c>
      <c r="M136">
        <f>(( _xlfn.XLOOKUP(G136,[1]!O_3[BLO],[1]!O_3[IHI],,-1) - _xlfn.XLOOKUP(G136,[1]!O_3[BLO],[1]!O_3[ILO],,-1))
/
( _xlfn.XLOOKUP(G136,[1]!O_3[BLO],[1]!O_3[BHI],,-1) - _xlfn.XLOOKUP(G136,[1]!O_3[BLO],[1]!O_3[BLO],,-1)))
*
( G136 - _xlfn.XLOOKUP(G136,[1]!O_3[BLO],[1]!O_3[BLO],,-1))
+
_xlfn.XLOOKUP(G136,[1]!O_3[BLO],[1]!O_3[ILO],,-1)</f>
        <v>33</v>
      </c>
      <c r="N136">
        <f>MAX(DAILY_DATA[[#This Row],[AQI_PM2.5]:[AQI_O3]])</f>
        <v>52</v>
      </c>
      <c r="O136" t="str">
        <f>_xlfn.XLOOKUP(DAILY_DATA[[#This Row],[OVERALL_AQI]],[1]!CATEGORY[AQI_LO],[1]!CATEGORY[CATEGORY],,-1)</f>
        <v>Satisfactory</v>
      </c>
      <c r="P136" t="str" cm="1">
        <f t="array" ref="P136">INDEX(
{"PM2.5","PM10","NO2","SO2","CO","O3"},
MATCH(N136,H136:M136,0)
)</f>
        <v>PM10</v>
      </c>
    </row>
    <row r="137" spans="1:16" x14ac:dyDescent="0.25">
      <c r="A137" s="4">
        <v>45427</v>
      </c>
      <c r="B137">
        <f>ROUND(AVERAGEIFS([1]HOURLY_DATA!B137:B8920,[1]HOURLY_DATA!H137:H8920,Daily_AQI!A137),0)</f>
        <v>24</v>
      </c>
      <c r="C137">
        <f>ROUND(AVERAGEIFS([1]HOURLY_DATA!C137:C8920,[1]HOURLY_DATA!H137:H8920,Daily_AQI!A137),0)</f>
        <v>66</v>
      </c>
      <c r="D137">
        <f>ROUND(AVERAGEIFS([1]HOURLY_DATA!D137:D8920,[1]HOURLY_DATA!H137:H8920,Daily_AQI!A137),0)</f>
        <v>14</v>
      </c>
      <c r="E137">
        <f>ROUND(AVERAGEIFS([1]HOURLY_DATA!E137:E8920,[1]HOURLY_DATA!H137:H8920,Daily_AQI!A137),0)</f>
        <v>8</v>
      </c>
      <c r="F137">
        <f>ROUND(AVERAGEIFS([1]HOURLY_DATA!I137:I8920,[1]HOURLY_DATA!H137:H8920,Daily_AQI!A137),2)</f>
        <v>0.62</v>
      </c>
      <c r="G137">
        <f>ROUND(AVERAGEIFS([1]HOURLY_DATA!J137:J8920,[1]HOURLY_DATA!H137:H8920,Daily_AQI!A137),0)</f>
        <v>36</v>
      </c>
      <c r="H137">
        <f>ROUND(((_xlfn.XLOOKUP(B137,[1]!PM2.5[BLO],[1]!PM2.5[IHI],,-1) - _xlfn.XLOOKUP(B137,[1]!PM2.5[BLO],[1]!PM2.5[ILO],,-1))
/
(_xlfn.XLOOKUP(B137,[1]!PM2.5[BLO],[1]!PM2.5[BHI],,-1) - _xlfn.XLOOKUP(B137,[1]!PM2.5[BLO],[1]!PM2.5[BLO],,-1)))
*
(B137 - _xlfn.XLOOKUP(B137,[1]!PM2.5[BLO],[1]!PM2.5[BLO],,-1))
+
_xlfn.XLOOKUP(B137,[1]!PM2.5[BLO],[1]!PM2.5[ILO],,-1),2)</f>
        <v>40</v>
      </c>
      <c r="I137">
        <f>ROUND(((_xlfn.XLOOKUP(C137,[1]!PM_10[BLO],[1]!PM_10[IHI],,-1) - _xlfn.XLOOKUP(C137,[1]!PM_10[BLO],[1]!PM_10[ILO],,-1))
/
(_xlfn.XLOOKUP(C137,[1]!PM_10[BLO],[1]!PM_10[BHI],,-1) - _xlfn.XLOOKUP(C137,[1]!PM_10[BLO],[1]!PM_10[BLO],,-1)))
*
( C137 - _xlfn.XLOOKUP(C137,[1]!PM_10[BLO],[1]!PM_10[BLO],,-1))
+
_xlfn.XLOOKUP(C137,[1]!PM_10[BLO],[1]!PM_10[ILO],,-1),2)</f>
        <v>66</v>
      </c>
      <c r="J137">
        <f>ROUND((( _xlfn.XLOOKUP(D137,[1]!NO_2[BLO],[1]!NO_2[IHI],,-1) - _xlfn.XLOOKUP(D137,[1]!NO_2[BLO],[1]!NO_2[ILO],,-1))
/
( _xlfn.XLOOKUP(D137,[1]!NO_2[BLO],[1]!NO_2[BHI],,-1) - _xlfn.XLOOKUP(D137,[1]!NO_2[BLO],[1]!NO_2[BLO],,-1) ))
*
( D137 - _xlfn.XLOOKUP(D137,[1]!NO_2[BLO],[1]!NO_2[BLO],,-1))
+
_xlfn.XLOOKUP(D137,[1]!NO_2[BLO],[1]!NO_2[ILO],,-1),2)</f>
        <v>17.5</v>
      </c>
      <c r="K137">
        <f>ROUND(( ( _xlfn.XLOOKUP(E137,[1]!SO_2[BLO],[1]!SO_2[IHI],,-1)  - _xlfn.XLOOKUP(E137,[1]!SO_2[BLO],[1]!SO_2[ILO],,-1) )
/
( _xlfn.XLOOKUP(E137,[1]!SO_2[BLO],[1]!SO_2[BHI],,-1)- _xlfn.XLOOKUP(E137,[1]!SO_2[BLO],[1]!SO_2[BLO],,-1) ))
*
( E137 - _xlfn.XLOOKUP(E137,[1]!SO_2[BLO],[1]!SO_2[BLO],,-1) )
+
_xlfn.XLOOKUP(E137,[1]!SO_2[BLO],[1]!SO_2[ILO],,-1),2)</f>
        <v>10</v>
      </c>
      <c r="L137">
        <f>( ( _xlfn.XLOOKUP(F137,[1]!CO[BLO],[1]!CO[IHI],,-1)
- _xlfn.XLOOKUP(F137,[1]!CO[BLO],[1]!CO[ILO],,-1) )
/
( _xlfn.XLOOKUP(F137,[1]!CO[BLO],[1]!CO[BHI],,-1) - _xlfn.XLOOKUP(F137,[1]!CO[BLO],[1]!CO[BLO],,-1)))
*
( F137 - _xlfn.XLOOKUP(F137,[1]!CO[BLO],[1]!CO[BLO],,-1) )
+
_xlfn.XLOOKUP(F137,[1]!CO[BLO],[1]!CO[ILO],,-1)</f>
        <v>31</v>
      </c>
      <c r="M137">
        <f>(( _xlfn.XLOOKUP(G137,[1]!O_3[BLO],[1]!O_3[IHI],,-1) - _xlfn.XLOOKUP(G137,[1]!O_3[BLO],[1]!O_3[ILO],,-1))
/
( _xlfn.XLOOKUP(G137,[1]!O_3[BLO],[1]!O_3[BHI],,-1) - _xlfn.XLOOKUP(G137,[1]!O_3[BLO],[1]!O_3[BLO],,-1)))
*
( G137 - _xlfn.XLOOKUP(G137,[1]!O_3[BLO],[1]!O_3[BLO],,-1))
+
_xlfn.XLOOKUP(G137,[1]!O_3[BLO],[1]!O_3[ILO],,-1)</f>
        <v>36</v>
      </c>
      <c r="N137">
        <f>MAX(DAILY_DATA[[#This Row],[AQI_PM2.5]:[AQI_O3]])</f>
        <v>66</v>
      </c>
      <c r="O137" t="str">
        <f>_xlfn.XLOOKUP(DAILY_DATA[[#This Row],[OVERALL_AQI]],[1]!CATEGORY[AQI_LO],[1]!CATEGORY[CATEGORY],,-1)</f>
        <v>Satisfactory</v>
      </c>
      <c r="P137" t="str" cm="1">
        <f t="array" ref="P137">INDEX(
{"PM2.5","PM10","NO2","SO2","CO","O3"},
MATCH(N137,H137:M137,0)
)</f>
        <v>PM10</v>
      </c>
    </row>
    <row r="138" spans="1:16" x14ac:dyDescent="0.25">
      <c r="A138" s="4">
        <v>45428</v>
      </c>
      <c r="B138">
        <f>ROUND(AVERAGEIFS([1]HOURLY_DATA!B138:B8921,[1]HOURLY_DATA!H138:H8921,Daily_AQI!A138),0)</f>
        <v>21</v>
      </c>
      <c r="C138">
        <f>ROUND(AVERAGEIFS([1]HOURLY_DATA!C138:C8921,[1]HOURLY_DATA!H138:H8921,Daily_AQI!A138),0)</f>
        <v>58</v>
      </c>
      <c r="D138">
        <f>ROUND(AVERAGEIFS([1]HOURLY_DATA!D138:D8921,[1]HOURLY_DATA!H138:H8921,Daily_AQI!A138),0)</f>
        <v>14</v>
      </c>
      <c r="E138">
        <f>ROUND(AVERAGEIFS([1]HOURLY_DATA!E138:E8921,[1]HOURLY_DATA!H138:H8921,Daily_AQI!A138),0)</f>
        <v>7</v>
      </c>
      <c r="F138">
        <f>ROUND(AVERAGEIFS([1]HOURLY_DATA!I138:I8921,[1]HOURLY_DATA!H138:H8921,Daily_AQI!A138),2)</f>
        <v>0.61</v>
      </c>
      <c r="G138">
        <f>ROUND(AVERAGEIFS([1]HOURLY_DATA!J138:J8921,[1]HOURLY_DATA!H138:H8921,Daily_AQI!A138),0)</f>
        <v>34</v>
      </c>
      <c r="H138">
        <f>ROUND(((_xlfn.XLOOKUP(B138,[1]!PM2.5[BLO],[1]!PM2.5[IHI],,-1) - _xlfn.XLOOKUP(B138,[1]!PM2.5[BLO],[1]!PM2.5[ILO],,-1))
/
(_xlfn.XLOOKUP(B138,[1]!PM2.5[BLO],[1]!PM2.5[BHI],,-1) - _xlfn.XLOOKUP(B138,[1]!PM2.5[BLO],[1]!PM2.5[BLO],,-1)))
*
(B138 - _xlfn.XLOOKUP(B138,[1]!PM2.5[BLO],[1]!PM2.5[BLO],,-1))
+
_xlfn.XLOOKUP(B138,[1]!PM2.5[BLO],[1]!PM2.5[ILO],,-1),2)</f>
        <v>35</v>
      </c>
      <c r="I138">
        <f>ROUND(((_xlfn.XLOOKUP(C138,[1]!PM_10[BLO],[1]!PM_10[IHI],,-1) - _xlfn.XLOOKUP(C138,[1]!PM_10[BLO],[1]!PM_10[ILO],,-1))
/
(_xlfn.XLOOKUP(C138,[1]!PM_10[BLO],[1]!PM_10[BHI],,-1) - _xlfn.XLOOKUP(C138,[1]!PM_10[BLO],[1]!PM_10[BLO],,-1)))
*
( C138 - _xlfn.XLOOKUP(C138,[1]!PM_10[BLO],[1]!PM_10[BLO],,-1))
+
_xlfn.XLOOKUP(C138,[1]!PM_10[BLO],[1]!PM_10[ILO],,-1),2)</f>
        <v>58</v>
      </c>
      <c r="J138">
        <f>ROUND((( _xlfn.XLOOKUP(D138,[1]!NO_2[BLO],[1]!NO_2[IHI],,-1) - _xlfn.XLOOKUP(D138,[1]!NO_2[BLO],[1]!NO_2[ILO],,-1))
/
( _xlfn.XLOOKUP(D138,[1]!NO_2[BLO],[1]!NO_2[BHI],,-1) - _xlfn.XLOOKUP(D138,[1]!NO_2[BLO],[1]!NO_2[BLO],,-1) ))
*
( D138 - _xlfn.XLOOKUP(D138,[1]!NO_2[BLO],[1]!NO_2[BLO],,-1))
+
_xlfn.XLOOKUP(D138,[1]!NO_2[BLO],[1]!NO_2[ILO],,-1),2)</f>
        <v>17.5</v>
      </c>
      <c r="K138">
        <f>ROUND(( ( _xlfn.XLOOKUP(E138,[1]!SO_2[BLO],[1]!SO_2[IHI],,-1)  - _xlfn.XLOOKUP(E138,[1]!SO_2[BLO],[1]!SO_2[ILO],,-1) )
/
( _xlfn.XLOOKUP(E138,[1]!SO_2[BLO],[1]!SO_2[BHI],,-1)- _xlfn.XLOOKUP(E138,[1]!SO_2[BLO],[1]!SO_2[BLO],,-1) ))
*
( E138 - _xlfn.XLOOKUP(E138,[1]!SO_2[BLO],[1]!SO_2[BLO],,-1) )
+
_xlfn.XLOOKUP(E138,[1]!SO_2[BLO],[1]!SO_2[ILO],,-1),2)</f>
        <v>8.75</v>
      </c>
      <c r="L138">
        <f>( ( _xlfn.XLOOKUP(F138,[1]!CO[BLO],[1]!CO[IHI],,-1)
- _xlfn.XLOOKUP(F138,[1]!CO[BLO],[1]!CO[ILO],,-1) )
/
( _xlfn.XLOOKUP(F138,[1]!CO[BLO],[1]!CO[BHI],,-1) - _xlfn.XLOOKUP(F138,[1]!CO[BLO],[1]!CO[BLO],,-1)))
*
( F138 - _xlfn.XLOOKUP(F138,[1]!CO[BLO],[1]!CO[BLO],,-1) )
+
_xlfn.XLOOKUP(F138,[1]!CO[BLO],[1]!CO[ILO],,-1)</f>
        <v>30.5</v>
      </c>
      <c r="M138">
        <f>(( _xlfn.XLOOKUP(G138,[1]!O_3[BLO],[1]!O_3[IHI],,-1) - _xlfn.XLOOKUP(G138,[1]!O_3[BLO],[1]!O_3[ILO],,-1))
/
( _xlfn.XLOOKUP(G138,[1]!O_3[BLO],[1]!O_3[BHI],,-1) - _xlfn.XLOOKUP(G138,[1]!O_3[BLO],[1]!O_3[BLO],,-1)))
*
( G138 - _xlfn.XLOOKUP(G138,[1]!O_3[BLO],[1]!O_3[BLO],,-1))
+
_xlfn.XLOOKUP(G138,[1]!O_3[BLO],[1]!O_3[ILO],,-1)</f>
        <v>34</v>
      </c>
      <c r="N138">
        <f>MAX(DAILY_DATA[[#This Row],[AQI_PM2.5]:[AQI_O3]])</f>
        <v>58</v>
      </c>
      <c r="O138" t="str">
        <f>_xlfn.XLOOKUP(DAILY_DATA[[#This Row],[OVERALL_AQI]],[1]!CATEGORY[AQI_LO],[1]!CATEGORY[CATEGORY],,-1)</f>
        <v>Satisfactory</v>
      </c>
      <c r="P138" t="str" cm="1">
        <f t="array" ref="P138">INDEX(
{"PM2.5","PM10","NO2","SO2","CO","O3"},
MATCH(N138,H138:M138,0)
)</f>
        <v>PM10</v>
      </c>
    </row>
    <row r="139" spans="1:16" x14ac:dyDescent="0.25">
      <c r="A139" s="4">
        <v>45429</v>
      </c>
      <c r="B139">
        <f>ROUND(AVERAGEIFS([1]HOURLY_DATA!B139:B8922,[1]HOURLY_DATA!H139:H8922,Daily_AQI!A139),0)</f>
        <v>17</v>
      </c>
      <c r="C139">
        <f>ROUND(AVERAGEIFS([1]HOURLY_DATA!C139:C8922,[1]HOURLY_DATA!H139:H8922,Daily_AQI!A139),0)</f>
        <v>50</v>
      </c>
      <c r="D139">
        <f>ROUND(AVERAGEIFS([1]HOURLY_DATA!D139:D8922,[1]HOURLY_DATA!H139:H8922,Daily_AQI!A139),0)</f>
        <v>14</v>
      </c>
      <c r="E139">
        <f>ROUND(AVERAGEIFS([1]HOURLY_DATA!E139:E8922,[1]HOURLY_DATA!H139:H8922,Daily_AQI!A139),0)</f>
        <v>7</v>
      </c>
      <c r="F139">
        <f>ROUND(AVERAGEIFS([1]HOURLY_DATA!I139:I8922,[1]HOURLY_DATA!H139:H8922,Daily_AQI!A139),2)</f>
        <v>0.65</v>
      </c>
      <c r="G139">
        <f>ROUND(AVERAGEIFS([1]HOURLY_DATA!J139:J8922,[1]HOURLY_DATA!H139:H8922,Daily_AQI!A139),0)</f>
        <v>33</v>
      </c>
      <c r="H139">
        <f>ROUND(((_xlfn.XLOOKUP(B139,[1]!PM2.5[BLO],[1]!PM2.5[IHI],,-1) - _xlfn.XLOOKUP(B139,[1]!PM2.5[BLO],[1]!PM2.5[ILO],,-1))
/
(_xlfn.XLOOKUP(B139,[1]!PM2.5[BLO],[1]!PM2.5[BHI],,-1) - _xlfn.XLOOKUP(B139,[1]!PM2.5[BLO],[1]!PM2.5[BLO],,-1)))
*
(B139 - _xlfn.XLOOKUP(B139,[1]!PM2.5[BLO],[1]!PM2.5[BLO],,-1))
+
_xlfn.XLOOKUP(B139,[1]!PM2.5[BLO],[1]!PM2.5[ILO],,-1),2)</f>
        <v>28.33</v>
      </c>
      <c r="I139">
        <f>ROUND(((_xlfn.XLOOKUP(C139,[1]!PM_10[BLO],[1]!PM_10[IHI],,-1) - _xlfn.XLOOKUP(C139,[1]!PM_10[BLO],[1]!PM_10[ILO],,-1))
/
(_xlfn.XLOOKUP(C139,[1]!PM_10[BLO],[1]!PM_10[BHI],,-1) - _xlfn.XLOOKUP(C139,[1]!PM_10[BLO],[1]!PM_10[BLO],,-1)))
*
( C139 - _xlfn.XLOOKUP(C139,[1]!PM_10[BLO],[1]!PM_10[BLO],,-1))
+
_xlfn.XLOOKUP(C139,[1]!PM_10[BLO],[1]!PM_10[ILO],,-1),2)</f>
        <v>50</v>
      </c>
      <c r="J139">
        <f>ROUND((( _xlfn.XLOOKUP(D139,[1]!NO_2[BLO],[1]!NO_2[IHI],,-1) - _xlfn.XLOOKUP(D139,[1]!NO_2[BLO],[1]!NO_2[ILO],,-1))
/
( _xlfn.XLOOKUP(D139,[1]!NO_2[BLO],[1]!NO_2[BHI],,-1) - _xlfn.XLOOKUP(D139,[1]!NO_2[BLO],[1]!NO_2[BLO],,-1) ))
*
( D139 - _xlfn.XLOOKUP(D139,[1]!NO_2[BLO],[1]!NO_2[BLO],,-1))
+
_xlfn.XLOOKUP(D139,[1]!NO_2[BLO],[1]!NO_2[ILO],,-1),2)</f>
        <v>17.5</v>
      </c>
      <c r="K139">
        <f>ROUND(( ( _xlfn.XLOOKUP(E139,[1]!SO_2[BLO],[1]!SO_2[IHI],,-1)  - _xlfn.XLOOKUP(E139,[1]!SO_2[BLO],[1]!SO_2[ILO],,-1) )
/
( _xlfn.XLOOKUP(E139,[1]!SO_2[BLO],[1]!SO_2[BHI],,-1)- _xlfn.XLOOKUP(E139,[1]!SO_2[BLO],[1]!SO_2[BLO],,-1) ))
*
( E139 - _xlfn.XLOOKUP(E139,[1]!SO_2[BLO],[1]!SO_2[BLO],,-1) )
+
_xlfn.XLOOKUP(E139,[1]!SO_2[BLO],[1]!SO_2[ILO],,-1),2)</f>
        <v>8.75</v>
      </c>
      <c r="L139">
        <f>( ( _xlfn.XLOOKUP(F139,[1]!CO[BLO],[1]!CO[IHI],,-1)
- _xlfn.XLOOKUP(F139,[1]!CO[BLO],[1]!CO[ILO],,-1) )
/
( _xlfn.XLOOKUP(F139,[1]!CO[BLO],[1]!CO[BHI],,-1) - _xlfn.XLOOKUP(F139,[1]!CO[BLO],[1]!CO[BLO],,-1)))
*
( F139 - _xlfn.XLOOKUP(F139,[1]!CO[BLO],[1]!CO[BLO],,-1) )
+
_xlfn.XLOOKUP(F139,[1]!CO[BLO],[1]!CO[ILO],,-1)</f>
        <v>32.5</v>
      </c>
      <c r="M139">
        <f>(( _xlfn.XLOOKUP(G139,[1]!O_3[BLO],[1]!O_3[IHI],,-1) - _xlfn.XLOOKUP(G139,[1]!O_3[BLO],[1]!O_3[ILO],,-1))
/
( _xlfn.XLOOKUP(G139,[1]!O_3[BLO],[1]!O_3[BHI],,-1) - _xlfn.XLOOKUP(G139,[1]!O_3[BLO],[1]!O_3[BLO],,-1)))
*
( G139 - _xlfn.XLOOKUP(G139,[1]!O_3[BLO],[1]!O_3[BLO],,-1))
+
_xlfn.XLOOKUP(G139,[1]!O_3[BLO],[1]!O_3[ILO],,-1)</f>
        <v>33</v>
      </c>
      <c r="N139">
        <f>MAX(DAILY_DATA[[#This Row],[AQI_PM2.5]:[AQI_O3]])</f>
        <v>50</v>
      </c>
      <c r="O139" t="str">
        <f>_xlfn.XLOOKUP(DAILY_DATA[[#This Row],[OVERALL_AQI]],[1]!CATEGORY[AQI_LO],[1]!CATEGORY[CATEGORY],,-1)</f>
        <v>Good</v>
      </c>
      <c r="P139" t="str" cm="1">
        <f t="array" ref="P139">INDEX(
{"PM2.5","PM10","NO2","SO2","CO","O3"},
MATCH(N139,H139:M139,0)
)</f>
        <v>PM10</v>
      </c>
    </row>
    <row r="140" spans="1:16" x14ac:dyDescent="0.25">
      <c r="A140" s="4">
        <v>45430</v>
      </c>
      <c r="B140">
        <f>ROUND(AVERAGEIFS([1]HOURLY_DATA!B140:B8923,[1]HOURLY_DATA!H140:H8923,Daily_AQI!A140),0)</f>
        <v>20</v>
      </c>
      <c r="C140">
        <f>ROUND(AVERAGEIFS([1]HOURLY_DATA!C140:C8923,[1]HOURLY_DATA!H140:H8923,Daily_AQI!A140),0)</f>
        <v>51</v>
      </c>
      <c r="D140">
        <f>ROUND(AVERAGEIFS([1]HOURLY_DATA!D140:D8923,[1]HOURLY_DATA!H140:H8923,Daily_AQI!A140),0)</f>
        <v>14</v>
      </c>
      <c r="E140">
        <f>ROUND(AVERAGEIFS([1]HOURLY_DATA!E140:E8923,[1]HOURLY_DATA!H140:H8923,Daily_AQI!A140),0)</f>
        <v>8</v>
      </c>
      <c r="F140">
        <f>ROUND(AVERAGEIFS([1]HOURLY_DATA!I140:I8923,[1]HOURLY_DATA!H140:H8923,Daily_AQI!A140),2)</f>
        <v>0.57999999999999996</v>
      </c>
      <c r="G140">
        <f>ROUND(AVERAGEIFS([1]HOURLY_DATA!J140:J8923,[1]HOURLY_DATA!H140:H8923,Daily_AQI!A140),0)</f>
        <v>32</v>
      </c>
      <c r="H140">
        <f>ROUND(((_xlfn.XLOOKUP(B140,[1]!PM2.5[BLO],[1]!PM2.5[IHI],,-1) - _xlfn.XLOOKUP(B140,[1]!PM2.5[BLO],[1]!PM2.5[ILO],,-1))
/
(_xlfn.XLOOKUP(B140,[1]!PM2.5[BLO],[1]!PM2.5[BHI],,-1) - _xlfn.XLOOKUP(B140,[1]!PM2.5[BLO],[1]!PM2.5[BLO],,-1)))
*
(B140 - _xlfn.XLOOKUP(B140,[1]!PM2.5[BLO],[1]!PM2.5[BLO],,-1))
+
_xlfn.XLOOKUP(B140,[1]!PM2.5[BLO],[1]!PM2.5[ILO],,-1),2)</f>
        <v>33.33</v>
      </c>
      <c r="I140">
        <f>ROUND(((_xlfn.XLOOKUP(C140,[1]!PM_10[BLO],[1]!PM_10[IHI],,-1) - _xlfn.XLOOKUP(C140,[1]!PM_10[BLO],[1]!PM_10[ILO],,-1))
/
(_xlfn.XLOOKUP(C140,[1]!PM_10[BLO],[1]!PM_10[BHI],,-1) - _xlfn.XLOOKUP(C140,[1]!PM_10[BLO],[1]!PM_10[BLO],,-1)))
*
( C140 - _xlfn.XLOOKUP(C140,[1]!PM_10[BLO],[1]!PM_10[BLO],,-1))
+
_xlfn.XLOOKUP(C140,[1]!PM_10[BLO],[1]!PM_10[ILO],,-1),2)</f>
        <v>51</v>
      </c>
      <c r="J140">
        <f>ROUND((( _xlfn.XLOOKUP(D140,[1]!NO_2[BLO],[1]!NO_2[IHI],,-1) - _xlfn.XLOOKUP(D140,[1]!NO_2[BLO],[1]!NO_2[ILO],,-1))
/
( _xlfn.XLOOKUP(D140,[1]!NO_2[BLO],[1]!NO_2[BHI],,-1) - _xlfn.XLOOKUP(D140,[1]!NO_2[BLO],[1]!NO_2[BLO],,-1) ))
*
( D140 - _xlfn.XLOOKUP(D140,[1]!NO_2[BLO],[1]!NO_2[BLO],,-1))
+
_xlfn.XLOOKUP(D140,[1]!NO_2[BLO],[1]!NO_2[ILO],,-1),2)</f>
        <v>17.5</v>
      </c>
      <c r="K140">
        <f>ROUND(( ( _xlfn.XLOOKUP(E140,[1]!SO_2[BLO],[1]!SO_2[IHI],,-1)  - _xlfn.XLOOKUP(E140,[1]!SO_2[BLO],[1]!SO_2[ILO],,-1) )
/
( _xlfn.XLOOKUP(E140,[1]!SO_2[BLO],[1]!SO_2[BHI],,-1)- _xlfn.XLOOKUP(E140,[1]!SO_2[BLO],[1]!SO_2[BLO],,-1) ))
*
( E140 - _xlfn.XLOOKUP(E140,[1]!SO_2[BLO],[1]!SO_2[BLO],,-1) )
+
_xlfn.XLOOKUP(E140,[1]!SO_2[BLO],[1]!SO_2[ILO],,-1),2)</f>
        <v>10</v>
      </c>
      <c r="L140">
        <f>( ( _xlfn.XLOOKUP(F140,[1]!CO[BLO],[1]!CO[IHI],,-1)
- _xlfn.XLOOKUP(F140,[1]!CO[BLO],[1]!CO[ILO],,-1) )
/
( _xlfn.XLOOKUP(F140,[1]!CO[BLO],[1]!CO[BHI],,-1) - _xlfn.XLOOKUP(F140,[1]!CO[BLO],[1]!CO[BLO],,-1)))
*
( F140 - _xlfn.XLOOKUP(F140,[1]!CO[BLO],[1]!CO[BLO],,-1) )
+
_xlfn.XLOOKUP(F140,[1]!CO[BLO],[1]!CO[ILO],,-1)</f>
        <v>28.999999999999996</v>
      </c>
      <c r="M140">
        <f>(( _xlfn.XLOOKUP(G140,[1]!O_3[BLO],[1]!O_3[IHI],,-1) - _xlfn.XLOOKUP(G140,[1]!O_3[BLO],[1]!O_3[ILO],,-1))
/
( _xlfn.XLOOKUP(G140,[1]!O_3[BLO],[1]!O_3[BHI],,-1) - _xlfn.XLOOKUP(G140,[1]!O_3[BLO],[1]!O_3[BLO],,-1)))
*
( G140 - _xlfn.XLOOKUP(G140,[1]!O_3[BLO],[1]!O_3[BLO],,-1))
+
_xlfn.XLOOKUP(G140,[1]!O_3[BLO],[1]!O_3[ILO],,-1)</f>
        <v>32</v>
      </c>
      <c r="N140">
        <f>MAX(DAILY_DATA[[#This Row],[AQI_PM2.5]:[AQI_O3]])</f>
        <v>51</v>
      </c>
      <c r="O140" t="str">
        <f>_xlfn.XLOOKUP(DAILY_DATA[[#This Row],[OVERALL_AQI]],[1]!CATEGORY[AQI_LO],[1]!CATEGORY[CATEGORY],,-1)</f>
        <v>Satisfactory</v>
      </c>
      <c r="P140" t="str" cm="1">
        <f t="array" ref="P140">INDEX(
{"PM2.5","PM10","NO2","SO2","CO","O3"},
MATCH(N140,H140:M140,0)
)</f>
        <v>PM10</v>
      </c>
    </row>
    <row r="141" spans="1:16" x14ac:dyDescent="0.25">
      <c r="A141" s="4">
        <v>45431</v>
      </c>
      <c r="B141">
        <f>ROUND(AVERAGEIFS([1]HOURLY_DATA!B141:B8924,[1]HOURLY_DATA!H141:H8924,Daily_AQI!A141),0)</f>
        <v>19</v>
      </c>
      <c r="C141">
        <f>ROUND(AVERAGEIFS([1]HOURLY_DATA!C141:C8924,[1]HOURLY_DATA!H141:H8924,Daily_AQI!A141),0)</f>
        <v>44</v>
      </c>
      <c r="D141">
        <f>ROUND(AVERAGEIFS([1]HOURLY_DATA!D141:D8924,[1]HOURLY_DATA!H141:H8924,Daily_AQI!A141),0)</f>
        <v>14</v>
      </c>
      <c r="E141">
        <f>ROUND(AVERAGEIFS([1]HOURLY_DATA!E141:E8924,[1]HOURLY_DATA!H141:H8924,Daily_AQI!A141),0)</f>
        <v>7</v>
      </c>
      <c r="F141">
        <f>ROUND(AVERAGEIFS([1]HOURLY_DATA!I141:I8924,[1]HOURLY_DATA!H141:H8924,Daily_AQI!A141),2)</f>
        <v>0.5</v>
      </c>
      <c r="G141">
        <f>ROUND(AVERAGEIFS([1]HOURLY_DATA!J141:J8924,[1]HOURLY_DATA!H141:H8924,Daily_AQI!A141),0)</f>
        <v>30</v>
      </c>
      <c r="H141">
        <f>ROUND(((_xlfn.XLOOKUP(B141,[1]!PM2.5[BLO],[1]!PM2.5[IHI],,-1) - _xlfn.XLOOKUP(B141,[1]!PM2.5[BLO],[1]!PM2.5[ILO],,-1))
/
(_xlfn.XLOOKUP(B141,[1]!PM2.5[BLO],[1]!PM2.5[BHI],,-1) - _xlfn.XLOOKUP(B141,[1]!PM2.5[BLO],[1]!PM2.5[BLO],,-1)))
*
(B141 - _xlfn.XLOOKUP(B141,[1]!PM2.5[BLO],[1]!PM2.5[BLO],,-1))
+
_xlfn.XLOOKUP(B141,[1]!PM2.5[BLO],[1]!PM2.5[ILO],,-1),2)</f>
        <v>31.67</v>
      </c>
      <c r="I141">
        <f>ROUND(((_xlfn.XLOOKUP(C141,[1]!PM_10[BLO],[1]!PM_10[IHI],,-1) - _xlfn.XLOOKUP(C141,[1]!PM_10[BLO],[1]!PM_10[ILO],,-1))
/
(_xlfn.XLOOKUP(C141,[1]!PM_10[BLO],[1]!PM_10[BHI],,-1) - _xlfn.XLOOKUP(C141,[1]!PM_10[BLO],[1]!PM_10[BLO],,-1)))
*
( C141 - _xlfn.XLOOKUP(C141,[1]!PM_10[BLO],[1]!PM_10[BLO],,-1))
+
_xlfn.XLOOKUP(C141,[1]!PM_10[BLO],[1]!PM_10[ILO],,-1),2)</f>
        <v>44</v>
      </c>
      <c r="J141">
        <f>ROUND((( _xlfn.XLOOKUP(D141,[1]!NO_2[BLO],[1]!NO_2[IHI],,-1) - _xlfn.XLOOKUP(D141,[1]!NO_2[BLO],[1]!NO_2[ILO],,-1))
/
( _xlfn.XLOOKUP(D141,[1]!NO_2[BLO],[1]!NO_2[BHI],,-1) - _xlfn.XLOOKUP(D141,[1]!NO_2[BLO],[1]!NO_2[BLO],,-1) ))
*
( D141 - _xlfn.XLOOKUP(D141,[1]!NO_2[BLO],[1]!NO_2[BLO],,-1))
+
_xlfn.XLOOKUP(D141,[1]!NO_2[BLO],[1]!NO_2[ILO],,-1),2)</f>
        <v>17.5</v>
      </c>
      <c r="K141">
        <f>ROUND(( ( _xlfn.XLOOKUP(E141,[1]!SO_2[BLO],[1]!SO_2[IHI],,-1)  - _xlfn.XLOOKUP(E141,[1]!SO_2[BLO],[1]!SO_2[ILO],,-1) )
/
( _xlfn.XLOOKUP(E141,[1]!SO_2[BLO],[1]!SO_2[BHI],,-1)- _xlfn.XLOOKUP(E141,[1]!SO_2[BLO],[1]!SO_2[BLO],,-1) ))
*
( E141 - _xlfn.XLOOKUP(E141,[1]!SO_2[BLO],[1]!SO_2[BLO],,-1) )
+
_xlfn.XLOOKUP(E141,[1]!SO_2[BLO],[1]!SO_2[ILO],,-1),2)</f>
        <v>8.75</v>
      </c>
      <c r="L141">
        <f>( ( _xlfn.XLOOKUP(F141,[1]!CO[BLO],[1]!CO[IHI],,-1)
- _xlfn.XLOOKUP(F141,[1]!CO[BLO],[1]!CO[ILO],,-1) )
/
( _xlfn.XLOOKUP(F141,[1]!CO[BLO],[1]!CO[BHI],,-1) - _xlfn.XLOOKUP(F141,[1]!CO[BLO],[1]!CO[BLO],,-1)))
*
( F141 - _xlfn.XLOOKUP(F141,[1]!CO[BLO],[1]!CO[BLO],,-1) )
+
_xlfn.XLOOKUP(F141,[1]!CO[BLO],[1]!CO[ILO],,-1)</f>
        <v>25</v>
      </c>
      <c r="M141">
        <f>(( _xlfn.XLOOKUP(G141,[1]!O_3[BLO],[1]!O_3[IHI],,-1) - _xlfn.XLOOKUP(G141,[1]!O_3[BLO],[1]!O_3[ILO],,-1))
/
( _xlfn.XLOOKUP(G141,[1]!O_3[BLO],[1]!O_3[BHI],,-1) - _xlfn.XLOOKUP(G141,[1]!O_3[BLO],[1]!O_3[BLO],,-1)))
*
( G141 - _xlfn.XLOOKUP(G141,[1]!O_3[BLO],[1]!O_3[BLO],,-1))
+
_xlfn.XLOOKUP(G141,[1]!O_3[BLO],[1]!O_3[ILO],,-1)</f>
        <v>30</v>
      </c>
      <c r="N141">
        <f>MAX(DAILY_DATA[[#This Row],[AQI_PM2.5]:[AQI_O3]])</f>
        <v>44</v>
      </c>
      <c r="O141" t="str">
        <f>_xlfn.XLOOKUP(DAILY_DATA[[#This Row],[OVERALL_AQI]],[1]!CATEGORY[AQI_LO],[1]!CATEGORY[CATEGORY],,-1)</f>
        <v>Good</v>
      </c>
      <c r="P141" t="str" cm="1">
        <f t="array" ref="P141">INDEX(
{"PM2.5","PM10","NO2","SO2","CO","O3"},
MATCH(N141,H141:M141,0)
)</f>
        <v>PM10</v>
      </c>
    </row>
    <row r="142" spans="1:16" x14ac:dyDescent="0.25">
      <c r="A142" s="4">
        <v>45432</v>
      </c>
      <c r="B142">
        <f>ROUND(AVERAGEIFS([1]HOURLY_DATA!B142:B8925,[1]HOURLY_DATA!H142:H8925,Daily_AQI!A142),0)</f>
        <v>21</v>
      </c>
      <c r="C142">
        <f>ROUND(AVERAGEIFS([1]HOURLY_DATA!C142:C8925,[1]HOURLY_DATA!H142:H8925,Daily_AQI!A142),0)</f>
        <v>48</v>
      </c>
      <c r="D142">
        <f>ROUND(AVERAGEIFS([1]HOURLY_DATA!D142:D8925,[1]HOURLY_DATA!H142:H8925,Daily_AQI!A142),0)</f>
        <v>14</v>
      </c>
      <c r="E142">
        <f>ROUND(AVERAGEIFS([1]HOURLY_DATA!E142:E8925,[1]HOURLY_DATA!H142:H8925,Daily_AQI!A142),0)</f>
        <v>6</v>
      </c>
      <c r="F142">
        <f>ROUND(AVERAGEIFS([1]HOURLY_DATA!I142:I8925,[1]HOURLY_DATA!H142:H8925,Daily_AQI!A142),2)</f>
        <v>0.57999999999999996</v>
      </c>
      <c r="G142">
        <f>ROUND(AVERAGEIFS([1]HOURLY_DATA!J142:J8925,[1]HOURLY_DATA!H142:H8925,Daily_AQI!A142),0)</f>
        <v>26</v>
      </c>
      <c r="H142">
        <f>ROUND(((_xlfn.XLOOKUP(B142,[1]!PM2.5[BLO],[1]!PM2.5[IHI],,-1) - _xlfn.XLOOKUP(B142,[1]!PM2.5[BLO],[1]!PM2.5[ILO],,-1))
/
(_xlfn.XLOOKUP(B142,[1]!PM2.5[BLO],[1]!PM2.5[BHI],,-1) - _xlfn.XLOOKUP(B142,[1]!PM2.5[BLO],[1]!PM2.5[BLO],,-1)))
*
(B142 - _xlfn.XLOOKUP(B142,[1]!PM2.5[BLO],[1]!PM2.5[BLO],,-1))
+
_xlfn.XLOOKUP(B142,[1]!PM2.5[BLO],[1]!PM2.5[ILO],,-1),2)</f>
        <v>35</v>
      </c>
      <c r="I142">
        <f>ROUND(((_xlfn.XLOOKUP(C142,[1]!PM_10[BLO],[1]!PM_10[IHI],,-1) - _xlfn.XLOOKUP(C142,[1]!PM_10[BLO],[1]!PM_10[ILO],,-1))
/
(_xlfn.XLOOKUP(C142,[1]!PM_10[BLO],[1]!PM_10[BHI],,-1) - _xlfn.XLOOKUP(C142,[1]!PM_10[BLO],[1]!PM_10[BLO],,-1)))
*
( C142 - _xlfn.XLOOKUP(C142,[1]!PM_10[BLO],[1]!PM_10[BLO],,-1))
+
_xlfn.XLOOKUP(C142,[1]!PM_10[BLO],[1]!PM_10[ILO],,-1),2)</f>
        <v>48</v>
      </c>
      <c r="J142">
        <f>ROUND((( _xlfn.XLOOKUP(D142,[1]!NO_2[BLO],[1]!NO_2[IHI],,-1) - _xlfn.XLOOKUP(D142,[1]!NO_2[BLO],[1]!NO_2[ILO],,-1))
/
( _xlfn.XLOOKUP(D142,[1]!NO_2[BLO],[1]!NO_2[BHI],,-1) - _xlfn.XLOOKUP(D142,[1]!NO_2[BLO],[1]!NO_2[BLO],,-1) ))
*
( D142 - _xlfn.XLOOKUP(D142,[1]!NO_2[BLO],[1]!NO_2[BLO],,-1))
+
_xlfn.XLOOKUP(D142,[1]!NO_2[BLO],[1]!NO_2[ILO],,-1),2)</f>
        <v>17.5</v>
      </c>
      <c r="K142">
        <f>ROUND(( ( _xlfn.XLOOKUP(E142,[1]!SO_2[BLO],[1]!SO_2[IHI],,-1)  - _xlfn.XLOOKUP(E142,[1]!SO_2[BLO],[1]!SO_2[ILO],,-1) )
/
( _xlfn.XLOOKUP(E142,[1]!SO_2[BLO],[1]!SO_2[BHI],,-1)- _xlfn.XLOOKUP(E142,[1]!SO_2[BLO],[1]!SO_2[BLO],,-1) ))
*
( E142 - _xlfn.XLOOKUP(E142,[1]!SO_2[BLO],[1]!SO_2[BLO],,-1) )
+
_xlfn.XLOOKUP(E142,[1]!SO_2[BLO],[1]!SO_2[ILO],,-1),2)</f>
        <v>7.5</v>
      </c>
      <c r="L142">
        <f>( ( _xlfn.XLOOKUP(F142,[1]!CO[BLO],[1]!CO[IHI],,-1)
- _xlfn.XLOOKUP(F142,[1]!CO[BLO],[1]!CO[ILO],,-1) )
/
( _xlfn.XLOOKUP(F142,[1]!CO[BLO],[1]!CO[BHI],,-1) - _xlfn.XLOOKUP(F142,[1]!CO[BLO],[1]!CO[BLO],,-1)))
*
( F142 - _xlfn.XLOOKUP(F142,[1]!CO[BLO],[1]!CO[BLO],,-1) )
+
_xlfn.XLOOKUP(F142,[1]!CO[BLO],[1]!CO[ILO],,-1)</f>
        <v>28.999999999999996</v>
      </c>
      <c r="M142">
        <f>(( _xlfn.XLOOKUP(G142,[1]!O_3[BLO],[1]!O_3[IHI],,-1) - _xlfn.XLOOKUP(G142,[1]!O_3[BLO],[1]!O_3[ILO],,-1))
/
( _xlfn.XLOOKUP(G142,[1]!O_3[BLO],[1]!O_3[BHI],,-1) - _xlfn.XLOOKUP(G142,[1]!O_3[BLO],[1]!O_3[BLO],,-1)))
*
( G142 - _xlfn.XLOOKUP(G142,[1]!O_3[BLO],[1]!O_3[BLO],,-1))
+
_xlfn.XLOOKUP(G142,[1]!O_3[BLO],[1]!O_3[ILO],,-1)</f>
        <v>26</v>
      </c>
      <c r="N142">
        <f>MAX(DAILY_DATA[[#This Row],[AQI_PM2.5]:[AQI_O3]])</f>
        <v>48</v>
      </c>
      <c r="O142" t="str">
        <f>_xlfn.XLOOKUP(DAILY_DATA[[#This Row],[OVERALL_AQI]],[1]!CATEGORY[AQI_LO],[1]!CATEGORY[CATEGORY],,-1)</f>
        <v>Good</v>
      </c>
      <c r="P142" t="str" cm="1">
        <f t="array" ref="P142">INDEX(
{"PM2.5","PM10","NO2","SO2","CO","O3"},
MATCH(N142,H142:M142,0)
)</f>
        <v>PM10</v>
      </c>
    </row>
    <row r="143" spans="1:16" x14ac:dyDescent="0.25">
      <c r="A143" s="4">
        <v>45433</v>
      </c>
      <c r="B143">
        <f>ROUND(AVERAGEIFS([1]HOURLY_DATA!B143:B8926,[1]HOURLY_DATA!H143:H8926,Daily_AQI!A143),0)</f>
        <v>17</v>
      </c>
      <c r="C143">
        <f>ROUND(AVERAGEIFS([1]HOURLY_DATA!C143:C8926,[1]HOURLY_DATA!H143:H8926,Daily_AQI!A143),0)</f>
        <v>45</v>
      </c>
      <c r="D143">
        <f>ROUND(AVERAGEIFS([1]HOURLY_DATA!D143:D8926,[1]HOURLY_DATA!H143:H8926,Daily_AQI!A143),0)</f>
        <v>13</v>
      </c>
      <c r="E143">
        <f>ROUND(AVERAGEIFS([1]HOURLY_DATA!E143:E8926,[1]HOURLY_DATA!H143:H8926,Daily_AQI!A143),0)</f>
        <v>7</v>
      </c>
      <c r="F143">
        <f>ROUND(AVERAGEIFS([1]HOURLY_DATA!I143:I8926,[1]HOURLY_DATA!H143:H8926,Daily_AQI!A143),2)</f>
        <v>0.6</v>
      </c>
      <c r="G143">
        <f>ROUND(AVERAGEIFS([1]HOURLY_DATA!J143:J8926,[1]HOURLY_DATA!H143:H8926,Daily_AQI!A143),0)</f>
        <v>26</v>
      </c>
      <c r="H143">
        <f>ROUND(((_xlfn.XLOOKUP(B143,[1]!PM2.5[BLO],[1]!PM2.5[IHI],,-1) - _xlfn.XLOOKUP(B143,[1]!PM2.5[BLO],[1]!PM2.5[ILO],,-1))
/
(_xlfn.XLOOKUP(B143,[1]!PM2.5[BLO],[1]!PM2.5[BHI],,-1) - _xlfn.XLOOKUP(B143,[1]!PM2.5[BLO],[1]!PM2.5[BLO],,-1)))
*
(B143 - _xlfn.XLOOKUP(B143,[1]!PM2.5[BLO],[1]!PM2.5[BLO],,-1))
+
_xlfn.XLOOKUP(B143,[1]!PM2.5[BLO],[1]!PM2.5[ILO],,-1),2)</f>
        <v>28.33</v>
      </c>
      <c r="I143">
        <f>ROUND(((_xlfn.XLOOKUP(C143,[1]!PM_10[BLO],[1]!PM_10[IHI],,-1) - _xlfn.XLOOKUP(C143,[1]!PM_10[BLO],[1]!PM_10[ILO],,-1))
/
(_xlfn.XLOOKUP(C143,[1]!PM_10[BLO],[1]!PM_10[BHI],,-1) - _xlfn.XLOOKUP(C143,[1]!PM_10[BLO],[1]!PM_10[BLO],,-1)))
*
( C143 - _xlfn.XLOOKUP(C143,[1]!PM_10[BLO],[1]!PM_10[BLO],,-1))
+
_xlfn.XLOOKUP(C143,[1]!PM_10[BLO],[1]!PM_10[ILO],,-1),2)</f>
        <v>45</v>
      </c>
      <c r="J143">
        <f>ROUND((( _xlfn.XLOOKUP(D143,[1]!NO_2[BLO],[1]!NO_2[IHI],,-1) - _xlfn.XLOOKUP(D143,[1]!NO_2[BLO],[1]!NO_2[ILO],,-1))
/
( _xlfn.XLOOKUP(D143,[1]!NO_2[BLO],[1]!NO_2[BHI],,-1) - _xlfn.XLOOKUP(D143,[1]!NO_2[BLO],[1]!NO_2[BLO],,-1) ))
*
( D143 - _xlfn.XLOOKUP(D143,[1]!NO_2[BLO],[1]!NO_2[BLO],,-1))
+
_xlfn.XLOOKUP(D143,[1]!NO_2[BLO],[1]!NO_2[ILO],,-1),2)</f>
        <v>16.25</v>
      </c>
      <c r="K143">
        <f>ROUND(( ( _xlfn.XLOOKUP(E143,[1]!SO_2[BLO],[1]!SO_2[IHI],,-1)  - _xlfn.XLOOKUP(E143,[1]!SO_2[BLO],[1]!SO_2[ILO],,-1) )
/
( _xlfn.XLOOKUP(E143,[1]!SO_2[BLO],[1]!SO_2[BHI],,-1)- _xlfn.XLOOKUP(E143,[1]!SO_2[BLO],[1]!SO_2[BLO],,-1) ))
*
( E143 - _xlfn.XLOOKUP(E143,[1]!SO_2[BLO],[1]!SO_2[BLO],,-1) )
+
_xlfn.XLOOKUP(E143,[1]!SO_2[BLO],[1]!SO_2[ILO],,-1),2)</f>
        <v>8.75</v>
      </c>
      <c r="L143">
        <f>( ( _xlfn.XLOOKUP(F143,[1]!CO[BLO],[1]!CO[IHI],,-1)
- _xlfn.XLOOKUP(F143,[1]!CO[BLO],[1]!CO[ILO],,-1) )
/
( _xlfn.XLOOKUP(F143,[1]!CO[BLO],[1]!CO[BHI],,-1) - _xlfn.XLOOKUP(F143,[1]!CO[BLO],[1]!CO[BLO],,-1)))
*
( F143 - _xlfn.XLOOKUP(F143,[1]!CO[BLO],[1]!CO[BLO],,-1) )
+
_xlfn.XLOOKUP(F143,[1]!CO[BLO],[1]!CO[ILO],,-1)</f>
        <v>30</v>
      </c>
      <c r="M143">
        <f>(( _xlfn.XLOOKUP(G143,[1]!O_3[BLO],[1]!O_3[IHI],,-1) - _xlfn.XLOOKUP(G143,[1]!O_3[BLO],[1]!O_3[ILO],,-1))
/
( _xlfn.XLOOKUP(G143,[1]!O_3[BLO],[1]!O_3[BHI],,-1) - _xlfn.XLOOKUP(G143,[1]!O_3[BLO],[1]!O_3[BLO],,-1)))
*
( G143 - _xlfn.XLOOKUP(G143,[1]!O_3[BLO],[1]!O_3[BLO],,-1))
+
_xlfn.XLOOKUP(G143,[1]!O_3[BLO],[1]!O_3[ILO],,-1)</f>
        <v>26</v>
      </c>
      <c r="N143">
        <f>MAX(DAILY_DATA[[#This Row],[AQI_PM2.5]:[AQI_O3]])</f>
        <v>45</v>
      </c>
      <c r="O143" t="str">
        <f>_xlfn.XLOOKUP(DAILY_DATA[[#This Row],[OVERALL_AQI]],[1]!CATEGORY[AQI_LO],[1]!CATEGORY[CATEGORY],,-1)</f>
        <v>Good</v>
      </c>
      <c r="P143" t="str" cm="1">
        <f t="array" ref="P143">INDEX(
{"PM2.5","PM10","NO2","SO2","CO","O3"},
MATCH(N143,H143:M143,0)
)</f>
        <v>PM10</v>
      </c>
    </row>
    <row r="144" spans="1:16" x14ac:dyDescent="0.25">
      <c r="A144" s="4">
        <v>45434</v>
      </c>
      <c r="B144">
        <f>ROUND(AVERAGEIFS([1]HOURLY_DATA!B144:B8927,[1]HOURLY_DATA!H144:H8927,Daily_AQI!A144),0)</f>
        <v>22</v>
      </c>
      <c r="C144">
        <f>ROUND(AVERAGEIFS([1]HOURLY_DATA!C144:C8927,[1]HOURLY_DATA!H144:H8927,Daily_AQI!A144),0)</f>
        <v>61</v>
      </c>
      <c r="D144">
        <f>ROUND(AVERAGEIFS([1]HOURLY_DATA!D144:D8927,[1]HOURLY_DATA!H144:H8927,Daily_AQI!A144),0)</f>
        <v>14</v>
      </c>
      <c r="E144">
        <f>ROUND(AVERAGEIFS([1]HOURLY_DATA!E144:E8927,[1]HOURLY_DATA!H144:H8927,Daily_AQI!A144),0)</f>
        <v>7</v>
      </c>
      <c r="F144">
        <f>ROUND(AVERAGEIFS([1]HOURLY_DATA!I144:I8927,[1]HOURLY_DATA!H144:H8927,Daily_AQI!A144),2)</f>
        <v>0.68</v>
      </c>
      <c r="G144">
        <f>ROUND(AVERAGEIFS([1]HOURLY_DATA!J144:J8927,[1]HOURLY_DATA!H144:H8927,Daily_AQI!A144),0)</f>
        <v>26</v>
      </c>
      <c r="H144">
        <f>ROUND(((_xlfn.XLOOKUP(B144,[1]!PM2.5[BLO],[1]!PM2.5[IHI],,-1) - _xlfn.XLOOKUP(B144,[1]!PM2.5[BLO],[1]!PM2.5[ILO],,-1))
/
(_xlfn.XLOOKUP(B144,[1]!PM2.5[BLO],[1]!PM2.5[BHI],,-1) - _xlfn.XLOOKUP(B144,[1]!PM2.5[BLO],[1]!PM2.5[BLO],,-1)))
*
(B144 - _xlfn.XLOOKUP(B144,[1]!PM2.5[BLO],[1]!PM2.5[BLO],,-1))
+
_xlfn.XLOOKUP(B144,[1]!PM2.5[BLO],[1]!PM2.5[ILO],,-1),2)</f>
        <v>36.67</v>
      </c>
      <c r="I144">
        <f>ROUND(((_xlfn.XLOOKUP(C144,[1]!PM_10[BLO],[1]!PM_10[IHI],,-1) - _xlfn.XLOOKUP(C144,[1]!PM_10[BLO],[1]!PM_10[ILO],,-1))
/
(_xlfn.XLOOKUP(C144,[1]!PM_10[BLO],[1]!PM_10[BHI],,-1) - _xlfn.XLOOKUP(C144,[1]!PM_10[BLO],[1]!PM_10[BLO],,-1)))
*
( C144 - _xlfn.XLOOKUP(C144,[1]!PM_10[BLO],[1]!PM_10[BLO],,-1))
+
_xlfn.XLOOKUP(C144,[1]!PM_10[BLO],[1]!PM_10[ILO],,-1),2)</f>
        <v>61</v>
      </c>
      <c r="J144">
        <f>ROUND((( _xlfn.XLOOKUP(D144,[1]!NO_2[BLO],[1]!NO_2[IHI],,-1) - _xlfn.XLOOKUP(D144,[1]!NO_2[BLO],[1]!NO_2[ILO],,-1))
/
( _xlfn.XLOOKUP(D144,[1]!NO_2[BLO],[1]!NO_2[BHI],,-1) - _xlfn.XLOOKUP(D144,[1]!NO_2[BLO],[1]!NO_2[BLO],,-1) ))
*
( D144 - _xlfn.XLOOKUP(D144,[1]!NO_2[BLO],[1]!NO_2[BLO],,-1))
+
_xlfn.XLOOKUP(D144,[1]!NO_2[BLO],[1]!NO_2[ILO],,-1),2)</f>
        <v>17.5</v>
      </c>
      <c r="K144">
        <f>ROUND(( ( _xlfn.XLOOKUP(E144,[1]!SO_2[BLO],[1]!SO_2[IHI],,-1)  - _xlfn.XLOOKUP(E144,[1]!SO_2[BLO],[1]!SO_2[ILO],,-1) )
/
( _xlfn.XLOOKUP(E144,[1]!SO_2[BLO],[1]!SO_2[BHI],,-1)- _xlfn.XLOOKUP(E144,[1]!SO_2[BLO],[1]!SO_2[BLO],,-1) ))
*
( E144 - _xlfn.XLOOKUP(E144,[1]!SO_2[BLO],[1]!SO_2[BLO],,-1) )
+
_xlfn.XLOOKUP(E144,[1]!SO_2[BLO],[1]!SO_2[ILO],,-1),2)</f>
        <v>8.75</v>
      </c>
      <c r="L144">
        <f>( ( _xlfn.XLOOKUP(F144,[1]!CO[BLO],[1]!CO[IHI],,-1)
- _xlfn.XLOOKUP(F144,[1]!CO[BLO],[1]!CO[ILO],,-1) )
/
( _xlfn.XLOOKUP(F144,[1]!CO[BLO],[1]!CO[BHI],,-1) - _xlfn.XLOOKUP(F144,[1]!CO[BLO],[1]!CO[BLO],,-1)))
*
( F144 - _xlfn.XLOOKUP(F144,[1]!CO[BLO],[1]!CO[BLO],,-1) )
+
_xlfn.XLOOKUP(F144,[1]!CO[BLO],[1]!CO[ILO],,-1)</f>
        <v>34</v>
      </c>
      <c r="M144">
        <f>(( _xlfn.XLOOKUP(G144,[1]!O_3[BLO],[1]!O_3[IHI],,-1) - _xlfn.XLOOKUP(G144,[1]!O_3[BLO],[1]!O_3[ILO],,-1))
/
( _xlfn.XLOOKUP(G144,[1]!O_3[BLO],[1]!O_3[BHI],,-1) - _xlfn.XLOOKUP(G144,[1]!O_3[BLO],[1]!O_3[BLO],,-1)))
*
( G144 - _xlfn.XLOOKUP(G144,[1]!O_3[BLO],[1]!O_3[BLO],,-1))
+
_xlfn.XLOOKUP(G144,[1]!O_3[BLO],[1]!O_3[ILO],,-1)</f>
        <v>26</v>
      </c>
      <c r="N144">
        <f>MAX(DAILY_DATA[[#This Row],[AQI_PM2.5]:[AQI_O3]])</f>
        <v>61</v>
      </c>
      <c r="O144" t="str">
        <f>_xlfn.XLOOKUP(DAILY_DATA[[#This Row],[OVERALL_AQI]],[1]!CATEGORY[AQI_LO],[1]!CATEGORY[CATEGORY],,-1)</f>
        <v>Satisfactory</v>
      </c>
      <c r="P144" t="str" cm="1">
        <f t="array" ref="P144">INDEX(
{"PM2.5","PM10","NO2","SO2","CO","O3"},
MATCH(N144,H144:M144,0)
)</f>
        <v>PM10</v>
      </c>
    </row>
    <row r="145" spans="1:16" x14ac:dyDescent="0.25">
      <c r="A145" s="4">
        <v>45435</v>
      </c>
      <c r="B145">
        <f>ROUND(AVERAGEIFS([1]HOURLY_DATA!B145:B8928,[1]HOURLY_DATA!H145:H8928,Daily_AQI!A145),0)</f>
        <v>21</v>
      </c>
      <c r="C145">
        <f>ROUND(AVERAGEIFS([1]HOURLY_DATA!C145:C8928,[1]HOURLY_DATA!H145:H8928,Daily_AQI!A145),0)</f>
        <v>54</v>
      </c>
      <c r="D145">
        <f>ROUND(AVERAGEIFS([1]HOURLY_DATA!D145:D8928,[1]HOURLY_DATA!H145:H8928,Daily_AQI!A145),0)</f>
        <v>14</v>
      </c>
      <c r="E145">
        <f>ROUND(AVERAGEIFS([1]HOURLY_DATA!E145:E8928,[1]HOURLY_DATA!H145:H8928,Daily_AQI!A145),0)</f>
        <v>8</v>
      </c>
      <c r="F145">
        <f>ROUND(AVERAGEIFS([1]HOURLY_DATA!I145:I8928,[1]HOURLY_DATA!H145:H8928,Daily_AQI!A145),2)</f>
        <v>0.6</v>
      </c>
      <c r="G145">
        <f>ROUND(AVERAGEIFS([1]HOURLY_DATA!J145:J8928,[1]HOURLY_DATA!H145:H8928,Daily_AQI!A145),0)</f>
        <v>29</v>
      </c>
      <c r="H145">
        <f>ROUND(((_xlfn.XLOOKUP(B145,[1]!PM2.5[BLO],[1]!PM2.5[IHI],,-1) - _xlfn.XLOOKUP(B145,[1]!PM2.5[BLO],[1]!PM2.5[ILO],,-1))
/
(_xlfn.XLOOKUP(B145,[1]!PM2.5[BLO],[1]!PM2.5[BHI],,-1) - _xlfn.XLOOKUP(B145,[1]!PM2.5[BLO],[1]!PM2.5[BLO],,-1)))
*
(B145 - _xlfn.XLOOKUP(B145,[1]!PM2.5[BLO],[1]!PM2.5[BLO],,-1))
+
_xlfn.XLOOKUP(B145,[1]!PM2.5[BLO],[1]!PM2.5[ILO],,-1),2)</f>
        <v>35</v>
      </c>
      <c r="I145">
        <f>ROUND(((_xlfn.XLOOKUP(C145,[1]!PM_10[BLO],[1]!PM_10[IHI],,-1) - _xlfn.XLOOKUP(C145,[1]!PM_10[BLO],[1]!PM_10[ILO],,-1))
/
(_xlfn.XLOOKUP(C145,[1]!PM_10[BLO],[1]!PM_10[BHI],,-1) - _xlfn.XLOOKUP(C145,[1]!PM_10[BLO],[1]!PM_10[BLO],,-1)))
*
( C145 - _xlfn.XLOOKUP(C145,[1]!PM_10[BLO],[1]!PM_10[BLO],,-1))
+
_xlfn.XLOOKUP(C145,[1]!PM_10[BLO],[1]!PM_10[ILO],,-1),2)</f>
        <v>54</v>
      </c>
      <c r="J145">
        <f>ROUND((( _xlfn.XLOOKUP(D145,[1]!NO_2[BLO],[1]!NO_2[IHI],,-1) - _xlfn.XLOOKUP(D145,[1]!NO_2[BLO],[1]!NO_2[ILO],,-1))
/
( _xlfn.XLOOKUP(D145,[1]!NO_2[BLO],[1]!NO_2[BHI],,-1) - _xlfn.XLOOKUP(D145,[1]!NO_2[BLO],[1]!NO_2[BLO],,-1) ))
*
( D145 - _xlfn.XLOOKUP(D145,[1]!NO_2[BLO],[1]!NO_2[BLO],,-1))
+
_xlfn.XLOOKUP(D145,[1]!NO_2[BLO],[1]!NO_2[ILO],,-1),2)</f>
        <v>17.5</v>
      </c>
      <c r="K145">
        <f>ROUND(( ( _xlfn.XLOOKUP(E145,[1]!SO_2[BLO],[1]!SO_2[IHI],,-1)  - _xlfn.XLOOKUP(E145,[1]!SO_2[BLO],[1]!SO_2[ILO],,-1) )
/
( _xlfn.XLOOKUP(E145,[1]!SO_2[BLO],[1]!SO_2[BHI],,-1)- _xlfn.XLOOKUP(E145,[1]!SO_2[BLO],[1]!SO_2[BLO],,-1) ))
*
( E145 - _xlfn.XLOOKUP(E145,[1]!SO_2[BLO],[1]!SO_2[BLO],,-1) )
+
_xlfn.XLOOKUP(E145,[1]!SO_2[BLO],[1]!SO_2[ILO],,-1),2)</f>
        <v>10</v>
      </c>
      <c r="L145">
        <f>( ( _xlfn.XLOOKUP(F145,[1]!CO[BLO],[1]!CO[IHI],,-1)
- _xlfn.XLOOKUP(F145,[1]!CO[BLO],[1]!CO[ILO],,-1) )
/
( _xlfn.XLOOKUP(F145,[1]!CO[BLO],[1]!CO[BHI],,-1) - _xlfn.XLOOKUP(F145,[1]!CO[BLO],[1]!CO[BLO],,-1)))
*
( F145 - _xlfn.XLOOKUP(F145,[1]!CO[BLO],[1]!CO[BLO],,-1) )
+
_xlfn.XLOOKUP(F145,[1]!CO[BLO],[1]!CO[ILO],,-1)</f>
        <v>30</v>
      </c>
      <c r="M145">
        <f>(( _xlfn.XLOOKUP(G145,[1]!O_3[BLO],[1]!O_3[IHI],,-1) - _xlfn.XLOOKUP(G145,[1]!O_3[BLO],[1]!O_3[ILO],,-1))
/
( _xlfn.XLOOKUP(G145,[1]!O_3[BLO],[1]!O_3[BHI],,-1) - _xlfn.XLOOKUP(G145,[1]!O_3[BLO],[1]!O_3[BLO],,-1)))
*
( G145 - _xlfn.XLOOKUP(G145,[1]!O_3[BLO],[1]!O_3[BLO],,-1))
+
_xlfn.XLOOKUP(G145,[1]!O_3[BLO],[1]!O_3[ILO],,-1)</f>
        <v>29</v>
      </c>
      <c r="N145">
        <f>MAX(DAILY_DATA[[#This Row],[AQI_PM2.5]:[AQI_O3]])</f>
        <v>54</v>
      </c>
      <c r="O145" t="str">
        <f>_xlfn.XLOOKUP(DAILY_DATA[[#This Row],[OVERALL_AQI]],[1]!CATEGORY[AQI_LO],[1]!CATEGORY[CATEGORY],,-1)</f>
        <v>Satisfactory</v>
      </c>
      <c r="P145" t="str" cm="1">
        <f t="array" ref="P145">INDEX(
{"PM2.5","PM10","NO2","SO2","CO","O3"},
MATCH(N145,H145:M145,0)
)</f>
        <v>PM10</v>
      </c>
    </row>
    <row r="146" spans="1:16" x14ac:dyDescent="0.25">
      <c r="A146" s="4">
        <v>45436</v>
      </c>
      <c r="B146">
        <f>ROUND(AVERAGEIFS([1]HOURLY_DATA!B146:B8929,[1]HOURLY_DATA!H146:H8929,Daily_AQI!A146),0)</f>
        <v>27</v>
      </c>
      <c r="C146">
        <f>ROUND(AVERAGEIFS([1]HOURLY_DATA!C146:C8929,[1]HOURLY_DATA!H146:H8929,Daily_AQI!A146),0)</f>
        <v>66</v>
      </c>
      <c r="D146">
        <f>ROUND(AVERAGEIFS([1]HOURLY_DATA!D146:D8929,[1]HOURLY_DATA!H146:H8929,Daily_AQI!A146),0)</f>
        <v>13</v>
      </c>
      <c r="E146">
        <f>ROUND(AVERAGEIFS([1]HOURLY_DATA!E146:E8929,[1]HOURLY_DATA!H146:H8929,Daily_AQI!A146),0)</f>
        <v>10</v>
      </c>
      <c r="F146">
        <f>ROUND(AVERAGEIFS([1]HOURLY_DATA!I146:I8929,[1]HOURLY_DATA!H146:H8929,Daily_AQI!A146),2)</f>
        <v>0.62</v>
      </c>
      <c r="G146">
        <f>ROUND(AVERAGEIFS([1]HOURLY_DATA!J146:J8929,[1]HOURLY_DATA!H146:H8929,Daily_AQI!A146),0)</f>
        <v>34</v>
      </c>
      <c r="H146">
        <f>ROUND(((_xlfn.XLOOKUP(B146,[1]!PM2.5[BLO],[1]!PM2.5[IHI],,-1) - _xlfn.XLOOKUP(B146,[1]!PM2.5[BLO],[1]!PM2.5[ILO],,-1))
/
(_xlfn.XLOOKUP(B146,[1]!PM2.5[BLO],[1]!PM2.5[BHI],,-1) - _xlfn.XLOOKUP(B146,[1]!PM2.5[BLO],[1]!PM2.5[BLO],,-1)))
*
(B146 - _xlfn.XLOOKUP(B146,[1]!PM2.5[BLO],[1]!PM2.5[BLO],,-1))
+
_xlfn.XLOOKUP(B146,[1]!PM2.5[BLO],[1]!PM2.5[ILO],,-1),2)</f>
        <v>45</v>
      </c>
      <c r="I146">
        <f>ROUND(((_xlfn.XLOOKUP(C146,[1]!PM_10[BLO],[1]!PM_10[IHI],,-1) - _xlfn.XLOOKUP(C146,[1]!PM_10[BLO],[1]!PM_10[ILO],,-1))
/
(_xlfn.XLOOKUP(C146,[1]!PM_10[BLO],[1]!PM_10[BHI],,-1) - _xlfn.XLOOKUP(C146,[1]!PM_10[BLO],[1]!PM_10[BLO],,-1)))
*
( C146 - _xlfn.XLOOKUP(C146,[1]!PM_10[BLO],[1]!PM_10[BLO],,-1))
+
_xlfn.XLOOKUP(C146,[1]!PM_10[BLO],[1]!PM_10[ILO],,-1),2)</f>
        <v>66</v>
      </c>
      <c r="J146">
        <f>ROUND((( _xlfn.XLOOKUP(D146,[1]!NO_2[BLO],[1]!NO_2[IHI],,-1) - _xlfn.XLOOKUP(D146,[1]!NO_2[BLO],[1]!NO_2[ILO],,-1))
/
( _xlfn.XLOOKUP(D146,[1]!NO_2[BLO],[1]!NO_2[BHI],,-1) - _xlfn.XLOOKUP(D146,[1]!NO_2[BLO],[1]!NO_2[BLO],,-1) ))
*
( D146 - _xlfn.XLOOKUP(D146,[1]!NO_2[BLO],[1]!NO_2[BLO],,-1))
+
_xlfn.XLOOKUP(D146,[1]!NO_2[BLO],[1]!NO_2[ILO],,-1),2)</f>
        <v>16.25</v>
      </c>
      <c r="K146">
        <f>ROUND(( ( _xlfn.XLOOKUP(E146,[1]!SO_2[BLO],[1]!SO_2[IHI],,-1)  - _xlfn.XLOOKUP(E146,[1]!SO_2[BLO],[1]!SO_2[ILO],,-1) )
/
( _xlfn.XLOOKUP(E146,[1]!SO_2[BLO],[1]!SO_2[BHI],,-1)- _xlfn.XLOOKUP(E146,[1]!SO_2[BLO],[1]!SO_2[BLO],,-1) ))
*
( E146 - _xlfn.XLOOKUP(E146,[1]!SO_2[BLO],[1]!SO_2[BLO],,-1) )
+
_xlfn.XLOOKUP(E146,[1]!SO_2[BLO],[1]!SO_2[ILO],,-1),2)</f>
        <v>12.5</v>
      </c>
      <c r="L146">
        <f>( ( _xlfn.XLOOKUP(F146,[1]!CO[BLO],[1]!CO[IHI],,-1)
- _xlfn.XLOOKUP(F146,[1]!CO[BLO],[1]!CO[ILO],,-1) )
/
( _xlfn.XLOOKUP(F146,[1]!CO[BLO],[1]!CO[BHI],,-1) - _xlfn.XLOOKUP(F146,[1]!CO[BLO],[1]!CO[BLO],,-1)))
*
( F146 - _xlfn.XLOOKUP(F146,[1]!CO[BLO],[1]!CO[BLO],,-1) )
+
_xlfn.XLOOKUP(F146,[1]!CO[BLO],[1]!CO[ILO],,-1)</f>
        <v>31</v>
      </c>
      <c r="M146">
        <f>(( _xlfn.XLOOKUP(G146,[1]!O_3[BLO],[1]!O_3[IHI],,-1) - _xlfn.XLOOKUP(G146,[1]!O_3[BLO],[1]!O_3[ILO],,-1))
/
( _xlfn.XLOOKUP(G146,[1]!O_3[BLO],[1]!O_3[BHI],,-1) - _xlfn.XLOOKUP(G146,[1]!O_3[BLO],[1]!O_3[BLO],,-1)))
*
( G146 - _xlfn.XLOOKUP(G146,[1]!O_3[BLO],[1]!O_3[BLO],,-1))
+
_xlfn.XLOOKUP(G146,[1]!O_3[BLO],[1]!O_3[ILO],,-1)</f>
        <v>34</v>
      </c>
      <c r="N146">
        <f>MAX(DAILY_DATA[[#This Row],[AQI_PM2.5]:[AQI_O3]])</f>
        <v>66</v>
      </c>
      <c r="O146" t="str">
        <f>_xlfn.XLOOKUP(DAILY_DATA[[#This Row],[OVERALL_AQI]],[1]!CATEGORY[AQI_LO],[1]!CATEGORY[CATEGORY],,-1)</f>
        <v>Satisfactory</v>
      </c>
      <c r="P146" t="str" cm="1">
        <f t="array" ref="P146">INDEX(
{"PM2.5","PM10","NO2","SO2","CO","O3"},
MATCH(N146,H146:M146,0)
)</f>
        <v>PM10</v>
      </c>
    </row>
    <row r="147" spans="1:16" x14ac:dyDescent="0.25">
      <c r="A147" s="4">
        <v>45437</v>
      </c>
      <c r="B147">
        <f>ROUND(AVERAGEIFS([1]HOURLY_DATA!B147:B8930,[1]HOURLY_DATA!H147:H8930,Daily_AQI!A147),0)</f>
        <v>20</v>
      </c>
      <c r="C147">
        <f>ROUND(AVERAGEIFS([1]HOURLY_DATA!C147:C8930,[1]HOURLY_DATA!H147:H8930,Daily_AQI!A147),0)</f>
        <v>59</v>
      </c>
      <c r="D147">
        <f>ROUND(AVERAGEIFS([1]HOURLY_DATA!D147:D8930,[1]HOURLY_DATA!H147:H8930,Daily_AQI!A147),0)</f>
        <v>12</v>
      </c>
      <c r="E147">
        <f>ROUND(AVERAGEIFS([1]HOURLY_DATA!E147:E8930,[1]HOURLY_DATA!H147:H8930,Daily_AQI!A147),0)</f>
        <v>8</v>
      </c>
      <c r="F147">
        <f>ROUND(AVERAGEIFS([1]HOURLY_DATA!I147:I8930,[1]HOURLY_DATA!H147:H8930,Daily_AQI!A147),2)</f>
        <v>0.56999999999999995</v>
      </c>
      <c r="G147">
        <f>ROUND(AVERAGEIFS([1]HOURLY_DATA!J147:J8930,[1]HOURLY_DATA!H147:H8930,Daily_AQI!A147),0)</f>
        <v>37</v>
      </c>
      <c r="H147">
        <f>ROUND(((_xlfn.XLOOKUP(B147,[1]!PM2.5[BLO],[1]!PM2.5[IHI],,-1) - _xlfn.XLOOKUP(B147,[1]!PM2.5[BLO],[1]!PM2.5[ILO],,-1))
/
(_xlfn.XLOOKUP(B147,[1]!PM2.5[BLO],[1]!PM2.5[BHI],,-1) - _xlfn.XLOOKUP(B147,[1]!PM2.5[BLO],[1]!PM2.5[BLO],,-1)))
*
(B147 - _xlfn.XLOOKUP(B147,[1]!PM2.5[BLO],[1]!PM2.5[BLO],,-1))
+
_xlfn.XLOOKUP(B147,[1]!PM2.5[BLO],[1]!PM2.5[ILO],,-1),2)</f>
        <v>33.33</v>
      </c>
      <c r="I147">
        <f>ROUND(((_xlfn.XLOOKUP(C147,[1]!PM_10[BLO],[1]!PM_10[IHI],,-1) - _xlfn.XLOOKUP(C147,[1]!PM_10[BLO],[1]!PM_10[ILO],,-1))
/
(_xlfn.XLOOKUP(C147,[1]!PM_10[BLO],[1]!PM_10[BHI],,-1) - _xlfn.XLOOKUP(C147,[1]!PM_10[BLO],[1]!PM_10[BLO],,-1)))
*
( C147 - _xlfn.XLOOKUP(C147,[1]!PM_10[BLO],[1]!PM_10[BLO],,-1))
+
_xlfn.XLOOKUP(C147,[1]!PM_10[BLO],[1]!PM_10[ILO],,-1),2)</f>
        <v>59</v>
      </c>
      <c r="J147">
        <f>ROUND((( _xlfn.XLOOKUP(D147,[1]!NO_2[BLO],[1]!NO_2[IHI],,-1) - _xlfn.XLOOKUP(D147,[1]!NO_2[BLO],[1]!NO_2[ILO],,-1))
/
( _xlfn.XLOOKUP(D147,[1]!NO_2[BLO],[1]!NO_2[BHI],,-1) - _xlfn.XLOOKUP(D147,[1]!NO_2[BLO],[1]!NO_2[BLO],,-1) ))
*
( D147 - _xlfn.XLOOKUP(D147,[1]!NO_2[BLO],[1]!NO_2[BLO],,-1))
+
_xlfn.XLOOKUP(D147,[1]!NO_2[BLO],[1]!NO_2[ILO],,-1),2)</f>
        <v>15</v>
      </c>
      <c r="K147">
        <f>ROUND(( ( _xlfn.XLOOKUP(E147,[1]!SO_2[BLO],[1]!SO_2[IHI],,-1)  - _xlfn.XLOOKUP(E147,[1]!SO_2[BLO],[1]!SO_2[ILO],,-1) )
/
( _xlfn.XLOOKUP(E147,[1]!SO_2[BLO],[1]!SO_2[BHI],,-1)- _xlfn.XLOOKUP(E147,[1]!SO_2[BLO],[1]!SO_2[BLO],,-1) ))
*
( E147 - _xlfn.XLOOKUP(E147,[1]!SO_2[BLO],[1]!SO_2[BLO],,-1) )
+
_xlfn.XLOOKUP(E147,[1]!SO_2[BLO],[1]!SO_2[ILO],,-1),2)</f>
        <v>10</v>
      </c>
      <c r="L147">
        <f>( ( _xlfn.XLOOKUP(F147,[1]!CO[BLO],[1]!CO[IHI],,-1)
- _xlfn.XLOOKUP(F147,[1]!CO[BLO],[1]!CO[ILO],,-1) )
/
( _xlfn.XLOOKUP(F147,[1]!CO[BLO],[1]!CO[BHI],,-1) - _xlfn.XLOOKUP(F147,[1]!CO[BLO],[1]!CO[BLO],,-1)))
*
( F147 - _xlfn.XLOOKUP(F147,[1]!CO[BLO],[1]!CO[BLO],,-1) )
+
_xlfn.XLOOKUP(F147,[1]!CO[BLO],[1]!CO[ILO],,-1)</f>
        <v>28.499999999999996</v>
      </c>
      <c r="M147">
        <f>(( _xlfn.XLOOKUP(G147,[1]!O_3[BLO],[1]!O_3[IHI],,-1) - _xlfn.XLOOKUP(G147,[1]!O_3[BLO],[1]!O_3[ILO],,-1))
/
( _xlfn.XLOOKUP(G147,[1]!O_3[BLO],[1]!O_3[BHI],,-1) - _xlfn.XLOOKUP(G147,[1]!O_3[BLO],[1]!O_3[BLO],,-1)))
*
( G147 - _xlfn.XLOOKUP(G147,[1]!O_3[BLO],[1]!O_3[BLO],,-1))
+
_xlfn.XLOOKUP(G147,[1]!O_3[BLO],[1]!O_3[ILO],,-1)</f>
        <v>37</v>
      </c>
      <c r="N147">
        <f>MAX(DAILY_DATA[[#This Row],[AQI_PM2.5]:[AQI_O3]])</f>
        <v>59</v>
      </c>
      <c r="O147" t="str">
        <f>_xlfn.XLOOKUP(DAILY_DATA[[#This Row],[OVERALL_AQI]],[1]!CATEGORY[AQI_LO],[1]!CATEGORY[CATEGORY],,-1)</f>
        <v>Satisfactory</v>
      </c>
      <c r="P147" t="str" cm="1">
        <f t="array" ref="P147">INDEX(
{"PM2.5","PM10","NO2","SO2","CO","O3"},
MATCH(N147,H147:M147,0)
)</f>
        <v>PM10</v>
      </c>
    </row>
    <row r="148" spans="1:16" x14ac:dyDescent="0.25">
      <c r="A148" s="4">
        <v>45438</v>
      </c>
      <c r="B148">
        <f>ROUND(AVERAGEIFS([1]HOURLY_DATA!B148:B8931,[1]HOURLY_DATA!H148:H8931,Daily_AQI!A148),0)</f>
        <v>22</v>
      </c>
      <c r="C148">
        <f>ROUND(AVERAGEIFS([1]HOURLY_DATA!C148:C8931,[1]HOURLY_DATA!H148:H8931,Daily_AQI!A148),0)</f>
        <v>61</v>
      </c>
      <c r="D148">
        <f>ROUND(AVERAGEIFS([1]HOURLY_DATA!D148:D8931,[1]HOURLY_DATA!H148:H8931,Daily_AQI!A148),0)</f>
        <v>11</v>
      </c>
      <c r="E148">
        <f>ROUND(AVERAGEIFS([1]HOURLY_DATA!E148:E8931,[1]HOURLY_DATA!H148:H8931,Daily_AQI!A148),0)</f>
        <v>8</v>
      </c>
      <c r="F148">
        <f>ROUND(AVERAGEIFS([1]HOURLY_DATA!I148:I8931,[1]HOURLY_DATA!H148:H8931,Daily_AQI!A148),2)</f>
        <v>0.44</v>
      </c>
      <c r="G148">
        <f>ROUND(AVERAGEIFS([1]HOURLY_DATA!J148:J8931,[1]HOURLY_DATA!H148:H8931,Daily_AQI!A148),0)</f>
        <v>28</v>
      </c>
      <c r="H148">
        <f>ROUND(((_xlfn.XLOOKUP(B148,[1]!PM2.5[BLO],[1]!PM2.5[IHI],,-1) - _xlfn.XLOOKUP(B148,[1]!PM2.5[BLO],[1]!PM2.5[ILO],,-1))
/
(_xlfn.XLOOKUP(B148,[1]!PM2.5[BLO],[1]!PM2.5[BHI],,-1) - _xlfn.XLOOKUP(B148,[1]!PM2.5[BLO],[1]!PM2.5[BLO],,-1)))
*
(B148 - _xlfn.XLOOKUP(B148,[1]!PM2.5[BLO],[1]!PM2.5[BLO],,-1))
+
_xlfn.XLOOKUP(B148,[1]!PM2.5[BLO],[1]!PM2.5[ILO],,-1),2)</f>
        <v>36.67</v>
      </c>
      <c r="I148">
        <f>ROUND(((_xlfn.XLOOKUP(C148,[1]!PM_10[BLO],[1]!PM_10[IHI],,-1) - _xlfn.XLOOKUP(C148,[1]!PM_10[BLO],[1]!PM_10[ILO],,-1))
/
(_xlfn.XLOOKUP(C148,[1]!PM_10[BLO],[1]!PM_10[BHI],,-1) - _xlfn.XLOOKUP(C148,[1]!PM_10[BLO],[1]!PM_10[BLO],,-1)))
*
( C148 - _xlfn.XLOOKUP(C148,[1]!PM_10[BLO],[1]!PM_10[BLO],,-1))
+
_xlfn.XLOOKUP(C148,[1]!PM_10[BLO],[1]!PM_10[ILO],,-1),2)</f>
        <v>61</v>
      </c>
      <c r="J148">
        <f>ROUND((( _xlfn.XLOOKUP(D148,[1]!NO_2[BLO],[1]!NO_2[IHI],,-1) - _xlfn.XLOOKUP(D148,[1]!NO_2[BLO],[1]!NO_2[ILO],,-1))
/
( _xlfn.XLOOKUP(D148,[1]!NO_2[BLO],[1]!NO_2[BHI],,-1) - _xlfn.XLOOKUP(D148,[1]!NO_2[BLO],[1]!NO_2[BLO],,-1) ))
*
( D148 - _xlfn.XLOOKUP(D148,[1]!NO_2[BLO],[1]!NO_2[BLO],,-1))
+
_xlfn.XLOOKUP(D148,[1]!NO_2[BLO],[1]!NO_2[ILO],,-1),2)</f>
        <v>13.75</v>
      </c>
      <c r="K148">
        <f>ROUND(( ( _xlfn.XLOOKUP(E148,[1]!SO_2[BLO],[1]!SO_2[IHI],,-1)  - _xlfn.XLOOKUP(E148,[1]!SO_2[BLO],[1]!SO_2[ILO],,-1) )
/
( _xlfn.XLOOKUP(E148,[1]!SO_2[BLO],[1]!SO_2[BHI],,-1)- _xlfn.XLOOKUP(E148,[1]!SO_2[BLO],[1]!SO_2[BLO],,-1) ))
*
( E148 - _xlfn.XLOOKUP(E148,[1]!SO_2[BLO],[1]!SO_2[BLO],,-1) )
+
_xlfn.XLOOKUP(E148,[1]!SO_2[BLO],[1]!SO_2[ILO],,-1),2)</f>
        <v>10</v>
      </c>
      <c r="L148">
        <f>( ( _xlfn.XLOOKUP(F148,[1]!CO[BLO],[1]!CO[IHI],,-1)
- _xlfn.XLOOKUP(F148,[1]!CO[BLO],[1]!CO[ILO],,-1) )
/
( _xlfn.XLOOKUP(F148,[1]!CO[BLO],[1]!CO[BHI],,-1) - _xlfn.XLOOKUP(F148,[1]!CO[BLO],[1]!CO[BLO],,-1)))
*
( F148 - _xlfn.XLOOKUP(F148,[1]!CO[BLO],[1]!CO[BLO],,-1) )
+
_xlfn.XLOOKUP(F148,[1]!CO[BLO],[1]!CO[ILO],,-1)</f>
        <v>22</v>
      </c>
      <c r="M148">
        <f>(( _xlfn.XLOOKUP(G148,[1]!O_3[BLO],[1]!O_3[IHI],,-1) - _xlfn.XLOOKUP(G148,[1]!O_3[BLO],[1]!O_3[ILO],,-1))
/
( _xlfn.XLOOKUP(G148,[1]!O_3[BLO],[1]!O_3[BHI],,-1) - _xlfn.XLOOKUP(G148,[1]!O_3[BLO],[1]!O_3[BLO],,-1)))
*
( G148 - _xlfn.XLOOKUP(G148,[1]!O_3[BLO],[1]!O_3[BLO],,-1))
+
_xlfn.XLOOKUP(G148,[1]!O_3[BLO],[1]!O_3[ILO],,-1)</f>
        <v>28</v>
      </c>
      <c r="N148">
        <f>MAX(DAILY_DATA[[#This Row],[AQI_PM2.5]:[AQI_O3]])</f>
        <v>61</v>
      </c>
      <c r="O148" t="str">
        <f>_xlfn.XLOOKUP(DAILY_DATA[[#This Row],[OVERALL_AQI]],[1]!CATEGORY[AQI_LO],[1]!CATEGORY[CATEGORY],,-1)</f>
        <v>Satisfactory</v>
      </c>
      <c r="P148" t="str" cm="1">
        <f t="array" ref="P148">INDEX(
{"PM2.5","PM10","NO2","SO2","CO","O3"},
MATCH(N148,H148:M148,0)
)</f>
        <v>PM10</v>
      </c>
    </row>
    <row r="149" spans="1:16" x14ac:dyDescent="0.25">
      <c r="A149" s="4">
        <v>45439</v>
      </c>
      <c r="B149">
        <f>ROUND(AVERAGEIFS([1]HOURLY_DATA!B149:B8932,[1]HOURLY_DATA!H149:H8932,Daily_AQI!A149),0)</f>
        <v>28</v>
      </c>
      <c r="C149">
        <f>ROUND(AVERAGEIFS([1]HOURLY_DATA!C149:C8932,[1]HOURLY_DATA!H149:H8932,Daily_AQI!A149),0)</f>
        <v>72</v>
      </c>
      <c r="D149">
        <f>ROUND(AVERAGEIFS([1]HOURLY_DATA!D149:D8932,[1]HOURLY_DATA!H149:H8932,Daily_AQI!A149),0)</f>
        <v>12</v>
      </c>
      <c r="E149">
        <f>ROUND(AVERAGEIFS([1]HOURLY_DATA!E149:E8932,[1]HOURLY_DATA!H149:H8932,Daily_AQI!A149),0)</f>
        <v>8</v>
      </c>
      <c r="F149">
        <f>ROUND(AVERAGEIFS([1]HOURLY_DATA!I149:I8932,[1]HOURLY_DATA!H149:H8932,Daily_AQI!A149),2)</f>
        <v>0.46</v>
      </c>
      <c r="G149">
        <f>ROUND(AVERAGEIFS([1]HOURLY_DATA!J149:J8932,[1]HOURLY_DATA!H149:H8932,Daily_AQI!A149),0)</f>
        <v>30</v>
      </c>
      <c r="H149">
        <f>ROUND(((_xlfn.XLOOKUP(B149,[1]!PM2.5[BLO],[1]!PM2.5[IHI],,-1) - _xlfn.XLOOKUP(B149,[1]!PM2.5[BLO],[1]!PM2.5[ILO],,-1))
/
(_xlfn.XLOOKUP(B149,[1]!PM2.5[BLO],[1]!PM2.5[BHI],,-1) - _xlfn.XLOOKUP(B149,[1]!PM2.5[BLO],[1]!PM2.5[BLO],,-1)))
*
(B149 - _xlfn.XLOOKUP(B149,[1]!PM2.5[BLO],[1]!PM2.5[BLO],,-1))
+
_xlfn.XLOOKUP(B149,[1]!PM2.5[BLO],[1]!PM2.5[ILO],,-1),2)</f>
        <v>46.67</v>
      </c>
      <c r="I149">
        <f>ROUND(((_xlfn.XLOOKUP(C149,[1]!PM_10[BLO],[1]!PM_10[IHI],,-1) - _xlfn.XLOOKUP(C149,[1]!PM_10[BLO],[1]!PM_10[ILO],,-1))
/
(_xlfn.XLOOKUP(C149,[1]!PM_10[BLO],[1]!PM_10[BHI],,-1) - _xlfn.XLOOKUP(C149,[1]!PM_10[BLO],[1]!PM_10[BLO],,-1)))
*
( C149 - _xlfn.XLOOKUP(C149,[1]!PM_10[BLO],[1]!PM_10[BLO],,-1))
+
_xlfn.XLOOKUP(C149,[1]!PM_10[BLO],[1]!PM_10[ILO],,-1),2)</f>
        <v>72</v>
      </c>
      <c r="J149">
        <f>ROUND((( _xlfn.XLOOKUP(D149,[1]!NO_2[BLO],[1]!NO_2[IHI],,-1) - _xlfn.XLOOKUP(D149,[1]!NO_2[BLO],[1]!NO_2[ILO],,-1))
/
( _xlfn.XLOOKUP(D149,[1]!NO_2[BLO],[1]!NO_2[BHI],,-1) - _xlfn.XLOOKUP(D149,[1]!NO_2[BLO],[1]!NO_2[BLO],,-1) ))
*
( D149 - _xlfn.XLOOKUP(D149,[1]!NO_2[BLO],[1]!NO_2[BLO],,-1))
+
_xlfn.XLOOKUP(D149,[1]!NO_2[BLO],[1]!NO_2[ILO],,-1),2)</f>
        <v>15</v>
      </c>
      <c r="K149">
        <f>ROUND(( ( _xlfn.XLOOKUP(E149,[1]!SO_2[BLO],[1]!SO_2[IHI],,-1)  - _xlfn.XLOOKUP(E149,[1]!SO_2[BLO],[1]!SO_2[ILO],,-1) )
/
( _xlfn.XLOOKUP(E149,[1]!SO_2[BLO],[1]!SO_2[BHI],,-1)- _xlfn.XLOOKUP(E149,[1]!SO_2[BLO],[1]!SO_2[BLO],,-1) ))
*
( E149 - _xlfn.XLOOKUP(E149,[1]!SO_2[BLO],[1]!SO_2[BLO],,-1) )
+
_xlfn.XLOOKUP(E149,[1]!SO_2[BLO],[1]!SO_2[ILO],,-1),2)</f>
        <v>10</v>
      </c>
      <c r="L149">
        <f>( ( _xlfn.XLOOKUP(F149,[1]!CO[BLO],[1]!CO[IHI],,-1)
- _xlfn.XLOOKUP(F149,[1]!CO[BLO],[1]!CO[ILO],,-1) )
/
( _xlfn.XLOOKUP(F149,[1]!CO[BLO],[1]!CO[BHI],,-1) - _xlfn.XLOOKUP(F149,[1]!CO[BLO],[1]!CO[BLO],,-1)))
*
( F149 - _xlfn.XLOOKUP(F149,[1]!CO[BLO],[1]!CO[BLO],,-1) )
+
_xlfn.XLOOKUP(F149,[1]!CO[BLO],[1]!CO[ILO],,-1)</f>
        <v>23</v>
      </c>
      <c r="M149">
        <f>(( _xlfn.XLOOKUP(G149,[1]!O_3[BLO],[1]!O_3[IHI],,-1) - _xlfn.XLOOKUP(G149,[1]!O_3[BLO],[1]!O_3[ILO],,-1))
/
( _xlfn.XLOOKUP(G149,[1]!O_3[BLO],[1]!O_3[BHI],,-1) - _xlfn.XLOOKUP(G149,[1]!O_3[BLO],[1]!O_3[BLO],,-1)))
*
( G149 - _xlfn.XLOOKUP(G149,[1]!O_3[BLO],[1]!O_3[BLO],,-1))
+
_xlfn.XLOOKUP(G149,[1]!O_3[BLO],[1]!O_3[ILO],,-1)</f>
        <v>30</v>
      </c>
      <c r="N149">
        <f>MAX(DAILY_DATA[[#This Row],[AQI_PM2.5]:[AQI_O3]])</f>
        <v>72</v>
      </c>
      <c r="O149" t="str">
        <f>_xlfn.XLOOKUP(DAILY_DATA[[#This Row],[OVERALL_AQI]],[1]!CATEGORY[AQI_LO],[1]!CATEGORY[CATEGORY],,-1)</f>
        <v>Satisfactory</v>
      </c>
      <c r="P149" t="str" cm="1">
        <f t="array" ref="P149">INDEX(
{"PM2.5","PM10","NO2","SO2","CO","O3"},
MATCH(N149,H149:M149,0)
)</f>
        <v>PM10</v>
      </c>
    </row>
    <row r="150" spans="1:16" x14ac:dyDescent="0.25">
      <c r="A150" s="4">
        <v>45440</v>
      </c>
      <c r="B150">
        <f>ROUND(AVERAGEIFS([1]HOURLY_DATA!B150:B8933,[1]HOURLY_DATA!H150:H8933,Daily_AQI!A150),0)</f>
        <v>27</v>
      </c>
      <c r="C150">
        <f>ROUND(AVERAGEIFS([1]HOURLY_DATA!C150:C8933,[1]HOURLY_DATA!H150:H8933,Daily_AQI!A150),0)</f>
        <v>67</v>
      </c>
      <c r="D150">
        <f>ROUND(AVERAGEIFS([1]HOURLY_DATA!D150:D8933,[1]HOURLY_DATA!H150:H8933,Daily_AQI!A150),0)</f>
        <v>12</v>
      </c>
      <c r="E150">
        <f>ROUND(AVERAGEIFS([1]HOURLY_DATA!E150:E8933,[1]HOURLY_DATA!H150:H8933,Daily_AQI!A150),0)</f>
        <v>8</v>
      </c>
      <c r="F150">
        <f>ROUND(AVERAGEIFS([1]HOURLY_DATA!I150:I8933,[1]HOURLY_DATA!H150:H8933,Daily_AQI!A150),2)</f>
        <v>0.56999999999999995</v>
      </c>
      <c r="G150">
        <f>ROUND(AVERAGEIFS([1]HOURLY_DATA!J150:J8933,[1]HOURLY_DATA!H150:H8933,Daily_AQI!A150),0)</f>
        <v>31</v>
      </c>
      <c r="H150">
        <f>ROUND(((_xlfn.XLOOKUP(B150,[1]!PM2.5[BLO],[1]!PM2.5[IHI],,-1) - _xlfn.XLOOKUP(B150,[1]!PM2.5[BLO],[1]!PM2.5[ILO],,-1))
/
(_xlfn.XLOOKUP(B150,[1]!PM2.5[BLO],[1]!PM2.5[BHI],,-1) - _xlfn.XLOOKUP(B150,[1]!PM2.5[BLO],[1]!PM2.5[BLO],,-1)))
*
(B150 - _xlfn.XLOOKUP(B150,[1]!PM2.5[BLO],[1]!PM2.5[BLO],,-1))
+
_xlfn.XLOOKUP(B150,[1]!PM2.5[BLO],[1]!PM2.5[ILO],,-1),2)</f>
        <v>45</v>
      </c>
      <c r="I150">
        <f>ROUND(((_xlfn.XLOOKUP(C150,[1]!PM_10[BLO],[1]!PM_10[IHI],,-1) - _xlfn.XLOOKUP(C150,[1]!PM_10[BLO],[1]!PM_10[ILO],,-1))
/
(_xlfn.XLOOKUP(C150,[1]!PM_10[BLO],[1]!PM_10[BHI],,-1) - _xlfn.XLOOKUP(C150,[1]!PM_10[BLO],[1]!PM_10[BLO],,-1)))
*
( C150 - _xlfn.XLOOKUP(C150,[1]!PM_10[BLO],[1]!PM_10[BLO],,-1))
+
_xlfn.XLOOKUP(C150,[1]!PM_10[BLO],[1]!PM_10[ILO],,-1),2)</f>
        <v>67</v>
      </c>
      <c r="J150">
        <f>ROUND((( _xlfn.XLOOKUP(D150,[1]!NO_2[BLO],[1]!NO_2[IHI],,-1) - _xlfn.XLOOKUP(D150,[1]!NO_2[BLO],[1]!NO_2[ILO],,-1))
/
( _xlfn.XLOOKUP(D150,[1]!NO_2[BLO],[1]!NO_2[BHI],,-1) - _xlfn.XLOOKUP(D150,[1]!NO_2[BLO],[1]!NO_2[BLO],,-1) ))
*
( D150 - _xlfn.XLOOKUP(D150,[1]!NO_2[BLO],[1]!NO_2[BLO],,-1))
+
_xlfn.XLOOKUP(D150,[1]!NO_2[BLO],[1]!NO_2[ILO],,-1),2)</f>
        <v>15</v>
      </c>
      <c r="K150">
        <f>ROUND(( ( _xlfn.XLOOKUP(E150,[1]!SO_2[BLO],[1]!SO_2[IHI],,-1)  - _xlfn.XLOOKUP(E150,[1]!SO_2[BLO],[1]!SO_2[ILO],,-1) )
/
( _xlfn.XLOOKUP(E150,[1]!SO_2[BLO],[1]!SO_2[BHI],,-1)- _xlfn.XLOOKUP(E150,[1]!SO_2[BLO],[1]!SO_2[BLO],,-1) ))
*
( E150 - _xlfn.XLOOKUP(E150,[1]!SO_2[BLO],[1]!SO_2[BLO],,-1) )
+
_xlfn.XLOOKUP(E150,[1]!SO_2[BLO],[1]!SO_2[ILO],,-1),2)</f>
        <v>10</v>
      </c>
      <c r="L150">
        <f>( ( _xlfn.XLOOKUP(F150,[1]!CO[BLO],[1]!CO[IHI],,-1)
- _xlfn.XLOOKUP(F150,[1]!CO[BLO],[1]!CO[ILO],,-1) )
/
( _xlfn.XLOOKUP(F150,[1]!CO[BLO],[1]!CO[BHI],,-1) - _xlfn.XLOOKUP(F150,[1]!CO[BLO],[1]!CO[BLO],,-1)))
*
( F150 - _xlfn.XLOOKUP(F150,[1]!CO[BLO],[1]!CO[BLO],,-1) )
+
_xlfn.XLOOKUP(F150,[1]!CO[BLO],[1]!CO[ILO],,-1)</f>
        <v>28.499999999999996</v>
      </c>
      <c r="M150">
        <f>(( _xlfn.XLOOKUP(G150,[1]!O_3[BLO],[1]!O_3[IHI],,-1) - _xlfn.XLOOKUP(G150,[1]!O_3[BLO],[1]!O_3[ILO],,-1))
/
( _xlfn.XLOOKUP(G150,[1]!O_3[BLO],[1]!O_3[BHI],,-1) - _xlfn.XLOOKUP(G150,[1]!O_3[BLO],[1]!O_3[BLO],,-1)))
*
( G150 - _xlfn.XLOOKUP(G150,[1]!O_3[BLO],[1]!O_3[BLO],,-1))
+
_xlfn.XLOOKUP(G150,[1]!O_3[BLO],[1]!O_3[ILO],,-1)</f>
        <v>31</v>
      </c>
      <c r="N150">
        <f>MAX(DAILY_DATA[[#This Row],[AQI_PM2.5]:[AQI_O3]])</f>
        <v>67</v>
      </c>
      <c r="O150" t="str">
        <f>_xlfn.XLOOKUP(DAILY_DATA[[#This Row],[OVERALL_AQI]],[1]!CATEGORY[AQI_LO],[1]!CATEGORY[CATEGORY],,-1)</f>
        <v>Satisfactory</v>
      </c>
      <c r="P150" t="str" cm="1">
        <f t="array" ref="P150">INDEX(
{"PM2.5","PM10","NO2","SO2","CO","O3"},
MATCH(N150,H150:M150,0)
)</f>
        <v>PM10</v>
      </c>
    </row>
    <row r="151" spans="1:16" x14ac:dyDescent="0.25">
      <c r="A151" s="4">
        <v>45441</v>
      </c>
      <c r="B151">
        <f>ROUND(AVERAGEIFS([1]HOURLY_DATA!B151:B8934,[1]HOURLY_DATA!H151:H8934,Daily_AQI!A151),0)</f>
        <v>27</v>
      </c>
      <c r="C151">
        <f>ROUND(AVERAGEIFS([1]HOURLY_DATA!C151:C8934,[1]HOURLY_DATA!H151:H8934,Daily_AQI!A151),0)</f>
        <v>67</v>
      </c>
      <c r="D151">
        <f>ROUND(AVERAGEIFS([1]HOURLY_DATA!D151:D8934,[1]HOURLY_DATA!H151:H8934,Daily_AQI!A151),0)</f>
        <v>13</v>
      </c>
      <c r="E151">
        <f>ROUND(AVERAGEIFS([1]HOURLY_DATA!E151:E8934,[1]HOURLY_DATA!H151:H8934,Daily_AQI!A151),0)</f>
        <v>7</v>
      </c>
      <c r="F151">
        <f>ROUND(AVERAGEIFS([1]HOURLY_DATA!I151:I8934,[1]HOURLY_DATA!H151:H8934,Daily_AQI!A151),2)</f>
        <v>0.57999999999999996</v>
      </c>
      <c r="G151">
        <f>ROUND(AVERAGEIFS([1]HOURLY_DATA!J151:J8934,[1]HOURLY_DATA!H151:H8934,Daily_AQI!A151),0)</f>
        <v>30</v>
      </c>
      <c r="H151">
        <f>ROUND(((_xlfn.XLOOKUP(B151,[1]!PM2.5[BLO],[1]!PM2.5[IHI],,-1) - _xlfn.XLOOKUP(B151,[1]!PM2.5[BLO],[1]!PM2.5[ILO],,-1))
/
(_xlfn.XLOOKUP(B151,[1]!PM2.5[BLO],[1]!PM2.5[BHI],,-1) - _xlfn.XLOOKUP(B151,[1]!PM2.5[BLO],[1]!PM2.5[BLO],,-1)))
*
(B151 - _xlfn.XLOOKUP(B151,[1]!PM2.5[BLO],[1]!PM2.5[BLO],,-1))
+
_xlfn.XLOOKUP(B151,[1]!PM2.5[BLO],[1]!PM2.5[ILO],,-1),2)</f>
        <v>45</v>
      </c>
      <c r="I151">
        <f>ROUND(((_xlfn.XLOOKUP(C151,[1]!PM_10[BLO],[1]!PM_10[IHI],,-1) - _xlfn.XLOOKUP(C151,[1]!PM_10[BLO],[1]!PM_10[ILO],,-1))
/
(_xlfn.XLOOKUP(C151,[1]!PM_10[BLO],[1]!PM_10[BHI],,-1) - _xlfn.XLOOKUP(C151,[1]!PM_10[BLO],[1]!PM_10[BLO],,-1)))
*
( C151 - _xlfn.XLOOKUP(C151,[1]!PM_10[BLO],[1]!PM_10[BLO],,-1))
+
_xlfn.XLOOKUP(C151,[1]!PM_10[BLO],[1]!PM_10[ILO],,-1),2)</f>
        <v>67</v>
      </c>
      <c r="J151">
        <f>ROUND((( _xlfn.XLOOKUP(D151,[1]!NO_2[BLO],[1]!NO_2[IHI],,-1) - _xlfn.XLOOKUP(D151,[1]!NO_2[BLO],[1]!NO_2[ILO],,-1))
/
( _xlfn.XLOOKUP(D151,[1]!NO_2[BLO],[1]!NO_2[BHI],,-1) - _xlfn.XLOOKUP(D151,[1]!NO_2[BLO],[1]!NO_2[BLO],,-1) ))
*
( D151 - _xlfn.XLOOKUP(D151,[1]!NO_2[BLO],[1]!NO_2[BLO],,-1))
+
_xlfn.XLOOKUP(D151,[1]!NO_2[BLO],[1]!NO_2[ILO],,-1),2)</f>
        <v>16.25</v>
      </c>
      <c r="K151">
        <f>ROUND(( ( _xlfn.XLOOKUP(E151,[1]!SO_2[BLO],[1]!SO_2[IHI],,-1)  - _xlfn.XLOOKUP(E151,[1]!SO_2[BLO],[1]!SO_2[ILO],,-1) )
/
( _xlfn.XLOOKUP(E151,[1]!SO_2[BLO],[1]!SO_2[BHI],,-1)- _xlfn.XLOOKUP(E151,[1]!SO_2[BLO],[1]!SO_2[BLO],,-1) ))
*
( E151 - _xlfn.XLOOKUP(E151,[1]!SO_2[BLO],[1]!SO_2[BLO],,-1) )
+
_xlfn.XLOOKUP(E151,[1]!SO_2[BLO],[1]!SO_2[ILO],,-1),2)</f>
        <v>8.75</v>
      </c>
      <c r="L151">
        <f>( ( _xlfn.XLOOKUP(F151,[1]!CO[BLO],[1]!CO[IHI],,-1)
- _xlfn.XLOOKUP(F151,[1]!CO[BLO],[1]!CO[ILO],,-1) )
/
( _xlfn.XLOOKUP(F151,[1]!CO[BLO],[1]!CO[BHI],,-1) - _xlfn.XLOOKUP(F151,[1]!CO[BLO],[1]!CO[BLO],,-1)))
*
( F151 - _xlfn.XLOOKUP(F151,[1]!CO[BLO],[1]!CO[BLO],,-1) )
+
_xlfn.XLOOKUP(F151,[1]!CO[BLO],[1]!CO[ILO],,-1)</f>
        <v>28.999999999999996</v>
      </c>
      <c r="M151">
        <f>(( _xlfn.XLOOKUP(G151,[1]!O_3[BLO],[1]!O_3[IHI],,-1) - _xlfn.XLOOKUP(G151,[1]!O_3[BLO],[1]!O_3[ILO],,-1))
/
( _xlfn.XLOOKUP(G151,[1]!O_3[BLO],[1]!O_3[BHI],,-1) - _xlfn.XLOOKUP(G151,[1]!O_3[BLO],[1]!O_3[BLO],,-1)))
*
( G151 - _xlfn.XLOOKUP(G151,[1]!O_3[BLO],[1]!O_3[BLO],,-1))
+
_xlfn.XLOOKUP(G151,[1]!O_3[BLO],[1]!O_3[ILO],,-1)</f>
        <v>30</v>
      </c>
      <c r="N151">
        <f>MAX(DAILY_DATA[[#This Row],[AQI_PM2.5]:[AQI_O3]])</f>
        <v>67</v>
      </c>
      <c r="O151" t="str">
        <f>_xlfn.XLOOKUP(DAILY_DATA[[#This Row],[OVERALL_AQI]],[1]!CATEGORY[AQI_LO],[1]!CATEGORY[CATEGORY],,-1)</f>
        <v>Satisfactory</v>
      </c>
      <c r="P151" t="str" cm="1">
        <f t="array" ref="P151">INDEX(
{"PM2.5","PM10","NO2","SO2","CO","O3"},
MATCH(N151,H151:M151,0)
)</f>
        <v>PM10</v>
      </c>
    </row>
    <row r="152" spans="1:16" x14ac:dyDescent="0.25">
      <c r="A152" s="4">
        <v>45442</v>
      </c>
      <c r="B152">
        <f>ROUND(AVERAGEIFS([1]HOURLY_DATA!B152:B8935,[1]HOURLY_DATA!H152:H8935,Daily_AQI!A152),0)</f>
        <v>25</v>
      </c>
      <c r="C152">
        <f>ROUND(AVERAGEIFS([1]HOURLY_DATA!C152:C8935,[1]HOURLY_DATA!H152:H8935,Daily_AQI!A152),0)</f>
        <v>65</v>
      </c>
      <c r="D152">
        <f>ROUND(AVERAGEIFS([1]HOURLY_DATA!D152:D8935,[1]HOURLY_DATA!H152:H8935,Daily_AQI!A152),0)</f>
        <v>14</v>
      </c>
      <c r="E152">
        <f>ROUND(AVERAGEIFS([1]HOURLY_DATA!E152:E8935,[1]HOURLY_DATA!H152:H8935,Daily_AQI!A152),0)</f>
        <v>9</v>
      </c>
      <c r="F152">
        <f>ROUND(AVERAGEIFS([1]HOURLY_DATA!I152:I8935,[1]HOURLY_DATA!H152:H8935,Daily_AQI!A152),2)</f>
        <v>0.62</v>
      </c>
      <c r="G152">
        <f>ROUND(AVERAGEIFS([1]HOURLY_DATA!J152:J8935,[1]HOURLY_DATA!H152:H8935,Daily_AQI!A152),0)</f>
        <v>31</v>
      </c>
      <c r="H152">
        <f>ROUND(((_xlfn.XLOOKUP(B152,[1]!PM2.5[BLO],[1]!PM2.5[IHI],,-1) - _xlfn.XLOOKUP(B152,[1]!PM2.5[BLO],[1]!PM2.5[ILO],,-1))
/
(_xlfn.XLOOKUP(B152,[1]!PM2.5[BLO],[1]!PM2.5[BHI],,-1) - _xlfn.XLOOKUP(B152,[1]!PM2.5[BLO],[1]!PM2.5[BLO],,-1)))
*
(B152 - _xlfn.XLOOKUP(B152,[1]!PM2.5[BLO],[1]!PM2.5[BLO],,-1))
+
_xlfn.XLOOKUP(B152,[1]!PM2.5[BLO],[1]!PM2.5[ILO],,-1),2)</f>
        <v>41.67</v>
      </c>
      <c r="I152">
        <f>ROUND(((_xlfn.XLOOKUP(C152,[1]!PM_10[BLO],[1]!PM_10[IHI],,-1) - _xlfn.XLOOKUP(C152,[1]!PM_10[BLO],[1]!PM_10[ILO],,-1))
/
(_xlfn.XLOOKUP(C152,[1]!PM_10[BLO],[1]!PM_10[BHI],,-1) - _xlfn.XLOOKUP(C152,[1]!PM_10[BLO],[1]!PM_10[BLO],,-1)))
*
( C152 - _xlfn.XLOOKUP(C152,[1]!PM_10[BLO],[1]!PM_10[BLO],,-1))
+
_xlfn.XLOOKUP(C152,[1]!PM_10[BLO],[1]!PM_10[ILO],,-1),2)</f>
        <v>65</v>
      </c>
      <c r="J152">
        <f>ROUND((( _xlfn.XLOOKUP(D152,[1]!NO_2[BLO],[1]!NO_2[IHI],,-1) - _xlfn.XLOOKUP(D152,[1]!NO_2[BLO],[1]!NO_2[ILO],,-1))
/
( _xlfn.XLOOKUP(D152,[1]!NO_2[BLO],[1]!NO_2[BHI],,-1) - _xlfn.XLOOKUP(D152,[1]!NO_2[BLO],[1]!NO_2[BLO],,-1) ))
*
( D152 - _xlfn.XLOOKUP(D152,[1]!NO_2[BLO],[1]!NO_2[BLO],,-1))
+
_xlfn.XLOOKUP(D152,[1]!NO_2[BLO],[1]!NO_2[ILO],,-1),2)</f>
        <v>17.5</v>
      </c>
      <c r="K152">
        <f>ROUND(( ( _xlfn.XLOOKUP(E152,[1]!SO_2[BLO],[1]!SO_2[IHI],,-1)  - _xlfn.XLOOKUP(E152,[1]!SO_2[BLO],[1]!SO_2[ILO],,-1) )
/
( _xlfn.XLOOKUP(E152,[1]!SO_2[BLO],[1]!SO_2[BHI],,-1)- _xlfn.XLOOKUP(E152,[1]!SO_2[BLO],[1]!SO_2[BLO],,-1) ))
*
( E152 - _xlfn.XLOOKUP(E152,[1]!SO_2[BLO],[1]!SO_2[BLO],,-1) )
+
_xlfn.XLOOKUP(E152,[1]!SO_2[BLO],[1]!SO_2[ILO],,-1),2)</f>
        <v>11.25</v>
      </c>
      <c r="L152">
        <f>( ( _xlfn.XLOOKUP(F152,[1]!CO[BLO],[1]!CO[IHI],,-1)
- _xlfn.XLOOKUP(F152,[1]!CO[BLO],[1]!CO[ILO],,-1) )
/
( _xlfn.XLOOKUP(F152,[1]!CO[BLO],[1]!CO[BHI],,-1) - _xlfn.XLOOKUP(F152,[1]!CO[BLO],[1]!CO[BLO],,-1)))
*
( F152 - _xlfn.XLOOKUP(F152,[1]!CO[BLO],[1]!CO[BLO],,-1) )
+
_xlfn.XLOOKUP(F152,[1]!CO[BLO],[1]!CO[ILO],,-1)</f>
        <v>31</v>
      </c>
      <c r="M152">
        <f>(( _xlfn.XLOOKUP(G152,[1]!O_3[BLO],[1]!O_3[IHI],,-1) - _xlfn.XLOOKUP(G152,[1]!O_3[BLO],[1]!O_3[ILO],,-1))
/
( _xlfn.XLOOKUP(G152,[1]!O_3[BLO],[1]!O_3[BHI],,-1) - _xlfn.XLOOKUP(G152,[1]!O_3[BLO],[1]!O_3[BLO],,-1)))
*
( G152 - _xlfn.XLOOKUP(G152,[1]!O_3[BLO],[1]!O_3[BLO],,-1))
+
_xlfn.XLOOKUP(G152,[1]!O_3[BLO],[1]!O_3[ILO],,-1)</f>
        <v>31</v>
      </c>
      <c r="N152">
        <f>MAX(DAILY_DATA[[#This Row],[AQI_PM2.5]:[AQI_O3]])</f>
        <v>65</v>
      </c>
      <c r="O152" t="str">
        <f>_xlfn.XLOOKUP(DAILY_DATA[[#This Row],[OVERALL_AQI]],[1]!CATEGORY[AQI_LO],[1]!CATEGORY[CATEGORY],,-1)</f>
        <v>Satisfactory</v>
      </c>
      <c r="P152" t="str" cm="1">
        <f t="array" ref="P152">INDEX(
{"PM2.5","PM10","NO2","SO2","CO","O3"},
MATCH(N152,H152:M152,0)
)</f>
        <v>PM10</v>
      </c>
    </row>
    <row r="153" spans="1:16" x14ac:dyDescent="0.25">
      <c r="A153" s="4">
        <v>45443</v>
      </c>
      <c r="B153">
        <f>ROUND(AVERAGEIFS([1]HOURLY_DATA!B153:B8936,[1]HOURLY_DATA!H153:H8936,Daily_AQI!A153),0)</f>
        <v>26</v>
      </c>
      <c r="C153">
        <f>ROUND(AVERAGEIFS([1]HOURLY_DATA!C153:C8936,[1]HOURLY_DATA!H153:H8936,Daily_AQI!A153),0)</f>
        <v>71</v>
      </c>
      <c r="D153">
        <f>ROUND(AVERAGEIFS([1]HOURLY_DATA!D153:D8936,[1]HOURLY_DATA!H153:H8936,Daily_AQI!A153),0)</f>
        <v>15</v>
      </c>
      <c r="E153">
        <f>ROUND(AVERAGEIFS([1]HOURLY_DATA!E153:E8936,[1]HOURLY_DATA!H153:H8936,Daily_AQI!A153),0)</f>
        <v>8</v>
      </c>
      <c r="F153">
        <f>ROUND(AVERAGEIFS([1]HOURLY_DATA!I153:I8936,[1]HOURLY_DATA!H153:H8936,Daily_AQI!A153),2)</f>
        <v>0.62</v>
      </c>
      <c r="G153">
        <f>ROUND(AVERAGEIFS([1]HOURLY_DATA!J153:J8936,[1]HOURLY_DATA!H153:H8936,Daily_AQI!A153),0)</f>
        <v>32</v>
      </c>
      <c r="H153">
        <f>ROUND(((_xlfn.XLOOKUP(B153,[1]!PM2.5[BLO],[1]!PM2.5[IHI],,-1) - _xlfn.XLOOKUP(B153,[1]!PM2.5[BLO],[1]!PM2.5[ILO],,-1))
/
(_xlfn.XLOOKUP(B153,[1]!PM2.5[BLO],[1]!PM2.5[BHI],,-1) - _xlfn.XLOOKUP(B153,[1]!PM2.5[BLO],[1]!PM2.5[BLO],,-1)))
*
(B153 - _xlfn.XLOOKUP(B153,[1]!PM2.5[BLO],[1]!PM2.5[BLO],,-1))
+
_xlfn.XLOOKUP(B153,[1]!PM2.5[BLO],[1]!PM2.5[ILO],,-1),2)</f>
        <v>43.33</v>
      </c>
      <c r="I153">
        <f>ROUND(((_xlfn.XLOOKUP(C153,[1]!PM_10[BLO],[1]!PM_10[IHI],,-1) - _xlfn.XLOOKUP(C153,[1]!PM_10[BLO],[1]!PM_10[ILO],,-1))
/
(_xlfn.XLOOKUP(C153,[1]!PM_10[BLO],[1]!PM_10[BHI],,-1) - _xlfn.XLOOKUP(C153,[1]!PM_10[BLO],[1]!PM_10[BLO],,-1)))
*
( C153 - _xlfn.XLOOKUP(C153,[1]!PM_10[BLO],[1]!PM_10[BLO],,-1))
+
_xlfn.XLOOKUP(C153,[1]!PM_10[BLO],[1]!PM_10[ILO],,-1),2)</f>
        <v>71</v>
      </c>
      <c r="J153">
        <f>ROUND((( _xlfn.XLOOKUP(D153,[1]!NO_2[BLO],[1]!NO_2[IHI],,-1) - _xlfn.XLOOKUP(D153,[1]!NO_2[BLO],[1]!NO_2[ILO],,-1))
/
( _xlfn.XLOOKUP(D153,[1]!NO_2[BLO],[1]!NO_2[BHI],,-1) - _xlfn.XLOOKUP(D153,[1]!NO_2[BLO],[1]!NO_2[BLO],,-1) ))
*
( D153 - _xlfn.XLOOKUP(D153,[1]!NO_2[BLO],[1]!NO_2[BLO],,-1))
+
_xlfn.XLOOKUP(D153,[1]!NO_2[BLO],[1]!NO_2[ILO],,-1),2)</f>
        <v>18.75</v>
      </c>
      <c r="K153">
        <f>ROUND(( ( _xlfn.XLOOKUP(E153,[1]!SO_2[BLO],[1]!SO_2[IHI],,-1)  - _xlfn.XLOOKUP(E153,[1]!SO_2[BLO],[1]!SO_2[ILO],,-1) )
/
( _xlfn.XLOOKUP(E153,[1]!SO_2[BLO],[1]!SO_2[BHI],,-1)- _xlfn.XLOOKUP(E153,[1]!SO_2[BLO],[1]!SO_2[BLO],,-1) ))
*
( E153 - _xlfn.XLOOKUP(E153,[1]!SO_2[BLO],[1]!SO_2[BLO],,-1) )
+
_xlfn.XLOOKUP(E153,[1]!SO_2[BLO],[1]!SO_2[ILO],,-1),2)</f>
        <v>10</v>
      </c>
      <c r="L153">
        <f>( ( _xlfn.XLOOKUP(F153,[1]!CO[BLO],[1]!CO[IHI],,-1)
- _xlfn.XLOOKUP(F153,[1]!CO[BLO],[1]!CO[ILO],,-1) )
/
( _xlfn.XLOOKUP(F153,[1]!CO[BLO],[1]!CO[BHI],,-1) - _xlfn.XLOOKUP(F153,[1]!CO[BLO],[1]!CO[BLO],,-1)))
*
( F153 - _xlfn.XLOOKUP(F153,[1]!CO[BLO],[1]!CO[BLO],,-1) )
+
_xlfn.XLOOKUP(F153,[1]!CO[BLO],[1]!CO[ILO],,-1)</f>
        <v>31</v>
      </c>
      <c r="M153">
        <f>(( _xlfn.XLOOKUP(G153,[1]!O_3[BLO],[1]!O_3[IHI],,-1) - _xlfn.XLOOKUP(G153,[1]!O_3[BLO],[1]!O_3[ILO],,-1))
/
( _xlfn.XLOOKUP(G153,[1]!O_3[BLO],[1]!O_3[BHI],,-1) - _xlfn.XLOOKUP(G153,[1]!O_3[BLO],[1]!O_3[BLO],,-1)))
*
( G153 - _xlfn.XLOOKUP(G153,[1]!O_3[BLO],[1]!O_3[BLO],,-1))
+
_xlfn.XLOOKUP(G153,[1]!O_3[BLO],[1]!O_3[ILO],,-1)</f>
        <v>32</v>
      </c>
      <c r="N153">
        <f>MAX(DAILY_DATA[[#This Row],[AQI_PM2.5]:[AQI_O3]])</f>
        <v>71</v>
      </c>
      <c r="O153" t="str">
        <f>_xlfn.XLOOKUP(DAILY_DATA[[#This Row],[OVERALL_AQI]],[1]!CATEGORY[AQI_LO],[1]!CATEGORY[CATEGORY],,-1)</f>
        <v>Satisfactory</v>
      </c>
      <c r="P153" t="str" cm="1">
        <f t="array" ref="P153">INDEX(
{"PM2.5","PM10","NO2","SO2","CO","O3"},
MATCH(N153,H153:M153,0)
)</f>
        <v>PM10</v>
      </c>
    </row>
    <row r="154" spans="1:16" x14ac:dyDescent="0.25">
      <c r="A154" s="4">
        <v>45444</v>
      </c>
      <c r="B154">
        <f>ROUND(AVERAGEIFS([1]HOURLY_DATA!B154:B8937,[1]HOURLY_DATA!H154:H8937,Daily_AQI!A154),0)</f>
        <v>24</v>
      </c>
      <c r="C154">
        <f>ROUND(AVERAGEIFS([1]HOURLY_DATA!C154:C8937,[1]HOURLY_DATA!H154:H8937,Daily_AQI!A154),0)</f>
        <v>57</v>
      </c>
      <c r="D154">
        <f>ROUND(AVERAGEIFS([1]HOURLY_DATA!D154:D8937,[1]HOURLY_DATA!H154:H8937,Daily_AQI!A154),0)</f>
        <v>14</v>
      </c>
      <c r="E154">
        <f>ROUND(AVERAGEIFS([1]HOURLY_DATA!E154:E8937,[1]HOURLY_DATA!H154:H8937,Daily_AQI!A154),0)</f>
        <v>7</v>
      </c>
      <c r="F154">
        <f>ROUND(AVERAGEIFS([1]HOURLY_DATA!I154:I8937,[1]HOURLY_DATA!H154:H8937,Daily_AQI!A154),2)</f>
        <v>0.65</v>
      </c>
      <c r="G154">
        <f>ROUND(AVERAGEIFS([1]HOURLY_DATA!J154:J8937,[1]HOURLY_DATA!H154:H8937,Daily_AQI!A154),0)</f>
        <v>30</v>
      </c>
      <c r="H154">
        <f>ROUND(((_xlfn.XLOOKUP(B154,[1]!PM2.5[BLO],[1]!PM2.5[IHI],,-1) - _xlfn.XLOOKUP(B154,[1]!PM2.5[BLO],[1]!PM2.5[ILO],,-1))
/
(_xlfn.XLOOKUP(B154,[1]!PM2.5[BLO],[1]!PM2.5[BHI],,-1) - _xlfn.XLOOKUP(B154,[1]!PM2.5[BLO],[1]!PM2.5[BLO],,-1)))
*
(B154 - _xlfn.XLOOKUP(B154,[1]!PM2.5[BLO],[1]!PM2.5[BLO],,-1))
+
_xlfn.XLOOKUP(B154,[1]!PM2.5[BLO],[1]!PM2.5[ILO],,-1),2)</f>
        <v>40</v>
      </c>
      <c r="I154">
        <f>ROUND(((_xlfn.XLOOKUP(C154,[1]!PM_10[BLO],[1]!PM_10[IHI],,-1) - _xlfn.XLOOKUP(C154,[1]!PM_10[BLO],[1]!PM_10[ILO],,-1))
/
(_xlfn.XLOOKUP(C154,[1]!PM_10[BLO],[1]!PM_10[BHI],,-1) - _xlfn.XLOOKUP(C154,[1]!PM_10[BLO],[1]!PM_10[BLO],,-1)))
*
( C154 - _xlfn.XLOOKUP(C154,[1]!PM_10[BLO],[1]!PM_10[BLO],,-1))
+
_xlfn.XLOOKUP(C154,[1]!PM_10[BLO],[1]!PM_10[ILO],,-1),2)</f>
        <v>57</v>
      </c>
      <c r="J154">
        <f>ROUND((( _xlfn.XLOOKUP(D154,[1]!NO_2[BLO],[1]!NO_2[IHI],,-1) - _xlfn.XLOOKUP(D154,[1]!NO_2[BLO],[1]!NO_2[ILO],,-1))
/
( _xlfn.XLOOKUP(D154,[1]!NO_2[BLO],[1]!NO_2[BHI],,-1) - _xlfn.XLOOKUP(D154,[1]!NO_2[BLO],[1]!NO_2[BLO],,-1) ))
*
( D154 - _xlfn.XLOOKUP(D154,[1]!NO_2[BLO],[1]!NO_2[BLO],,-1))
+
_xlfn.XLOOKUP(D154,[1]!NO_2[BLO],[1]!NO_2[ILO],,-1),2)</f>
        <v>17.5</v>
      </c>
      <c r="K154">
        <f>ROUND(( ( _xlfn.XLOOKUP(E154,[1]!SO_2[BLO],[1]!SO_2[IHI],,-1)  - _xlfn.XLOOKUP(E154,[1]!SO_2[BLO],[1]!SO_2[ILO],,-1) )
/
( _xlfn.XLOOKUP(E154,[1]!SO_2[BLO],[1]!SO_2[BHI],,-1)- _xlfn.XLOOKUP(E154,[1]!SO_2[BLO],[1]!SO_2[BLO],,-1) ))
*
( E154 - _xlfn.XLOOKUP(E154,[1]!SO_2[BLO],[1]!SO_2[BLO],,-1) )
+
_xlfn.XLOOKUP(E154,[1]!SO_2[BLO],[1]!SO_2[ILO],,-1),2)</f>
        <v>8.75</v>
      </c>
      <c r="L154">
        <f>( ( _xlfn.XLOOKUP(F154,[1]!CO[BLO],[1]!CO[IHI],,-1)
- _xlfn.XLOOKUP(F154,[1]!CO[BLO],[1]!CO[ILO],,-1) )
/
( _xlfn.XLOOKUP(F154,[1]!CO[BLO],[1]!CO[BHI],,-1) - _xlfn.XLOOKUP(F154,[1]!CO[BLO],[1]!CO[BLO],,-1)))
*
( F154 - _xlfn.XLOOKUP(F154,[1]!CO[BLO],[1]!CO[BLO],,-1) )
+
_xlfn.XLOOKUP(F154,[1]!CO[BLO],[1]!CO[ILO],,-1)</f>
        <v>32.5</v>
      </c>
      <c r="M154">
        <f>(( _xlfn.XLOOKUP(G154,[1]!O_3[BLO],[1]!O_3[IHI],,-1) - _xlfn.XLOOKUP(G154,[1]!O_3[BLO],[1]!O_3[ILO],,-1))
/
( _xlfn.XLOOKUP(G154,[1]!O_3[BLO],[1]!O_3[BHI],,-1) - _xlfn.XLOOKUP(G154,[1]!O_3[BLO],[1]!O_3[BLO],,-1)))
*
( G154 - _xlfn.XLOOKUP(G154,[1]!O_3[BLO],[1]!O_3[BLO],,-1))
+
_xlfn.XLOOKUP(G154,[1]!O_3[BLO],[1]!O_3[ILO],,-1)</f>
        <v>30</v>
      </c>
      <c r="N154">
        <f>MAX(DAILY_DATA[[#This Row],[AQI_PM2.5]:[AQI_O3]])</f>
        <v>57</v>
      </c>
      <c r="O154" t="str">
        <f>_xlfn.XLOOKUP(DAILY_DATA[[#This Row],[OVERALL_AQI]],[1]!CATEGORY[AQI_LO],[1]!CATEGORY[CATEGORY],,-1)</f>
        <v>Satisfactory</v>
      </c>
      <c r="P154" t="str" cm="1">
        <f t="array" ref="P154">INDEX(
{"PM2.5","PM10","NO2","SO2","CO","O3"},
MATCH(N154,H154:M154,0)
)</f>
        <v>PM10</v>
      </c>
    </row>
    <row r="155" spans="1:16" x14ac:dyDescent="0.25">
      <c r="A155" s="4">
        <v>45445</v>
      </c>
      <c r="B155">
        <f>ROUND(AVERAGEIFS([1]HOURLY_DATA!B155:B8938,[1]HOURLY_DATA!H155:H8938,Daily_AQI!A155),0)</f>
        <v>21</v>
      </c>
      <c r="C155">
        <f>ROUND(AVERAGEIFS([1]HOURLY_DATA!C155:C8938,[1]HOURLY_DATA!H155:H8938,Daily_AQI!A155),0)</f>
        <v>43</v>
      </c>
      <c r="D155">
        <f>ROUND(AVERAGEIFS([1]HOURLY_DATA!D155:D8938,[1]HOURLY_DATA!H155:H8938,Daily_AQI!A155),0)</f>
        <v>15</v>
      </c>
      <c r="E155">
        <f>ROUND(AVERAGEIFS([1]HOURLY_DATA!E155:E8938,[1]HOURLY_DATA!H155:H8938,Daily_AQI!A155),0)</f>
        <v>7</v>
      </c>
      <c r="F155">
        <f>ROUND(AVERAGEIFS([1]HOURLY_DATA!I155:I8938,[1]HOURLY_DATA!H155:H8938,Daily_AQI!A155),2)</f>
        <v>0.69</v>
      </c>
      <c r="G155">
        <f>ROUND(AVERAGEIFS([1]HOURLY_DATA!J155:J8938,[1]HOURLY_DATA!H155:H8938,Daily_AQI!A155),0)</f>
        <v>33</v>
      </c>
      <c r="H155">
        <f>ROUND(((_xlfn.XLOOKUP(B155,[1]!PM2.5[BLO],[1]!PM2.5[IHI],,-1) - _xlfn.XLOOKUP(B155,[1]!PM2.5[BLO],[1]!PM2.5[ILO],,-1))
/
(_xlfn.XLOOKUP(B155,[1]!PM2.5[BLO],[1]!PM2.5[BHI],,-1) - _xlfn.XLOOKUP(B155,[1]!PM2.5[BLO],[1]!PM2.5[BLO],,-1)))
*
(B155 - _xlfn.XLOOKUP(B155,[1]!PM2.5[BLO],[1]!PM2.5[BLO],,-1))
+
_xlfn.XLOOKUP(B155,[1]!PM2.5[BLO],[1]!PM2.5[ILO],,-1),2)</f>
        <v>35</v>
      </c>
      <c r="I155">
        <f>ROUND(((_xlfn.XLOOKUP(C155,[1]!PM_10[BLO],[1]!PM_10[IHI],,-1) - _xlfn.XLOOKUP(C155,[1]!PM_10[BLO],[1]!PM_10[ILO],,-1))
/
(_xlfn.XLOOKUP(C155,[1]!PM_10[BLO],[1]!PM_10[BHI],,-1) - _xlfn.XLOOKUP(C155,[1]!PM_10[BLO],[1]!PM_10[BLO],,-1)))
*
( C155 - _xlfn.XLOOKUP(C155,[1]!PM_10[BLO],[1]!PM_10[BLO],,-1))
+
_xlfn.XLOOKUP(C155,[1]!PM_10[BLO],[1]!PM_10[ILO],,-1),2)</f>
        <v>43</v>
      </c>
      <c r="J155">
        <f>ROUND((( _xlfn.XLOOKUP(D155,[1]!NO_2[BLO],[1]!NO_2[IHI],,-1) - _xlfn.XLOOKUP(D155,[1]!NO_2[BLO],[1]!NO_2[ILO],,-1))
/
( _xlfn.XLOOKUP(D155,[1]!NO_2[BLO],[1]!NO_2[BHI],,-1) - _xlfn.XLOOKUP(D155,[1]!NO_2[BLO],[1]!NO_2[BLO],,-1) ))
*
( D155 - _xlfn.XLOOKUP(D155,[1]!NO_2[BLO],[1]!NO_2[BLO],,-1))
+
_xlfn.XLOOKUP(D155,[1]!NO_2[BLO],[1]!NO_2[ILO],,-1),2)</f>
        <v>18.75</v>
      </c>
      <c r="K155">
        <f>ROUND(( ( _xlfn.XLOOKUP(E155,[1]!SO_2[BLO],[1]!SO_2[IHI],,-1)  - _xlfn.XLOOKUP(E155,[1]!SO_2[BLO],[1]!SO_2[ILO],,-1) )
/
( _xlfn.XLOOKUP(E155,[1]!SO_2[BLO],[1]!SO_2[BHI],,-1)- _xlfn.XLOOKUP(E155,[1]!SO_2[BLO],[1]!SO_2[BLO],,-1) ))
*
( E155 - _xlfn.XLOOKUP(E155,[1]!SO_2[BLO],[1]!SO_2[BLO],,-1) )
+
_xlfn.XLOOKUP(E155,[1]!SO_2[BLO],[1]!SO_2[ILO],,-1),2)</f>
        <v>8.75</v>
      </c>
      <c r="L155">
        <f>( ( _xlfn.XLOOKUP(F155,[1]!CO[BLO],[1]!CO[IHI],,-1)
- _xlfn.XLOOKUP(F155,[1]!CO[BLO],[1]!CO[ILO],,-1) )
/
( _xlfn.XLOOKUP(F155,[1]!CO[BLO],[1]!CO[BHI],,-1) - _xlfn.XLOOKUP(F155,[1]!CO[BLO],[1]!CO[BLO],,-1)))
*
( F155 - _xlfn.XLOOKUP(F155,[1]!CO[BLO],[1]!CO[BLO],,-1) )
+
_xlfn.XLOOKUP(F155,[1]!CO[BLO],[1]!CO[ILO],,-1)</f>
        <v>34.5</v>
      </c>
      <c r="M155">
        <f>(( _xlfn.XLOOKUP(G155,[1]!O_3[BLO],[1]!O_3[IHI],,-1) - _xlfn.XLOOKUP(G155,[1]!O_3[BLO],[1]!O_3[ILO],,-1))
/
( _xlfn.XLOOKUP(G155,[1]!O_3[BLO],[1]!O_3[BHI],,-1) - _xlfn.XLOOKUP(G155,[1]!O_3[BLO],[1]!O_3[BLO],,-1)))
*
( G155 - _xlfn.XLOOKUP(G155,[1]!O_3[BLO],[1]!O_3[BLO],,-1))
+
_xlfn.XLOOKUP(G155,[1]!O_3[BLO],[1]!O_3[ILO],,-1)</f>
        <v>33</v>
      </c>
      <c r="N155">
        <f>MAX(DAILY_DATA[[#This Row],[AQI_PM2.5]:[AQI_O3]])</f>
        <v>43</v>
      </c>
      <c r="O155" t="str">
        <f>_xlfn.XLOOKUP(DAILY_DATA[[#This Row],[OVERALL_AQI]],[1]!CATEGORY[AQI_LO],[1]!CATEGORY[CATEGORY],,-1)</f>
        <v>Good</v>
      </c>
      <c r="P155" t="str" cm="1">
        <f t="array" ref="P155">INDEX(
{"PM2.5","PM10","NO2","SO2","CO","O3"},
MATCH(N155,H155:M155,0)
)</f>
        <v>PM10</v>
      </c>
    </row>
    <row r="156" spans="1:16" x14ac:dyDescent="0.25">
      <c r="A156" s="4">
        <v>45446</v>
      </c>
      <c r="B156">
        <f>ROUND(AVERAGEIFS([1]HOURLY_DATA!B156:B8939,[1]HOURLY_DATA!H156:H8939,Daily_AQI!A156),0)</f>
        <v>18</v>
      </c>
      <c r="C156">
        <f>ROUND(AVERAGEIFS([1]HOURLY_DATA!C156:C8939,[1]HOURLY_DATA!H156:H8939,Daily_AQI!A156),0)</f>
        <v>44</v>
      </c>
      <c r="D156">
        <f>ROUND(AVERAGEIFS([1]HOURLY_DATA!D156:D8939,[1]HOURLY_DATA!H156:H8939,Daily_AQI!A156),0)</f>
        <v>15</v>
      </c>
      <c r="E156">
        <f>ROUND(AVERAGEIFS([1]HOURLY_DATA!E156:E8939,[1]HOURLY_DATA!H156:H8939,Daily_AQI!A156),0)</f>
        <v>7</v>
      </c>
      <c r="F156">
        <f>ROUND(AVERAGEIFS([1]HOURLY_DATA!I156:I8939,[1]HOURLY_DATA!H156:H8939,Daily_AQI!A156),2)</f>
        <v>0.74</v>
      </c>
      <c r="G156">
        <f>ROUND(AVERAGEIFS([1]HOURLY_DATA!J156:J8939,[1]HOURLY_DATA!H156:H8939,Daily_AQI!A156),0)</f>
        <v>35</v>
      </c>
      <c r="H156">
        <f>ROUND(((_xlfn.XLOOKUP(B156,[1]!PM2.5[BLO],[1]!PM2.5[IHI],,-1) - _xlfn.XLOOKUP(B156,[1]!PM2.5[BLO],[1]!PM2.5[ILO],,-1))
/
(_xlfn.XLOOKUP(B156,[1]!PM2.5[BLO],[1]!PM2.5[BHI],,-1) - _xlfn.XLOOKUP(B156,[1]!PM2.5[BLO],[1]!PM2.5[BLO],,-1)))
*
(B156 - _xlfn.XLOOKUP(B156,[1]!PM2.5[BLO],[1]!PM2.5[BLO],,-1))
+
_xlfn.XLOOKUP(B156,[1]!PM2.5[BLO],[1]!PM2.5[ILO],,-1),2)</f>
        <v>30</v>
      </c>
      <c r="I156">
        <f>ROUND(((_xlfn.XLOOKUP(C156,[1]!PM_10[BLO],[1]!PM_10[IHI],,-1) - _xlfn.XLOOKUP(C156,[1]!PM_10[BLO],[1]!PM_10[ILO],,-1))
/
(_xlfn.XLOOKUP(C156,[1]!PM_10[BLO],[1]!PM_10[BHI],,-1) - _xlfn.XLOOKUP(C156,[1]!PM_10[BLO],[1]!PM_10[BLO],,-1)))
*
( C156 - _xlfn.XLOOKUP(C156,[1]!PM_10[BLO],[1]!PM_10[BLO],,-1))
+
_xlfn.XLOOKUP(C156,[1]!PM_10[BLO],[1]!PM_10[ILO],,-1),2)</f>
        <v>44</v>
      </c>
      <c r="J156">
        <f>ROUND((( _xlfn.XLOOKUP(D156,[1]!NO_2[BLO],[1]!NO_2[IHI],,-1) - _xlfn.XLOOKUP(D156,[1]!NO_2[BLO],[1]!NO_2[ILO],,-1))
/
( _xlfn.XLOOKUP(D156,[1]!NO_2[BLO],[1]!NO_2[BHI],,-1) - _xlfn.XLOOKUP(D156,[1]!NO_2[BLO],[1]!NO_2[BLO],,-1) ))
*
( D156 - _xlfn.XLOOKUP(D156,[1]!NO_2[BLO],[1]!NO_2[BLO],,-1))
+
_xlfn.XLOOKUP(D156,[1]!NO_2[BLO],[1]!NO_2[ILO],,-1),2)</f>
        <v>18.75</v>
      </c>
      <c r="K156">
        <f>ROUND(( ( _xlfn.XLOOKUP(E156,[1]!SO_2[BLO],[1]!SO_2[IHI],,-1)  - _xlfn.XLOOKUP(E156,[1]!SO_2[BLO],[1]!SO_2[ILO],,-1) )
/
( _xlfn.XLOOKUP(E156,[1]!SO_2[BLO],[1]!SO_2[BHI],,-1)- _xlfn.XLOOKUP(E156,[1]!SO_2[BLO],[1]!SO_2[BLO],,-1) ))
*
( E156 - _xlfn.XLOOKUP(E156,[1]!SO_2[BLO],[1]!SO_2[BLO],,-1) )
+
_xlfn.XLOOKUP(E156,[1]!SO_2[BLO],[1]!SO_2[ILO],,-1),2)</f>
        <v>8.75</v>
      </c>
      <c r="L156">
        <f>( ( _xlfn.XLOOKUP(F156,[1]!CO[BLO],[1]!CO[IHI],,-1)
- _xlfn.XLOOKUP(F156,[1]!CO[BLO],[1]!CO[ILO],,-1) )
/
( _xlfn.XLOOKUP(F156,[1]!CO[BLO],[1]!CO[BHI],,-1) - _xlfn.XLOOKUP(F156,[1]!CO[BLO],[1]!CO[BLO],,-1)))
*
( F156 - _xlfn.XLOOKUP(F156,[1]!CO[BLO],[1]!CO[BLO],,-1) )
+
_xlfn.XLOOKUP(F156,[1]!CO[BLO],[1]!CO[ILO],,-1)</f>
        <v>37</v>
      </c>
      <c r="M156">
        <f>(( _xlfn.XLOOKUP(G156,[1]!O_3[BLO],[1]!O_3[IHI],,-1) - _xlfn.XLOOKUP(G156,[1]!O_3[BLO],[1]!O_3[ILO],,-1))
/
( _xlfn.XLOOKUP(G156,[1]!O_3[BLO],[1]!O_3[BHI],,-1) - _xlfn.XLOOKUP(G156,[1]!O_3[BLO],[1]!O_3[BLO],,-1)))
*
( G156 - _xlfn.XLOOKUP(G156,[1]!O_3[BLO],[1]!O_3[BLO],,-1))
+
_xlfn.XLOOKUP(G156,[1]!O_3[BLO],[1]!O_3[ILO],,-1)</f>
        <v>35</v>
      </c>
      <c r="N156">
        <f>MAX(DAILY_DATA[[#This Row],[AQI_PM2.5]:[AQI_O3]])</f>
        <v>44</v>
      </c>
      <c r="O156" t="str">
        <f>_xlfn.XLOOKUP(DAILY_DATA[[#This Row],[OVERALL_AQI]],[1]!CATEGORY[AQI_LO],[1]!CATEGORY[CATEGORY],,-1)</f>
        <v>Good</v>
      </c>
      <c r="P156" t="str" cm="1">
        <f t="array" ref="P156">INDEX(
{"PM2.5","PM10","NO2","SO2","CO","O3"},
MATCH(N156,H156:M156,0)
)</f>
        <v>PM10</v>
      </c>
    </row>
    <row r="157" spans="1:16" x14ac:dyDescent="0.25">
      <c r="A157" s="4">
        <v>45447</v>
      </c>
      <c r="B157">
        <f>ROUND(AVERAGEIFS([1]HOURLY_DATA!B157:B8940,[1]HOURLY_DATA!H157:H8940,Daily_AQI!A157),0)</f>
        <v>20</v>
      </c>
      <c r="C157">
        <f>ROUND(AVERAGEIFS([1]HOURLY_DATA!C157:C8940,[1]HOURLY_DATA!H157:H8940,Daily_AQI!A157),0)</f>
        <v>46</v>
      </c>
      <c r="D157">
        <f>ROUND(AVERAGEIFS([1]HOURLY_DATA!D157:D8940,[1]HOURLY_DATA!H157:H8940,Daily_AQI!A157),0)</f>
        <v>15</v>
      </c>
      <c r="E157">
        <f>ROUND(AVERAGEIFS([1]HOURLY_DATA!E157:E8940,[1]HOURLY_DATA!H157:H8940,Daily_AQI!A157),0)</f>
        <v>9</v>
      </c>
      <c r="F157">
        <f>ROUND(AVERAGEIFS([1]HOURLY_DATA!I157:I8940,[1]HOURLY_DATA!H157:H8940,Daily_AQI!A157),2)</f>
        <v>0.63</v>
      </c>
      <c r="G157">
        <f>ROUND(AVERAGEIFS([1]HOURLY_DATA!J157:J8940,[1]HOURLY_DATA!H157:H8940,Daily_AQI!A157),0)</f>
        <v>32</v>
      </c>
      <c r="H157">
        <f>ROUND(((_xlfn.XLOOKUP(B157,[1]!PM2.5[BLO],[1]!PM2.5[IHI],,-1) - _xlfn.XLOOKUP(B157,[1]!PM2.5[BLO],[1]!PM2.5[ILO],,-1))
/
(_xlfn.XLOOKUP(B157,[1]!PM2.5[BLO],[1]!PM2.5[BHI],,-1) - _xlfn.XLOOKUP(B157,[1]!PM2.5[BLO],[1]!PM2.5[BLO],,-1)))
*
(B157 - _xlfn.XLOOKUP(B157,[1]!PM2.5[BLO],[1]!PM2.5[BLO],,-1))
+
_xlfn.XLOOKUP(B157,[1]!PM2.5[BLO],[1]!PM2.5[ILO],,-1),2)</f>
        <v>33.33</v>
      </c>
      <c r="I157">
        <f>ROUND(((_xlfn.XLOOKUP(C157,[1]!PM_10[BLO],[1]!PM_10[IHI],,-1) - _xlfn.XLOOKUP(C157,[1]!PM_10[BLO],[1]!PM_10[ILO],,-1))
/
(_xlfn.XLOOKUP(C157,[1]!PM_10[BLO],[1]!PM_10[BHI],,-1) - _xlfn.XLOOKUP(C157,[1]!PM_10[BLO],[1]!PM_10[BLO],,-1)))
*
( C157 - _xlfn.XLOOKUP(C157,[1]!PM_10[BLO],[1]!PM_10[BLO],,-1))
+
_xlfn.XLOOKUP(C157,[1]!PM_10[BLO],[1]!PM_10[ILO],,-1),2)</f>
        <v>46</v>
      </c>
      <c r="J157">
        <f>ROUND((( _xlfn.XLOOKUP(D157,[1]!NO_2[BLO],[1]!NO_2[IHI],,-1) - _xlfn.XLOOKUP(D157,[1]!NO_2[BLO],[1]!NO_2[ILO],,-1))
/
( _xlfn.XLOOKUP(D157,[1]!NO_2[BLO],[1]!NO_2[BHI],,-1) - _xlfn.XLOOKUP(D157,[1]!NO_2[BLO],[1]!NO_2[BLO],,-1) ))
*
( D157 - _xlfn.XLOOKUP(D157,[1]!NO_2[BLO],[1]!NO_2[BLO],,-1))
+
_xlfn.XLOOKUP(D157,[1]!NO_2[BLO],[1]!NO_2[ILO],,-1),2)</f>
        <v>18.75</v>
      </c>
      <c r="K157">
        <f>ROUND(( ( _xlfn.XLOOKUP(E157,[1]!SO_2[BLO],[1]!SO_2[IHI],,-1)  - _xlfn.XLOOKUP(E157,[1]!SO_2[BLO],[1]!SO_2[ILO],,-1) )
/
( _xlfn.XLOOKUP(E157,[1]!SO_2[BLO],[1]!SO_2[BHI],,-1)- _xlfn.XLOOKUP(E157,[1]!SO_2[BLO],[1]!SO_2[BLO],,-1) ))
*
( E157 - _xlfn.XLOOKUP(E157,[1]!SO_2[BLO],[1]!SO_2[BLO],,-1) )
+
_xlfn.XLOOKUP(E157,[1]!SO_2[BLO],[1]!SO_2[ILO],,-1),2)</f>
        <v>11.25</v>
      </c>
      <c r="L157">
        <f>( ( _xlfn.XLOOKUP(F157,[1]!CO[BLO],[1]!CO[IHI],,-1)
- _xlfn.XLOOKUP(F157,[1]!CO[BLO],[1]!CO[ILO],,-1) )
/
( _xlfn.XLOOKUP(F157,[1]!CO[BLO],[1]!CO[BHI],,-1) - _xlfn.XLOOKUP(F157,[1]!CO[BLO],[1]!CO[BLO],,-1)))
*
( F157 - _xlfn.XLOOKUP(F157,[1]!CO[BLO],[1]!CO[BLO],,-1) )
+
_xlfn.XLOOKUP(F157,[1]!CO[BLO],[1]!CO[ILO],,-1)</f>
        <v>31.5</v>
      </c>
      <c r="M157">
        <f>(( _xlfn.XLOOKUP(G157,[1]!O_3[BLO],[1]!O_3[IHI],,-1) - _xlfn.XLOOKUP(G157,[1]!O_3[BLO],[1]!O_3[ILO],,-1))
/
( _xlfn.XLOOKUP(G157,[1]!O_3[BLO],[1]!O_3[BHI],,-1) - _xlfn.XLOOKUP(G157,[1]!O_3[BLO],[1]!O_3[BLO],,-1)))
*
( G157 - _xlfn.XLOOKUP(G157,[1]!O_3[BLO],[1]!O_3[BLO],,-1))
+
_xlfn.XLOOKUP(G157,[1]!O_3[BLO],[1]!O_3[ILO],,-1)</f>
        <v>32</v>
      </c>
      <c r="N157">
        <f>MAX(DAILY_DATA[[#This Row],[AQI_PM2.5]:[AQI_O3]])</f>
        <v>46</v>
      </c>
      <c r="O157" t="str">
        <f>_xlfn.XLOOKUP(DAILY_DATA[[#This Row],[OVERALL_AQI]],[1]!CATEGORY[AQI_LO],[1]!CATEGORY[CATEGORY],,-1)</f>
        <v>Good</v>
      </c>
      <c r="P157" t="str" cm="1">
        <f t="array" ref="P157">INDEX(
{"PM2.5","PM10","NO2","SO2","CO","O3"},
MATCH(N157,H157:M157,0)
)</f>
        <v>PM10</v>
      </c>
    </row>
    <row r="158" spans="1:16" x14ac:dyDescent="0.25">
      <c r="A158" s="4">
        <v>45448</v>
      </c>
      <c r="B158">
        <f>ROUND(AVERAGEIFS([1]HOURLY_DATA!B158:B8941,[1]HOURLY_DATA!H158:H8941,Daily_AQI!A158),0)</f>
        <v>19</v>
      </c>
      <c r="C158">
        <f>ROUND(AVERAGEIFS([1]HOURLY_DATA!C158:C8941,[1]HOURLY_DATA!H158:H8941,Daily_AQI!A158),0)</f>
        <v>47</v>
      </c>
      <c r="D158">
        <f>ROUND(AVERAGEIFS([1]HOURLY_DATA!D158:D8941,[1]HOURLY_DATA!H158:H8941,Daily_AQI!A158),0)</f>
        <v>16</v>
      </c>
      <c r="E158">
        <f>ROUND(AVERAGEIFS([1]HOURLY_DATA!E158:E8941,[1]HOURLY_DATA!H158:H8941,Daily_AQI!A158),0)</f>
        <v>8</v>
      </c>
      <c r="F158">
        <f>ROUND(AVERAGEIFS([1]HOURLY_DATA!I158:I8941,[1]HOURLY_DATA!H158:H8941,Daily_AQI!A158),2)</f>
        <v>0.6</v>
      </c>
      <c r="G158">
        <f>ROUND(AVERAGEIFS([1]HOURLY_DATA!J158:J8941,[1]HOURLY_DATA!H158:H8941,Daily_AQI!A158),0)</f>
        <v>29</v>
      </c>
      <c r="H158">
        <f>ROUND(((_xlfn.XLOOKUP(B158,[1]!PM2.5[BLO],[1]!PM2.5[IHI],,-1) - _xlfn.XLOOKUP(B158,[1]!PM2.5[BLO],[1]!PM2.5[ILO],,-1))
/
(_xlfn.XLOOKUP(B158,[1]!PM2.5[BLO],[1]!PM2.5[BHI],,-1) - _xlfn.XLOOKUP(B158,[1]!PM2.5[BLO],[1]!PM2.5[BLO],,-1)))
*
(B158 - _xlfn.XLOOKUP(B158,[1]!PM2.5[BLO],[1]!PM2.5[BLO],,-1))
+
_xlfn.XLOOKUP(B158,[1]!PM2.5[BLO],[1]!PM2.5[ILO],,-1),2)</f>
        <v>31.67</v>
      </c>
      <c r="I158">
        <f>ROUND(((_xlfn.XLOOKUP(C158,[1]!PM_10[BLO],[1]!PM_10[IHI],,-1) - _xlfn.XLOOKUP(C158,[1]!PM_10[BLO],[1]!PM_10[ILO],,-1))
/
(_xlfn.XLOOKUP(C158,[1]!PM_10[BLO],[1]!PM_10[BHI],,-1) - _xlfn.XLOOKUP(C158,[1]!PM_10[BLO],[1]!PM_10[BLO],,-1)))
*
( C158 - _xlfn.XLOOKUP(C158,[1]!PM_10[BLO],[1]!PM_10[BLO],,-1))
+
_xlfn.XLOOKUP(C158,[1]!PM_10[BLO],[1]!PM_10[ILO],,-1),2)</f>
        <v>47</v>
      </c>
      <c r="J158">
        <f>ROUND((( _xlfn.XLOOKUP(D158,[1]!NO_2[BLO],[1]!NO_2[IHI],,-1) - _xlfn.XLOOKUP(D158,[1]!NO_2[BLO],[1]!NO_2[ILO],,-1))
/
( _xlfn.XLOOKUP(D158,[1]!NO_2[BLO],[1]!NO_2[BHI],,-1) - _xlfn.XLOOKUP(D158,[1]!NO_2[BLO],[1]!NO_2[BLO],,-1) ))
*
( D158 - _xlfn.XLOOKUP(D158,[1]!NO_2[BLO],[1]!NO_2[BLO],,-1))
+
_xlfn.XLOOKUP(D158,[1]!NO_2[BLO],[1]!NO_2[ILO],,-1),2)</f>
        <v>20</v>
      </c>
      <c r="K158">
        <f>ROUND(( ( _xlfn.XLOOKUP(E158,[1]!SO_2[BLO],[1]!SO_2[IHI],,-1)  - _xlfn.XLOOKUP(E158,[1]!SO_2[BLO],[1]!SO_2[ILO],,-1) )
/
( _xlfn.XLOOKUP(E158,[1]!SO_2[BLO],[1]!SO_2[BHI],,-1)- _xlfn.XLOOKUP(E158,[1]!SO_2[BLO],[1]!SO_2[BLO],,-1) ))
*
( E158 - _xlfn.XLOOKUP(E158,[1]!SO_2[BLO],[1]!SO_2[BLO],,-1) )
+
_xlfn.XLOOKUP(E158,[1]!SO_2[BLO],[1]!SO_2[ILO],,-1),2)</f>
        <v>10</v>
      </c>
      <c r="L158">
        <f>( ( _xlfn.XLOOKUP(F158,[1]!CO[BLO],[1]!CO[IHI],,-1)
- _xlfn.XLOOKUP(F158,[1]!CO[BLO],[1]!CO[ILO],,-1) )
/
( _xlfn.XLOOKUP(F158,[1]!CO[BLO],[1]!CO[BHI],,-1) - _xlfn.XLOOKUP(F158,[1]!CO[BLO],[1]!CO[BLO],,-1)))
*
( F158 - _xlfn.XLOOKUP(F158,[1]!CO[BLO],[1]!CO[BLO],,-1) )
+
_xlfn.XLOOKUP(F158,[1]!CO[BLO],[1]!CO[ILO],,-1)</f>
        <v>30</v>
      </c>
      <c r="M158">
        <f>(( _xlfn.XLOOKUP(G158,[1]!O_3[BLO],[1]!O_3[IHI],,-1) - _xlfn.XLOOKUP(G158,[1]!O_3[BLO],[1]!O_3[ILO],,-1))
/
( _xlfn.XLOOKUP(G158,[1]!O_3[BLO],[1]!O_3[BHI],,-1) - _xlfn.XLOOKUP(G158,[1]!O_3[BLO],[1]!O_3[BLO],,-1)))
*
( G158 - _xlfn.XLOOKUP(G158,[1]!O_3[BLO],[1]!O_3[BLO],,-1))
+
_xlfn.XLOOKUP(G158,[1]!O_3[BLO],[1]!O_3[ILO],,-1)</f>
        <v>29</v>
      </c>
      <c r="N158">
        <f>MAX(DAILY_DATA[[#This Row],[AQI_PM2.5]:[AQI_O3]])</f>
        <v>47</v>
      </c>
      <c r="O158" t="str">
        <f>_xlfn.XLOOKUP(DAILY_DATA[[#This Row],[OVERALL_AQI]],[1]!CATEGORY[AQI_LO],[1]!CATEGORY[CATEGORY],,-1)</f>
        <v>Good</v>
      </c>
      <c r="P158" t="str" cm="1">
        <f t="array" ref="P158">INDEX(
{"PM2.5","PM10","NO2","SO2","CO","O3"},
MATCH(N158,H158:M158,0)
)</f>
        <v>PM10</v>
      </c>
    </row>
    <row r="159" spans="1:16" x14ac:dyDescent="0.25">
      <c r="A159" s="4">
        <v>45449</v>
      </c>
      <c r="B159">
        <f>ROUND(AVERAGEIFS([1]HOURLY_DATA!B159:B8942,[1]HOURLY_DATA!H159:H8942,Daily_AQI!A159),0)</f>
        <v>15</v>
      </c>
      <c r="C159">
        <f>ROUND(AVERAGEIFS([1]HOURLY_DATA!C159:C8942,[1]HOURLY_DATA!H159:H8942,Daily_AQI!A159),0)</f>
        <v>41</v>
      </c>
      <c r="D159">
        <f>ROUND(AVERAGEIFS([1]HOURLY_DATA!D159:D8942,[1]HOURLY_DATA!H159:H8942,Daily_AQI!A159),0)</f>
        <v>15</v>
      </c>
      <c r="E159">
        <f>ROUND(AVERAGEIFS([1]HOURLY_DATA!E159:E8942,[1]HOURLY_DATA!H159:H8942,Daily_AQI!A159),0)</f>
        <v>8</v>
      </c>
      <c r="F159">
        <f>ROUND(AVERAGEIFS([1]HOURLY_DATA!I159:I8942,[1]HOURLY_DATA!H159:H8942,Daily_AQI!A159),2)</f>
        <v>0.63</v>
      </c>
      <c r="G159">
        <f>ROUND(AVERAGEIFS([1]HOURLY_DATA!J159:J8942,[1]HOURLY_DATA!H159:H8942,Daily_AQI!A159),0)</f>
        <v>26</v>
      </c>
      <c r="H159">
        <f>ROUND(((_xlfn.XLOOKUP(B159,[1]!PM2.5[BLO],[1]!PM2.5[IHI],,-1) - _xlfn.XLOOKUP(B159,[1]!PM2.5[BLO],[1]!PM2.5[ILO],,-1))
/
(_xlfn.XLOOKUP(B159,[1]!PM2.5[BLO],[1]!PM2.5[BHI],,-1) - _xlfn.XLOOKUP(B159,[1]!PM2.5[BLO],[1]!PM2.5[BLO],,-1)))
*
(B159 - _xlfn.XLOOKUP(B159,[1]!PM2.5[BLO],[1]!PM2.5[BLO],,-1))
+
_xlfn.XLOOKUP(B159,[1]!PM2.5[BLO],[1]!PM2.5[ILO],,-1),2)</f>
        <v>25</v>
      </c>
      <c r="I159">
        <f>ROUND(((_xlfn.XLOOKUP(C159,[1]!PM_10[BLO],[1]!PM_10[IHI],,-1) - _xlfn.XLOOKUP(C159,[1]!PM_10[BLO],[1]!PM_10[ILO],,-1))
/
(_xlfn.XLOOKUP(C159,[1]!PM_10[BLO],[1]!PM_10[BHI],,-1) - _xlfn.XLOOKUP(C159,[1]!PM_10[BLO],[1]!PM_10[BLO],,-1)))
*
( C159 - _xlfn.XLOOKUP(C159,[1]!PM_10[BLO],[1]!PM_10[BLO],,-1))
+
_xlfn.XLOOKUP(C159,[1]!PM_10[BLO],[1]!PM_10[ILO],,-1),2)</f>
        <v>41</v>
      </c>
      <c r="J159">
        <f>ROUND((( _xlfn.XLOOKUP(D159,[1]!NO_2[BLO],[1]!NO_2[IHI],,-1) - _xlfn.XLOOKUP(D159,[1]!NO_2[BLO],[1]!NO_2[ILO],,-1))
/
( _xlfn.XLOOKUP(D159,[1]!NO_2[BLO],[1]!NO_2[BHI],,-1) - _xlfn.XLOOKUP(D159,[1]!NO_2[BLO],[1]!NO_2[BLO],,-1) ))
*
( D159 - _xlfn.XLOOKUP(D159,[1]!NO_2[BLO],[1]!NO_2[BLO],,-1))
+
_xlfn.XLOOKUP(D159,[1]!NO_2[BLO],[1]!NO_2[ILO],,-1),2)</f>
        <v>18.75</v>
      </c>
      <c r="K159">
        <f>ROUND(( ( _xlfn.XLOOKUP(E159,[1]!SO_2[BLO],[1]!SO_2[IHI],,-1)  - _xlfn.XLOOKUP(E159,[1]!SO_2[BLO],[1]!SO_2[ILO],,-1) )
/
( _xlfn.XLOOKUP(E159,[1]!SO_2[BLO],[1]!SO_2[BHI],,-1)- _xlfn.XLOOKUP(E159,[1]!SO_2[BLO],[1]!SO_2[BLO],,-1) ))
*
( E159 - _xlfn.XLOOKUP(E159,[1]!SO_2[BLO],[1]!SO_2[BLO],,-1) )
+
_xlfn.XLOOKUP(E159,[1]!SO_2[BLO],[1]!SO_2[ILO],,-1),2)</f>
        <v>10</v>
      </c>
      <c r="L159">
        <f>( ( _xlfn.XLOOKUP(F159,[1]!CO[BLO],[1]!CO[IHI],,-1)
- _xlfn.XLOOKUP(F159,[1]!CO[BLO],[1]!CO[ILO],,-1) )
/
( _xlfn.XLOOKUP(F159,[1]!CO[BLO],[1]!CO[BHI],,-1) - _xlfn.XLOOKUP(F159,[1]!CO[BLO],[1]!CO[BLO],,-1)))
*
( F159 - _xlfn.XLOOKUP(F159,[1]!CO[BLO],[1]!CO[BLO],,-1) )
+
_xlfn.XLOOKUP(F159,[1]!CO[BLO],[1]!CO[ILO],,-1)</f>
        <v>31.5</v>
      </c>
      <c r="M159">
        <f>(( _xlfn.XLOOKUP(G159,[1]!O_3[BLO],[1]!O_3[IHI],,-1) - _xlfn.XLOOKUP(G159,[1]!O_3[BLO],[1]!O_3[ILO],,-1))
/
( _xlfn.XLOOKUP(G159,[1]!O_3[BLO],[1]!O_3[BHI],,-1) - _xlfn.XLOOKUP(G159,[1]!O_3[BLO],[1]!O_3[BLO],,-1)))
*
( G159 - _xlfn.XLOOKUP(G159,[1]!O_3[BLO],[1]!O_3[BLO],,-1))
+
_xlfn.XLOOKUP(G159,[1]!O_3[BLO],[1]!O_3[ILO],,-1)</f>
        <v>26</v>
      </c>
      <c r="N159">
        <f>MAX(DAILY_DATA[[#This Row],[AQI_PM2.5]:[AQI_O3]])</f>
        <v>41</v>
      </c>
      <c r="O159" t="str">
        <f>_xlfn.XLOOKUP(DAILY_DATA[[#This Row],[OVERALL_AQI]],[1]!CATEGORY[AQI_LO],[1]!CATEGORY[CATEGORY],,-1)</f>
        <v>Good</v>
      </c>
      <c r="P159" t="str" cm="1">
        <f t="array" ref="P159">INDEX(
{"PM2.5","PM10","NO2","SO2","CO","O3"},
MATCH(N159,H159:M159,0)
)</f>
        <v>PM10</v>
      </c>
    </row>
    <row r="160" spans="1:16" x14ac:dyDescent="0.25">
      <c r="A160" s="4">
        <v>45450</v>
      </c>
      <c r="B160">
        <f>ROUND(AVERAGEIFS([1]HOURLY_DATA!B160:B8943,[1]HOURLY_DATA!H160:H8943,Daily_AQI!A160),0)</f>
        <v>14</v>
      </c>
      <c r="C160">
        <f>ROUND(AVERAGEIFS([1]HOURLY_DATA!C160:C8943,[1]HOURLY_DATA!H160:H8943,Daily_AQI!A160),0)</f>
        <v>32</v>
      </c>
      <c r="D160">
        <f>ROUND(AVERAGEIFS([1]HOURLY_DATA!D160:D8943,[1]HOURLY_DATA!H160:H8943,Daily_AQI!A160),0)</f>
        <v>16</v>
      </c>
      <c r="E160">
        <f>ROUND(AVERAGEIFS([1]HOURLY_DATA!E160:E8943,[1]HOURLY_DATA!H160:H8943,Daily_AQI!A160),0)</f>
        <v>8</v>
      </c>
      <c r="F160">
        <f>ROUND(AVERAGEIFS([1]HOURLY_DATA!I160:I8943,[1]HOURLY_DATA!H160:H8943,Daily_AQI!A160),2)</f>
        <v>0.59</v>
      </c>
      <c r="G160">
        <f>ROUND(AVERAGEIFS([1]HOURLY_DATA!J160:J8943,[1]HOURLY_DATA!H160:H8943,Daily_AQI!A160),0)</f>
        <v>25</v>
      </c>
      <c r="H160">
        <f>ROUND(((_xlfn.XLOOKUP(B160,[1]!PM2.5[BLO],[1]!PM2.5[IHI],,-1) - _xlfn.XLOOKUP(B160,[1]!PM2.5[BLO],[1]!PM2.5[ILO],,-1))
/
(_xlfn.XLOOKUP(B160,[1]!PM2.5[BLO],[1]!PM2.5[BHI],,-1) - _xlfn.XLOOKUP(B160,[1]!PM2.5[BLO],[1]!PM2.5[BLO],,-1)))
*
(B160 - _xlfn.XLOOKUP(B160,[1]!PM2.5[BLO],[1]!PM2.5[BLO],,-1))
+
_xlfn.XLOOKUP(B160,[1]!PM2.5[BLO],[1]!PM2.5[ILO],,-1),2)</f>
        <v>23.33</v>
      </c>
      <c r="I160">
        <f>ROUND(((_xlfn.XLOOKUP(C160,[1]!PM_10[BLO],[1]!PM_10[IHI],,-1) - _xlfn.XLOOKUP(C160,[1]!PM_10[BLO],[1]!PM_10[ILO],,-1))
/
(_xlfn.XLOOKUP(C160,[1]!PM_10[BLO],[1]!PM_10[BHI],,-1) - _xlfn.XLOOKUP(C160,[1]!PM_10[BLO],[1]!PM_10[BLO],,-1)))
*
( C160 - _xlfn.XLOOKUP(C160,[1]!PM_10[BLO],[1]!PM_10[BLO],,-1))
+
_xlfn.XLOOKUP(C160,[1]!PM_10[BLO],[1]!PM_10[ILO],,-1),2)</f>
        <v>32</v>
      </c>
      <c r="J160">
        <f>ROUND((( _xlfn.XLOOKUP(D160,[1]!NO_2[BLO],[1]!NO_2[IHI],,-1) - _xlfn.XLOOKUP(D160,[1]!NO_2[BLO],[1]!NO_2[ILO],,-1))
/
( _xlfn.XLOOKUP(D160,[1]!NO_2[BLO],[1]!NO_2[BHI],,-1) - _xlfn.XLOOKUP(D160,[1]!NO_2[BLO],[1]!NO_2[BLO],,-1) ))
*
( D160 - _xlfn.XLOOKUP(D160,[1]!NO_2[BLO],[1]!NO_2[BLO],,-1))
+
_xlfn.XLOOKUP(D160,[1]!NO_2[BLO],[1]!NO_2[ILO],,-1),2)</f>
        <v>20</v>
      </c>
      <c r="K160">
        <f>ROUND(( ( _xlfn.XLOOKUP(E160,[1]!SO_2[BLO],[1]!SO_2[IHI],,-1)  - _xlfn.XLOOKUP(E160,[1]!SO_2[BLO],[1]!SO_2[ILO],,-1) )
/
( _xlfn.XLOOKUP(E160,[1]!SO_2[BLO],[1]!SO_2[BHI],,-1)- _xlfn.XLOOKUP(E160,[1]!SO_2[BLO],[1]!SO_2[BLO],,-1) ))
*
( E160 - _xlfn.XLOOKUP(E160,[1]!SO_2[BLO],[1]!SO_2[BLO],,-1) )
+
_xlfn.XLOOKUP(E160,[1]!SO_2[BLO],[1]!SO_2[ILO],,-1),2)</f>
        <v>10</v>
      </c>
      <c r="L160">
        <f>( ( _xlfn.XLOOKUP(F160,[1]!CO[BLO],[1]!CO[IHI],,-1)
- _xlfn.XLOOKUP(F160,[1]!CO[BLO],[1]!CO[ILO],,-1) )
/
( _xlfn.XLOOKUP(F160,[1]!CO[BLO],[1]!CO[BHI],,-1) - _xlfn.XLOOKUP(F160,[1]!CO[BLO],[1]!CO[BLO],,-1)))
*
( F160 - _xlfn.XLOOKUP(F160,[1]!CO[BLO],[1]!CO[BLO],,-1) )
+
_xlfn.XLOOKUP(F160,[1]!CO[BLO],[1]!CO[ILO],,-1)</f>
        <v>29.5</v>
      </c>
      <c r="M160">
        <f>(( _xlfn.XLOOKUP(G160,[1]!O_3[BLO],[1]!O_3[IHI],,-1) - _xlfn.XLOOKUP(G160,[1]!O_3[BLO],[1]!O_3[ILO],,-1))
/
( _xlfn.XLOOKUP(G160,[1]!O_3[BLO],[1]!O_3[BHI],,-1) - _xlfn.XLOOKUP(G160,[1]!O_3[BLO],[1]!O_3[BLO],,-1)))
*
( G160 - _xlfn.XLOOKUP(G160,[1]!O_3[BLO],[1]!O_3[BLO],,-1))
+
_xlfn.XLOOKUP(G160,[1]!O_3[BLO],[1]!O_3[ILO],,-1)</f>
        <v>25</v>
      </c>
      <c r="N160">
        <f>MAX(DAILY_DATA[[#This Row],[AQI_PM2.5]:[AQI_O3]])</f>
        <v>32</v>
      </c>
      <c r="O160" t="str">
        <f>_xlfn.XLOOKUP(DAILY_DATA[[#This Row],[OVERALL_AQI]],[1]!CATEGORY[AQI_LO],[1]!CATEGORY[CATEGORY],,-1)</f>
        <v>Good</v>
      </c>
      <c r="P160" t="str" cm="1">
        <f t="array" ref="P160">INDEX(
{"PM2.5","PM10","NO2","SO2","CO","O3"},
MATCH(N160,H160:M160,0)
)</f>
        <v>PM10</v>
      </c>
    </row>
    <row r="161" spans="1:16" x14ac:dyDescent="0.25">
      <c r="A161" s="4">
        <v>45451</v>
      </c>
      <c r="B161">
        <f>ROUND(AVERAGEIFS([1]HOURLY_DATA!B161:B8944,[1]HOURLY_DATA!H161:H8944,Daily_AQI!A161),0)</f>
        <v>14</v>
      </c>
      <c r="C161">
        <f>ROUND(AVERAGEIFS([1]HOURLY_DATA!C161:C8944,[1]HOURLY_DATA!H161:H8944,Daily_AQI!A161),0)</f>
        <v>38</v>
      </c>
      <c r="D161">
        <f>ROUND(AVERAGEIFS([1]HOURLY_DATA!D161:D8944,[1]HOURLY_DATA!H161:H8944,Daily_AQI!A161),0)</f>
        <v>16</v>
      </c>
      <c r="E161">
        <f>ROUND(AVERAGEIFS([1]HOURLY_DATA!E161:E8944,[1]HOURLY_DATA!H161:H8944,Daily_AQI!A161),0)</f>
        <v>8</v>
      </c>
      <c r="F161">
        <f>ROUND(AVERAGEIFS([1]HOURLY_DATA!I161:I8944,[1]HOURLY_DATA!H161:H8944,Daily_AQI!A161),2)</f>
        <v>0.55000000000000004</v>
      </c>
      <c r="G161">
        <f>ROUND(AVERAGEIFS([1]HOURLY_DATA!J161:J8944,[1]HOURLY_DATA!H161:H8944,Daily_AQI!A161),0)</f>
        <v>29</v>
      </c>
      <c r="H161">
        <f>ROUND(((_xlfn.XLOOKUP(B161,[1]!PM2.5[BLO],[1]!PM2.5[IHI],,-1) - _xlfn.XLOOKUP(B161,[1]!PM2.5[BLO],[1]!PM2.5[ILO],,-1))
/
(_xlfn.XLOOKUP(B161,[1]!PM2.5[BLO],[1]!PM2.5[BHI],,-1) - _xlfn.XLOOKUP(B161,[1]!PM2.5[BLO],[1]!PM2.5[BLO],,-1)))
*
(B161 - _xlfn.XLOOKUP(B161,[1]!PM2.5[BLO],[1]!PM2.5[BLO],,-1))
+
_xlfn.XLOOKUP(B161,[1]!PM2.5[BLO],[1]!PM2.5[ILO],,-1),2)</f>
        <v>23.33</v>
      </c>
      <c r="I161">
        <f>ROUND(((_xlfn.XLOOKUP(C161,[1]!PM_10[BLO],[1]!PM_10[IHI],,-1) - _xlfn.XLOOKUP(C161,[1]!PM_10[BLO],[1]!PM_10[ILO],,-1))
/
(_xlfn.XLOOKUP(C161,[1]!PM_10[BLO],[1]!PM_10[BHI],,-1) - _xlfn.XLOOKUP(C161,[1]!PM_10[BLO],[1]!PM_10[BLO],,-1)))
*
( C161 - _xlfn.XLOOKUP(C161,[1]!PM_10[BLO],[1]!PM_10[BLO],,-1))
+
_xlfn.XLOOKUP(C161,[1]!PM_10[BLO],[1]!PM_10[ILO],,-1),2)</f>
        <v>38</v>
      </c>
      <c r="J161">
        <f>ROUND((( _xlfn.XLOOKUP(D161,[1]!NO_2[BLO],[1]!NO_2[IHI],,-1) - _xlfn.XLOOKUP(D161,[1]!NO_2[BLO],[1]!NO_2[ILO],,-1))
/
( _xlfn.XLOOKUP(D161,[1]!NO_2[BLO],[1]!NO_2[BHI],,-1) - _xlfn.XLOOKUP(D161,[1]!NO_2[BLO],[1]!NO_2[BLO],,-1) ))
*
( D161 - _xlfn.XLOOKUP(D161,[1]!NO_2[BLO],[1]!NO_2[BLO],,-1))
+
_xlfn.XLOOKUP(D161,[1]!NO_2[BLO],[1]!NO_2[ILO],,-1),2)</f>
        <v>20</v>
      </c>
      <c r="K161">
        <f>ROUND(( ( _xlfn.XLOOKUP(E161,[1]!SO_2[BLO],[1]!SO_2[IHI],,-1)  - _xlfn.XLOOKUP(E161,[1]!SO_2[BLO],[1]!SO_2[ILO],,-1) )
/
( _xlfn.XLOOKUP(E161,[1]!SO_2[BLO],[1]!SO_2[BHI],,-1)- _xlfn.XLOOKUP(E161,[1]!SO_2[BLO],[1]!SO_2[BLO],,-1) ))
*
( E161 - _xlfn.XLOOKUP(E161,[1]!SO_2[BLO],[1]!SO_2[BLO],,-1) )
+
_xlfn.XLOOKUP(E161,[1]!SO_2[BLO],[1]!SO_2[ILO],,-1),2)</f>
        <v>10</v>
      </c>
      <c r="L161">
        <f>( ( _xlfn.XLOOKUP(F161,[1]!CO[BLO],[1]!CO[IHI],,-1)
- _xlfn.XLOOKUP(F161,[1]!CO[BLO],[1]!CO[ILO],,-1) )
/
( _xlfn.XLOOKUP(F161,[1]!CO[BLO],[1]!CO[BHI],,-1) - _xlfn.XLOOKUP(F161,[1]!CO[BLO],[1]!CO[BLO],,-1)))
*
( F161 - _xlfn.XLOOKUP(F161,[1]!CO[BLO],[1]!CO[BLO],,-1) )
+
_xlfn.XLOOKUP(F161,[1]!CO[BLO],[1]!CO[ILO],,-1)</f>
        <v>27.500000000000004</v>
      </c>
      <c r="M161">
        <f>(( _xlfn.XLOOKUP(G161,[1]!O_3[BLO],[1]!O_3[IHI],,-1) - _xlfn.XLOOKUP(G161,[1]!O_3[BLO],[1]!O_3[ILO],,-1))
/
( _xlfn.XLOOKUP(G161,[1]!O_3[BLO],[1]!O_3[BHI],,-1) - _xlfn.XLOOKUP(G161,[1]!O_3[BLO],[1]!O_3[BLO],,-1)))
*
( G161 - _xlfn.XLOOKUP(G161,[1]!O_3[BLO],[1]!O_3[BLO],,-1))
+
_xlfn.XLOOKUP(G161,[1]!O_3[BLO],[1]!O_3[ILO],,-1)</f>
        <v>29</v>
      </c>
      <c r="N161">
        <f>MAX(DAILY_DATA[[#This Row],[AQI_PM2.5]:[AQI_O3]])</f>
        <v>38</v>
      </c>
      <c r="O161" t="str">
        <f>_xlfn.XLOOKUP(DAILY_DATA[[#This Row],[OVERALL_AQI]],[1]!CATEGORY[AQI_LO],[1]!CATEGORY[CATEGORY],,-1)</f>
        <v>Good</v>
      </c>
      <c r="P161" t="str" cm="1">
        <f t="array" ref="P161">INDEX(
{"PM2.5","PM10","NO2","SO2","CO","O3"},
MATCH(N161,H161:M161,0)
)</f>
        <v>PM10</v>
      </c>
    </row>
    <row r="162" spans="1:16" x14ac:dyDescent="0.25">
      <c r="A162" s="4">
        <v>45452</v>
      </c>
      <c r="B162">
        <f>ROUND(AVERAGEIFS([1]HOURLY_DATA!B162:B8945,[1]HOURLY_DATA!H162:H8945,Daily_AQI!A162),0)</f>
        <v>15</v>
      </c>
      <c r="C162">
        <f>ROUND(AVERAGEIFS([1]HOURLY_DATA!C162:C8945,[1]HOURLY_DATA!H162:H8945,Daily_AQI!A162),0)</f>
        <v>36</v>
      </c>
      <c r="D162">
        <f>ROUND(AVERAGEIFS([1]HOURLY_DATA!D162:D8945,[1]HOURLY_DATA!H162:H8945,Daily_AQI!A162),0)</f>
        <v>16</v>
      </c>
      <c r="E162">
        <f>ROUND(AVERAGEIFS([1]HOURLY_DATA!E162:E8945,[1]HOURLY_DATA!H162:H8945,Daily_AQI!A162),0)</f>
        <v>10</v>
      </c>
      <c r="F162">
        <f>ROUND(AVERAGEIFS([1]HOURLY_DATA!I162:I8945,[1]HOURLY_DATA!H162:H8945,Daily_AQI!A162),2)</f>
        <v>0.56999999999999995</v>
      </c>
      <c r="G162">
        <f>ROUND(AVERAGEIFS([1]HOURLY_DATA!J162:J8945,[1]HOURLY_DATA!H162:H8945,Daily_AQI!A162),0)</f>
        <v>29</v>
      </c>
      <c r="H162">
        <f>ROUND(((_xlfn.XLOOKUP(B162,[1]!PM2.5[BLO],[1]!PM2.5[IHI],,-1) - _xlfn.XLOOKUP(B162,[1]!PM2.5[BLO],[1]!PM2.5[ILO],,-1))
/
(_xlfn.XLOOKUP(B162,[1]!PM2.5[BLO],[1]!PM2.5[BHI],,-1) - _xlfn.XLOOKUP(B162,[1]!PM2.5[BLO],[1]!PM2.5[BLO],,-1)))
*
(B162 - _xlfn.XLOOKUP(B162,[1]!PM2.5[BLO],[1]!PM2.5[BLO],,-1))
+
_xlfn.XLOOKUP(B162,[1]!PM2.5[BLO],[1]!PM2.5[ILO],,-1),2)</f>
        <v>25</v>
      </c>
      <c r="I162">
        <f>ROUND(((_xlfn.XLOOKUP(C162,[1]!PM_10[BLO],[1]!PM_10[IHI],,-1) - _xlfn.XLOOKUP(C162,[1]!PM_10[BLO],[1]!PM_10[ILO],,-1))
/
(_xlfn.XLOOKUP(C162,[1]!PM_10[BLO],[1]!PM_10[BHI],,-1) - _xlfn.XLOOKUP(C162,[1]!PM_10[BLO],[1]!PM_10[BLO],,-1)))
*
( C162 - _xlfn.XLOOKUP(C162,[1]!PM_10[BLO],[1]!PM_10[BLO],,-1))
+
_xlfn.XLOOKUP(C162,[1]!PM_10[BLO],[1]!PM_10[ILO],,-1),2)</f>
        <v>36</v>
      </c>
      <c r="J162">
        <f>ROUND((( _xlfn.XLOOKUP(D162,[1]!NO_2[BLO],[1]!NO_2[IHI],,-1) - _xlfn.XLOOKUP(D162,[1]!NO_2[BLO],[1]!NO_2[ILO],,-1))
/
( _xlfn.XLOOKUP(D162,[1]!NO_2[BLO],[1]!NO_2[BHI],,-1) - _xlfn.XLOOKUP(D162,[1]!NO_2[BLO],[1]!NO_2[BLO],,-1) ))
*
( D162 - _xlfn.XLOOKUP(D162,[1]!NO_2[BLO],[1]!NO_2[BLO],,-1))
+
_xlfn.XLOOKUP(D162,[1]!NO_2[BLO],[1]!NO_2[ILO],,-1),2)</f>
        <v>20</v>
      </c>
      <c r="K162">
        <f>ROUND(( ( _xlfn.XLOOKUP(E162,[1]!SO_2[BLO],[1]!SO_2[IHI],,-1)  - _xlfn.XLOOKUP(E162,[1]!SO_2[BLO],[1]!SO_2[ILO],,-1) )
/
( _xlfn.XLOOKUP(E162,[1]!SO_2[BLO],[1]!SO_2[BHI],,-1)- _xlfn.XLOOKUP(E162,[1]!SO_2[BLO],[1]!SO_2[BLO],,-1) ))
*
( E162 - _xlfn.XLOOKUP(E162,[1]!SO_2[BLO],[1]!SO_2[BLO],,-1) )
+
_xlfn.XLOOKUP(E162,[1]!SO_2[BLO],[1]!SO_2[ILO],,-1),2)</f>
        <v>12.5</v>
      </c>
      <c r="L162">
        <f>( ( _xlfn.XLOOKUP(F162,[1]!CO[BLO],[1]!CO[IHI],,-1)
- _xlfn.XLOOKUP(F162,[1]!CO[BLO],[1]!CO[ILO],,-1) )
/
( _xlfn.XLOOKUP(F162,[1]!CO[BLO],[1]!CO[BHI],,-1) - _xlfn.XLOOKUP(F162,[1]!CO[BLO],[1]!CO[BLO],,-1)))
*
( F162 - _xlfn.XLOOKUP(F162,[1]!CO[BLO],[1]!CO[BLO],,-1) )
+
_xlfn.XLOOKUP(F162,[1]!CO[BLO],[1]!CO[ILO],,-1)</f>
        <v>28.499999999999996</v>
      </c>
      <c r="M162">
        <f>(( _xlfn.XLOOKUP(G162,[1]!O_3[BLO],[1]!O_3[IHI],,-1) - _xlfn.XLOOKUP(G162,[1]!O_3[BLO],[1]!O_3[ILO],,-1))
/
( _xlfn.XLOOKUP(G162,[1]!O_3[BLO],[1]!O_3[BHI],,-1) - _xlfn.XLOOKUP(G162,[1]!O_3[BLO],[1]!O_3[BLO],,-1)))
*
( G162 - _xlfn.XLOOKUP(G162,[1]!O_3[BLO],[1]!O_3[BLO],,-1))
+
_xlfn.XLOOKUP(G162,[1]!O_3[BLO],[1]!O_3[ILO],,-1)</f>
        <v>29</v>
      </c>
      <c r="N162">
        <f>MAX(DAILY_DATA[[#This Row],[AQI_PM2.5]:[AQI_O3]])</f>
        <v>36</v>
      </c>
      <c r="O162" t="str">
        <f>_xlfn.XLOOKUP(DAILY_DATA[[#This Row],[OVERALL_AQI]],[1]!CATEGORY[AQI_LO],[1]!CATEGORY[CATEGORY],,-1)</f>
        <v>Good</v>
      </c>
      <c r="P162" t="str" cm="1">
        <f t="array" ref="P162">INDEX(
{"PM2.5","PM10","NO2","SO2","CO","O3"},
MATCH(N162,H162:M162,0)
)</f>
        <v>PM10</v>
      </c>
    </row>
    <row r="163" spans="1:16" x14ac:dyDescent="0.25">
      <c r="A163" s="4">
        <v>45453</v>
      </c>
      <c r="B163">
        <f>ROUND(AVERAGEIFS([1]HOURLY_DATA!B163:B8946,[1]HOURLY_DATA!H163:H8946,Daily_AQI!A163),0)</f>
        <v>13</v>
      </c>
      <c r="C163">
        <f>ROUND(AVERAGEIFS([1]HOURLY_DATA!C163:C8946,[1]HOURLY_DATA!H163:H8946,Daily_AQI!A163),0)</f>
        <v>36</v>
      </c>
      <c r="D163">
        <f>ROUND(AVERAGEIFS([1]HOURLY_DATA!D163:D8946,[1]HOURLY_DATA!H163:H8946,Daily_AQI!A163),0)</f>
        <v>16</v>
      </c>
      <c r="E163">
        <f>ROUND(AVERAGEIFS([1]HOURLY_DATA!E163:E8946,[1]HOURLY_DATA!H163:H8946,Daily_AQI!A163),0)</f>
        <v>9</v>
      </c>
      <c r="F163">
        <f>ROUND(AVERAGEIFS([1]HOURLY_DATA!I163:I8946,[1]HOURLY_DATA!H163:H8946,Daily_AQI!A163),2)</f>
        <v>0.63</v>
      </c>
      <c r="G163">
        <f>ROUND(AVERAGEIFS([1]HOURLY_DATA!J163:J8946,[1]HOURLY_DATA!H163:H8946,Daily_AQI!A163),0)</f>
        <v>29</v>
      </c>
      <c r="H163">
        <f>ROUND(((_xlfn.XLOOKUP(B163,[1]!PM2.5[BLO],[1]!PM2.5[IHI],,-1) - _xlfn.XLOOKUP(B163,[1]!PM2.5[BLO],[1]!PM2.5[ILO],,-1))
/
(_xlfn.XLOOKUP(B163,[1]!PM2.5[BLO],[1]!PM2.5[BHI],,-1) - _xlfn.XLOOKUP(B163,[1]!PM2.5[BLO],[1]!PM2.5[BLO],,-1)))
*
(B163 - _xlfn.XLOOKUP(B163,[1]!PM2.5[BLO],[1]!PM2.5[BLO],,-1))
+
_xlfn.XLOOKUP(B163,[1]!PM2.5[BLO],[1]!PM2.5[ILO],,-1),2)</f>
        <v>21.67</v>
      </c>
      <c r="I163">
        <f>ROUND(((_xlfn.XLOOKUP(C163,[1]!PM_10[BLO],[1]!PM_10[IHI],,-1) - _xlfn.XLOOKUP(C163,[1]!PM_10[BLO],[1]!PM_10[ILO],,-1))
/
(_xlfn.XLOOKUP(C163,[1]!PM_10[BLO],[1]!PM_10[BHI],,-1) - _xlfn.XLOOKUP(C163,[1]!PM_10[BLO],[1]!PM_10[BLO],,-1)))
*
( C163 - _xlfn.XLOOKUP(C163,[1]!PM_10[BLO],[1]!PM_10[BLO],,-1))
+
_xlfn.XLOOKUP(C163,[1]!PM_10[BLO],[1]!PM_10[ILO],,-1),2)</f>
        <v>36</v>
      </c>
      <c r="J163">
        <f>ROUND((( _xlfn.XLOOKUP(D163,[1]!NO_2[BLO],[1]!NO_2[IHI],,-1) - _xlfn.XLOOKUP(D163,[1]!NO_2[BLO],[1]!NO_2[ILO],,-1))
/
( _xlfn.XLOOKUP(D163,[1]!NO_2[BLO],[1]!NO_2[BHI],,-1) - _xlfn.XLOOKUP(D163,[1]!NO_2[BLO],[1]!NO_2[BLO],,-1) ))
*
( D163 - _xlfn.XLOOKUP(D163,[1]!NO_2[BLO],[1]!NO_2[BLO],,-1))
+
_xlfn.XLOOKUP(D163,[1]!NO_2[BLO],[1]!NO_2[ILO],,-1),2)</f>
        <v>20</v>
      </c>
      <c r="K163">
        <f>ROUND(( ( _xlfn.XLOOKUP(E163,[1]!SO_2[BLO],[1]!SO_2[IHI],,-1)  - _xlfn.XLOOKUP(E163,[1]!SO_2[BLO],[1]!SO_2[ILO],,-1) )
/
( _xlfn.XLOOKUP(E163,[1]!SO_2[BLO],[1]!SO_2[BHI],,-1)- _xlfn.XLOOKUP(E163,[1]!SO_2[BLO],[1]!SO_2[BLO],,-1) ))
*
( E163 - _xlfn.XLOOKUP(E163,[1]!SO_2[BLO],[1]!SO_2[BLO],,-1) )
+
_xlfn.XLOOKUP(E163,[1]!SO_2[BLO],[1]!SO_2[ILO],,-1),2)</f>
        <v>11.25</v>
      </c>
      <c r="L163">
        <f>( ( _xlfn.XLOOKUP(F163,[1]!CO[BLO],[1]!CO[IHI],,-1)
- _xlfn.XLOOKUP(F163,[1]!CO[BLO],[1]!CO[ILO],,-1) )
/
( _xlfn.XLOOKUP(F163,[1]!CO[BLO],[1]!CO[BHI],,-1) - _xlfn.XLOOKUP(F163,[1]!CO[BLO],[1]!CO[BLO],,-1)))
*
( F163 - _xlfn.XLOOKUP(F163,[1]!CO[BLO],[1]!CO[BLO],,-1) )
+
_xlfn.XLOOKUP(F163,[1]!CO[BLO],[1]!CO[ILO],,-1)</f>
        <v>31.5</v>
      </c>
      <c r="M163">
        <f>(( _xlfn.XLOOKUP(G163,[1]!O_3[BLO],[1]!O_3[IHI],,-1) - _xlfn.XLOOKUP(G163,[1]!O_3[BLO],[1]!O_3[ILO],,-1))
/
( _xlfn.XLOOKUP(G163,[1]!O_3[BLO],[1]!O_3[BHI],,-1) - _xlfn.XLOOKUP(G163,[1]!O_3[BLO],[1]!O_3[BLO],,-1)))
*
( G163 - _xlfn.XLOOKUP(G163,[1]!O_3[BLO],[1]!O_3[BLO],,-1))
+
_xlfn.XLOOKUP(G163,[1]!O_3[BLO],[1]!O_3[ILO],,-1)</f>
        <v>29</v>
      </c>
      <c r="N163">
        <f>MAX(DAILY_DATA[[#This Row],[AQI_PM2.5]:[AQI_O3]])</f>
        <v>36</v>
      </c>
      <c r="O163" t="str">
        <f>_xlfn.XLOOKUP(DAILY_DATA[[#This Row],[OVERALL_AQI]],[1]!CATEGORY[AQI_LO],[1]!CATEGORY[CATEGORY],,-1)</f>
        <v>Good</v>
      </c>
      <c r="P163" t="str" cm="1">
        <f t="array" ref="P163">INDEX(
{"PM2.5","PM10","NO2","SO2","CO","O3"},
MATCH(N163,H163:M163,0)
)</f>
        <v>PM10</v>
      </c>
    </row>
    <row r="164" spans="1:16" x14ac:dyDescent="0.25">
      <c r="A164" s="4">
        <v>45454</v>
      </c>
      <c r="B164">
        <f>ROUND(AVERAGEIFS([1]HOURLY_DATA!B164:B8947,[1]HOURLY_DATA!H164:H8947,Daily_AQI!A164),0)</f>
        <v>14</v>
      </c>
      <c r="C164">
        <f>ROUND(AVERAGEIFS([1]HOURLY_DATA!C164:C8947,[1]HOURLY_DATA!H164:H8947,Daily_AQI!A164),0)</f>
        <v>39</v>
      </c>
      <c r="D164">
        <f>ROUND(AVERAGEIFS([1]HOURLY_DATA!D164:D8947,[1]HOURLY_DATA!H164:H8947,Daily_AQI!A164),0)</f>
        <v>16</v>
      </c>
      <c r="E164">
        <f>ROUND(AVERAGEIFS([1]HOURLY_DATA!E164:E8947,[1]HOURLY_DATA!H164:H8947,Daily_AQI!A164),0)</f>
        <v>7</v>
      </c>
      <c r="F164">
        <f>ROUND(AVERAGEIFS([1]HOURLY_DATA!I164:I8947,[1]HOURLY_DATA!H164:H8947,Daily_AQI!A164),2)</f>
        <v>0.65</v>
      </c>
      <c r="G164">
        <f>ROUND(AVERAGEIFS([1]HOURLY_DATA!J164:J8947,[1]HOURLY_DATA!H164:H8947,Daily_AQI!A164),0)</f>
        <v>29</v>
      </c>
      <c r="H164">
        <f>ROUND(((_xlfn.XLOOKUP(B164,[1]!PM2.5[BLO],[1]!PM2.5[IHI],,-1) - _xlfn.XLOOKUP(B164,[1]!PM2.5[BLO],[1]!PM2.5[ILO],,-1))
/
(_xlfn.XLOOKUP(B164,[1]!PM2.5[BLO],[1]!PM2.5[BHI],,-1) - _xlfn.XLOOKUP(B164,[1]!PM2.5[BLO],[1]!PM2.5[BLO],,-1)))
*
(B164 - _xlfn.XLOOKUP(B164,[1]!PM2.5[BLO],[1]!PM2.5[BLO],,-1))
+
_xlfn.XLOOKUP(B164,[1]!PM2.5[BLO],[1]!PM2.5[ILO],,-1),2)</f>
        <v>23.33</v>
      </c>
      <c r="I164">
        <f>ROUND(((_xlfn.XLOOKUP(C164,[1]!PM_10[BLO],[1]!PM_10[IHI],,-1) - _xlfn.XLOOKUP(C164,[1]!PM_10[BLO],[1]!PM_10[ILO],,-1))
/
(_xlfn.XLOOKUP(C164,[1]!PM_10[BLO],[1]!PM_10[BHI],,-1) - _xlfn.XLOOKUP(C164,[1]!PM_10[BLO],[1]!PM_10[BLO],,-1)))
*
( C164 - _xlfn.XLOOKUP(C164,[1]!PM_10[BLO],[1]!PM_10[BLO],,-1))
+
_xlfn.XLOOKUP(C164,[1]!PM_10[BLO],[1]!PM_10[ILO],,-1),2)</f>
        <v>39</v>
      </c>
      <c r="J164">
        <f>ROUND((( _xlfn.XLOOKUP(D164,[1]!NO_2[BLO],[1]!NO_2[IHI],,-1) - _xlfn.XLOOKUP(D164,[1]!NO_2[BLO],[1]!NO_2[ILO],,-1))
/
( _xlfn.XLOOKUP(D164,[1]!NO_2[BLO],[1]!NO_2[BHI],,-1) - _xlfn.XLOOKUP(D164,[1]!NO_2[BLO],[1]!NO_2[BLO],,-1) ))
*
( D164 - _xlfn.XLOOKUP(D164,[1]!NO_2[BLO],[1]!NO_2[BLO],,-1))
+
_xlfn.XLOOKUP(D164,[1]!NO_2[BLO],[1]!NO_2[ILO],,-1),2)</f>
        <v>20</v>
      </c>
      <c r="K164">
        <f>ROUND(( ( _xlfn.XLOOKUP(E164,[1]!SO_2[BLO],[1]!SO_2[IHI],,-1)  - _xlfn.XLOOKUP(E164,[1]!SO_2[BLO],[1]!SO_2[ILO],,-1) )
/
( _xlfn.XLOOKUP(E164,[1]!SO_2[BLO],[1]!SO_2[BHI],,-1)- _xlfn.XLOOKUP(E164,[1]!SO_2[BLO],[1]!SO_2[BLO],,-1) ))
*
( E164 - _xlfn.XLOOKUP(E164,[1]!SO_2[BLO],[1]!SO_2[BLO],,-1) )
+
_xlfn.XLOOKUP(E164,[1]!SO_2[BLO],[1]!SO_2[ILO],,-1),2)</f>
        <v>8.75</v>
      </c>
      <c r="L164">
        <f>( ( _xlfn.XLOOKUP(F164,[1]!CO[BLO],[1]!CO[IHI],,-1)
- _xlfn.XLOOKUP(F164,[1]!CO[BLO],[1]!CO[ILO],,-1) )
/
( _xlfn.XLOOKUP(F164,[1]!CO[BLO],[1]!CO[BHI],,-1) - _xlfn.XLOOKUP(F164,[1]!CO[BLO],[1]!CO[BLO],,-1)))
*
( F164 - _xlfn.XLOOKUP(F164,[1]!CO[BLO],[1]!CO[BLO],,-1) )
+
_xlfn.XLOOKUP(F164,[1]!CO[BLO],[1]!CO[ILO],,-1)</f>
        <v>32.5</v>
      </c>
      <c r="M164">
        <f>(( _xlfn.XLOOKUP(G164,[1]!O_3[BLO],[1]!O_3[IHI],,-1) - _xlfn.XLOOKUP(G164,[1]!O_3[BLO],[1]!O_3[ILO],,-1))
/
( _xlfn.XLOOKUP(G164,[1]!O_3[BLO],[1]!O_3[BHI],,-1) - _xlfn.XLOOKUP(G164,[1]!O_3[BLO],[1]!O_3[BLO],,-1)))
*
( G164 - _xlfn.XLOOKUP(G164,[1]!O_3[BLO],[1]!O_3[BLO],,-1))
+
_xlfn.XLOOKUP(G164,[1]!O_3[BLO],[1]!O_3[ILO],,-1)</f>
        <v>29</v>
      </c>
      <c r="N164">
        <f>MAX(DAILY_DATA[[#This Row],[AQI_PM2.5]:[AQI_O3]])</f>
        <v>39</v>
      </c>
      <c r="O164" t="str">
        <f>_xlfn.XLOOKUP(DAILY_DATA[[#This Row],[OVERALL_AQI]],[1]!CATEGORY[AQI_LO],[1]!CATEGORY[CATEGORY],,-1)</f>
        <v>Good</v>
      </c>
      <c r="P164" t="str" cm="1">
        <f t="array" ref="P164">INDEX(
{"PM2.5","PM10","NO2","SO2","CO","O3"},
MATCH(N164,H164:M164,0)
)</f>
        <v>PM10</v>
      </c>
    </row>
    <row r="165" spans="1:16" x14ac:dyDescent="0.25">
      <c r="A165" s="4">
        <v>45455</v>
      </c>
      <c r="B165">
        <f>ROUND(AVERAGEIFS([1]HOURLY_DATA!B165:B8948,[1]HOURLY_DATA!H165:H8948,Daily_AQI!A165),0)</f>
        <v>14</v>
      </c>
      <c r="C165">
        <f>ROUND(AVERAGEIFS([1]HOURLY_DATA!C165:C8948,[1]HOURLY_DATA!H165:H8948,Daily_AQI!A165),0)</f>
        <v>40</v>
      </c>
      <c r="D165">
        <f>ROUND(AVERAGEIFS([1]HOURLY_DATA!D165:D8948,[1]HOURLY_DATA!H165:H8948,Daily_AQI!A165),0)</f>
        <v>17</v>
      </c>
      <c r="E165">
        <f>ROUND(AVERAGEIFS([1]HOURLY_DATA!E165:E8948,[1]HOURLY_DATA!H165:H8948,Daily_AQI!A165),0)</f>
        <v>9</v>
      </c>
      <c r="F165">
        <f>ROUND(AVERAGEIFS([1]HOURLY_DATA!I165:I8948,[1]HOURLY_DATA!H165:H8948,Daily_AQI!A165),2)</f>
        <v>0.71</v>
      </c>
      <c r="G165">
        <f>ROUND(AVERAGEIFS([1]HOURLY_DATA!J165:J8948,[1]HOURLY_DATA!H165:H8948,Daily_AQI!A165),0)</f>
        <v>30</v>
      </c>
      <c r="H165">
        <f>ROUND(((_xlfn.XLOOKUP(B165,[1]!PM2.5[BLO],[1]!PM2.5[IHI],,-1) - _xlfn.XLOOKUP(B165,[1]!PM2.5[BLO],[1]!PM2.5[ILO],,-1))
/
(_xlfn.XLOOKUP(B165,[1]!PM2.5[BLO],[1]!PM2.5[BHI],,-1) - _xlfn.XLOOKUP(B165,[1]!PM2.5[BLO],[1]!PM2.5[BLO],,-1)))
*
(B165 - _xlfn.XLOOKUP(B165,[1]!PM2.5[BLO],[1]!PM2.5[BLO],,-1))
+
_xlfn.XLOOKUP(B165,[1]!PM2.5[BLO],[1]!PM2.5[ILO],,-1),2)</f>
        <v>23.33</v>
      </c>
      <c r="I165">
        <f>ROUND(((_xlfn.XLOOKUP(C165,[1]!PM_10[BLO],[1]!PM_10[IHI],,-1) - _xlfn.XLOOKUP(C165,[1]!PM_10[BLO],[1]!PM_10[ILO],,-1))
/
(_xlfn.XLOOKUP(C165,[1]!PM_10[BLO],[1]!PM_10[BHI],,-1) - _xlfn.XLOOKUP(C165,[1]!PM_10[BLO],[1]!PM_10[BLO],,-1)))
*
( C165 - _xlfn.XLOOKUP(C165,[1]!PM_10[BLO],[1]!PM_10[BLO],,-1))
+
_xlfn.XLOOKUP(C165,[1]!PM_10[BLO],[1]!PM_10[ILO],,-1),2)</f>
        <v>40</v>
      </c>
      <c r="J165">
        <f>ROUND((( _xlfn.XLOOKUP(D165,[1]!NO_2[BLO],[1]!NO_2[IHI],,-1) - _xlfn.XLOOKUP(D165,[1]!NO_2[BLO],[1]!NO_2[ILO],,-1))
/
( _xlfn.XLOOKUP(D165,[1]!NO_2[BLO],[1]!NO_2[BHI],,-1) - _xlfn.XLOOKUP(D165,[1]!NO_2[BLO],[1]!NO_2[BLO],,-1) ))
*
( D165 - _xlfn.XLOOKUP(D165,[1]!NO_2[BLO],[1]!NO_2[BLO],,-1))
+
_xlfn.XLOOKUP(D165,[1]!NO_2[BLO],[1]!NO_2[ILO],,-1),2)</f>
        <v>21.25</v>
      </c>
      <c r="K165">
        <f>ROUND(( ( _xlfn.XLOOKUP(E165,[1]!SO_2[BLO],[1]!SO_2[IHI],,-1)  - _xlfn.XLOOKUP(E165,[1]!SO_2[BLO],[1]!SO_2[ILO],,-1) )
/
( _xlfn.XLOOKUP(E165,[1]!SO_2[BLO],[1]!SO_2[BHI],,-1)- _xlfn.XLOOKUP(E165,[1]!SO_2[BLO],[1]!SO_2[BLO],,-1) ))
*
( E165 - _xlfn.XLOOKUP(E165,[1]!SO_2[BLO],[1]!SO_2[BLO],,-1) )
+
_xlfn.XLOOKUP(E165,[1]!SO_2[BLO],[1]!SO_2[ILO],,-1),2)</f>
        <v>11.25</v>
      </c>
      <c r="L165">
        <f>( ( _xlfn.XLOOKUP(F165,[1]!CO[BLO],[1]!CO[IHI],,-1)
- _xlfn.XLOOKUP(F165,[1]!CO[BLO],[1]!CO[ILO],,-1) )
/
( _xlfn.XLOOKUP(F165,[1]!CO[BLO],[1]!CO[BHI],,-1) - _xlfn.XLOOKUP(F165,[1]!CO[BLO],[1]!CO[BLO],,-1)))
*
( F165 - _xlfn.XLOOKUP(F165,[1]!CO[BLO],[1]!CO[BLO],,-1) )
+
_xlfn.XLOOKUP(F165,[1]!CO[BLO],[1]!CO[ILO],,-1)</f>
        <v>35.5</v>
      </c>
      <c r="M165">
        <f>(( _xlfn.XLOOKUP(G165,[1]!O_3[BLO],[1]!O_3[IHI],,-1) - _xlfn.XLOOKUP(G165,[1]!O_3[BLO],[1]!O_3[ILO],,-1))
/
( _xlfn.XLOOKUP(G165,[1]!O_3[BLO],[1]!O_3[BHI],,-1) - _xlfn.XLOOKUP(G165,[1]!O_3[BLO],[1]!O_3[BLO],,-1)))
*
( G165 - _xlfn.XLOOKUP(G165,[1]!O_3[BLO],[1]!O_3[BLO],,-1))
+
_xlfn.XLOOKUP(G165,[1]!O_3[BLO],[1]!O_3[ILO],,-1)</f>
        <v>30</v>
      </c>
      <c r="N165">
        <f>MAX(DAILY_DATA[[#This Row],[AQI_PM2.5]:[AQI_O3]])</f>
        <v>40</v>
      </c>
      <c r="O165" t="str">
        <f>_xlfn.XLOOKUP(DAILY_DATA[[#This Row],[OVERALL_AQI]],[1]!CATEGORY[AQI_LO],[1]!CATEGORY[CATEGORY],,-1)</f>
        <v>Good</v>
      </c>
      <c r="P165" t="str" cm="1">
        <f t="array" ref="P165">INDEX(
{"PM2.5","PM10","NO2","SO2","CO","O3"},
MATCH(N165,H165:M165,0)
)</f>
        <v>PM10</v>
      </c>
    </row>
    <row r="166" spans="1:16" x14ac:dyDescent="0.25">
      <c r="A166" s="4">
        <v>45456</v>
      </c>
      <c r="B166">
        <f>ROUND(AVERAGEIFS([1]HOURLY_DATA!B166:B8949,[1]HOURLY_DATA!H166:H8949,Daily_AQI!A166),0)</f>
        <v>15</v>
      </c>
      <c r="C166">
        <f>ROUND(AVERAGEIFS([1]HOURLY_DATA!C166:C8949,[1]HOURLY_DATA!H166:H8949,Daily_AQI!A166),0)</f>
        <v>43</v>
      </c>
      <c r="D166">
        <f>ROUND(AVERAGEIFS([1]HOURLY_DATA!D166:D8949,[1]HOURLY_DATA!H166:H8949,Daily_AQI!A166),0)</f>
        <v>18</v>
      </c>
      <c r="E166">
        <f>ROUND(AVERAGEIFS([1]HOURLY_DATA!E166:E8949,[1]HOURLY_DATA!H166:H8949,Daily_AQI!A166),0)</f>
        <v>9</v>
      </c>
      <c r="F166">
        <f>ROUND(AVERAGEIFS([1]HOURLY_DATA!I166:I8949,[1]HOURLY_DATA!H166:H8949,Daily_AQI!A166),2)</f>
        <v>0.6</v>
      </c>
      <c r="G166">
        <f>ROUND(AVERAGEIFS([1]HOURLY_DATA!J166:J8949,[1]HOURLY_DATA!H166:H8949,Daily_AQI!A166),0)</f>
        <v>29</v>
      </c>
      <c r="H166">
        <f>ROUND(((_xlfn.XLOOKUP(B166,[1]!PM2.5[BLO],[1]!PM2.5[IHI],,-1) - _xlfn.XLOOKUP(B166,[1]!PM2.5[BLO],[1]!PM2.5[ILO],,-1))
/
(_xlfn.XLOOKUP(B166,[1]!PM2.5[BLO],[1]!PM2.5[BHI],,-1) - _xlfn.XLOOKUP(B166,[1]!PM2.5[BLO],[1]!PM2.5[BLO],,-1)))
*
(B166 - _xlfn.XLOOKUP(B166,[1]!PM2.5[BLO],[1]!PM2.5[BLO],,-1))
+
_xlfn.XLOOKUP(B166,[1]!PM2.5[BLO],[1]!PM2.5[ILO],,-1),2)</f>
        <v>25</v>
      </c>
      <c r="I166">
        <f>ROUND(((_xlfn.XLOOKUP(C166,[1]!PM_10[BLO],[1]!PM_10[IHI],,-1) - _xlfn.XLOOKUP(C166,[1]!PM_10[BLO],[1]!PM_10[ILO],,-1))
/
(_xlfn.XLOOKUP(C166,[1]!PM_10[BLO],[1]!PM_10[BHI],,-1) - _xlfn.XLOOKUP(C166,[1]!PM_10[BLO],[1]!PM_10[BLO],,-1)))
*
( C166 - _xlfn.XLOOKUP(C166,[1]!PM_10[BLO],[1]!PM_10[BLO],,-1))
+
_xlfn.XLOOKUP(C166,[1]!PM_10[BLO],[1]!PM_10[ILO],,-1),2)</f>
        <v>43</v>
      </c>
      <c r="J166">
        <f>ROUND((( _xlfn.XLOOKUP(D166,[1]!NO_2[BLO],[1]!NO_2[IHI],,-1) - _xlfn.XLOOKUP(D166,[1]!NO_2[BLO],[1]!NO_2[ILO],,-1))
/
( _xlfn.XLOOKUP(D166,[1]!NO_2[BLO],[1]!NO_2[BHI],,-1) - _xlfn.XLOOKUP(D166,[1]!NO_2[BLO],[1]!NO_2[BLO],,-1) ))
*
( D166 - _xlfn.XLOOKUP(D166,[1]!NO_2[BLO],[1]!NO_2[BLO],,-1))
+
_xlfn.XLOOKUP(D166,[1]!NO_2[BLO],[1]!NO_2[ILO],,-1),2)</f>
        <v>22.5</v>
      </c>
      <c r="K166">
        <f>ROUND(( ( _xlfn.XLOOKUP(E166,[1]!SO_2[BLO],[1]!SO_2[IHI],,-1)  - _xlfn.XLOOKUP(E166,[1]!SO_2[BLO],[1]!SO_2[ILO],,-1) )
/
( _xlfn.XLOOKUP(E166,[1]!SO_2[BLO],[1]!SO_2[BHI],,-1)- _xlfn.XLOOKUP(E166,[1]!SO_2[BLO],[1]!SO_2[BLO],,-1) ))
*
( E166 - _xlfn.XLOOKUP(E166,[1]!SO_2[BLO],[1]!SO_2[BLO],,-1) )
+
_xlfn.XLOOKUP(E166,[1]!SO_2[BLO],[1]!SO_2[ILO],,-1),2)</f>
        <v>11.25</v>
      </c>
      <c r="L166">
        <f>( ( _xlfn.XLOOKUP(F166,[1]!CO[BLO],[1]!CO[IHI],,-1)
- _xlfn.XLOOKUP(F166,[1]!CO[BLO],[1]!CO[ILO],,-1) )
/
( _xlfn.XLOOKUP(F166,[1]!CO[BLO],[1]!CO[BHI],,-1) - _xlfn.XLOOKUP(F166,[1]!CO[BLO],[1]!CO[BLO],,-1)))
*
( F166 - _xlfn.XLOOKUP(F166,[1]!CO[BLO],[1]!CO[BLO],,-1) )
+
_xlfn.XLOOKUP(F166,[1]!CO[BLO],[1]!CO[ILO],,-1)</f>
        <v>30</v>
      </c>
      <c r="M166">
        <f>(( _xlfn.XLOOKUP(G166,[1]!O_3[BLO],[1]!O_3[IHI],,-1) - _xlfn.XLOOKUP(G166,[1]!O_3[BLO],[1]!O_3[ILO],,-1))
/
( _xlfn.XLOOKUP(G166,[1]!O_3[BLO],[1]!O_3[BHI],,-1) - _xlfn.XLOOKUP(G166,[1]!O_3[BLO],[1]!O_3[BLO],,-1)))
*
( G166 - _xlfn.XLOOKUP(G166,[1]!O_3[BLO],[1]!O_3[BLO],,-1))
+
_xlfn.XLOOKUP(G166,[1]!O_3[BLO],[1]!O_3[ILO],,-1)</f>
        <v>29</v>
      </c>
      <c r="N166">
        <f>MAX(DAILY_DATA[[#This Row],[AQI_PM2.5]:[AQI_O3]])</f>
        <v>43</v>
      </c>
      <c r="O166" t="str">
        <f>_xlfn.XLOOKUP(DAILY_DATA[[#This Row],[OVERALL_AQI]],[1]!CATEGORY[AQI_LO],[1]!CATEGORY[CATEGORY],,-1)</f>
        <v>Good</v>
      </c>
      <c r="P166" t="str" cm="1">
        <f t="array" ref="P166">INDEX(
{"PM2.5","PM10","NO2","SO2","CO","O3"},
MATCH(N166,H166:M166,0)
)</f>
        <v>PM10</v>
      </c>
    </row>
    <row r="167" spans="1:16" x14ac:dyDescent="0.25">
      <c r="A167" s="4">
        <v>45457</v>
      </c>
      <c r="B167">
        <f>ROUND(AVERAGEIFS([1]HOURLY_DATA!B167:B8950,[1]HOURLY_DATA!H167:H8950,Daily_AQI!A167),0)</f>
        <v>30</v>
      </c>
      <c r="C167">
        <f>ROUND(AVERAGEIFS([1]HOURLY_DATA!C167:C8950,[1]HOURLY_DATA!H167:H8950,Daily_AQI!A167),0)</f>
        <v>53</v>
      </c>
      <c r="D167">
        <f>ROUND(AVERAGEIFS([1]HOURLY_DATA!D167:D8950,[1]HOURLY_DATA!H167:H8950,Daily_AQI!A167),0)</f>
        <v>16</v>
      </c>
      <c r="E167">
        <f>ROUND(AVERAGEIFS([1]HOURLY_DATA!E167:E8950,[1]HOURLY_DATA!H167:H8950,Daily_AQI!A167),0)</f>
        <v>8</v>
      </c>
      <c r="F167">
        <f>ROUND(AVERAGEIFS([1]HOURLY_DATA!I167:I8950,[1]HOURLY_DATA!H167:H8950,Daily_AQI!A167),2)</f>
        <v>0.66</v>
      </c>
      <c r="G167">
        <f>ROUND(AVERAGEIFS([1]HOURLY_DATA!J167:J8950,[1]HOURLY_DATA!H167:H8950,Daily_AQI!A167),0)</f>
        <v>28</v>
      </c>
      <c r="H167">
        <f>ROUND(((_xlfn.XLOOKUP(B167,[1]!PM2.5[BLO],[1]!PM2.5[IHI],,-1) - _xlfn.XLOOKUP(B167,[1]!PM2.5[BLO],[1]!PM2.5[ILO],,-1))
/
(_xlfn.XLOOKUP(B167,[1]!PM2.5[BLO],[1]!PM2.5[BHI],,-1) - _xlfn.XLOOKUP(B167,[1]!PM2.5[BLO],[1]!PM2.5[BLO],,-1)))
*
(B167 - _xlfn.XLOOKUP(B167,[1]!PM2.5[BLO],[1]!PM2.5[BLO],,-1))
+
_xlfn.XLOOKUP(B167,[1]!PM2.5[BLO],[1]!PM2.5[ILO],,-1),2)</f>
        <v>50</v>
      </c>
      <c r="I167">
        <f>ROUND(((_xlfn.XLOOKUP(C167,[1]!PM_10[BLO],[1]!PM_10[IHI],,-1) - _xlfn.XLOOKUP(C167,[1]!PM_10[BLO],[1]!PM_10[ILO],,-1))
/
(_xlfn.XLOOKUP(C167,[1]!PM_10[BLO],[1]!PM_10[BHI],,-1) - _xlfn.XLOOKUP(C167,[1]!PM_10[BLO],[1]!PM_10[BLO],,-1)))
*
( C167 - _xlfn.XLOOKUP(C167,[1]!PM_10[BLO],[1]!PM_10[BLO],,-1))
+
_xlfn.XLOOKUP(C167,[1]!PM_10[BLO],[1]!PM_10[ILO],,-1),2)</f>
        <v>53</v>
      </c>
      <c r="J167">
        <f>ROUND((( _xlfn.XLOOKUP(D167,[1]!NO_2[BLO],[1]!NO_2[IHI],,-1) - _xlfn.XLOOKUP(D167,[1]!NO_2[BLO],[1]!NO_2[ILO],,-1))
/
( _xlfn.XLOOKUP(D167,[1]!NO_2[BLO],[1]!NO_2[BHI],,-1) - _xlfn.XLOOKUP(D167,[1]!NO_2[BLO],[1]!NO_2[BLO],,-1) ))
*
( D167 - _xlfn.XLOOKUP(D167,[1]!NO_2[BLO],[1]!NO_2[BLO],,-1))
+
_xlfn.XLOOKUP(D167,[1]!NO_2[BLO],[1]!NO_2[ILO],,-1),2)</f>
        <v>20</v>
      </c>
      <c r="K167">
        <f>ROUND(( ( _xlfn.XLOOKUP(E167,[1]!SO_2[BLO],[1]!SO_2[IHI],,-1)  - _xlfn.XLOOKUP(E167,[1]!SO_2[BLO],[1]!SO_2[ILO],,-1) )
/
( _xlfn.XLOOKUP(E167,[1]!SO_2[BLO],[1]!SO_2[BHI],,-1)- _xlfn.XLOOKUP(E167,[1]!SO_2[BLO],[1]!SO_2[BLO],,-1) ))
*
( E167 - _xlfn.XLOOKUP(E167,[1]!SO_2[BLO],[1]!SO_2[BLO],,-1) )
+
_xlfn.XLOOKUP(E167,[1]!SO_2[BLO],[1]!SO_2[ILO],,-1),2)</f>
        <v>10</v>
      </c>
      <c r="L167">
        <f>( ( _xlfn.XLOOKUP(F167,[1]!CO[BLO],[1]!CO[IHI],,-1)
- _xlfn.XLOOKUP(F167,[1]!CO[BLO],[1]!CO[ILO],,-1) )
/
( _xlfn.XLOOKUP(F167,[1]!CO[BLO],[1]!CO[BHI],,-1) - _xlfn.XLOOKUP(F167,[1]!CO[BLO],[1]!CO[BLO],,-1)))
*
( F167 - _xlfn.XLOOKUP(F167,[1]!CO[BLO],[1]!CO[BLO],,-1) )
+
_xlfn.XLOOKUP(F167,[1]!CO[BLO],[1]!CO[ILO],,-1)</f>
        <v>33</v>
      </c>
      <c r="M167">
        <f>(( _xlfn.XLOOKUP(G167,[1]!O_3[BLO],[1]!O_3[IHI],,-1) - _xlfn.XLOOKUP(G167,[1]!O_3[BLO],[1]!O_3[ILO],,-1))
/
( _xlfn.XLOOKUP(G167,[1]!O_3[BLO],[1]!O_3[BHI],,-1) - _xlfn.XLOOKUP(G167,[1]!O_3[BLO],[1]!O_3[BLO],,-1)))
*
( G167 - _xlfn.XLOOKUP(G167,[1]!O_3[BLO],[1]!O_3[BLO],,-1))
+
_xlfn.XLOOKUP(G167,[1]!O_3[BLO],[1]!O_3[ILO],,-1)</f>
        <v>28</v>
      </c>
      <c r="N167">
        <f>MAX(DAILY_DATA[[#This Row],[AQI_PM2.5]:[AQI_O3]])</f>
        <v>53</v>
      </c>
      <c r="O167" t="str">
        <f>_xlfn.XLOOKUP(DAILY_DATA[[#This Row],[OVERALL_AQI]],[1]!CATEGORY[AQI_LO],[1]!CATEGORY[CATEGORY],,-1)</f>
        <v>Satisfactory</v>
      </c>
      <c r="P167" t="str" cm="1">
        <f t="array" ref="P167">INDEX(
{"PM2.5","PM10","NO2","SO2","CO","O3"},
MATCH(N167,H167:M167,0)
)</f>
        <v>PM10</v>
      </c>
    </row>
    <row r="168" spans="1:16" x14ac:dyDescent="0.25">
      <c r="A168" s="4">
        <v>45458</v>
      </c>
      <c r="B168">
        <f>ROUND(AVERAGEIFS([1]HOURLY_DATA!B168:B8951,[1]HOURLY_DATA!H168:H8951,Daily_AQI!A168),0)</f>
        <v>21</v>
      </c>
      <c r="C168">
        <f>ROUND(AVERAGEIFS([1]HOURLY_DATA!C168:C8951,[1]HOURLY_DATA!H168:H8951,Daily_AQI!A168),0)</f>
        <v>55</v>
      </c>
      <c r="D168">
        <f>ROUND(AVERAGEIFS([1]HOURLY_DATA!D168:D8951,[1]HOURLY_DATA!H168:H8951,Daily_AQI!A168),0)</f>
        <v>15</v>
      </c>
      <c r="E168">
        <f>ROUND(AVERAGEIFS([1]HOURLY_DATA!E168:E8951,[1]HOURLY_DATA!H168:H8951,Daily_AQI!A168),0)</f>
        <v>9</v>
      </c>
      <c r="F168">
        <f>ROUND(AVERAGEIFS([1]HOURLY_DATA!I168:I8951,[1]HOURLY_DATA!H168:H8951,Daily_AQI!A168),2)</f>
        <v>0.71</v>
      </c>
      <c r="G168">
        <f>ROUND(AVERAGEIFS([1]HOURLY_DATA!J168:J8951,[1]HOURLY_DATA!H168:H8951,Daily_AQI!A168),0)</f>
        <v>28</v>
      </c>
      <c r="H168">
        <f>ROUND(((_xlfn.XLOOKUP(B168,[1]!PM2.5[BLO],[1]!PM2.5[IHI],,-1) - _xlfn.XLOOKUP(B168,[1]!PM2.5[BLO],[1]!PM2.5[ILO],,-1))
/
(_xlfn.XLOOKUP(B168,[1]!PM2.5[BLO],[1]!PM2.5[BHI],,-1) - _xlfn.XLOOKUP(B168,[1]!PM2.5[BLO],[1]!PM2.5[BLO],,-1)))
*
(B168 - _xlfn.XLOOKUP(B168,[1]!PM2.5[BLO],[1]!PM2.5[BLO],,-1))
+
_xlfn.XLOOKUP(B168,[1]!PM2.5[BLO],[1]!PM2.5[ILO],,-1),2)</f>
        <v>35</v>
      </c>
      <c r="I168">
        <f>ROUND(((_xlfn.XLOOKUP(C168,[1]!PM_10[BLO],[1]!PM_10[IHI],,-1) - _xlfn.XLOOKUP(C168,[1]!PM_10[BLO],[1]!PM_10[ILO],,-1))
/
(_xlfn.XLOOKUP(C168,[1]!PM_10[BLO],[1]!PM_10[BHI],,-1) - _xlfn.XLOOKUP(C168,[1]!PM_10[BLO],[1]!PM_10[BLO],,-1)))
*
( C168 - _xlfn.XLOOKUP(C168,[1]!PM_10[BLO],[1]!PM_10[BLO],,-1))
+
_xlfn.XLOOKUP(C168,[1]!PM_10[BLO],[1]!PM_10[ILO],,-1),2)</f>
        <v>55</v>
      </c>
      <c r="J168">
        <f>ROUND((( _xlfn.XLOOKUP(D168,[1]!NO_2[BLO],[1]!NO_2[IHI],,-1) - _xlfn.XLOOKUP(D168,[1]!NO_2[BLO],[1]!NO_2[ILO],,-1))
/
( _xlfn.XLOOKUP(D168,[1]!NO_2[BLO],[1]!NO_2[BHI],,-1) - _xlfn.XLOOKUP(D168,[1]!NO_2[BLO],[1]!NO_2[BLO],,-1) ))
*
( D168 - _xlfn.XLOOKUP(D168,[1]!NO_2[BLO],[1]!NO_2[BLO],,-1))
+
_xlfn.XLOOKUP(D168,[1]!NO_2[BLO],[1]!NO_2[ILO],,-1),2)</f>
        <v>18.75</v>
      </c>
      <c r="K168">
        <f>ROUND(( ( _xlfn.XLOOKUP(E168,[1]!SO_2[BLO],[1]!SO_2[IHI],,-1)  - _xlfn.XLOOKUP(E168,[1]!SO_2[BLO],[1]!SO_2[ILO],,-1) )
/
( _xlfn.XLOOKUP(E168,[1]!SO_2[BLO],[1]!SO_2[BHI],,-1)- _xlfn.XLOOKUP(E168,[1]!SO_2[BLO],[1]!SO_2[BLO],,-1) ))
*
( E168 - _xlfn.XLOOKUP(E168,[1]!SO_2[BLO],[1]!SO_2[BLO],,-1) )
+
_xlfn.XLOOKUP(E168,[1]!SO_2[BLO],[1]!SO_2[ILO],,-1),2)</f>
        <v>11.25</v>
      </c>
      <c r="L168">
        <f>( ( _xlfn.XLOOKUP(F168,[1]!CO[BLO],[1]!CO[IHI],,-1)
- _xlfn.XLOOKUP(F168,[1]!CO[BLO],[1]!CO[ILO],,-1) )
/
( _xlfn.XLOOKUP(F168,[1]!CO[BLO],[1]!CO[BHI],,-1) - _xlfn.XLOOKUP(F168,[1]!CO[BLO],[1]!CO[BLO],,-1)))
*
( F168 - _xlfn.XLOOKUP(F168,[1]!CO[BLO],[1]!CO[BLO],,-1) )
+
_xlfn.XLOOKUP(F168,[1]!CO[BLO],[1]!CO[ILO],,-1)</f>
        <v>35.5</v>
      </c>
      <c r="M168">
        <f>(( _xlfn.XLOOKUP(G168,[1]!O_3[BLO],[1]!O_3[IHI],,-1) - _xlfn.XLOOKUP(G168,[1]!O_3[BLO],[1]!O_3[ILO],,-1))
/
( _xlfn.XLOOKUP(G168,[1]!O_3[BLO],[1]!O_3[BHI],,-1) - _xlfn.XLOOKUP(G168,[1]!O_3[BLO],[1]!O_3[BLO],,-1)))
*
( G168 - _xlfn.XLOOKUP(G168,[1]!O_3[BLO],[1]!O_3[BLO],,-1))
+
_xlfn.XLOOKUP(G168,[1]!O_3[BLO],[1]!O_3[ILO],,-1)</f>
        <v>28</v>
      </c>
      <c r="N168">
        <f>MAX(DAILY_DATA[[#This Row],[AQI_PM2.5]:[AQI_O3]])</f>
        <v>55</v>
      </c>
      <c r="O168" t="str">
        <f>_xlfn.XLOOKUP(DAILY_DATA[[#This Row],[OVERALL_AQI]],[1]!CATEGORY[AQI_LO],[1]!CATEGORY[CATEGORY],,-1)</f>
        <v>Satisfactory</v>
      </c>
      <c r="P168" t="str" cm="1">
        <f t="array" ref="P168">INDEX(
{"PM2.5","PM10","NO2","SO2","CO","O3"},
MATCH(N168,H168:M168,0)
)</f>
        <v>PM10</v>
      </c>
    </row>
    <row r="169" spans="1:16" x14ac:dyDescent="0.25">
      <c r="A169" s="4">
        <v>45459</v>
      </c>
      <c r="B169">
        <f>ROUND(AVERAGEIFS([1]HOURLY_DATA!B169:B8952,[1]HOURLY_DATA!H169:H8952,Daily_AQI!A169),0)</f>
        <v>17</v>
      </c>
      <c r="C169">
        <f>ROUND(AVERAGEIFS([1]HOURLY_DATA!C169:C8952,[1]HOURLY_DATA!H169:H8952,Daily_AQI!A169),0)</f>
        <v>46</v>
      </c>
      <c r="D169">
        <f>ROUND(AVERAGEIFS([1]HOURLY_DATA!D169:D8952,[1]HOURLY_DATA!H169:H8952,Daily_AQI!A169),0)</f>
        <v>15</v>
      </c>
      <c r="E169">
        <f>ROUND(AVERAGEIFS([1]HOURLY_DATA!E169:E8952,[1]HOURLY_DATA!H169:H8952,Daily_AQI!A169),0)</f>
        <v>9</v>
      </c>
      <c r="F169">
        <f>ROUND(AVERAGEIFS([1]HOURLY_DATA!I169:I8952,[1]HOURLY_DATA!H169:H8952,Daily_AQI!A169),2)</f>
        <v>0.67</v>
      </c>
      <c r="G169">
        <f>ROUND(AVERAGEIFS([1]HOURLY_DATA!J169:J8952,[1]HOURLY_DATA!H169:H8952,Daily_AQI!A169),0)</f>
        <v>28</v>
      </c>
      <c r="H169">
        <f>ROUND(((_xlfn.XLOOKUP(B169,[1]!PM2.5[BLO],[1]!PM2.5[IHI],,-1) - _xlfn.XLOOKUP(B169,[1]!PM2.5[BLO],[1]!PM2.5[ILO],,-1))
/
(_xlfn.XLOOKUP(B169,[1]!PM2.5[BLO],[1]!PM2.5[BHI],,-1) - _xlfn.XLOOKUP(B169,[1]!PM2.5[BLO],[1]!PM2.5[BLO],,-1)))
*
(B169 - _xlfn.XLOOKUP(B169,[1]!PM2.5[BLO],[1]!PM2.5[BLO],,-1))
+
_xlfn.XLOOKUP(B169,[1]!PM2.5[BLO],[1]!PM2.5[ILO],,-1),2)</f>
        <v>28.33</v>
      </c>
      <c r="I169">
        <f>ROUND(((_xlfn.XLOOKUP(C169,[1]!PM_10[BLO],[1]!PM_10[IHI],,-1) - _xlfn.XLOOKUP(C169,[1]!PM_10[BLO],[1]!PM_10[ILO],,-1))
/
(_xlfn.XLOOKUP(C169,[1]!PM_10[BLO],[1]!PM_10[BHI],,-1) - _xlfn.XLOOKUP(C169,[1]!PM_10[BLO],[1]!PM_10[BLO],,-1)))
*
( C169 - _xlfn.XLOOKUP(C169,[1]!PM_10[BLO],[1]!PM_10[BLO],,-1))
+
_xlfn.XLOOKUP(C169,[1]!PM_10[BLO],[1]!PM_10[ILO],,-1),2)</f>
        <v>46</v>
      </c>
      <c r="J169">
        <f>ROUND((( _xlfn.XLOOKUP(D169,[1]!NO_2[BLO],[1]!NO_2[IHI],,-1) - _xlfn.XLOOKUP(D169,[1]!NO_2[BLO],[1]!NO_2[ILO],,-1))
/
( _xlfn.XLOOKUP(D169,[1]!NO_2[BLO],[1]!NO_2[BHI],,-1) - _xlfn.XLOOKUP(D169,[1]!NO_2[BLO],[1]!NO_2[BLO],,-1) ))
*
( D169 - _xlfn.XLOOKUP(D169,[1]!NO_2[BLO],[1]!NO_2[BLO],,-1))
+
_xlfn.XLOOKUP(D169,[1]!NO_2[BLO],[1]!NO_2[ILO],,-1),2)</f>
        <v>18.75</v>
      </c>
      <c r="K169">
        <f>ROUND(( ( _xlfn.XLOOKUP(E169,[1]!SO_2[BLO],[1]!SO_2[IHI],,-1)  - _xlfn.XLOOKUP(E169,[1]!SO_2[BLO],[1]!SO_2[ILO],,-1) )
/
( _xlfn.XLOOKUP(E169,[1]!SO_2[BLO],[1]!SO_2[BHI],,-1)- _xlfn.XLOOKUP(E169,[1]!SO_2[BLO],[1]!SO_2[BLO],,-1) ))
*
( E169 - _xlfn.XLOOKUP(E169,[1]!SO_2[BLO],[1]!SO_2[BLO],,-1) )
+
_xlfn.XLOOKUP(E169,[1]!SO_2[BLO],[1]!SO_2[ILO],,-1),2)</f>
        <v>11.25</v>
      </c>
      <c r="L169">
        <f>( ( _xlfn.XLOOKUP(F169,[1]!CO[BLO],[1]!CO[IHI],,-1)
- _xlfn.XLOOKUP(F169,[1]!CO[BLO],[1]!CO[ILO],,-1) )
/
( _xlfn.XLOOKUP(F169,[1]!CO[BLO],[1]!CO[BHI],,-1) - _xlfn.XLOOKUP(F169,[1]!CO[BLO],[1]!CO[BLO],,-1)))
*
( F169 - _xlfn.XLOOKUP(F169,[1]!CO[BLO],[1]!CO[BLO],,-1) )
+
_xlfn.XLOOKUP(F169,[1]!CO[BLO],[1]!CO[ILO],,-1)</f>
        <v>33.5</v>
      </c>
      <c r="M169">
        <f>(( _xlfn.XLOOKUP(G169,[1]!O_3[BLO],[1]!O_3[IHI],,-1) - _xlfn.XLOOKUP(G169,[1]!O_3[BLO],[1]!O_3[ILO],,-1))
/
( _xlfn.XLOOKUP(G169,[1]!O_3[BLO],[1]!O_3[BHI],,-1) - _xlfn.XLOOKUP(G169,[1]!O_3[BLO],[1]!O_3[BLO],,-1)))
*
( G169 - _xlfn.XLOOKUP(G169,[1]!O_3[BLO],[1]!O_3[BLO],,-1))
+
_xlfn.XLOOKUP(G169,[1]!O_3[BLO],[1]!O_3[ILO],,-1)</f>
        <v>28</v>
      </c>
      <c r="N169">
        <f>MAX(DAILY_DATA[[#This Row],[AQI_PM2.5]:[AQI_O3]])</f>
        <v>46</v>
      </c>
      <c r="O169" t="str">
        <f>_xlfn.XLOOKUP(DAILY_DATA[[#This Row],[OVERALL_AQI]],[1]!CATEGORY[AQI_LO],[1]!CATEGORY[CATEGORY],,-1)</f>
        <v>Good</v>
      </c>
      <c r="P169" t="str" cm="1">
        <f t="array" ref="P169">INDEX(
{"PM2.5","PM10","NO2","SO2","CO","O3"},
MATCH(N169,H169:M169,0)
)</f>
        <v>PM10</v>
      </c>
    </row>
    <row r="170" spans="1:16" x14ac:dyDescent="0.25">
      <c r="A170" s="4">
        <v>45460</v>
      </c>
      <c r="B170">
        <f>ROUND(AVERAGEIFS([1]HOURLY_DATA!B170:B8953,[1]HOURLY_DATA!H170:H8953,Daily_AQI!A170),0)</f>
        <v>15</v>
      </c>
      <c r="C170">
        <f>ROUND(AVERAGEIFS([1]HOURLY_DATA!C170:C8953,[1]HOURLY_DATA!H170:H8953,Daily_AQI!A170),0)</f>
        <v>40</v>
      </c>
      <c r="D170">
        <f>ROUND(AVERAGEIFS([1]HOURLY_DATA!D170:D8953,[1]HOURLY_DATA!H170:H8953,Daily_AQI!A170),0)</f>
        <v>15</v>
      </c>
      <c r="E170">
        <f>ROUND(AVERAGEIFS([1]HOURLY_DATA!E170:E8953,[1]HOURLY_DATA!H170:H8953,Daily_AQI!A170),0)</f>
        <v>8</v>
      </c>
      <c r="F170">
        <f>ROUND(AVERAGEIFS([1]HOURLY_DATA!I170:I8953,[1]HOURLY_DATA!H170:H8953,Daily_AQI!A170),2)</f>
        <v>0.68</v>
      </c>
      <c r="G170">
        <f>ROUND(AVERAGEIFS([1]HOURLY_DATA!J170:J8953,[1]HOURLY_DATA!H170:H8953,Daily_AQI!A170),0)</f>
        <v>29</v>
      </c>
      <c r="H170">
        <f>ROUND(((_xlfn.XLOOKUP(B170,[1]!PM2.5[BLO],[1]!PM2.5[IHI],,-1) - _xlfn.XLOOKUP(B170,[1]!PM2.5[BLO],[1]!PM2.5[ILO],,-1))
/
(_xlfn.XLOOKUP(B170,[1]!PM2.5[BLO],[1]!PM2.5[BHI],,-1) - _xlfn.XLOOKUP(B170,[1]!PM2.5[BLO],[1]!PM2.5[BLO],,-1)))
*
(B170 - _xlfn.XLOOKUP(B170,[1]!PM2.5[BLO],[1]!PM2.5[BLO],,-1))
+
_xlfn.XLOOKUP(B170,[1]!PM2.5[BLO],[1]!PM2.5[ILO],,-1),2)</f>
        <v>25</v>
      </c>
      <c r="I170">
        <f>ROUND(((_xlfn.XLOOKUP(C170,[1]!PM_10[BLO],[1]!PM_10[IHI],,-1) - _xlfn.XLOOKUP(C170,[1]!PM_10[BLO],[1]!PM_10[ILO],,-1))
/
(_xlfn.XLOOKUP(C170,[1]!PM_10[BLO],[1]!PM_10[BHI],,-1) - _xlfn.XLOOKUP(C170,[1]!PM_10[BLO],[1]!PM_10[BLO],,-1)))
*
( C170 - _xlfn.XLOOKUP(C170,[1]!PM_10[BLO],[1]!PM_10[BLO],,-1))
+
_xlfn.XLOOKUP(C170,[1]!PM_10[BLO],[1]!PM_10[ILO],,-1),2)</f>
        <v>40</v>
      </c>
      <c r="J170">
        <f>ROUND((( _xlfn.XLOOKUP(D170,[1]!NO_2[BLO],[1]!NO_2[IHI],,-1) - _xlfn.XLOOKUP(D170,[1]!NO_2[BLO],[1]!NO_2[ILO],,-1))
/
( _xlfn.XLOOKUP(D170,[1]!NO_2[BLO],[1]!NO_2[BHI],,-1) - _xlfn.XLOOKUP(D170,[1]!NO_2[BLO],[1]!NO_2[BLO],,-1) ))
*
( D170 - _xlfn.XLOOKUP(D170,[1]!NO_2[BLO],[1]!NO_2[BLO],,-1))
+
_xlfn.XLOOKUP(D170,[1]!NO_2[BLO],[1]!NO_2[ILO],,-1),2)</f>
        <v>18.75</v>
      </c>
      <c r="K170">
        <f>ROUND(( ( _xlfn.XLOOKUP(E170,[1]!SO_2[BLO],[1]!SO_2[IHI],,-1)  - _xlfn.XLOOKUP(E170,[1]!SO_2[BLO],[1]!SO_2[ILO],,-1) )
/
( _xlfn.XLOOKUP(E170,[1]!SO_2[BLO],[1]!SO_2[BHI],,-1)- _xlfn.XLOOKUP(E170,[1]!SO_2[BLO],[1]!SO_2[BLO],,-1) ))
*
( E170 - _xlfn.XLOOKUP(E170,[1]!SO_2[BLO],[1]!SO_2[BLO],,-1) )
+
_xlfn.XLOOKUP(E170,[1]!SO_2[BLO],[1]!SO_2[ILO],,-1),2)</f>
        <v>10</v>
      </c>
      <c r="L170">
        <f>( ( _xlfn.XLOOKUP(F170,[1]!CO[BLO],[1]!CO[IHI],,-1)
- _xlfn.XLOOKUP(F170,[1]!CO[BLO],[1]!CO[ILO],,-1) )
/
( _xlfn.XLOOKUP(F170,[1]!CO[BLO],[1]!CO[BHI],,-1) - _xlfn.XLOOKUP(F170,[1]!CO[BLO],[1]!CO[BLO],,-1)))
*
( F170 - _xlfn.XLOOKUP(F170,[1]!CO[BLO],[1]!CO[BLO],,-1) )
+
_xlfn.XLOOKUP(F170,[1]!CO[BLO],[1]!CO[ILO],,-1)</f>
        <v>34</v>
      </c>
      <c r="M170">
        <f>(( _xlfn.XLOOKUP(G170,[1]!O_3[BLO],[1]!O_3[IHI],,-1) - _xlfn.XLOOKUP(G170,[1]!O_3[BLO],[1]!O_3[ILO],,-1))
/
( _xlfn.XLOOKUP(G170,[1]!O_3[BLO],[1]!O_3[BHI],,-1) - _xlfn.XLOOKUP(G170,[1]!O_3[BLO],[1]!O_3[BLO],,-1)))
*
( G170 - _xlfn.XLOOKUP(G170,[1]!O_3[BLO],[1]!O_3[BLO],,-1))
+
_xlfn.XLOOKUP(G170,[1]!O_3[BLO],[1]!O_3[ILO],,-1)</f>
        <v>29</v>
      </c>
      <c r="N170">
        <f>MAX(DAILY_DATA[[#This Row],[AQI_PM2.5]:[AQI_O3]])</f>
        <v>40</v>
      </c>
      <c r="O170" t="str">
        <f>_xlfn.XLOOKUP(DAILY_DATA[[#This Row],[OVERALL_AQI]],[1]!CATEGORY[AQI_LO],[1]!CATEGORY[CATEGORY],,-1)</f>
        <v>Good</v>
      </c>
      <c r="P170" t="str" cm="1">
        <f t="array" ref="P170">INDEX(
{"PM2.5","PM10","NO2","SO2","CO","O3"},
MATCH(N170,H170:M170,0)
)</f>
        <v>PM10</v>
      </c>
    </row>
    <row r="171" spans="1:16" x14ac:dyDescent="0.25">
      <c r="A171" s="4">
        <v>45461</v>
      </c>
      <c r="B171">
        <f>ROUND(AVERAGEIFS([1]HOURLY_DATA!B171:B8954,[1]HOURLY_DATA!H171:H8954,Daily_AQI!A171),0)</f>
        <v>14</v>
      </c>
      <c r="C171">
        <f>ROUND(AVERAGEIFS([1]HOURLY_DATA!C171:C8954,[1]HOURLY_DATA!H171:H8954,Daily_AQI!A171),0)</f>
        <v>39</v>
      </c>
      <c r="D171">
        <f>ROUND(AVERAGEIFS([1]HOURLY_DATA!D171:D8954,[1]HOURLY_DATA!H171:H8954,Daily_AQI!A171),0)</f>
        <v>15</v>
      </c>
      <c r="E171">
        <f>ROUND(AVERAGEIFS([1]HOURLY_DATA!E171:E8954,[1]HOURLY_DATA!H171:H8954,Daily_AQI!A171),0)</f>
        <v>8</v>
      </c>
      <c r="F171">
        <f>ROUND(AVERAGEIFS([1]HOURLY_DATA!I171:I8954,[1]HOURLY_DATA!H171:H8954,Daily_AQI!A171),2)</f>
        <v>0.66</v>
      </c>
      <c r="G171">
        <f>ROUND(AVERAGEIFS([1]HOURLY_DATA!J171:J8954,[1]HOURLY_DATA!H171:H8954,Daily_AQI!A171),0)</f>
        <v>32</v>
      </c>
      <c r="H171">
        <f>ROUND(((_xlfn.XLOOKUP(B171,[1]!PM2.5[BLO],[1]!PM2.5[IHI],,-1) - _xlfn.XLOOKUP(B171,[1]!PM2.5[BLO],[1]!PM2.5[ILO],,-1))
/
(_xlfn.XLOOKUP(B171,[1]!PM2.5[BLO],[1]!PM2.5[BHI],,-1) - _xlfn.XLOOKUP(B171,[1]!PM2.5[BLO],[1]!PM2.5[BLO],,-1)))
*
(B171 - _xlfn.XLOOKUP(B171,[1]!PM2.5[BLO],[1]!PM2.5[BLO],,-1))
+
_xlfn.XLOOKUP(B171,[1]!PM2.5[BLO],[1]!PM2.5[ILO],,-1),2)</f>
        <v>23.33</v>
      </c>
      <c r="I171">
        <f>ROUND(((_xlfn.XLOOKUP(C171,[1]!PM_10[BLO],[1]!PM_10[IHI],,-1) - _xlfn.XLOOKUP(C171,[1]!PM_10[BLO],[1]!PM_10[ILO],,-1))
/
(_xlfn.XLOOKUP(C171,[1]!PM_10[BLO],[1]!PM_10[BHI],,-1) - _xlfn.XLOOKUP(C171,[1]!PM_10[BLO],[1]!PM_10[BLO],,-1)))
*
( C171 - _xlfn.XLOOKUP(C171,[1]!PM_10[BLO],[1]!PM_10[BLO],,-1))
+
_xlfn.XLOOKUP(C171,[1]!PM_10[BLO],[1]!PM_10[ILO],,-1),2)</f>
        <v>39</v>
      </c>
      <c r="J171">
        <f>ROUND((( _xlfn.XLOOKUP(D171,[1]!NO_2[BLO],[1]!NO_2[IHI],,-1) - _xlfn.XLOOKUP(D171,[1]!NO_2[BLO],[1]!NO_2[ILO],,-1))
/
( _xlfn.XLOOKUP(D171,[1]!NO_2[BLO],[1]!NO_2[BHI],,-1) - _xlfn.XLOOKUP(D171,[1]!NO_2[BLO],[1]!NO_2[BLO],,-1) ))
*
( D171 - _xlfn.XLOOKUP(D171,[1]!NO_2[BLO],[1]!NO_2[BLO],,-1))
+
_xlfn.XLOOKUP(D171,[1]!NO_2[BLO],[1]!NO_2[ILO],,-1),2)</f>
        <v>18.75</v>
      </c>
      <c r="K171">
        <f>ROUND(( ( _xlfn.XLOOKUP(E171,[1]!SO_2[BLO],[1]!SO_2[IHI],,-1)  - _xlfn.XLOOKUP(E171,[1]!SO_2[BLO],[1]!SO_2[ILO],,-1) )
/
( _xlfn.XLOOKUP(E171,[1]!SO_2[BLO],[1]!SO_2[BHI],,-1)- _xlfn.XLOOKUP(E171,[1]!SO_2[BLO],[1]!SO_2[BLO],,-1) ))
*
( E171 - _xlfn.XLOOKUP(E171,[1]!SO_2[BLO],[1]!SO_2[BLO],,-1) )
+
_xlfn.XLOOKUP(E171,[1]!SO_2[BLO],[1]!SO_2[ILO],,-1),2)</f>
        <v>10</v>
      </c>
      <c r="L171">
        <f>( ( _xlfn.XLOOKUP(F171,[1]!CO[BLO],[1]!CO[IHI],,-1)
- _xlfn.XLOOKUP(F171,[1]!CO[BLO],[1]!CO[ILO],,-1) )
/
( _xlfn.XLOOKUP(F171,[1]!CO[BLO],[1]!CO[BHI],,-1) - _xlfn.XLOOKUP(F171,[1]!CO[BLO],[1]!CO[BLO],,-1)))
*
( F171 - _xlfn.XLOOKUP(F171,[1]!CO[BLO],[1]!CO[BLO],,-1) )
+
_xlfn.XLOOKUP(F171,[1]!CO[BLO],[1]!CO[ILO],,-1)</f>
        <v>33</v>
      </c>
      <c r="M171">
        <f>(( _xlfn.XLOOKUP(G171,[1]!O_3[BLO],[1]!O_3[IHI],,-1) - _xlfn.XLOOKUP(G171,[1]!O_3[BLO],[1]!O_3[ILO],,-1))
/
( _xlfn.XLOOKUP(G171,[1]!O_3[BLO],[1]!O_3[BHI],,-1) - _xlfn.XLOOKUP(G171,[1]!O_3[BLO],[1]!O_3[BLO],,-1)))
*
( G171 - _xlfn.XLOOKUP(G171,[1]!O_3[BLO],[1]!O_3[BLO],,-1))
+
_xlfn.XLOOKUP(G171,[1]!O_3[BLO],[1]!O_3[ILO],,-1)</f>
        <v>32</v>
      </c>
      <c r="N171">
        <f>MAX(DAILY_DATA[[#This Row],[AQI_PM2.5]:[AQI_O3]])</f>
        <v>39</v>
      </c>
      <c r="O171" t="str">
        <f>_xlfn.XLOOKUP(DAILY_DATA[[#This Row],[OVERALL_AQI]],[1]!CATEGORY[AQI_LO],[1]!CATEGORY[CATEGORY],,-1)</f>
        <v>Good</v>
      </c>
      <c r="P171" t="str" cm="1">
        <f t="array" ref="P171">INDEX(
{"PM2.5","PM10","NO2","SO2","CO","O3"},
MATCH(N171,H171:M171,0)
)</f>
        <v>PM10</v>
      </c>
    </row>
    <row r="172" spans="1:16" x14ac:dyDescent="0.25">
      <c r="A172" s="4">
        <v>45462</v>
      </c>
      <c r="B172">
        <f>ROUND(AVERAGEIFS([1]HOURLY_DATA!B172:B8955,[1]HOURLY_DATA!H172:H8955,Daily_AQI!A172),0)</f>
        <v>16</v>
      </c>
      <c r="C172">
        <f>ROUND(AVERAGEIFS([1]HOURLY_DATA!C172:C8955,[1]HOURLY_DATA!H172:H8955,Daily_AQI!A172),0)</f>
        <v>46</v>
      </c>
      <c r="D172">
        <f>ROUND(AVERAGEIFS([1]HOURLY_DATA!D172:D8955,[1]HOURLY_DATA!H172:H8955,Daily_AQI!A172),0)</f>
        <v>16</v>
      </c>
      <c r="E172">
        <f>ROUND(AVERAGEIFS([1]HOURLY_DATA!E172:E8955,[1]HOURLY_DATA!H172:H8955,Daily_AQI!A172),0)</f>
        <v>9</v>
      </c>
      <c r="F172">
        <f>ROUND(AVERAGEIFS([1]HOURLY_DATA!I172:I8955,[1]HOURLY_DATA!H172:H8955,Daily_AQI!A172),2)</f>
        <v>0.67</v>
      </c>
      <c r="G172">
        <f>ROUND(AVERAGEIFS([1]HOURLY_DATA!J172:J8955,[1]HOURLY_DATA!H172:H8955,Daily_AQI!A172),0)</f>
        <v>30</v>
      </c>
      <c r="H172">
        <f>ROUND(((_xlfn.XLOOKUP(B172,[1]!PM2.5[BLO],[1]!PM2.5[IHI],,-1) - _xlfn.XLOOKUP(B172,[1]!PM2.5[BLO],[1]!PM2.5[ILO],,-1))
/
(_xlfn.XLOOKUP(B172,[1]!PM2.5[BLO],[1]!PM2.5[BHI],,-1) - _xlfn.XLOOKUP(B172,[1]!PM2.5[BLO],[1]!PM2.5[BLO],,-1)))
*
(B172 - _xlfn.XLOOKUP(B172,[1]!PM2.5[BLO],[1]!PM2.5[BLO],,-1))
+
_xlfn.XLOOKUP(B172,[1]!PM2.5[BLO],[1]!PM2.5[ILO],,-1),2)</f>
        <v>26.67</v>
      </c>
      <c r="I172">
        <f>ROUND(((_xlfn.XLOOKUP(C172,[1]!PM_10[BLO],[1]!PM_10[IHI],,-1) - _xlfn.XLOOKUP(C172,[1]!PM_10[BLO],[1]!PM_10[ILO],,-1))
/
(_xlfn.XLOOKUP(C172,[1]!PM_10[BLO],[1]!PM_10[BHI],,-1) - _xlfn.XLOOKUP(C172,[1]!PM_10[BLO],[1]!PM_10[BLO],,-1)))
*
( C172 - _xlfn.XLOOKUP(C172,[1]!PM_10[BLO],[1]!PM_10[BLO],,-1))
+
_xlfn.XLOOKUP(C172,[1]!PM_10[BLO],[1]!PM_10[ILO],,-1),2)</f>
        <v>46</v>
      </c>
      <c r="J172">
        <f>ROUND((( _xlfn.XLOOKUP(D172,[1]!NO_2[BLO],[1]!NO_2[IHI],,-1) - _xlfn.XLOOKUP(D172,[1]!NO_2[BLO],[1]!NO_2[ILO],,-1))
/
( _xlfn.XLOOKUP(D172,[1]!NO_2[BLO],[1]!NO_2[BHI],,-1) - _xlfn.XLOOKUP(D172,[1]!NO_2[BLO],[1]!NO_2[BLO],,-1) ))
*
( D172 - _xlfn.XLOOKUP(D172,[1]!NO_2[BLO],[1]!NO_2[BLO],,-1))
+
_xlfn.XLOOKUP(D172,[1]!NO_2[BLO],[1]!NO_2[ILO],,-1),2)</f>
        <v>20</v>
      </c>
      <c r="K172">
        <f>ROUND(( ( _xlfn.XLOOKUP(E172,[1]!SO_2[BLO],[1]!SO_2[IHI],,-1)  - _xlfn.XLOOKUP(E172,[1]!SO_2[BLO],[1]!SO_2[ILO],,-1) )
/
( _xlfn.XLOOKUP(E172,[1]!SO_2[BLO],[1]!SO_2[BHI],,-1)- _xlfn.XLOOKUP(E172,[1]!SO_2[BLO],[1]!SO_2[BLO],,-1) ))
*
( E172 - _xlfn.XLOOKUP(E172,[1]!SO_2[BLO],[1]!SO_2[BLO],,-1) )
+
_xlfn.XLOOKUP(E172,[1]!SO_2[BLO],[1]!SO_2[ILO],,-1),2)</f>
        <v>11.25</v>
      </c>
      <c r="L172">
        <f>( ( _xlfn.XLOOKUP(F172,[1]!CO[BLO],[1]!CO[IHI],,-1)
- _xlfn.XLOOKUP(F172,[1]!CO[BLO],[1]!CO[ILO],,-1) )
/
( _xlfn.XLOOKUP(F172,[1]!CO[BLO],[1]!CO[BHI],,-1) - _xlfn.XLOOKUP(F172,[1]!CO[BLO],[1]!CO[BLO],,-1)))
*
( F172 - _xlfn.XLOOKUP(F172,[1]!CO[BLO],[1]!CO[BLO],,-1) )
+
_xlfn.XLOOKUP(F172,[1]!CO[BLO],[1]!CO[ILO],,-1)</f>
        <v>33.5</v>
      </c>
      <c r="M172">
        <f>(( _xlfn.XLOOKUP(G172,[1]!O_3[BLO],[1]!O_3[IHI],,-1) - _xlfn.XLOOKUP(G172,[1]!O_3[BLO],[1]!O_3[ILO],,-1))
/
( _xlfn.XLOOKUP(G172,[1]!O_3[BLO],[1]!O_3[BHI],,-1) - _xlfn.XLOOKUP(G172,[1]!O_3[BLO],[1]!O_3[BLO],,-1)))
*
( G172 - _xlfn.XLOOKUP(G172,[1]!O_3[BLO],[1]!O_3[BLO],,-1))
+
_xlfn.XLOOKUP(G172,[1]!O_3[BLO],[1]!O_3[ILO],,-1)</f>
        <v>30</v>
      </c>
      <c r="N172">
        <f>MAX(DAILY_DATA[[#This Row],[AQI_PM2.5]:[AQI_O3]])</f>
        <v>46</v>
      </c>
      <c r="O172" t="str">
        <f>_xlfn.XLOOKUP(DAILY_DATA[[#This Row],[OVERALL_AQI]],[1]!CATEGORY[AQI_LO],[1]!CATEGORY[CATEGORY],,-1)</f>
        <v>Good</v>
      </c>
      <c r="P172" t="str" cm="1">
        <f t="array" ref="P172">INDEX(
{"PM2.5","PM10","NO2","SO2","CO","O3"},
MATCH(N172,H172:M172,0)
)</f>
        <v>PM10</v>
      </c>
    </row>
    <row r="173" spans="1:16" x14ac:dyDescent="0.25">
      <c r="A173" s="4">
        <v>45463</v>
      </c>
      <c r="B173">
        <f>ROUND(AVERAGEIFS([1]HOURLY_DATA!B173:B8956,[1]HOURLY_DATA!H173:H8956,Daily_AQI!A173),0)</f>
        <v>19</v>
      </c>
      <c r="C173">
        <f>ROUND(AVERAGEIFS([1]HOURLY_DATA!C173:C8956,[1]HOURLY_DATA!H173:H8956,Daily_AQI!A173),0)</f>
        <v>50</v>
      </c>
      <c r="D173">
        <f>ROUND(AVERAGEIFS([1]HOURLY_DATA!D173:D8956,[1]HOURLY_DATA!H173:H8956,Daily_AQI!A173),0)</f>
        <v>15</v>
      </c>
      <c r="E173">
        <f>ROUND(AVERAGEIFS([1]HOURLY_DATA!E173:E8956,[1]HOURLY_DATA!H173:H8956,Daily_AQI!A173),0)</f>
        <v>9</v>
      </c>
      <c r="F173">
        <f>ROUND(AVERAGEIFS([1]HOURLY_DATA!I173:I8956,[1]HOURLY_DATA!H173:H8956,Daily_AQI!A173),2)</f>
        <v>0.69</v>
      </c>
      <c r="G173">
        <f>ROUND(AVERAGEIFS([1]HOURLY_DATA!J173:J8956,[1]HOURLY_DATA!H173:H8956,Daily_AQI!A173),0)</f>
        <v>29</v>
      </c>
      <c r="H173">
        <f>ROUND(((_xlfn.XLOOKUP(B173,[1]!PM2.5[BLO],[1]!PM2.5[IHI],,-1) - _xlfn.XLOOKUP(B173,[1]!PM2.5[BLO],[1]!PM2.5[ILO],,-1))
/
(_xlfn.XLOOKUP(B173,[1]!PM2.5[BLO],[1]!PM2.5[BHI],,-1) - _xlfn.XLOOKUP(B173,[1]!PM2.5[BLO],[1]!PM2.5[BLO],,-1)))
*
(B173 - _xlfn.XLOOKUP(B173,[1]!PM2.5[BLO],[1]!PM2.5[BLO],,-1))
+
_xlfn.XLOOKUP(B173,[1]!PM2.5[BLO],[1]!PM2.5[ILO],,-1),2)</f>
        <v>31.67</v>
      </c>
      <c r="I173">
        <f>ROUND(((_xlfn.XLOOKUP(C173,[1]!PM_10[BLO],[1]!PM_10[IHI],,-1) - _xlfn.XLOOKUP(C173,[1]!PM_10[BLO],[1]!PM_10[ILO],,-1))
/
(_xlfn.XLOOKUP(C173,[1]!PM_10[BLO],[1]!PM_10[BHI],,-1) - _xlfn.XLOOKUP(C173,[1]!PM_10[BLO],[1]!PM_10[BLO],,-1)))
*
( C173 - _xlfn.XLOOKUP(C173,[1]!PM_10[BLO],[1]!PM_10[BLO],,-1))
+
_xlfn.XLOOKUP(C173,[1]!PM_10[BLO],[1]!PM_10[ILO],,-1),2)</f>
        <v>50</v>
      </c>
      <c r="J173">
        <f>ROUND((( _xlfn.XLOOKUP(D173,[1]!NO_2[BLO],[1]!NO_2[IHI],,-1) - _xlfn.XLOOKUP(D173,[1]!NO_2[BLO],[1]!NO_2[ILO],,-1))
/
( _xlfn.XLOOKUP(D173,[1]!NO_2[BLO],[1]!NO_2[BHI],,-1) - _xlfn.XLOOKUP(D173,[1]!NO_2[BLO],[1]!NO_2[BLO],,-1) ))
*
( D173 - _xlfn.XLOOKUP(D173,[1]!NO_2[BLO],[1]!NO_2[BLO],,-1))
+
_xlfn.XLOOKUP(D173,[1]!NO_2[BLO],[1]!NO_2[ILO],,-1),2)</f>
        <v>18.75</v>
      </c>
      <c r="K173">
        <f>ROUND(( ( _xlfn.XLOOKUP(E173,[1]!SO_2[BLO],[1]!SO_2[IHI],,-1)  - _xlfn.XLOOKUP(E173,[1]!SO_2[BLO],[1]!SO_2[ILO],,-1) )
/
( _xlfn.XLOOKUP(E173,[1]!SO_2[BLO],[1]!SO_2[BHI],,-1)- _xlfn.XLOOKUP(E173,[1]!SO_2[BLO],[1]!SO_2[BLO],,-1) ))
*
( E173 - _xlfn.XLOOKUP(E173,[1]!SO_2[BLO],[1]!SO_2[BLO],,-1) )
+
_xlfn.XLOOKUP(E173,[1]!SO_2[BLO],[1]!SO_2[ILO],,-1),2)</f>
        <v>11.25</v>
      </c>
      <c r="L173">
        <f>( ( _xlfn.XLOOKUP(F173,[1]!CO[BLO],[1]!CO[IHI],,-1)
- _xlfn.XLOOKUP(F173,[1]!CO[BLO],[1]!CO[ILO],,-1) )
/
( _xlfn.XLOOKUP(F173,[1]!CO[BLO],[1]!CO[BHI],,-1) - _xlfn.XLOOKUP(F173,[1]!CO[BLO],[1]!CO[BLO],,-1)))
*
( F173 - _xlfn.XLOOKUP(F173,[1]!CO[BLO],[1]!CO[BLO],,-1) )
+
_xlfn.XLOOKUP(F173,[1]!CO[BLO],[1]!CO[ILO],,-1)</f>
        <v>34.5</v>
      </c>
      <c r="M173">
        <f>(( _xlfn.XLOOKUP(G173,[1]!O_3[BLO],[1]!O_3[IHI],,-1) - _xlfn.XLOOKUP(G173,[1]!O_3[BLO],[1]!O_3[ILO],,-1))
/
( _xlfn.XLOOKUP(G173,[1]!O_3[BLO],[1]!O_3[BHI],,-1) - _xlfn.XLOOKUP(G173,[1]!O_3[BLO],[1]!O_3[BLO],,-1)))
*
( G173 - _xlfn.XLOOKUP(G173,[1]!O_3[BLO],[1]!O_3[BLO],,-1))
+
_xlfn.XLOOKUP(G173,[1]!O_3[BLO],[1]!O_3[ILO],,-1)</f>
        <v>29</v>
      </c>
      <c r="N173">
        <f>MAX(DAILY_DATA[[#This Row],[AQI_PM2.5]:[AQI_O3]])</f>
        <v>50</v>
      </c>
      <c r="O173" t="str">
        <f>_xlfn.XLOOKUP(DAILY_DATA[[#This Row],[OVERALL_AQI]],[1]!CATEGORY[AQI_LO],[1]!CATEGORY[CATEGORY],,-1)</f>
        <v>Good</v>
      </c>
      <c r="P173" t="str" cm="1">
        <f t="array" ref="P173">INDEX(
{"PM2.5","PM10","NO2","SO2","CO","O3"},
MATCH(N173,H173:M173,0)
)</f>
        <v>PM10</v>
      </c>
    </row>
    <row r="174" spans="1:16" x14ac:dyDescent="0.25">
      <c r="A174" s="4">
        <v>45464</v>
      </c>
      <c r="B174">
        <f>ROUND(AVERAGEIFS([1]HOURLY_DATA!B174:B8957,[1]HOURLY_DATA!H174:H8957,Daily_AQI!A174),0)</f>
        <v>20</v>
      </c>
      <c r="C174">
        <f>ROUND(AVERAGEIFS([1]HOURLY_DATA!C174:C8957,[1]HOURLY_DATA!H174:H8957,Daily_AQI!A174),0)</f>
        <v>52</v>
      </c>
      <c r="D174">
        <f>ROUND(AVERAGEIFS([1]HOURLY_DATA!D174:D8957,[1]HOURLY_DATA!H174:H8957,Daily_AQI!A174),0)</f>
        <v>15</v>
      </c>
      <c r="E174">
        <f>ROUND(AVERAGEIFS([1]HOURLY_DATA!E174:E8957,[1]HOURLY_DATA!H174:H8957,Daily_AQI!A174),0)</f>
        <v>8</v>
      </c>
      <c r="F174">
        <f>ROUND(AVERAGEIFS([1]HOURLY_DATA!I174:I8957,[1]HOURLY_DATA!H174:H8957,Daily_AQI!A174),2)</f>
        <v>0.66</v>
      </c>
      <c r="G174">
        <f>ROUND(AVERAGEIFS([1]HOURLY_DATA!J174:J8957,[1]HOURLY_DATA!H174:H8957,Daily_AQI!A174),0)</f>
        <v>30</v>
      </c>
      <c r="H174">
        <f>ROUND(((_xlfn.XLOOKUP(B174,[1]!PM2.5[BLO],[1]!PM2.5[IHI],,-1) - _xlfn.XLOOKUP(B174,[1]!PM2.5[BLO],[1]!PM2.5[ILO],,-1))
/
(_xlfn.XLOOKUP(B174,[1]!PM2.5[BLO],[1]!PM2.5[BHI],,-1) - _xlfn.XLOOKUP(B174,[1]!PM2.5[BLO],[1]!PM2.5[BLO],,-1)))
*
(B174 - _xlfn.XLOOKUP(B174,[1]!PM2.5[BLO],[1]!PM2.5[BLO],,-1))
+
_xlfn.XLOOKUP(B174,[1]!PM2.5[BLO],[1]!PM2.5[ILO],,-1),2)</f>
        <v>33.33</v>
      </c>
      <c r="I174">
        <f>ROUND(((_xlfn.XLOOKUP(C174,[1]!PM_10[BLO],[1]!PM_10[IHI],,-1) - _xlfn.XLOOKUP(C174,[1]!PM_10[BLO],[1]!PM_10[ILO],,-1))
/
(_xlfn.XLOOKUP(C174,[1]!PM_10[BLO],[1]!PM_10[BHI],,-1) - _xlfn.XLOOKUP(C174,[1]!PM_10[BLO],[1]!PM_10[BLO],,-1)))
*
( C174 - _xlfn.XLOOKUP(C174,[1]!PM_10[BLO],[1]!PM_10[BLO],,-1))
+
_xlfn.XLOOKUP(C174,[1]!PM_10[BLO],[1]!PM_10[ILO],,-1),2)</f>
        <v>52</v>
      </c>
      <c r="J174">
        <f>ROUND((( _xlfn.XLOOKUP(D174,[1]!NO_2[BLO],[1]!NO_2[IHI],,-1) - _xlfn.XLOOKUP(D174,[1]!NO_2[BLO],[1]!NO_2[ILO],,-1))
/
( _xlfn.XLOOKUP(D174,[1]!NO_2[BLO],[1]!NO_2[BHI],,-1) - _xlfn.XLOOKUP(D174,[1]!NO_2[BLO],[1]!NO_2[BLO],,-1) ))
*
( D174 - _xlfn.XLOOKUP(D174,[1]!NO_2[BLO],[1]!NO_2[BLO],,-1))
+
_xlfn.XLOOKUP(D174,[1]!NO_2[BLO],[1]!NO_2[ILO],,-1),2)</f>
        <v>18.75</v>
      </c>
      <c r="K174">
        <f>ROUND(( ( _xlfn.XLOOKUP(E174,[1]!SO_2[BLO],[1]!SO_2[IHI],,-1)  - _xlfn.XLOOKUP(E174,[1]!SO_2[BLO],[1]!SO_2[ILO],,-1) )
/
( _xlfn.XLOOKUP(E174,[1]!SO_2[BLO],[1]!SO_2[BHI],,-1)- _xlfn.XLOOKUP(E174,[1]!SO_2[BLO],[1]!SO_2[BLO],,-1) ))
*
( E174 - _xlfn.XLOOKUP(E174,[1]!SO_2[BLO],[1]!SO_2[BLO],,-1) )
+
_xlfn.XLOOKUP(E174,[1]!SO_2[BLO],[1]!SO_2[ILO],,-1),2)</f>
        <v>10</v>
      </c>
      <c r="L174">
        <f>( ( _xlfn.XLOOKUP(F174,[1]!CO[BLO],[1]!CO[IHI],,-1)
- _xlfn.XLOOKUP(F174,[1]!CO[BLO],[1]!CO[ILO],,-1) )
/
( _xlfn.XLOOKUP(F174,[1]!CO[BLO],[1]!CO[BHI],,-1) - _xlfn.XLOOKUP(F174,[1]!CO[BLO],[1]!CO[BLO],,-1)))
*
( F174 - _xlfn.XLOOKUP(F174,[1]!CO[BLO],[1]!CO[BLO],,-1) )
+
_xlfn.XLOOKUP(F174,[1]!CO[BLO],[1]!CO[ILO],,-1)</f>
        <v>33</v>
      </c>
      <c r="M174">
        <f>(( _xlfn.XLOOKUP(G174,[1]!O_3[BLO],[1]!O_3[IHI],,-1) - _xlfn.XLOOKUP(G174,[1]!O_3[BLO],[1]!O_3[ILO],,-1))
/
( _xlfn.XLOOKUP(G174,[1]!O_3[BLO],[1]!O_3[BHI],,-1) - _xlfn.XLOOKUP(G174,[1]!O_3[BLO],[1]!O_3[BLO],,-1)))
*
( G174 - _xlfn.XLOOKUP(G174,[1]!O_3[BLO],[1]!O_3[BLO],,-1))
+
_xlfn.XLOOKUP(G174,[1]!O_3[BLO],[1]!O_3[ILO],,-1)</f>
        <v>30</v>
      </c>
      <c r="N174">
        <f>MAX(DAILY_DATA[[#This Row],[AQI_PM2.5]:[AQI_O3]])</f>
        <v>52</v>
      </c>
      <c r="O174" t="str">
        <f>_xlfn.XLOOKUP(DAILY_DATA[[#This Row],[OVERALL_AQI]],[1]!CATEGORY[AQI_LO],[1]!CATEGORY[CATEGORY],,-1)</f>
        <v>Satisfactory</v>
      </c>
      <c r="P174" t="str" cm="1">
        <f t="array" ref="P174">INDEX(
{"PM2.5","PM10","NO2","SO2","CO","O3"},
MATCH(N174,H174:M174,0)
)</f>
        <v>PM10</v>
      </c>
    </row>
    <row r="175" spans="1:16" x14ac:dyDescent="0.25">
      <c r="A175" s="4">
        <v>45465</v>
      </c>
      <c r="B175">
        <f>ROUND(AVERAGEIFS([1]HOURLY_DATA!B175:B8958,[1]HOURLY_DATA!H175:H8958,Daily_AQI!A175),0)</f>
        <v>20</v>
      </c>
      <c r="C175">
        <f>ROUND(AVERAGEIFS([1]HOURLY_DATA!C175:C8958,[1]HOURLY_DATA!H175:H8958,Daily_AQI!A175),0)</f>
        <v>50</v>
      </c>
      <c r="D175">
        <f>ROUND(AVERAGEIFS([1]HOURLY_DATA!D175:D8958,[1]HOURLY_DATA!H175:H8958,Daily_AQI!A175),0)</f>
        <v>16</v>
      </c>
      <c r="E175">
        <f>ROUND(AVERAGEIFS([1]HOURLY_DATA!E175:E8958,[1]HOURLY_DATA!H175:H8958,Daily_AQI!A175),0)</f>
        <v>9</v>
      </c>
      <c r="F175">
        <f>ROUND(AVERAGEIFS([1]HOURLY_DATA!I175:I8958,[1]HOURLY_DATA!H175:H8958,Daily_AQI!A175),2)</f>
        <v>0.67</v>
      </c>
      <c r="G175">
        <f>ROUND(AVERAGEIFS([1]HOURLY_DATA!J175:J8958,[1]HOURLY_DATA!H175:H8958,Daily_AQI!A175),0)</f>
        <v>28</v>
      </c>
      <c r="H175">
        <f>ROUND(((_xlfn.XLOOKUP(B175,[1]!PM2.5[BLO],[1]!PM2.5[IHI],,-1) - _xlfn.XLOOKUP(B175,[1]!PM2.5[BLO],[1]!PM2.5[ILO],,-1))
/
(_xlfn.XLOOKUP(B175,[1]!PM2.5[BLO],[1]!PM2.5[BHI],,-1) - _xlfn.XLOOKUP(B175,[1]!PM2.5[BLO],[1]!PM2.5[BLO],,-1)))
*
(B175 - _xlfn.XLOOKUP(B175,[1]!PM2.5[BLO],[1]!PM2.5[BLO],,-1))
+
_xlfn.XLOOKUP(B175,[1]!PM2.5[BLO],[1]!PM2.5[ILO],,-1),2)</f>
        <v>33.33</v>
      </c>
      <c r="I175">
        <f>ROUND(((_xlfn.XLOOKUP(C175,[1]!PM_10[BLO],[1]!PM_10[IHI],,-1) - _xlfn.XLOOKUP(C175,[1]!PM_10[BLO],[1]!PM_10[ILO],,-1))
/
(_xlfn.XLOOKUP(C175,[1]!PM_10[BLO],[1]!PM_10[BHI],,-1) - _xlfn.XLOOKUP(C175,[1]!PM_10[BLO],[1]!PM_10[BLO],,-1)))
*
( C175 - _xlfn.XLOOKUP(C175,[1]!PM_10[BLO],[1]!PM_10[BLO],,-1))
+
_xlfn.XLOOKUP(C175,[1]!PM_10[BLO],[1]!PM_10[ILO],,-1),2)</f>
        <v>50</v>
      </c>
      <c r="J175">
        <f>ROUND((( _xlfn.XLOOKUP(D175,[1]!NO_2[BLO],[1]!NO_2[IHI],,-1) - _xlfn.XLOOKUP(D175,[1]!NO_2[BLO],[1]!NO_2[ILO],,-1))
/
( _xlfn.XLOOKUP(D175,[1]!NO_2[BLO],[1]!NO_2[BHI],,-1) - _xlfn.XLOOKUP(D175,[1]!NO_2[BLO],[1]!NO_2[BLO],,-1) ))
*
( D175 - _xlfn.XLOOKUP(D175,[1]!NO_2[BLO],[1]!NO_2[BLO],,-1))
+
_xlfn.XLOOKUP(D175,[1]!NO_2[BLO],[1]!NO_2[ILO],,-1),2)</f>
        <v>20</v>
      </c>
      <c r="K175">
        <f>ROUND(( ( _xlfn.XLOOKUP(E175,[1]!SO_2[BLO],[1]!SO_2[IHI],,-1)  - _xlfn.XLOOKUP(E175,[1]!SO_2[BLO],[1]!SO_2[ILO],,-1) )
/
( _xlfn.XLOOKUP(E175,[1]!SO_2[BLO],[1]!SO_2[BHI],,-1)- _xlfn.XLOOKUP(E175,[1]!SO_2[BLO],[1]!SO_2[BLO],,-1) ))
*
( E175 - _xlfn.XLOOKUP(E175,[1]!SO_2[BLO],[1]!SO_2[BLO],,-1) )
+
_xlfn.XLOOKUP(E175,[1]!SO_2[BLO],[1]!SO_2[ILO],,-1),2)</f>
        <v>11.25</v>
      </c>
      <c r="L175">
        <f>( ( _xlfn.XLOOKUP(F175,[1]!CO[BLO],[1]!CO[IHI],,-1)
- _xlfn.XLOOKUP(F175,[1]!CO[BLO],[1]!CO[ILO],,-1) )
/
( _xlfn.XLOOKUP(F175,[1]!CO[BLO],[1]!CO[BHI],,-1) - _xlfn.XLOOKUP(F175,[1]!CO[BLO],[1]!CO[BLO],,-1)))
*
( F175 - _xlfn.XLOOKUP(F175,[1]!CO[BLO],[1]!CO[BLO],,-1) )
+
_xlfn.XLOOKUP(F175,[1]!CO[BLO],[1]!CO[ILO],,-1)</f>
        <v>33.5</v>
      </c>
      <c r="M175">
        <f>(( _xlfn.XLOOKUP(G175,[1]!O_3[BLO],[1]!O_3[IHI],,-1) - _xlfn.XLOOKUP(G175,[1]!O_3[BLO],[1]!O_3[ILO],,-1))
/
( _xlfn.XLOOKUP(G175,[1]!O_3[BLO],[1]!O_3[BHI],,-1) - _xlfn.XLOOKUP(G175,[1]!O_3[BLO],[1]!O_3[BLO],,-1)))
*
( G175 - _xlfn.XLOOKUP(G175,[1]!O_3[BLO],[1]!O_3[BLO],,-1))
+
_xlfn.XLOOKUP(G175,[1]!O_3[BLO],[1]!O_3[ILO],,-1)</f>
        <v>28</v>
      </c>
      <c r="N175">
        <f>MAX(DAILY_DATA[[#This Row],[AQI_PM2.5]:[AQI_O3]])</f>
        <v>50</v>
      </c>
      <c r="O175" t="str">
        <f>_xlfn.XLOOKUP(DAILY_DATA[[#This Row],[OVERALL_AQI]],[1]!CATEGORY[AQI_LO],[1]!CATEGORY[CATEGORY],,-1)</f>
        <v>Good</v>
      </c>
      <c r="P175" t="str" cm="1">
        <f t="array" ref="P175">INDEX(
{"PM2.5","PM10","NO2","SO2","CO","O3"},
MATCH(N175,H175:M175,0)
)</f>
        <v>PM10</v>
      </c>
    </row>
    <row r="176" spans="1:16" x14ac:dyDescent="0.25">
      <c r="A176" s="4">
        <v>45466</v>
      </c>
      <c r="B176">
        <f>ROUND(AVERAGEIFS([1]HOURLY_DATA!B176:B8959,[1]HOURLY_DATA!H176:H8959,Daily_AQI!A176),0)</f>
        <v>16</v>
      </c>
      <c r="C176">
        <f>ROUND(AVERAGEIFS([1]HOURLY_DATA!C176:C8959,[1]HOURLY_DATA!H176:H8959,Daily_AQI!A176),0)</f>
        <v>37</v>
      </c>
      <c r="D176">
        <f>ROUND(AVERAGEIFS([1]HOURLY_DATA!D176:D8959,[1]HOURLY_DATA!H176:H8959,Daily_AQI!A176),0)</f>
        <v>14</v>
      </c>
      <c r="E176">
        <f>ROUND(AVERAGEIFS([1]HOURLY_DATA!E176:E8959,[1]HOURLY_DATA!H176:H8959,Daily_AQI!A176),0)</f>
        <v>8</v>
      </c>
      <c r="F176">
        <f>ROUND(AVERAGEIFS([1]HOURLY_DATA!I176:I8959,[1]HOURLY_DATA!H176:H8959,Daily_AQI!A176),2)</f>
        <v>0.6</v>
      </c>
      <c r="G176">
        <f>ROUND(AVERAGEIFS([1]HOURLY_DATA!J176:J8959,[1]HOURLY_DATA!H176:H8959,Daily_AQI!A176),0)</f>
        <v>32</v>
      </c>
      <c r="H176">
        <f>ROUND(((_xlfn.XLOOKUP(B176,[1]!PM2.5[BLO],[1]!PM2.5[IHI],,-1) - _xlfn.XLOOKUP(B176,[1]!PM2.5[BLO],[1]!PM2.5[ILO],,-1))
/
(_xlfn.XLOOKUP(B176,[1]!PM2.5[BLO],[1]!PM2.5[BHI],,-1) - _xlfn.XLOOKUP(B176,[1]!PM2.5[BLO],[1]!PM2.5[BLO],,-1)))
*
(B176 - _xlfn.XLOOKUP(B176,[1]!PM2.5[BLO],[1]!PM2.5[BLO],,-1))
+
_xlfn.XLOOKUP(B176,[1]!PM2.5[BLO],[1]!PM2.5[ILO],,-1),2)</f>
        <v>26.67</v>
      </c>
      <c r="I176">
        <f>ROUND(((_xlfn.XLOOKUP(C176,[1]!PM_10[BLO],[1]!PM_10[IHI],,-1) - _xlfn.XLOOKUP(C176,[1]!PM_10[BLO],[1]!PM_10[ILO],,-1))
/
(_xlfn.XLOOKUP(C176,[1]!PM_10[BLO],[1]!PM_10[BHI],,-1) - _xlfn.XLOOKUP(C176,[1]!PM_10[BLO],[1]!PM_10[BLO],,-1)))
*
( C176 - _xlfn.XLOOKUP(C176,[1]!PM_10[BLO],[1]!PM_10[BLO],,-1))
+
_xlfn.XLOOKUP(C176,[1]!PM_10[BLO],[1]!PM_10[ILO],,-1),2)</f>
        <v>37</v>
      </c>
      <c r="J176">
        <f>ROUND((( _xlfn.XLOOKUP(D176,[1]!NO_2[BLO],[1]!NO_2[IHI],,-1) - _xlfn.XLOOKUP(D176,[1]!NO_2[BLO],[1]!NO_2[ILO],,-1))
/
( _xlfn.XLOOKUP(D176,[1]!NO_2[BLO],[1]!NO_2[BHI],,-1) - _xlfn.XLOOKUP(D176,[1]!NO_2[BLO],[1]!NO_2[BLO],,-1) ))
*
( D176 - _xlfn.XLOOKUP(D176,[1]!NO_2[BLO],[1]!NO_2[BLO],,-1))
+
_xlfn.XLOOKUP(D176,[1]!NO_2[BLO],[1]!NO_2[ILO],,-1),2)</f>
        <v>17.5</v>
      </c>
      <c r="K176">
        <f>ROUND(( ( _xlfn.XLOOKUP(E176,[1]!SO_2[BLO],[1]!SO_2[IHI],,-1)  - _xlfn.XLOOKUP(E176,[1]!SO_2[BLO],[1]!SO_2[ILO],,-1) )
/
( _xlfn.XLOOKUP(E176,[1]!SO_2[BLO],[1]!SO_2[BHI],,-1)- _xlfn.XLOOKUP(E176,[1]!SO_2[BLO],[1]!SO_2[BLO],,-1) ))
*
( E176 - _xlfn.XLOOKUP(E176,[1]!SO_2[BLO],[1]!SO_2[BLO],,-1) )
+
_xlfn.XLOOKUP(E176,[1]!SO_2[BLO],[1]!SO_2[ILO],,-1),2)</f>
        <v>10</v>
      </c>
      <c r="L176">
        <f>( ( _xlfn.XLOOKUP(F176,[1]!CO[BLO],[1]!CO[IHI],,-1)
- _xlfn.XLOOKUP(F176,[1]!CO[BLO],[1]!CO[ILO],,-1) )
/
( _xlfn.XLOOKUP(F176,[1]!CO[BLO],[1]!CO[BHI],,-1) - _xlfn.XLOOKUP(F176,[1]!CO[BLO],[1]!CO[BLO],,-1)))
*
( F176 - _xlfn.XLOOKUP(F176,[1]!CO[BLO],[1]!CO[BLO],,-1) )
+
_xlfn.XLOOKUP(F176,[1]!CO[BLO],[1]!CO[ILO],,-1)</f>
        <v>30</v>
      </c>
      <c r="M176">
        <f>(( _xlfn.XLOOKUP(G176,[1]!O_3[BLO],[1]!O_3[IHI],,-1) - _xlfn.XLOOKUP(G176,[1]!O_3[BLO],[1]!O_3[ILO],,-1))
/
( _xlfn.XLOOKUP(G176,[1]!O_3[BLO],[1]!O_3[BHI],,-1) - _xlfn.XLOOKUP(G176,[1]!O_3[BLO],[1]!O_3[BLO],,-1)))
*
( G176 - _xlfn.XLOOKUP(G176,[1]!O_3[BLO],[1]!O_3[BLO],,-1))
+
_xlfn.XLOOKUP(G176,[1]!O_3[BLO],[1]!O_3[ILO],,-1)</f>
        <v>32</v>
      </c>
      <c r="N176">
        <f>MAX(DAILY_DATA[[#This Row],[AQI_PM2.5]:[AQI_O3]])</f>
        <v>37</v>
      </c>
      <c r="O176" t="str">
        <f>_xlfn.XLOOKUP(DAILY_DATA[[#This Row],[OVERALL_AQI]],[1]!CATEGORY[AQI_LO],[1]!CATEGORY[CATEGORY],,-1)</f>
        <v>Good</v>
      </c>
      <c r="P176" t="str" cm="1">
        <f t="array" ref="P176">INDEX(
{"PM2.5","PM10","NO2","SO2","CO","O3"},
MATCH(N176,H176:M176,0)
)</f>
        <v>PM10</v>
      </c>
    </row>
    <row r="177" spans="1:16" x14ac:dyDescent="0.25">
      <c r="A177" s="4">
        <v>45467</v>
      </c>
      <c r="B177">
        <f>ROUND(AVERAGEIFS([1]HOURLY_DATA!B177:B8960,[1]HOURLY_DATA!H177:H8960,Daily_AQI!A177),0)</f>
        <v>16</v>
      </c>
      <c r="C177">
        <f>ROUND(AVERAGEIFS([1]HOURLY_DATA!C177:C8960,[1]HOURLY_DATA!H177:H8960,Daily_AQI!A177),0)</f>
        <v>41</v>
      </c>
      <c r="D177">
        <f>ROUND(AVERAGEIFS([1]HOURLY_DATA!D177:D8960,[1]HOURLY_DATA!H177:H8960,Daily_AQI!A177),0)</f>
        <v>14</v>
      </c>
      <c r="E177">
        <f>ROUND(AVERAGEIFS([1]HOURLY_DATA!E177:E8960,[1]HOURLY_DATA!H177:H8960,Daily_AQI!A177),0)</f>
        <v>9</v>
      </c>
      <c r="F177">
        <f>ROUND(AVERAGEIFS([1]HOURLY_DATA!I177:I8960,[1]HOURLY_DATA!H177:H8960,Daily_AQI!A177),2)</f>
        <v>0.56999999999999995</v>
      </c>
      <c r="G177">
        <f>ROUND(AVERAGEIFS([1]HOURLY_DATA!J177:J8960,[1]HOURLY_DATA!H177:H8960,Daily_AQI!A177),0)</f>
        <v>33</v>
      </c>
      <c r="H177">
        <f>ROUND(((_xlfn.XLOOKUP(B177,[1]!PM2.5[BLO],[1]!PM2.5[IHI],,-1) - _xlfn.XLOOKUP(B177,[1]!PM2.5[BLO],[1]!PM2.5[ILO],,-1))
/
(_xlfn.XLOOKUP(B177,[1]!PM2.5[BLO],[1]!PM2.5[BHI],,-1) - _xlfn.XLOOKUP(B177,[1]!PM2.5[BLO],[1]!PM2.5[BLO],,-1)))
*
(B177 - _xlfn.XLOOKUP(B177,[1]!PM2.5[BLO],[1]!PM2.5[BLO],,-1))
+
_xlfn.XLOOKUP(B177,[1]!PM2.5[BLO],[1]!PM2.5[ILO],,-1),2)</f>
        <v>26.67</v>
      </c>
      <c r="I177">
        <f>ROUND(((_xlfn.XLOOKUP(C177,[1]!PM_10[BLO],[1]!PM_10[IHI],,-1) - _xlfn.XLOOKUP(C177,[1]!PM_10[BLO],[1]!PM_10[ILO],,-1))
/
(_xlfn.XLOOKUP(C177,[1]!PM_10[BLO],[1]!PM_10[BHI],,-1) - _xlfn.XLOOKUP(C177,[1]!PM_10[BLO],[1]!PM_10[BLO],,-1)))
*
( C177 - _xlfn.XLOOKUP(C177,[1]!PM_10[BLO],[1]!PM_10[BLO],,-1))
+
_xlfn.XLOOKUP(C177,[1]!PM_10[BLO],[1]!PM_10[ILO],,-1),2)</f>
        <v>41</v>
      </c>
      <c r="J177">
        <f>ROUND((( _xlfn.XLOOKUP(D177,[1]!NO_2[BLO],[1]!NO_2[IHI],,-1) - _xlfn.XLOOKUP(D177,[1]!NO_2[BLO],[1]!NO_2[ILO],,-1))
/
( _xlfn.XLOOKUP(D177,[1]!NO_2[BLO],[1]!NO_2[BHI],,-1) - _xlfn.XLOOKUP(D177,[1]!NO_2[BLO],[1]!NO_2[BLO],,-1) ))
*
( D177 - _xlfn.XLOOKUP(D177,[1]!NO_2[BLO],[1]!NO_2[BLO],,-1))
+
_xlfn.XLOOKUP(D177,[1]!NO_2[BLO],[1]!NO_2[ILO],,-1),2)</f>
        <v>17.5</v>
      </c>
      <c r="K177">
        <f>ROUND(( ( _xlfn.XLOOKUP(E177,[1]!SO_2[BLO],[1]!SO_2[IHI],,-1)  - _xlfn.XLOOKUP(E177,[1]!SO_2[BLO],[1]!SO_2[ILO],,-1) )
/
( _xlfn.XLOOKUP(E177,[1]!SO_2[BLO],[1]!SO_2[BHI],,-1)- _xlfn.XLOOKUP(E177,[1]!SO_2[BLO],[1]!SO_2[BLO],,-1) ))
*
( E177 - _xlfn.XLOOKUP(E177,[1]!SO_2[BLO],[1]!SO_2[BLO],,-1) )
+
_xlfn.XLOOKUP(E177,[1]!SO_2[BLO],[1]!SO_2[ILO],,-1),2)</f>
        <v>11.25</v>
      </c>
      <c r="L177">
        <f>( ( _xlfn.XLOOKUP(F177,[1]!CO[BLO],[1]!CO[IHI],,-1)
- _xlfn.XLOOKUP(F177,[1]!CO[BLO],[1]!CO[ILO],,-1) )
/
( _xlfn.XLOOKUP(F177,[1]!CO[BLO],[1]!CO[BHI],,-1) - _xlfn.XLOOKUP(F177,[1]!CO[BLO],[1]!CO[BLO],,-1)))
*
( F177 - _xlfn.XLOOKUP(F177,[1]!CO[BLO],[1]!CO[BLO],,-1) )
+
_xlfn.XLOOKUP(F177,[1]!CO[BLO],[1]!CO[ILO],,-1)</f>
        <v>28.499999999999996</v>
      </c>
      <c r="M177">
        <f>(( _xlfn.XLOOKUP(G177,[1]!O_3[BLO],[1]!O_3[IHI],,-1) - _xlfn.XLOOKUP(G177,[1]!O_3[BLO],[1]!O_3[ILO],,-1))
/
( _xlfn.XLOOKUP(G177,[1]!O_3[BLO],[1]!O_3[BHI],,-1) - _xlfn.XLOOKUP(G177,[1]!O_3[BLO],[1]!O_3[BLO],,-1)))
*
( G177 - _xlfn.XLOOKUP(G177,[1]!O_3[BLO],[1]!O_3[BLO],,-1))
+
_xlfn.XLOOKUP(G177,[1]!O_3[BLO],[1]!O_3[ILO],,-1)</f>
        <v>33</v>
      </c>
      <c r="N177">
        <f>MAX(DAILY_DATA[[#This Row],[AQI_PM2.5]:[AQI_O3]])</f>
        <v>41</v>
      </c>
      <c r="O177" t="str">
        <f>_xlfn.XLOOKUP(DAILY_DATA[[#This Row],[OVERALL_AQI]],[1]!CATEGORY[AQI_LO],[1]!CATEGORY[CATEGORY],,-1)</f>
        <v>Good</v>
      </c>
      <c r="P177" t="str" cm="1">
        <f t="array" ref="P177">INDEX(
{"PM2.5","PM10","NO2","SO2","CO","O3"},
MATCH(N177,H177:M177,0)
)</f>
        <v>PM10</v>
      </c>
    </row>
    <row r="178" spans="1:16" x14ac:dyDescent="0.25">
      <c r="A178" s="4">
        <v>45468</v>
      </c>
      <c r="B178">
        <f>ROUND(AVERAGEIFS([1]HOURLY_DATA!B178:B8961,[1]HOURLY_DATA!H178:H8961,Daily_AQI!A178),0)</f>
        <v>19</v>
      </c>
      <c r="C178">
        <f>ROUND(AVERAGEIFS([1]HOURLY_DATA!C178:C8961,[1]HOURLY_DATA!H178:H8961,Daily_AQI!A178),0)</f>
        <v>48</v>
      </c>
      <c r="D178">
        <f>ROUND(AVERAGEIFS([1]HOURLY_DATA!D178:D8961,[1]HOURLY_DATA!H178:H8961,Daily_AQI!A178),0)</f>
        <v>15</v>
      </c>
      <c r="E178">
        <f>ROUND(AVERAGEIFS([1]HOURLY_DATA!E178:E8961,[1]HOURLY_DATA!H178:H8961,Daily_AQI!A178),0)</f>
        <v>9</v>
      </c>
      <c r="F178">
        <f>ROUND(AVERAGEIFS([1]HOURLY_DATA!I178:I8961,[1]HOURLY_DATA!H178:H8961,Daily_AQI!A178),2)</f>
        <v>0.65</v>
      </c>
      <c r="G178">
        <f>ROUND(AVERAGEIFS([1]HOURLY_DATA!J178:J8961,[1]HOURLY_DATA!H178:H8961,Daily_AQI!A178),0)</f>
        <v>30</v>
      </c>
      <c r="H178">
        <f>ROUND(((_xlfn.XLOOKUP(B178,[1]!PM2.5[BLO],[1]!PM2.5[IHI],,-1) - _xlfn.XLOOKUP(B178,[1]!PM2.5[BLO],[1]!PM2.5[ILO],,-1))
/
(_xlfn.XLOOKUP(B178,[1]!PM2.5[BLO],[1]!PM2.5[BHI],,-1) - _xlfn.XLOOKUP(B178,[1]!PM2.5[BLO],[1]!PM2.5[BLO],,-1)))
*
(B178 - _xlfn.XLOOKUP(B178,[1]!PM2.5[BLO],[1]!PM2.5[BLO],,-1))
+
_xlfn.XLOOKUP(B178,[1]!PM2.5[BLO],[1]!PM2.5[ILO],,-1),2)</f>
        <v>31.67</v>
      </c>
      <c r="I178">
        <f>ROUND(((_xlfn.XLOOKUP(C178,[1]!PM_10[BLO],[1]!PM_10[IHI],,-1) - _xlfn.XLOOKUP(C178,[1]!PM_10[BLO],[1]!PM_10[ILO],,-1))
/
(_xlfn.XLOOKUP(C178,[1]!PM_10[BLO],[1]!PM_10[BHI],,-1) - _xlfn.XLOOKUP(C178,[1]!PM_10[BLO],[1]!PM_10[BLO],,-1)))
*
( C178 - _xlfn.XLOOKUP(C178,[1]!PM_10[BLO],[1]!PM_10[BLO],,-1))
+
_xlfn.XLOOKUP(C178,[1]!PM_10[BLO],[1]!PM_10[ILO],,-1),2)</f>
        <v>48</v>
      </c>
      <c r="J178">
        <f>ROUND((( _xlfn.XLOOKUP(D178,[1]!NO_2[BLO],[1]!NO_2[IHI],,-1) - _xlfn.XLOOKUP(D178,[1]!NO_2[BLO],[1]!NO_2[ILO],,-1))
/
( _xlfn.XLOOKUP(D178,[1]!NO_2[BLO],[1]!NO_2[BHI],,-1) - _xlfn.XLOOKUP(D178,[1]!NO_2[BLO],[1]!NO_2[BLO],,-1) ))
*
( D178 - _xlfn.XLOOKUP(D178,[1]!NO_2[BLO],[1]!NO_2[BLO],,-1))
+
_xlfn.XLOOKUP(D178,[1]!NO_2[BLO],[1]!NO_2[ILO],,-1),2)</f>
        <v>18.75</v>
      </c>
      <c r="K178">
        <f>ROUND(( ( _xlfn.XLOOKUP(E178,[1]!SO_2[BLO],[1]!SO_2[IHI],,-1)  - _xlfn.XLOOKUP(E178,[1]!SO_2[BLO],[1]!SO_2[ILO],,-1) )
/
( _xlfn.XLOOKUP(E178,[1]!SO_2[BLO],[1]!SO_2[BHI],,-1)- _xlfn.XLOOKUP(E178,[1]!SO_2[BLO],[1]!SO_2[BLO],,-1) ))
*
( E178 - _xlfn.XLOOKUP(E178,[1]!SO_2[BLO],[1]!SO_2[BLO],,-1) )
+
_xlfn.XLOOKUP(E178,[1]!SO_2[BLO],[1]!SO_2[ILO],,-1),2)</f>
        <v>11.25</v>
      </c>
      <c r="L178">
        <f>( ( _xlfn.XLOOKUP(F178,[1]!CO[BLO],[1]!CO[IHI],,-1)
- _xlfn.XLOOKUP(F178,[1]!CO[BLO],[1]!CO[ILO],,-1) )
/
( _xlfn.XLOOKUP(F178,[1]!CO[BLO],[1]!CO[BHI],,-1) - _xlfn.XLOOKUP(F178,[1]!CO[BLO],[1]!CO[BLO],,-1)))
*
( F178 - _xlfn.XLOOKUP(F178,[1]!CO[BLO],[1]!CO[BLO],,-1) )
+
_xlfn.XLOOKUP(F178,[1]!CO[BLO],[1]!CO[ILO],,-1)</f>
        <v>32.5</v>
      </c>
      <c r="M178">
        <f>(( _xlfn.XLOOKUP(G178,[1]!O_3[BLO],[1]!O_3[IHI],,-1) - _xlfn.XLOOKUP(G178,[1]!O_3[BLO],[1]!O_3[ILO],,-1))
/
( _xlfn.XLOOKUP(G178,[1]!O_3[BLO],[1]!O_3[BHI],,-1) - _xlfn.XLOOKUP(G178,[1]!O_3[BLO],[1]!O_3[BLO],,-1)))
*
( G178 - _xlfn.XLOOKUP(G178,[1]!O_3[BLO],[1]!O_3[BLO],,-1))
+
_xlfn.XLOOKUP(G178,[1]!O_3[BLO],[1]!O_3[ILO],,-1)</f>
        <v>30</v>
      </c>
      <c r="N178">
        <f>MAX(DAILY_DATA[[#This Row],[AQI_PM2.5]:[AQI_O3]])</f>
        <v>48</v>
      </c>
      <c r="O178" t="str">
        <f>_xlfn.XLOOKUP(DAILY_DATA[[#This Row],[OVERALL_AQI]],[1]!CATEGORY[AQI_LO],[1]!CATEGORY[CATEGORY],,-1)</f>
        <v>Good</v>
      </c>
      <c r="P178" t="str" cm="1">
        <f t="array" ref="P178">INDEX(
{"PM2.5","PM10","NO2","SO2","CO","O3"},
MATCH(N178,H178:M178,0)
)</f>
        <v>PM10</v>
      </c>
    </row>
    <row r="179" spans="1:16" x14ac:dyDescent="0.25">
      <c r="A179" s="4">
        <v>45469</v>
      </c>
      <c r="B179">
        <f>ROUND(AVERAGEIFS([1]HOURLY_DATA!B179:B8962,[1]HOURLY_DATA!H179:H8962,Daily_AQI!A179),0)</f>
        <v>18</v>
      </c>
      <c r="C179">
        <f>ROUND(AVERAGEIFS([1]HOURLY_DATA!C179:C8962,[1]HOURLY_DATA!H179:H8962,Daily_AQI!A179),0)</f>
        <v>44</v>
      </c>
      <c r="D179">
        <f>ROUND(AVERAGEIFS([1]HOURLY_DATA!D179:D8962,[1]HOURLY_DATA!H179:H8962,Daily_AQI!A179),0)</f>
        <v>15</v>
      </c>
      <c r="E179">
        <f>ROUND(AVERAGEIFS([1]HOURLY_DATA!E179:E8962,[1]HOURLY_DATA!H179:H8962,Daily_AQI!A179),0)</f>
        <v>9</v>
      </c>
      <c r="F179">
        <f>ROUND(AVERAGEIFS([1]HOURLY_DATA!I179:I8962,[1]HOURLY_DATA!H179:H8962,Daily_AQI!A179),2)</f>
        <v>0.64</v>
      </c>
      <c r="G179">
        <f>ROUND(AVERAGEIFS([1]HOURLY_DATA!J179:J8962,[1]HOURLY_DATA!H179:H8962,Daily_AQI!A179),0)</f>
        <v>29</v>
      </c>
      <c r="H179">
        <f>ROUND(((_xlfn.XLOOKUP(B179,[1]!PM2.5[BLO],[1]!PM2.5[IHI],,-1) - _xlfn.XLOOKUP(B179,[1]!PM2.5[BLO],[1]!PM2.5[ILO],,-1))
/
(_xlfn.XLOOKUP(B179,[1]!PM2.5[BLO],[1]!PM2.5[BHI],,-1) - _xlfn.XLOOKUP(B179,[1]!PM2.5[BLO],[1]!PM2.5[BLO],,-1)))
*
(B179 - _xlfn.XLOOKUP(B179,[1]!PM2.5[BLO],[1]!PM2.5[BLO],,-1))
+
_xlfn.XLOOKUP(B179,[1]!PM2.5[BLO],[1]!PM2.5[ILO],,-1),2)</f>
        <v>30</v>
      </c>
      <c r="I179">
        <f>ROUND(((_xlfn.XLOOKUP(C179,[1]!PM_10[BLO],[1]!PM_10[IHI],,-1) - _xlfn.XLOOKUP(C179,[1]!PM_10[BLO],[1]!PM_10[ILO],,-1))
/
(_xlfn.XLOOKUP(C179,[1]!PM_10[BLO],[1]!PM_10[BHI],,-1) - _xlfn.XLOOKUP(C179,[1]!PM_10[BLO],[1]!PM_10[BLO],,-1)))
*
( C179 - _xlfn.XLOOKUP(C179,[1]!PM_10[BLO],[1]!PM_10[BLO],,-1))
+
_xlfn.XLOOKUP(C179,[1]!PM_10[BLO],[1]!PM_10[ILO],,-1),2)</f>
        <v>44</v>
      </c>
      <c r="J179">
        <f>ROUND((( _xlfn.XLOOKUP(D179,[1]!NO_2[BLO],[1]!NO_2[IHI],,-1) - _xlfn.XLOOKUP(D179,[1]!NO_2[BLO],[1]!NO_2[ILO],,-1))
/
( _xlfn.XLOOKUP(D179,[1]!NO_2[BLO],[1]!NO_2[BHI],,-1) - _xlfn.XLOOKUP(D179,[1]!NO_2[BLO],[1]!NO_2[BLO],,-1) ))
*
( D179 - _xlfn.XLOOKUP(D179,[1]!NO_2[BLO],[1]!NO_2[BLO],,-1))
+
_xlfn.XLOOKUP(D179,[1]!NO_2[BLO],[1]!NO_2[ILO],,-1),2)</f>
        <v>18.75</v>
      </c>
      <c r="K179">
        <f>ROUND(( ( _xlfn.XLOOKUP(E179,[1]!SO_2[BLO],[1]!SO_2[IHI],,-1)  - _xlfn.XLOOKUP(E179,[1]!SO_2[BLO],[1]!SO_2[ILO],,-1) )
/
( _xlfn.XLOOKUP(E179,[1]!SO_2[BLO],[1]!SO_2[BHI],,-1)- _xlfn.XLOOKUP(E179,[1]!SO_2[BLO],[1]!SO_2[BLO],,-1) ))
*
( E179 - _xlfn.XLOOKUP(E179,[1]!SO_2[BLO],[1]!SO_2[BLO],,-1) )
+
_xlfn.XLOOKUP(E179,[1]!SO_2[BLO],[1]!SO_2[ILO],,-1),2)</f>
        <v>11.25</v>
      </c>
      <c r="L179">
        <f>( ( _xlfn.XLOOKUP(F179,[1]!CO[BLO],[1]!CO[IHI],,-1)
- _xlfn.XLOOKUP(F179,[1]!CO[BLO],[1]!CO[ILO],,-1) )
/
( _xlfn.XLOOKUP(F179,[1]!CO[BLO],[1]!CO[BHI],,-1) - _xlfn.XLOOKUP(F179,[1]!CO[BLO],[1]!CO[BLO],,-1)))
*
( F179 - _xlfn.XLOOKUP(F179,[1]!CO[BLO],[1]!CO[BLO],,-1) )
+
_xlfn.XLOOKUP(F179,[1]!CO[BLO],[1]!CO[ILO],,-1)</f>
        <v>32</v>
      </c>
      <c r="M179">
        <f>(( _xlfn.XLOOKUP(G179,[1]!O_3[BLO],[1]!O_3[IHI],,-1) - _xlfn.XLOOKUP(G179,[1]!O_3[BLO],[1]!O_3[ILO],,-1))
/
( _xlfn.XLOOKUP(G179,[1]!O_3[BLO],[1]!O_3[BHI],,-1) - _xlfn.XLOOKUP(G179,[1]!O_3[BLO],[1]!O_3[BLO],,-1)))
*
( G179 - _xlfn.XLOOKUP(G179,[1]!O_3[BLO],[1]!O_3[BLO],,-1))
+
_xlfn.XLOOKUP(G179,[1]!O_3[BLO],[1]!O_3[ILO],,-1)</f>
        <v>29</v>
      </c>
      <c r="N179">
        <f>MAX(DAILY_DATA[[#This Row],[AQI_PM2.5]:[AQI_O3]])</f>
        <v>44</v>
      </c>
      <c r="O179" t="str">
        <f>_xlfn.XLOOKUP(DAILY_DATA[[#This Row],[OVERALL_AQI]],[1]!CATEGORY[AQI_LO],[1]!CATEGORY[CATEGORY],,-1)</f>
        <v>Good</v>
      </c>
      <c r="P179" t="str" cm="1">
        <f t="array" ref="P179">INDEX(
{"PM2.5","PM10","NO2","SO2","CO","O3"},
MATCH(N179,H179:M179,0)
)</f>
        <v>PM10</v>
      </c>
    </row>
    <row r="180" spans="1:16" x14ac:dyDescent="0.25">
      <c r="A180" s="4">
        <v>45470</v>
      </c>
      <c r="B180">
        <f>ROUND(AVERAGEIFS([1]HOURLY_DATA!B180:B8963,[1]HOURLY_DATA!H180:H8963,Daily_AQI!A180),0)</f>
        <v>17</v>
      </c>
      <c r="C180">
        <f>ROUND(AVERAGEIFS([1]HOURLY_DATA!C180:C8963,[1]HOURLY_DATA!H180:H8963,Daily_AQI!A180),0)</f>
        <v>45</v>
      </c>
      <c r="D180">
        <f>ROUND(AVERAGEIFS([1]HOURLY_DATA!D180:D8963,[1]HOURLY_DATA!H180:H8963,Daily_AQI!A180),0)</f>
        <v>14</v>
      </c>
      <c r="E180">
        <f>ROUND(AVERAGEIFS([1]HOURLY_DATA!E180:E8963,[1]HOURLY_DATA!H180:H8963,Daily_AQI!A180),0)</f>
        <v>9</v>
      </c>
      <c r="F180">
        <f>ROUND(AVERAGEIFS([1]HOURLY_DATA!I180:I8963,[1]HOURLY_DATA!H180:H8963,Daily_AQI!A180),2)</f>
        <v>0.67</v>
      </c>
      <c r="G180">
        <f>ROUND(AVERAGEIFS([1]HOURLY_DATA!J180:J8963,[1]HOURLY_DATA!H180:H8963,Daily_AQI!A180),0)</f>
        <v>28</v>
      </c>
      <c r="H180">
        <f>ROUND(((_xlfn.XLOOKUP(B180,[1]!PM2.5[BLO],[1]!PM2.5[IHI],,-1) - _xlfn.XLOOKUP(B180,[1]!PM2.5[BLO],[1]!PM2.5[ILO],,-1))
/
(_xlfn.XLOOKUP(B180,[1]!PM2.5[BLO],[1]!PM2.5[BHI],,-1) - _xlfn.XLOOKUP(B180,[1]!PM2.5[BLO],[1]!PM2.5[BLO],,-1)))
*
(B180 - _xlfn.XLOOKUP(B180,[1]!PM2.5[BLO],[1]!PM2.5[BLO],,-1))
+
_xlfn.XLOOKUP(B180,[1]!PM2.5[BLO],[1]!PM2.5[ILO],,-1),2)</f>
        <v>28.33</v>
      </c>
      <c r="I180">
        <f>ROUND(((_xlfn.XLOOKUP(C180,[1]!PM_10[BLO],[1]!PM_10[IHI],,-1) - _xlfn.XLOOKUP(C180,[1]!PM_10[BLO],[1]!PM_10[ILO],,-1))
/
(_xlfn.XLOOKUP(C180,[1]!PM_10[BLO],[1]!PM_10[BHI],,-1) - _xlfn.XLOOKUP(C180,[1]!PM_10[BLO],[1]!PM_10[BLO],,-1)))
*
( C180 - _xlfn.XLOOKUP(C180,[1]!PM_10[BLO],[1]!PM_10[BLO],,-1))
+
_xlfn.XLOOKUP(C180,[1]!PM_10[BLO],[1]!PM_10[ILO],,-1),2)</f>
        <v>45</v>
      </c>
      <c r="J180">
        <f>ROUND((( _xlfn.XLOOKUP(D180,[1]!NO_2[BLO],[1]!NO_2[IHI],,-1) - _xlfn.XLOOKUP(D180,[1]!NO_2[BLO],[1]!NO_2[ILO],,-1))
/
( _xlfn.XLOOKUP(D180,[1]!NO_2[BLO],[1]!NO_2[BHI],,-1) - _xlfn.XLOOKUP(D180,[1]!NO_2[BLO],[1]!NO_2[BLO],,-1) ))
*
( D180 - _xlfn.XLOOKUP(D180,[1]!NO_2[BLO],[1]!NO_2[BLO],,-1))
+
_xlfn.XLOOKUP(D180,[1]!NO_2[BLO],[1]!NO_2[ILO],,-1),2)</f>
        <v>17.5</v>
      </c>
      <c r="K180">
        <f>ROUND(( ( _xlfn.XLOOKUP(E180,[1]!SO_2[BLO],[1]!SO_2[IHI],,-1)  - _xlfn.XLOOKUP(E180,[1]!SO_2[BLO],[1]!SO_2[ILO],,-1) )
/
( _xlfn.XLOOKUP(E180,[1]!SO_2[BLO],[1]!SO_2[BHI],,-1)- _xlfn.XLOOKUP(E180,[1]!SO_2[BLO],[1]!SO_2[BLO],,-1) ))
*
( E180 - _xlfn.XLOOKUP(E180,[1]!SO_2[BLO],[1]!SO_2[BLO],,-1) )
+
_xlfn.XLOOKUP(E180,[1]!SO_2[BLO],[1]!SO_2[ILO],,-1),2)</f>
        <v>11.25</v>
      </c>
      <c r="L180">
        <f>( ( _xlfn.XLOOKUP(F180,[1]!CO[BLO],[1]!CO[IHI],,-1)
- _xlfn.XLOOKUP(F180,[1]!CO[BLO],[1]!CO[ILO],,-1) )
/
( _xlfn.XLOOKUP(F180,[1]!CO[BLO],[1]!CO[BHI],,-1) - _xlfn.XLOOKUP(F180,[1]!CO[BLO],[1]!CO[BLO],,-1)))
*
( F180 - _xlfn.XLOOKUP(F180,[1]!CO[BLO],[1]!CO[BLO],,-1) )
+
_xlfn.XLOOKUP(F180,[1]!CO[BLO],[1]!CO[ILO],,-1)</f>
        <v>33.5</v>
      </c>
      <c r="M180">
        <f>(( _xlfn.XLOOKUP(G180,[1]!O_3[BLO],[1]!O_3[IHI],,-1) - _xlfn.XLOOKUP(G180,[1]!O_3[BLO],[1]!O_3[ILO],,-1))
/
( _xlfn.XLOOKUP(G180,[1]!O_3[BLO],[1]!O_3[BHI],,-1) - _xlfn.XLOOKUP(G180,[1]!O_3[BLO],[1]!O_3[BLO],,-1)))
*
( G180 - _xlfn.XLOOKUP(G180,[1]!O_3[BLO],[1]!O_3[BLO],,-1))
+
_xlfn.XLOOKUP(G180,[1]!O_3[BLO],[1]!O_3[ILO],,-1)</f>
        <v>28</v>
      </c>
      <c r="N180">
        <f>MAX(DAILY_DATA[[#This Row],[AQI_PM2.5]:[AQI_O3]])</f>
        <v>45</v>
      </c>
      <c r="O180" t="str">
        <f>_xlfn.XLOOKUP(DAILY_DATA[[#This Row],[OVERALL_AQI]],[1]!CATEGORY[AQI_LO],[1]!CATEGORY[CATEGORY],,-1)</f>
        <v>Good</v>
      </c>
      <c r="P180" t="str" cm="1">
        <f t="array" ref="P180">INDEX(
{"PM2.5","PM10","NO2","SO2","CO","O3"},
MATCH(N180,H180:M180,0)
)</f>
        <v>PM10</v>
      </c>
    </row>
    <row r="181" spans="1:16" x14ac:dyDescent="0.25">
      <c r="A181" s="4">
        <v>45471</v>
      </c>
      <c r="B181">
        <f>ROUND(AVERAGEIFS([1]HOURLY_DATA!B181:B8964,[1]HOURLY_DATA!H181:H8964,Daily_AQI!A181),0)</f>
        <v>23</v>
      </c>
      <c r="C181">
        <f>ROUND(AVERAGEIFS([1]HOURLY_DATA!C181:C8964,[1]HOURLY_DATA!H181:H8964,Daily_AQI!A181),0)</f>
        <v>53</v>
      </c>
      <c r="D181">
        <f>ROUND(AVERAGEIFS([1]HOURLY_DATA!D181:D8964,[1]HOURLY_DATA!H181:H8964,Daily_AQI!A181),0)</f>
        <v>15</v>
      </c>
      <c r="E181">
        <f>ROUND(AVERAGEIFS([1]HOURLY_DATA!E181:E8964,[1]HOURLY_DATA!H181:H8964,Daily_AQI!A181),0)</f>
        <v>9</v>
      </c>
      <c r="F181">
        <f>ROUND(AVERAGEIFS([1]HOURLY_DATA!I181:I8964,[1]HOURLY_DATA!H181:H8964,Daily_AQI!A181),2)</f>
        <v>0.66</v>
      </c>
      <c r="G181">
        <f>ROUND(AVERAGEIFS([1]HOURLY_DATA!J181:J8964,[1]HOURLY_DATA!H181:H8964,Daily_AQI!A181),0)</f>
        <v>26</v>
      </c>
      <c r="H181">
        <f>ROUND(((_xlfn.XLOOKUP(B181,[1]!PM2.5[BLO],[1]!PM2.5[IHI],,-1) - _xlfn.XLOOKUP(B181,[1]!PM2.5[BLO],[1]!PM2.5[ILO],,-1))
/
(_xlfn.XLOOKUP(B181,[1]!PM2.5[BLO],[1]!PM2.5[BHI],,-1) - _xlfn.XLOOKUP(B181,[1]!PM2.5[BLO],[1]!PM2.5[BLO],,-1)))
*
(B181 - _xlfn.XLOOKUP(B181,[1]!PM2.5[BLO],[1]!PM2.5[BLO],,-1))
+
_xlfn.XLOOKUP(B181,[1]!PM2.5[BLO],[1]!PM2.5[ILO],,-1),2)</f>
        <v>38.33</v>
      </c>
      <c r="I181">
        <f>ROUND(((_xlfn.XLOOKUP(C181,[1]!PM_10[BLO],[1]!PM_10[IHI],,-1) - _xlfn.XLOOKUP(C181,[1]!PM_10[BLO],[1]!PM_10[ILO],,-1))
/
(_xlfn.XLOOKUP(C181,[1]!PM_10[BLO],[1]!PM_10[BHI],,-1) - _xlfn.XLOOKUP(C181,[1]!PM_10[BLO],[1]!PM_10[BLO],,-1)))
*
( C181 - _xlfn.XLOOKUP(C181,[1]!PM_10[BLO],[1]!PM_10[BLO],,-1))
+
_xlfn.XLOOKUP(C181,[1]!PM_10[BLO],[1]!PM_10[ILO],,-1),2)</f>
        <v>53</v>
      </c>
      <c r="J181">
        <f>ROUND((( _xlfn.XLOOKUP(D181,[1]!NO_2[BLO],[1]!NO_2[IHI],,-1) - _xlfn.XLOOKUP(D181,[1]!NO_2[BLO],[1]!NO_2[ILO],,-1))
/
( _xlfn.XLOOKUP(D181,[1]!NO_2[BLO],[1]!NO_2[BHI],,-1) - _xlfn.XLOOKUP(D181,[1]!NO_2[BLO],[1]!NO_2[BLO],,-1) ))
*
( D181 - _xlfn.XLOOKUP(D181,[1]!NO_2[BLO],[1]!NO_2[BLO],,-1))
+
_xlfn.XLOOKUP(D181,[1]!NO_2[BLO],[1]!NO_2[ILO],,-1),2)</f>
        <v>18.75</v>
      </c>
      <c r="K181">
        <f>ROUND(( ( _xlfn.XLOOKUP(E181,[1]!SO_2[BLO],[1]!SO_2[IHI],,-1)  - _xlfn.XLOOKUP(E181,[1]!SO_2[BLO],[1]!SO_2[ILO],,-1) )
/
( _xlfn.XLOOKUP(E181,[1]!SO_2[BLO],[1]!SO_2[BHI],,-1)- _xlfn.XLOOKUP(E181,[1]!SO_2[BLO],[1]!SO_2[BLO],,-1) ))
*
( E181 - _xlfn.XLOOKUP(E181,[1]!SO_2[BLO],[1]!SO_2[BLO],,-1) )
+
_xlfn.XLOOKUP(E181,[1]!SO_2[BLO],[1]!SO_2[ILO],,-1),2)</f>
        <v>11.25</v>
      </c>
      <c r="L181">
        <f>( ( _xlfn.XLOOKUP(F181,[1]!CO[BLO],[1]!CO[IHI],,-1)
- _xlfn.XLOOKUP(F181,[1]!CO[BLO],[1]!CO[ILO],,-1) )
/
( _xlfn.XLOOKUP(F181,[1]!CO[BLO],[1]!CO[BHI],,-1) - _xlfn.XLOOKUP(F181,[1]!CO[BLO],[1]!CO[BLO],,-1)))
*
( F181 - _xlfn.XLOOKUP(F181,[1]!CO[BLO],[1]!CO[BLO],,-1) )
+
_xlfn.XLOOKUP(F181,[1]!CO[BLO],[1]!CO[ILO],,-1)</f>
        <v>33</v>
      </c>
      <c r="M181">
        <f>(( _xlfn.XLOOKUP(G181,[1]!O_3[BLO],[1]!O_3[IHI],,-1) - _xlfn.XLOOKUP(G181,[1]!O_3[BLO],[1]!O_3[ILO],,-1))
/
( _xlfn.XLOOKUP(G181,[1]!O_3[BLO],[1]!O_3[BHI],,-1) - _xlfn.XLOOKUP(G181,[1]!O_3[BLO],[1]!O_3[BLO],,-1)))
*
( G181 - _xlfn.XLOOKUP(G181,[1]!O_3[BLO],[1]!O_3[BLO],,-1))
+
_xlfn.XLOOKUP(G181,[1]!O_3[BLO],[1]!O_3[ILO],,-1)</f>
        <v>26</v>
      </c>
      <c r="N181">
        <f>MAX(DAILY_DATA[[#This Row],[AQI_PM2.5]:[AQI_O3]])</f>
        <v>53</v>
      </c>
      <c r="O181" t="str">
        <f>_xlfn.XLOOKUP(DAILY_DATA[[#This Row],[OVERALL_AQI]],[1]!CATEGORY[AQI_LO],[1]!CATEGORY[CATEGORY],,-1)</f>
        <v>Satisfactory</v>
      </c>
      <c r="P181" t="str" cm="1">
        <f t="array" ref="P181">INDEX(
{"PM2.5","PM10","NO2","SO2","CO","O3"},
MATCH(N181,H181:M181,0)
)</f>
        <v>PM10</v>
      </c>
    </row>
    <row r="182" spans="1:16" x14ac:dyDescent="0.25">
      <c r="A182" s="4">
        <v>45472</v>
      </c>
      <c r="B182">
        <f>ROUND(AVERAGEIFS([1]HOURLY_DATA!B182:B8965,[1]HOURLY_DATA!H182:H8965,Daily_AQI!A182),0)</f>
        <v>20</v>
      </c>
      <c r="C182">
        <f>ROUND(AVERAGEIFS([1]HOURLY_DATA!C182:C8965,[1]HOURLY_DATA!H182:H8965,Daily_AQI!A182),0)</f>
        <v>53</v>
      </c>
      <c r="D182">
        <f>ROUND(AVERAGEIFS([1]HOURLY_DATA!D182:D8965,[1]HOURLY_DATA!H182:H8965,Daily_AQI!A182),0)</f>
        <v>17</v>
      </c>
      <c r="E182">
        <f>ROUND(AVERAGEIFS([1]HOURLY_DATA!E182:E8965,[1]HOURLY_DATA!H182:H8965,Daily_AQI!A182),0)</f>
        <v>9</v>
      </c>
      <c r="F182">
        <f>ROUND(AVERAGEIFS([1]HOURLY_DATA!I182:I8965,[1]HOURLY_DATA!H182:H8965,Daily_AQI!A182),2)</f>
        <v>0.67</v>
      </c>
      <c r="G182">
        <f>ROUND(AVERAGEIFS([1]HOURLY_DATA!J182:J8965,[1]HOURLY_DATA!H182:H8965,Daily_AQI!A182),0)</f>
        <v>24</v>
      </c>
      <c r="H182">
        <f>ROUND(((_xlfn.XLOOKUP(B182,[1]!PM2.5[BLO],[1]!PM2.5[IHI],,-1) - _xlfn.XLOOKUP(B182,[1]!PM2.5[BLO],[1]!PM2.5[ILO],,-1))
/
(_xlfn.XLOOKUP(B182,[1]!PM2.5[BLO],[1]!PM2.5[BHI],,-1) - _xlfn.XLOOKUP(B182,[1]!PM2.5[BLO],[1]!PM2.5[BLO],,-1)))
*
(B182 - _xlfn.XLOOKUP(B182,[1]!PM2.5[BLO],[1]!PM2.5[BLO],,-1))
+
_xlfn.XLOOKUP(B182,[1]!PM2.5[BLO],[1]!PM2.5[ILO],,-1),2)</f>
        <v>33.33</v>
      </c>
      <c r="I182">
        <f>ROUND(((_xlfn.XLOOKUP(C182,[1]!PM_10[BLO],[1]!PM_10[IHI],,-1) - _xlfn.XLOOKUP(C182,[1]!PM_10[BLO],[1]!PM_10[ILO],,-1))
/
(_xlfn.XLOOKUP(C182,[1]!PM_10[BLO],[1]!PM_10[BHI],,-1) - _xlfn.XLOOKUP(C182,[1]!PM_10[BLO],[1]!PM_10[BLO],,-1)))
*
( C182 - _xlfn.XLOOKUP(C182,[1]!PM_10[BLO],[1]!PM_10[BLO],,-1))
+
_xlfn.XLOOKUP(C182,[1]!PM_10[BLO],[1]!PM_10[ILO],,-1),2)</f>
        <v>53</v>
      </c>
      <c r="J182">
        <f>ROUND((( _xlfn.XLOOKUP(D182,[1]!NO_2[BLO],[1]!NO_2[IHI],,-1) - _xlfn.XLOOKUP(D182,[1]!NO_2[BLO],[1]!NO_2[ILO],,-1))
/
( _xlfn.XLOOKUP(D182,[1]!NO_2[BLO],[1]!NO_2[BHI],,-1) - _xlfn.XLOOKUP(D182,[1]!NO_2[BLO],[1]!NO_2[BLO],,-1) ))
*
( D182 - _xlfn.XLOOKUP(D182,[1]!NO_2[BLO],[1]!NO_2[BLO],,-1))
+
_xlfn.XLOOKUP(D182,[1]!NO_2[BLO],[1]!NO_2[ILO],,-1),2)</f>
        <v>21.25</v>
      </c>
      <c r="K182">
        <f>ROUND(( ( _xlfn.XLOOKUP(E182,[1]!SO_2[BLO],[1]!SO_2[IHI],,-1)  - _xlfn.XLOOKUP(E182,[1]!SO_2[BLO],[1]!SO_2[ILO],,-1) )
/
( _xlfn.XLOOKUP(E182,[1]!SO_2[BLO],[1]!SO_2[BHI],,-1)- _xlfn.XLOOKUP(E182,[1]!SO_2[BLO],[1]!SO_2[BLO],,-1) ))
*
( E182 - _xlfn.XLOOKUP(E182,[1]!SO_2[BLO],[1]!SO_2[BLO],,-1) )
+
_xlfn.XLOOKUP(E182,[1]!SO_2[BLO],[1]!SO_2[ILO],,-1),2)</f>
        <v>11.25</v>
      </c>
      <c r="L182">
        <f>( ( _xlfn.XLOOKUP(F182,[1]!CO[BLO],[1]!CO[IHI],,-1)
- _xlfn.XLOOKUP(F182,[1]!CO[BLO],[1]!CO[ILO],,-1) )
/
( _xlfn.XLOOKUP(F182,[1]!CO[BLO],[1]!CO[BHI],,-1) - _xlfn.XLOOKUP(F182,[1]!CO[BLO],[1]!CO[BLO],,-1)))
*
( F182 - _xlfn.XLOOKUP(F182,[1]!CO[BLO],[1]!CO[BLO],,-1) )
+
_xlfn.XLOOKUP(F182,[1]!CO[BLO],[1]!CO[ILO],,-1)</f>
        <v>33.5</v>
      </c>
      <c r="M182">
        <f>(( _xlfn.XLOOKUP(G182,[1]!O_3[BLO],[1]!O_3[IHI],,-1) - _xlfn.XLOOKUP(G182,[1]!O_3[BLO],[1]!O_3[ILO],,-1))
/
( _xlfn.XLOOKUP(G182,[1]!O_3[BLO],[1]!O_3[BHI],,-1) - _xlfn.XLOOKUP(G182,[1]!O_3[BLO],[1]!O_3[BLO],,-1)))
*
( G182 - _xlfn.XLOOKUP(G182,[1]!O_3[BLO],[1]!O_3[BLO],,-1))
+
_xlfn.XLOOKUP(G182,[1]!O_3[BLO],[1]!O_3[ILO],,-1)</f>
        <v>24</v>
      </c>
      <c r="N182">
        <f>MAX(DAILY_DATA[[#This Row],[AQI_PM2.5]:[AQI_O3]])</f>
        <v>53</v>
      </c>
      <c r="O182" t="str">
        <f>_xlfn.XLOOKUP(DAILY_DATA[[#This Row],[OVERALL_AQI]],[1]!CATEGORY[AQI_LO],[1]!CATEGORY[CATEGORY],,-1)</f>
        <v>Satisfactory</v>
      </c>
      <c r="P182" t="str" cm="1">
        <f t="array" ref="P182">INDEX(
{"PM2.5","PM10","NO2","SO2","CO","O3"},
MATCH(N182,H182:M182,0)
)</f>
        <v>PM10</v>
      </c>
    </row>
    <row r="183" spans="1:16" x14ac:dyDescent="0.25">
      <c r="A183" s="4">
        <v>45473</v>
      </c>
      <c r="B183">
        <f>ROUND(AVERAGEIFS([1]HOURLY_DATA!B183:B8966,[1]HOURLY_DATA!H183:H8966,Daily_AQI!A183),0)</f>
        <v>19</v>
      </c>
      <c r="C183">
        <f>ROUND(AVERAGEIFS([1]HOURLY_DATA!C183:C8966,[1]HOURLY_DATA!H183:H8966,Daily_AQI!A183),0)</f>
        <v>49</v>
      </c>
      <c r="D183">
        <f>ROUND(AVERAGEIFS([1]HOURLY_DATA!D183:D8966,[1]HOURLY_DATA!H183:H8966,Daily_AQI!A183),0)</f>
        <v>16</v>
      </c>
      <c r="E183">
        <f>ROUND(AVERAGEIFS([1]HOURLY_DATA!E183:E8966,[1]HOURLY_DATA!H183:H8966,Daily_AQI!A183),0)</f>
        <v>8</v>
      </c>
      <c r="F183">
        <f>ROUND(AVERAGEIFS([1]HOURLY_DATA!I183:I8966,[1]HOURLY_DATA!H183:H8966,Daily_AQI!A183),2)</f>
        <v>0.64</v>
      </c>
      <c r="G183">
        <f>ROUND(AVERAGEIFS([1]HOURLY_DATA!J183:J8966,[1]HOURLY_DATA!H183:H8966,Daily_AQI!A183),0)</f>
        <v>24</v>
      </c>
      <c r="H183">
        <f>ROUND(((_xlfn.XLOOKUP(B183,[1]!PM2.5[BLO],[1]!PM2.5[IHI],,-1) - _xlfn.XLOOKUP(B183,[1]!PM2.5[BLO],[1]!PM2.5[ILO],,-1))
/
(_xlfn.XLOOKUP(B183,[1]!PM2.5[BLO],[1]!PM2.5[BHI],,-1) - _xlfn.XLOOKUP(B183,[1]!PM2.5[BLO],[1]!PM2.5[BLO],,-1)))
*
(B183 - _xlfn.XLOOKUP(B183,[1]!PM2.5[BLO],[1]!PM2.5[BLO],,-1))
+
_xlfn.XLOOKUP(B183,[1]!PM2.5[BLO],[1]!PM2.5[ILO],,-1),2)</f>
        <v>31.67</v>
      </c>
      <c r="I183">
        <f>ROUND(((_xlfn.XLOOKUP(C183,[1]!PM_10[BLO],[1]!PM_10[IHI],,-1) - _xlfn.XLOOKUP(C183,[1]!PM_10[BLO],[1]!PM_10[ILO],,-1))
/
(_xlfn.XLOOKUP(C183,[1]!PM_10[BLO],[1]!PM_10[BHI],,-1) - _xlfn.XLOOKUP(C183,[1]!PM_10[BLO],[1]!PM_10[BLO],,-1)))
*
( C183 - _xlfn.XLOOKUP(C183,[1]!PM_10[BLO],[1]!PM_10[BLO],,-1))
+
_xlfn.XLOOKUP(C183,[1]!PM_10[BLO],[1]!PM_10[ILO],,-1),2)</f>
        <v>49</v>
      </c>
      <c r="J183">
        <f>ROUND((( _xlfn.XLOOKUP(D183,[1]!NO_2[BLO],[1]!NO_2[IHI],,-1) - _xlfn.XLOOKUP(D183,[1]!NO_2[BLO],[1]!NO_2[ILO],,-1))
/
( _xlfn.XLOOKUP(D183,[1]!NO_2[BLO],[1]!NO_2[BHI],,-1) - _xlfn.XLOOKUP(D183,[1]!NO_2[BLO],[1]!NO_2[BLO],,-1) ))
*
( D183 - _xlfn.XLOOKUP(D183,[1]!NO_2[BLO],[1]!NO_2[BLO],,-1))
+
_xlfn.XLOOKUP(D183,[1]!NO_2[BLO],[1]!NO_2[ILO],,-1),2)</f>
        <v>20</v>
      </c>
      <c r="K183">
        <f>ROUND(( ( _xlfn.XLOOKUP(E183,[1]!SO_2[BLO],[1]!SO_2[IHI],,-1)  - _xlfn.XLOOKUP(E183,[1]!SO_2[BLO],[1]!SO_2[ILO],,-1) )
/
( _xlfn.XLOOKUP(E183,[1]!SO_2[BLO],[1]!SO_2[BHI],,-1)- _xlfn.XLOOKUP(E183,[1]!SO_2[BLO],[1]!SO_2[BLO],,-1) ))
*
( E183 - _xlfn.XLOOKUP(E183,[1]!SO_2[BLO],[1]!SO_2[BLO],,-1) )
+
_xlfn.XLOOKUP(E183,[1]!SO_2[BLO],[1]!SO_2[ILO],,-1),2)</f>
        <v>10</v>
      </c>
      <c r="L183">
        <f>( ( _xlfn.XLOOKUP(F183,[1]!CO[BLO],[1]!CO[IHI],,-1)
- _xlfn.XLOOKUP(F183,[1]!CO[BLO],[1]!CO[ILO],,-1) )
/
( _xlfn.XLOOKUP(F183,[1]!CO[BLO],[1]!CO[BHI],,-1) - _xlfn.XLOOKUP(F183,[1]!CO[BLO],[1]!CO[BLO],,-1)))
*
( F183 - _xlfn.XLOOKUP(F183,[1]!CO[BLO],[1]!CO[BLO],,-1) )
+
_xlfn.XLOOKUP(F183,[1]!CO[BLO],[1]!CO[ILO],,-1)</f>
        <v>32</v>
      </c>
      <c r="M183">
        <f>(( _xlfn.XLOOKUP(G183,[1]!O_3[BLO],[1]!O_3[IHI],,-1) - _xlfn.XLOOKUP(G183,[1]!O_3[BLO],[1]!O_3[ILO],,-1))
/
( _xlfn.XLOOKUP(G183,[1]!O_3[BLO],[1]!O_3[BHI],,-1) - _xlfn.XLOOKUP(G183,[1]!O_3[BLO],[1]!O_3[BLO],,-1)))
*
( G183 - _xlfn.XLOOKUP(G183,[1]!O_3[BLO],[1]!O_3[BLO],,-1))
+
_xlfn.XLOOKUP(G183,[1]!O_3[BLO],[1]!O_3[ILO],,-1)</f>
        <v>24</v>
      </c>
      <c r="N183">
        <f>MAX(DAILY_DATA[[#This Row],[AQI_PM2.5]:[AQI_O3]])</f>
        <v>49</v>
      </c>
      <c r="O183" t="str">
        <f>_xlfn.XLOOKUP(DAILY_DATA[[#This Row],[OVERALL_AQI]],[1]!CATEGORY[AQI_LO],[1]!CATEGORY[CATEGORY],,-1)</f>
        <v>Good</v>
      </c>
      <c r="P183" t="str" cm="1">
        <f t="array" ref="P183">INDEX(
{"PM2.5","PM10","NO2","SO2","CO","O3"},
MATCH(N183,H183:M183,0)
)</f>
        <v>PM10</v>
      </c>
    </row>
    <row r="184" spans="1:16" x14ac:dyDescent="0.25">
      <c r="A184" s="4">
        <v>45474</v>
      </c>
      <c r="B184">
        <f>ROUND(AVERAGEIFS([1]HOURLY_DATA!B184:B8967,[1]HOURLY_DATA!H184:H8967,Daily_AQI!A184),0)</f>
        <v>20</v>
      </c>
      <c r="C184">
        <f>ROUND(AVERAGEIFS([1]HOURLY_DATA!C184:C8967,[1]HOURLY_DATA!H184:H8967,Daily_AQI!A184),0)</f>
        <v>38</v>
      </c>
      <c r="D184">
        <f>ROUND(AVERAGEIFS([1]HOURLY_DATA!D184:D8967,[1]HOURLY_DATA!H184:H8967,Daily_AQI!A184),0)</f>
        <v>15</v>
      </c>
      <c r="E184">
        <f>ROUND(AVERAGEIFS([1]HOURLY_DATA!E184:E8967,[1]HOURLY_DATA!H184:H8967,Daily_AQI!A184),0)</f>
        <v>9</v>
      </c>
      <c r="F184">
        <f>ROUND(AVERAGEIFS([1]HOURLY_DATA!I184:I8967,[1]HOURLY_DATA!H184:H8967,Daily_AQI!A184),2)</f>
        <v>0.63</v>
      </c>
      <c r="G184">
        <f>ROUND(AVERAGEIFS([1]HOURLY_DATA!J184:J8967,[1]HOURLY_DATA!H184:H8967,Daily_AQI!A184),0)</f>
        <v>25</v>
      </c>
      <c r="H184">
        <f>ROUND(((_xlfn.XLOOKUP(B184,[1]!PM2.5[BLO],[1]!PM2.5[IHI],,-1) - _xlfn.XLOOKUP(B184,[1]!PM2.5[BLO],[1]!PM2.5[ILO],,-1))
/
(_xlfn.XLOOKUP(B184,[1]!PM2.5[BLO],[1]!PM2.5[BHI],,-1) - _xlfn.XLOOKUP(B184,[1]!PM2.5[BLO],[1]!PM2.5[BLO],,-1)))
*
(B184 - _xlfn.XLOOKUP(B184,[1]!PM2.5[BLO],[1]!PM2.5[BLO],,-1))
+
_xlfn.XLOOKUP(B184,[1]!PM2.5[BLO],[1]!PM2.5[ILO],,-1),2)</f>
        <v>33.33</v>
      </c>
      <c r="I184">
        <f>ROUND(((_xlfn.XLOOKUP(C184,[1]!PM_10[BLO],[1]!PM_10[IHI],,-1) - _xlfn.XLOOKUP(C184,[1]!PM_10[BLO],[1]!PM_10[ILO],,-1))
/
(_xlfn.XLOOKUP(C184,[1]!PM_10[BLO],[1]!PM_10[BHI],,-1) - _xlfn.XLOOKUP(C184,[1]!PM_10[BLO],[1]!PM_10[BLO],,-1)))
*
( C184 - _xlfn.XLOOKUP(C184,[1]!PM_10[BLO],[1]!PM_10[BLO],,-1))
+
_xlfn.XLOOKUP(C184,[1]!PM_10[BLO],[1]!PM_10[ILO],,-1),2)</f>
        <v>38</v>
      </c>
      <c r="J184">
        <f>ROUND((( _xlfn.XLOOKUP(D184,[1]!NO_2[BLO],[1]!NO_2[IHI],,-1) - _xlfn.XLOOKUP(D184,[1]!NO_2[BLO],[1]!NO_2[ILO],,-1))
/
( _xlfn.XLOOKUP(D184,[1]!NO_2[BLO],[1]!NO_2[BHI],,-1) - _xlfn.XLOOKUP(D184,[1]!NO_2[BLO],[1]!NO_2[BLO],,-1) ))
*
( D184 - _xlfn.XLOOKUP(D184,[1]!NO_2[BLO],[1]!NO_2[BLO],,-1))
+
_xlfn.XLOOKUP(D184,[1]!NO_2[BLO],[1]!NO_2[ILO],,-1),2)</f>
        <v>18.75</v>
      </c>
      <c r="K184">
        <f>ROUND(( ( _xlfn.XLOOKUP(E184,[1]!SO_2[BLO],[1]!SO_2[IHI],,-1)  - _xlfn.XLOOKUP(E184,[1]!SO_2[BLO],[1]!SO_2[ILO],,-1) )
/
( _xlfn.XLOOKUP(E184,[1]!SO_2[BLO],[1]!SO_2[BHI],,-1)- _xlfn.XLOOKUP(E184,[1]!SO_2[BLO],[1]!SO_2[BLO],,-1) ))
*
( E184 - _xlfn.XLOOKUP(E184,[1]!SO_2[BLO],[1]!SO_2[BLO],,-1) )
+
_xlfn.XLOOKUP(E184,[1]!SO_2[BLO],[1]!SO_2[ILO],,-1),2)</f>
        <v>11.25</v>
      </c>
      <c r="L184">
        <f>( ( _xlfn.XLOOKUP(F184,[1]!CO[BLO],[1]!CO[IHI],,-1)
- _xlfn.XLOOKUP(F184,[1]!CO[BLO],[1]!CO[ILO],,-1) )
/
( _xlfn.XLOOKUP(F184,[1]!CO[BLO],[1]!CO[BHI],,-1) - _xlfn.XLOOKUP(F184,[1]!CO[BLO],[1]!CO[BLO],,-1)))
*
( F184 - _xlfn.XLOOKUP(F184,[1]!CO[BLO],[1]!CO[BLO],,-1) )
+
_xlfn.XLOOKUP(F184,[1]!CO[BLO],[1]!CO[ILO],,-1)</f>
        <v>31.5</v>
      </c>
      <c r="M184">
        <f>(( _xlfn.XLOOKUP(G184,[1]!O_3[BLO],[1]!O_3[IHI],,-1) - _xlfn.XLOOKUP(G184,[1]!O_3[BLO],[1]!O_3[ILO],,-1))
/
( _xlfn.XLOOKUP(G184,[1]!O_3[BLO],[1]!O_3[BHI],,-1) - _xlfn.XLOOKUP(G184,[1]!O_3[BLO],[1]!O_3[BLO],,-1)))
*
( G184 - _xlfn.XLOOKUP(G184,[1]!O_3[BLO],[1]!O_3[BLO],,-1))
+
_xlfn.XLOOKUP(G184,[1]!O_3[BLO],[1]!O_3[ILO],,-1)</f>
        <v>25</v>
      </c>
      <c r="N184">
        <f>MAX(DAILY_DATA[[#This Row],[AQI_PM2.5]:[AQI_O3]])</f>
        <v>38</v>
      </c>
      <c r="O184" t="str">
        <f>_xlfn.XLOOKUP(DAILY_DATA[[#This Row],[OVERALL_AQI]],[1]!CATEGORY[AQI_LO],[1]!CATEGORY[CATEGORY],,-1)</f>
        <v>Good</v>
      </c>
      <c r="P184" t="str" cm="1">
        <f t="array" ref="P184">INDEX(
{"PM2.5","PM10","NO2","SO2","CO","O3"},
MATCH(N184,H184:M184,0)
)</f>
        <v>PM10</v>
      </c>
    </row>
    <row r="185" spans="1:16" x14ac:dyDescent="0.25">
      <c r="A185" s="4">
        <v>45475</v>
      </c>
      <c r="B185">
        <f>ROUND(AVERAGEIFS([1]HOURLY_DATA!B185:B8968,[1]HOURLY_DATA!H185:H8968,Daily_AQI!A185),0)</f>
        <v>18</v>
      </c>
      <c r="C185">
        <f>ROUND(AVERAGEIFS([1]HOURLY_DATA!C185:C8968,[1]HOURLY_DATA!H185:H8968,Daily_AQI!A185),0)</f>
        <v>43</v>
      </c>
      <c r="D185">
        <f>ROUND(AVERAGEIFS([1]HOURLY_DATA!D185:D8968,[1]HOURLY_DATA!H185:H8968,Daily_AQI!A185),0)</f>
        <v>16</v>
      </c>
      <c r="E185">
        <f>ROUND(AVERAGEIFS([1]HOURLY_DATA!E185:E8968,[1]HOURLY_DATA!H185:H8968,Daily_AQI!A185),0)</f>
        <v>8</v>
      </c>
      <c r="F185">
        <f>ROUND(AVERAGEIFS([1]HOURLY_DATA!I185:I8968,[1]HOURLY_DATA!H185:H8968,Daily_AQI!A185),2)</f>
        <v>0.66</v>
      </c>
      <c r="G185">
        <f>ROUND(AVERAGEIFS([1]HOURLY_DATA!J185:J8968,[1]HOURLY_DATA!H185:H8968,Daily_AQI!A185),0)</f>
        <v>24</v>
      </c>
      <c r="H185">
        <f>ROUND(((_xlfn.XLOOKUP(B185,[1]!PM2.5[BLO],[1]!PM2.5[IHI],,-1) - _xlfn.XLOOKUP(B185,[1]!PM2.5[BLO],[1]!PM2.5[ILO],,-1))
/
(_xlfn.XLOOKUP(B185,[1]!PM2.5[BLO],[1]!PM2.5[BHI],,-1) - _xlfn.XLOOKUP(B185,[1]!PM2.5[BLO],[1]!PM2.5[BLO],,-1)))
*
(B185 - _xlfn.XLOOKUP(B185,[1]!PM2.5[BLO],[1]!PM2.5[BLO],,-1))
+
_xlfn.XLOOKUP(B185,[1]!PM2.5[BLO],[1]!PM2.5[ILO],,-1),2)</f>
        <v>30</v>
      </c>
      <c r="I185">
        <f>ROUND(((_xlfn.XLOOKUP(C185,[1]!PM_10[BLO],[1]!PM_10[IHI],,-1) - _xlfn.XLOOKUP(C185,[1]!PM_10[BLO],[1]!PM_10[ILO],,-1))
/
(_xlfn.XLOOKUP(C185,[1]!PM_10[BLO],[1]!PM_10[BHI],,-1) - _xlfn.XLOOKUP(C185,[1]!PM_10[BLO],[1]!PM_10[BLO],,-1)))
*
( C185 - _xlfn.XLOOKUP(C185,[1]!PM_10[BLO],[1]!PM_10[BLO],,-1))
+
_xlfn.XLOOKUP(C185,[1]!PM_10[BLO],[1]!PM_10[ILO],,-1),2)</f>
        <v>43</v>
      </c>
      <c r="J185">
        <f>ROUND((( _xlfn.XLOOKUP(D185,[1]!NO_2[BLO],[1]!NO_2[IHI],,-1) - _xlfn.XLOOKUP(D185,[1]!NO_2[BLO],[1]!NO_2[ILO],,-1))
/
( _xlfn.XLOOKUP(D185,[1]!NO_2[BLO],[1]!NO_2[BHI],,-1) - _xlfn.XLOOKUP(D185,[1]!NO_2[BLO],[1]!NO_2[BLO],,-1) ))
*
( D185 - _xlfn.XLOOKUP(D185,[1]!NO_2[BLO],[1]!NO_2[BLO],,-1))
+
_xlfn.XLOOKUP(D185,[1]!NO_2[BLO],[1]!NO_2[ILO],,-1),2)</f>
        <v>20</v>
      </c>
      <c r="K185">
        <f>ROUND(( ( _xlfn.XLOOKUP(E185,[1]!SO_2[BLO],[1]!SO_2[IHI],,-1)  - _xlfn.XLOOKUP(E185,[1]!SO_2[BLO],[1]!SO_2[ILO],,-1) )
/
( _xlfn.XLOOKUP(E185,[1]!SO_2[BLO],[1]!SO_2[BHI],,-1)- _xlfn.XLOOKUP(E185,[1]!SO_2[BLO],[1]!SO_2[BLO],,-1) ))
*
( E185 - _xlfn.XLOOKUP(E185,[1]!SO_2[BLO],[1]!SO_2[BLO],,-1) )
+
_xlfn.XLOOKUP(E185,[1]!SO_2[BLO],[1]!SO_2[ILO],,-1),2)</f>
        <v>10</v>
      </c>
      <c r="L185">
        <f>( ( _xlfn.XLOOKUP(F185,[1]!CO[BLO],[1]!CO[IHI],,-1)
- _xlfn.XLOOKUP(F185,[1]!CO[BLO],[1]!CO[ILO],,-1) )
/
( _xlfn.XLOOKUP(F185,[1]!CO[BLO],[1]!CO[BHI],,-1) - _xlfn.XLOOKUP(F185,[1]!CO[BLO],[1]!CO[BLO],,-1)))
*
( F185 - _xlfn.XLOOKUP(F185,[1]!CO[BLO],[1]!CO[BLO],,-1) )
+
_xlfn.XLOOKUP(F185,[1]!CO[BLO],[1]!CO[ILO],,-1)</f>
        <v>33</v>
      </c>
      <c r="M185">
        <f>(( _xlfn.XLOOKUP(G185,[1]!O_3[BLO],[1]!O_3[IHI],,-1) - _xlfn.XLOOKUP(G185,[1]!O_3[BLO],[1]!O_3[ILO],,-1))
/
( _xlfn.XLOOKUP(G185,[1]!O_3[BLO],[1]!O_3[BHI],,-1) - _xlfn.XLOOKUP(G185,[1]!O_3[BLO],[1]!O_3[BLO],,-1)))
*
( G185 - _xlfn.XLOOKUP(G185,[1]!O_3[BLO],[1]!O_3[BLO],,-1))
+
_xlfn.XLOOKUP(G185,[1]!O_3[BLO],[1]!O_3[ILO],,-1)</f>
        <v>24</v>
      </c>
      <c r="N185">
        <f>MAX(DAILY_DATA[[#This Row],[AQI_PM2.5]:[AQI_O3]])</f>
        <v>43</v>
      </c>
      <c r="O185" t="str">
        <f>_xlfn.XLOOKUP(DAILY_DATA[[#This Row],[OVERALL_AQI]],[1]!CATEGORY[AQI_LO],[1]!CATEGORY[CATEGORY],,-1)</f>
        <v>Good</v>
      </c>
      <c r="P185" t="str" cm="1">
        <f t="array" ref="P185">INDEX(
{"PM2.5","PM10","NO2","SO2","CO","O3"},
MATCH(N185,H185:M185,0)
)</f>
        <v>PM10</v>
      </c>
    </row>
    <row r="186" spans="1:16" x14ac:dyDescent="0.25">
      <c r="A186" s="4">
        <v>45476</v>
      </c>
      <c r="B186">
        <f>ROUND(AVERAGEIFS([1]HOURLY_DATA!B186:B8969,[1]HOURLY_DATA!H186:H8969,Daily_AQI!A186),0)</f>
        <v>20</v>
      </c>
      <c r="C186">
        <f>ROUND(AVERAGEIFS([1]HOURLY_DATA!C186:C8969,[1]HOURLY_DATA!H186:H8969,Daily_AQI!A186),0)</f>
        <v>46</v>
      </c>
      <c r="D186">
        <f>ROUND(AVERAGEIFS([1]HOURLY_DATA!D186:D8969,[1]HOURLY_DATA!H186:H8969,Daily_AQI!A186),0)</f>
        <v>18</v>
      </c>
      <c r="E186">
        <f>ROUND(AVERAGEIFS([1]HOURLY_DATA!E186:E8969,[1]HOURLY_DATA!H186:H8969,Daily_AQI!A186),0)</f>
        <v>8</v>
      </c>
      <c r="F186">
        <f>ROUND(AVERAGEIFS([1]HOURLY_DATA!I186:I8969,[1]HOURLY_DATA!H186:H8969,Daily_AQI!A186),2)</f>
        <v>0.69</v>
      </c>
      <c r="G186">
        <f>ROUND(AVERAGEIFS([1]HOURLY_DATA!J186:J8969,[1]HOURLY_DATA!H186:H8969,Daily_AQI!A186),0)</f>
        <v>25</v>
      </c>
      <c r="H186">
        <f>ROUND(((_xlfn.XLOOKUP(B186,[1]!PM2.5[BLO],[1]!PM2.5[IHI],,-1) - _xlfn.XLOOKUP(B186,[1]!PM2.5[BLO],[1]!PM2.5[ILO],,-1))
/
(_xlfn.XLOOKUP(B186,[1]!PM2.5[BLO],[1]!PM2.5[BHI],,-1) - _xlfn.XLOOKUP(B186,[1]!PM2.5[BLO],[1]!PM2.5[BLO],,-1)))
*
(B186 - _xlfn.XLOOKUP(B186,[1]!PM2.5[BLO],[1]!PM2.5[BLO],,-1))
+
_xlfn.XLOOKUP(B186,[1]!PM2.5[BLO],[1]!PM2.5[ILO],,-1),2)</f>
        <v>33.33</v>
      </c>
      <c r="I186">
        <f>ROUND(((_xlfn.XLOOKUP(C186,[1]!PM_10[BLO],[1]!PM_10[IHI],,-1) - _xlfn.XLOOKUP(C186,[1]!PM_10[BLO],[1]!PM_10[ILO],,-1))
/
(_xlfn.XLOOKUP(C186,[1]!PM_10[BLO],[1]!PM_10[BHI],,-1) - _xlfn.XLOOKUP(C186,[1]!PM_10[BLO],[1]!PM_10[BLO],,-1)))
*
( C186 - _xlfn.XLOOKUP(C186,[1]!PM_10[BLO],[1]!PM_10[BLO],,-1))
+
_xlfn.XLOOKUP(C186,[1]!PM_10[BLO],[1]!PM_10[ILO],,-1),2)</f>
        <v>46</v>
      </c>
      <c r="J186">
        <f>ROUND((( _xlfn.XLOOKUP(D186,[1]!NO_2[BLO],[1]!NO_2[IHI],,-1) - _xlfn.XLOOKUP(D186,[1]!NO_2[BLO],[1]!NO_2[ILO],,-1))
/
( _xlfn.XLOOKUP(D186,[1]!NO_2[BLO],[1]!NO_2[BHI],,-1) - _xlfn.XLOOKUP(D186,[1]!NO_2[BLO],[1]!NO_2[BLO],,-1) ))
*
( D186 - _xlfn.XLOOKUP(D186,[1]!NO_2[BLO],[1]!NO_2[BLO],,-1))
+
_xlfn.XLOOKUP(D186,[1]!NO_2[BLO],[1]!NO_2[ILO],,-1),2)</f>
        <v>22.5</v>
      </c>
      <c r="K186">
        <f>ROUND(( ( _xlfn.XLOOKUP(E186,[1]!SO_2[BLO],[1]!SO_2[IHI],,-1)  - _xlfn.XLOOKUP(E186,[1]!SO_2[BLO],[1]!SO_2[ILO],,-1) )
/
( _xlfn.XLOOKUP(E186,[1]!SO_2[BLO],[1]!SO_2[BHI],,-1)- _xlfn.XLOOKUP(E186,[1]!SO_2[BLO],[1]!SO_2[BLO],,-1) ))
*
( E186 - _xlfn.XLOOKUP(E186,[1]!SO_2[BLO],[1]!SO_2[BLO],,-1) )
+
_xlfn.XLOOKUP(E186,[1]!SO_2[BLO],[1]!SO_2[ILO],,-1),2)</f>
        <v>10</v>
      </c>
      <c r="L186">
        <f>( ( _xlfn.XLOOKUP(F186,[1]!CO[BLO],[1]!CO[IHI],,-1)
- _xlfn.XLOOKUP(F186,[1]!CO[BLO],[1]!CO[ILO],,-1) )
/
( _xlfn.XLOOKUP(F186,[1]!CO[BLO],[1]!CO[BHI],,-1) - _xlfn.XLOOKUP(F186,[1]!CO[BLO],[1]!CO[BLO],,-1)))
*
( F186 - _xlfn.XLOOKUP(F186,[1]!CO[BLO],[1]!CO[BLO],,-1) )
+
_xlfn.XLOOKUP(F186,[1]!CO[BLO],[1]!CO[ILO],,-1)</f>
        <v>34.5</v>
      </c>
      <c r="M186">
        <f>(( _xlfn.XLOOKUP(G186,[1]!O_3[BLO],[1]!O_3[IHI],,-1) - _xlfn.XLOOKUP(G186,[1]!O_3[BLO],[1]!O_3[ILO],,-1))
/
( _xlfn.XLOOKUP(G186,[1]!O_3[BLO],[1]!O_3[BHI],,-1) - _xlfn.XLOOKUP(G186,[1]!O_3[BLO],[1]!O_3[BLO],,-1)))
*
( G186 - _xlfn.XLOOKUP(G186,[1]!O_3[BLO],[1]!O_3[BLO],,-1))
+
_xlfn.XLOOKUP(G186,[1]!O_3[BLO],[1]!O_3[ILO],,-1)</f>
        <v>25</v>
      </c>
      <c r="N186">
        <f>MAX(DAILY_DATA[[#This Row],[AQI_PM2.5]:[AQI_O3]])</f>
        <v>46</v>
      </c>
      <c r="O186" t="str">
        <f>_xlfn.XLOOKUP(DAILY_DATA[[#This Row],[OVERALL_AQI]],[1]!CATEGORY[AQI_LO],[1]!CATEGORY[CATEGORY],,-1)</f>
        <v>Good</v>
      </c>
      <c r="P186" t="str" cm="1">
        <f t="array" ref="P186">INDEX(
{"PM2.5","PM10","NO2","SO2","CO","O3"},
MATCH(N186,H186:M186,0)
)</f>
        <v>PM10</v>
      </c>
    </row>
    <row r="187" spans="1:16" x14ac:dyDescent="0.25">
      <c r="A187" s="4">
        <v>45477</v>
      </c>
      <c r="B187">
        <f>ROUND(AVERAGEIFS([1]HOURLY_DATA!B187:B8970,[1]HOURLY_DATA!H187:H8970,Daily_AQI!A187),0)</f>
        <v>17</v>
      </c>
      <c r="C187">
        <f>ROUND(AVERAGEIFS([1]HOURLY_DATA!C187:C8970,[1]HOURLY_DATA!H187:H8970,Daily_AQI!A187),0)</f>
        <v>43</v>
      </c>
      <c r="D187">
        <f>ROUND(AVERAGEIFS([1]HOURLY_DATA!D187:D8970,[1]HOURLY_DATA!H187:H8970,Daily_AQI!A187),0)</f>
        <v>17</v>
      </c>
      <c r="E187">
        <f>ROUND(AVERAGEIFS([1]HOURLY_DATA!E187:E8970,[1]HOURLY_DATA!H187:H8970,Daily_AQI!A187),0)</f>
        <v>8</v>
      </c>
      <c r="F187">
        <f>ROUND(AVERAGEIFS([1]HOURLY_DATA!I187:I8970,[1]HOURLY_DATA!H187:H8970,Daily_AQI!A187),2)</f>
        <v>0.67</v>
      </c>
      <c r="G187">
        <f>ROUND(AVERAGEIFS([1]HOURLY_DATA!J187:J8970,[1]HOURLY_DATA!H187:H8970,Daily_AQI!A187),0)</f>
        <v>24</v>
      </c>
      <c r="H187">
        <f>ROUND(((_xlfn.XLOOKUP(B187,[1]!PM2.5[BLO],[1]!PM2.5[IHI],,-1) - _xlfn.XLOOKUP(B187,[1]!PM2.5[BLO],[1]!PM2.5[ILO],,-1))
/
(_xlfn.XLOOKUP(B187,[1]!PM2.5[BLO],[1]!PM2.5[BHI],,-1) - _xlfn.XLOOKUP(B187,[1]!PM2.5[BLO],[1]!PM2.5[BLO],,-1)))
*
(B187 - _xlfn.XLOOKUP(B187,[1]!PM2.5[BLO],[1]!PM2.5[BLO],,-1))
+
_xlfn.XLOOKUP(B187,[1]!PM2.5[BLO],[1]!PM2.5[ILO],,-1),2)</f>
        <v>28.33</v>
      </c>
      <c r="I187">
        <f>ROUND(((_xlfn.XLOOKUP(C187,[1]!PM_10[BLO],[1]!PM_10[IHI],,-1) - _xlfn.XLOOKUP(C187,[1]!PM_10[BLO],[1]!PM_10[ILO],,-1))
/
(_xlfn.XLOOKUP(C187,[1]!PM_10[BLO],[1]!PM_10[BHI],,-1) - _xlfn.XLOOKUP(C187,[1]!PM_10[BLO],[1]!PM_10[BLO],,-1)))
*
( C187 - _xlfn.XLOOKUP(C187,[1]!PM_10[BLO],[1]!PM_10[BLO],,-1))
+
_xlfn.XLOOKUP(C187,[1]!PM_10[BLO],[1]!PM_10[ILO],,-1),2)</f>
        <v>43</v>
      </c>
      <c r="J187">
        <f>ROUND((( _xlfn.XLOOKUP(D187,[1]!NO_2[BLO],[1]!NO_2[IHI],,-1) - _xlfn.XLOOKUP(D187,[1]!NO_2[BLO],[1]!NO_2[ILO],,-1))
/
( _xlfn.XLOOKUP(D187,[1]!NO_2[BLO],[1]!NO_2[BHI],,-1) - _xlfn.XLOOKUP(D187,[1]!NO_2[BLO],[1]!NO_2[BLO],,-1) ))
*
( D187 - _xlfn.XLOOKUP(D187,[1]!NO_2[BLO],[1]!NO_2[BLO],,-1))
+
_xlfn.XLOOKUP(D187,[1]!NO_2[BLO],[1]!NO_2[ILO],,-1),2)</f>
        <v>21.25</v>
      </c>
      <c r="K187">
        <f>ROUND(( ( _xlfn.XLOOKUP(E187,[1]!SO_2[BLO],[1]!SO_2[IHI],,-1)  - _xlfn.XLOOKUP(E187,[1]!SO_2[BLO],[1]!SO_2[ILO],,-1) )
/
( _xlfn.XLOOKUP(E187,[1]!SO_2[BLO],[1]!SO_2[BHI],,-1)- _xlfn.XLOOKUP(E187,[1]!SO_2[BLO],[1]!SO_2[BLO],,-1) ))
*
( E187 - _xlfn.XLOOKUP(E187,[1]!SO_2[BLO],[1]!SO_2[BLO],,-1) )
+
_xlfn.XLOOKUP(E187,[1]!SO_2[BLO],[1]!SO_2[ILO],,-1),2)</f>
        <v>10</v>
      </c>
      <c r="L187">
        <f>( ( _xlfn.XLOOKUP(F187,[1]!CO[BLO],[1]!CO[IHI],,-1)
- _xlfn.XLOOKUP(F187,[1]!CO[BLO],[1]!CO[ILO],,-1) )
/
( _xlfn.XLOOKUP(F187,[1]!CO[BLO],[1]!CO[BHI],,-1) - _xlfn.XLOOKUP(F187,[1]!CO[BLO],[1]!CO[BLO],,-1)))
*
( F187 - _xlfn.XLOOKUP(F187,[1]!CO[BLO],[1]!CO[BLO],,-1) )
+
_xlfn.XLOOKUP(F187,[1]!CO[BLO],[1]!CO[ILO],,-1)</f>
        <v>33.5</v>
      </c>
      <c r="M187">
        <f>(( _xlfn.XLOOKUP(G187,[1]!O_3[BLO],[1]!O_3[IHI],,-1) - _xlfn.XLOOKUP(G187,[1]!O_3[BLO],[1]!O_3[ILO],,-1))
/
( _xlfn.XLOOKUP(G187,[1]!O_3[BLO],[1]!O_3[BHI],,-1) - _xlfn.XLOOKUP(G187,[1]!O_3[BLO],[1]!O_3[BLO],,-1)))
*
( G187 - _xlfn.XLOOKUP(G187,[1]!O_3[BLO],[1]!O_3[BLO],,-1))
+
_xlfn.XLOOKUP(G187,[1]!O_3[BLO],[1]!O_3[ILO],,-1)</f>
        <v>24</v>
      </c>
      <c r="N187">
        <f>MAX(DAILY_DATA[[#This Row],[AQI_PM2.5]:[AQI_O3]])</f>
        <v>43</v>
      </c>
      <c r="O187" t="str">
        <f>_xlfn.XLOOKUP(DAILY_DATA[[#This Row],[OVERALL_AQI]],[1]!CATEGORY[AQI_LO],[1]!CATEGORY[CATEGORY],,-1)</f>
        <v>Good</v>
      </c>
      <c r="P187" t="str" cm="1">
        <f t="array" ref="P187">INDEX(
{"PM2.5","PM10","NO2","SO2","CO","O3"},
MATCH(N187,H187:M187,0)
)</f>
        <v>PM10</v>
      </c>
    </row>
    <row r="188" spans="1:16" x14ac:dyDescent="0.25">
      <c r="A188" s="4">
        <v>45478</v>
      </c>
      <c r="B188">
        <f>ROUND(AVERAGEIFS([1]HOURLY_DATA!B188:B8971,[1]HOURLY_DATA!H188:H8971,Daily_AQI!A188),0)</f>
        <v>18</v>
      </c>
      <c r="C188">
        <f>ROUND(AVERAGEIFS([1]HOURLY_DATA!C188:C8971,[1]HOURLY_DATA!H188:H8971,Daily_AQI!A188),0)</f>
        <v>46</v>
      </c>
      <c r="D188">
        <f>ROUND(AVERAGEIFS([1]HOURLY_DATA!D188:D8971,[1]HOURLY_DATA!H188:H8971,Daily_AQI!A188),0)</f>
        <v>16</v>
      </c>
      <c r="E188">
        <f>ROUND(AVERAGEIFS([1]HOURLY_DATA!E188:E8971,[1]HOURLY_DATA!H188:H8971,Daily_AQI!A188),0)</f>
        <v>9</v>
      </c>
      <c r="F188">
        <f>ROUND(AVERAGEIFS([1]HOURLY_DATA!I188:I8971,[1]HOURLY_DATA!H188:H8971,Daily_AQI!A188),2)</f>
        <v>0.67</v>
      </c>
      <c r="G188">
        <f>ROUND(AVERAGEIFS([1]HOURLY_DATA!J188:J8971,[1]HOURLY_DATA!H188:H8971,Daily_AQI!A188),0)</f>
        <v>24</v>
      </c>
      <c r="H188">
        <f>ROUND(((_xlfn.XLOOKUP(B188,[1]!PM2.5[BLO],[1]!PM2.5[IHI],,-1) - _xlfn.XLOOKUP(B188,[1]!PM2.5[BLO],[1]!PM2.5[ILO],,-1))
/
(_xlfn.XLOOKUP(B188,[1]!PM2.5[BLO],[1]!PM2.5[BHI],,-1) - _xlfn.XLOOKUP(B188,[1]!PM2.5[BLO],[1]!PM2.5[BLO],,-1)))
*
(B188 - _xlfn.XLOOKUP(B188,[1]!PM2.5[BLO],[1]!PM2.5[BLO],,-1))
+
_xlfn.XLOOKUP(B188,[1]!PM2.5[BLO],[1]!PM2.5[ILO],,-1),2)</f>
        <v>30</v>
      </c>
      <c r="I188">
        <f>ROUND(((_xlfn.XLOOKUP(C188,[1]!PM_10[BLO],[1]!PM_10[IHI],,-1) - _xlfn.XLOOKUP(C188,[1]!PM_10[BLO],[1]!PM_10[ILO],,-1))
/
(_xlfn.XLOOKUP(C188,[1]!PM_10[BLO],[1]!PM_10[BHI],,-1) - _xlfn.XLOOKUP(C188,[1]!PM_10[BLO],[1]!PM_10[BLO],,-1)))
*
( C188 - _xlfn.XLOOKUP(C188,[1]!PM_10[BLO],[1]!PM_10[BLO],,-1))
+
_xlfn.XLOOKUP(C188,[1]!PM_10[BLO],[1]!PM_10[ILO],,-1),2)</f>
        <v>46</v>
      </c>
      <c r="J188">
        <f>ROUND((( _xlfn.XLOOKUP(D188,[1]!NO_2[BLO],[1]!NO_2[IHI],,-1) - _xlfn.XLOOKUP(D188,[1]!NO_2[BLO],[1]!NO_2[ILO],,-1))
/
( _xlfn.XLOOKUP(D188,[1]!NO_2[BLO],[1]!NO_2[BHI],,-1) - _xlfn.XLOOKUP(D188,[1]!NO_2[BLO],[1]!NO_2[BLO],,-1) ))
*
( D188 - _xlfn.XLOOKUP(D188,[1]!NO_2[BLO],[1]!NO_2[BLO],,-1))
+
_xlfn.XLOOKUP(D188,[1]!NO_2[BLO],[1]!NO_2[ILO],,-1),2)</f>
        <v>20</v>
      </c>
      <c r="K188">
        <f>ROUND(( ( _xlfn.XLOOKUP(E188,[1]!SO_2[BLO],[1]!SO_2[IHI],,-1)  - _xlfn.XLOOKUP(E188,[1]!SO_2[BLO],[1]!SO_2[ILO],,-1) )
/
( _xlfn.XLOOKUP(E188,[1]!SO_2[BLO],[1]!SO_2[BHI],,-1)- _xlfn.XLOOKUP(E188,[1]!SO_2[BLO],[1]!SO_2[BLO],,-1) ))
*
( E188 - _xlfn.XLOOKUP(E188,[1]!SO_2[BLO],[1]!SO_2[BLO],,-1) )
+
_xlfn.XLOOKUP(E188,[1]!SO_2[BLO],[1]!SO_2[ILO],,-1),2)</f>
        <v>11.25</v>
      </c>
      <c r="L188">
        <f>( ( _xlfn.XLOOKUP(F188,[1]!CO[BLO],[1]!CO[IHI],,-1)
- _xlfn.XLOOKUP(F188,[1]!CO[BLO],[1]!CO[ILO],,-1) )
/
( _xlfn.XLOOKUP(F188,[1]!CO[BLO],[1]!CO[BHI],,-1) - _xlfn.XLOOKUP(F188,[1]!CO[BLO],[1]!CO[BLO],,-1)))
*
( F188 - _xlfn.XLOOKUP(F188,[1]!CO[BLO],[1]!CO[BLO],,-1) )
+
_xlfn.XLOOKUP(F188,[1]!CO[BLO],[1]!CO[ILO],,-1)</f>
        <v>33.5</v>
      </c>
      <c r="M188">
        <f>(( _xlfn.XLOOKUP(G188,[1]!O_3[BLO],[1]!O_3[IHI],,-1) - _xlfn.XLOOKUP(G188,[1]!O_3[BLO],[1]!O_3[ILO],,-1))
/
( _xlfn.XLOOKUP(G188,[1]!O_3[BLO],[1]!O_3[BHI],,-1) - _xlfn.XLOOKUP(G188,[1]!O_3[BLO],[1]!O_3[BLO],,-1)))
*
( G188 - _xlfn.XLOOKUP(G188,[1]!O_3[BLO],[1]!O_3[BLO],,-1))
+
_xlfn.XLOOKUP(G188,[1]!O_3[BLO],[1]!O_3[ILO],,-1)</f>
        <v>24</v>
      </c>
      <c r="N188">
        <f>MAX(DAILY_DATA[[#This Row],[AQI_PM2.5]:[AQI_O3]])</f>
        <v>46</v>
      </c>
      <c r="O188" t="str">
        <f>_xlfn.XLOOKUP(DAILY_DATA[[#This Row],[OVERALL_AQI]],[1]!CATEGORY[AQI_LO],[1]!CATEGORY[CATEGORY],,-1)</f>
        <v>Good</v>
      </c>
      <c r="P188" t="str" cm="1">
        <f t="array" ref="P188">INDEX(
{"PM2.5","PM10","NO2","SO2","CO","O3"},
MATCH(N188,H188:M188,0)
)</f>
        <v>PM10</v>
      </c>
    </row>
    <row r="189" spans="1:16" x14ac:dyDescent="0.25">
      <c r="A189" s="4">
        <v>45479</v>
      </c>
      <c r="B189">
        <f>ROUND(AVERAGEIFS([1]HOURLY_DATA!B189:B8972,[1]HOURLY_DATA!H189:H8972,Daily_AQI!A189),0)</f>
        <v>21</v>
      </c>
      <c r="C189">
        <f>ROUND(AVERAGEIFS([1]HOURLY_DATA!C189:C8972,[1]HOURLY_DATA!H189:H8972,Daily_AQI!A189),0)</f>
        <v>55</v>
      </c>
      <c r="D189">
        <f>ROUND(AVERAGEIFS([1]HOURLY_DATA!D189:D8972,[1]HOURLY_DATA!H189:H8972,Daily_AQI!A189),0)</f>
        <v>18</v>
      </c>
      <c r="E189">
        <f>ROUND(AVERAGEIFS([1]HOURLY_DATA!E189:E8972,[1]HOURLY_DATA!H189:H8972,Daily_AQI!A189),0)</f>
        <v>9</v>
      </c>
      <c r="F189">
        <f>ROUND(AVERAGEIFS([1]HOURLY_DATA!I189:I8972,[1]HOURLY_DATA!H189:H8972,Daily_AQI!A189),2)</f>
        <v>0.69</v>
      </c>
      <c r="G189">
        <f>ROUND(AVERAGEIFS([1]HOURLY_DATA!J189:J8972,[1]HOURLY_DATA!H189:H8972,Daily_AQI!A189),0)</f>
        <v>22</v>
      </c>
      <c r="H189">
        <f>ROUND(((_xlfn.XLOOKUP(B189,[1]!PM2.5[BLO],[1]!PM2.5[IHI],,-1) - _xlfn.XLOOKUP(B189,[1]!PM2.5[BLO],[1]!PM2.5[ILO],,-1))
/
(_xlfn.XLOOKUP(B189,[1]!PM2.5[BLO],[1]!PM2.5[BHI],,-1) - _xlfn.XLOOKUP(B189,[1]!PM2.5[BLO],[1]!PM2.5[BLO],,-1)))
*
(B189 - _xlfn.XLOOKUP(B189,[1]!PM2.5[BLO],[1]!PM2.5[BLO],,-1))
+
_xlfn.XLOOKUP(B189,[1]!PM2.5[BLO],[1]!PM2.5[ILO],,-1),2)</f>
        <v>35</v>
      </c>
      <c r="I189">
        <f>ROUND(((_xlfn.XLOOKUP(C189,[1]!PM_10[BLO],[1]!PM_10[IHI],,-1) - _xlfn.XLOOKUP(C189,[1]!PM_10[BLO],[1]!PM_10[ILO],,-1))
/
(_xlfn.XLOOKUP(C189,[1]!PM_10[BLO],[1]!PM_10[BHI],,-1) - _xlfn.XLOOKUP(C189,[1]!PM_10[BLO],[1]!PM_10[BLO],,-1)))
*
( C189 - _xlfn.XLOOKUP(C189,[1]!PM_10[BLO],[1]!PM_10[BLO],,-1))
+
_xlfn.XLOOKUP(C189,[1]!PM_10[BLO],[1]!PM_10[ILO],,-1),2)</f>
        <v>55</v>
      </c>
      <c r="J189">
        <f>ROUND((( _xlfn.XLOOKUP(D189,[1]!NO_2[BLO],[1]!NO_2[IHI],,-1) - _xlfn.XLOOKUP(D189,[1]!NO_2[BLO],[1]!NO_2[ILO],,-1))
/
( _xlfn.XLOOKUP(D189,[1]!NO_2[BLO],[1]!NO_2[BHI],,-1) - _xlfn.XLOOKUP(D189,[1]!NO_2[BLO],[1]!NO_2[BLO],,-1) ))
*
( D189 - _xlfn.XLOOKUP(D189,[1]!NO_2[BLO],[1]!NO_2[BLO],,-1))
+
_xlfn.XLOOKUP(D189,[1]!NO_2[BLO],[1]!NO_2[ILO],,-1),2)</f>
        <v>22.5</v>
      </c>
      <c r="K189">
        <f>ROUND(( ( _xlfn.XLOOKUP(E189,[1]!SO_2[BLO],[1]!SO_2[IHI],,-1)  - _xlfn.XLOOKUP(E189,[1]!SO_2[BLO],[1]!SO_2[ILO],,-1) )
/
( _xlfn.XLOOKUP(E189,[1]!SO_2[BLO],[1]!SO_2[BHI],,-1)- _xlfn.XLOOKUP(E189,[1]!SO_2[BLO],[1]!SO_2[BLO],,-1) ))
*
( E189 - _xlfn.XLOOKUP(E189,[1]!SO_2[BLO],[1]!SO_2[BLO],,-1) )
+
_xlfn.XLOOKUP(E189,[1]!SO_2[BLO],[1]!SO_2[ILO],,-1),2)</f>
        <v>11.25</v>
      </c>
      <c r="L189">
        <f>( ( _xlfn.XLOOKUP(F189,[1]!CO[BLO],[1]!CO[IHI],,-1)
- _xlfn.XLOOKUP(F189,[1]!CO[BLO],[1]!CO[ILO],,-1) )
/
( _xlfn.XLOOKUP(F189,[1]!CO[BLO],[1]!CO[BHI],,-1) - _xlfn.XLOOKUP(F189,[1]!CO[BLO],[1]!CO[BLO],,-1)))
*
( F189 - _xlfn.XLOOKUP(F189,[1]!CO[BLO],[1]!CO[BLO],,-1) )
+
_xlfn.XLOOKUP(F189,[1]!CO[BLO],[1]!CO[ILO],,-1)</f>
        <v>34.5</v>
      </c>
      <c r="M189">
        <f>(( _xlfn.XLOOKUP(G189,[1]!O_3[BLO],[1]!O_3[IHI],,-1) - _xlfn.XLOOKUP(G189,[1]!O_3[BLO],[1]!O_3[ILO],,-1))
/
( _xlfn.XLOOKUP(G189,[1]!O_3[BLO],[1]!O_3[BHI],,-1) - _xlfn.XLOOKUP(G189,[1]!O_3[BLO],[1]!O_3[BLO],,-1)))
*
( G189 - _xlfn.XLOOKUP(G189,[1]!O_3[BLO],[1]!O_3[BLO],,-1))
+
_xlfn.XLOOKUP(G189,[1]!O_3[BLO],[1]!O_3[ILO],,-1)</f>
        <v>22</v>
      </c>
      <c r="N189">
        <f>MAX(DAILY_DATA[[#This Row],[AQI_PM2.5]:[AQI_O3]])</f>
        <v>55</v>
      </c>
      <c r="O189" t="str">
        <f>_xlfn.XLOOKUP(DAILY_DATA[[#This Row],[OVERALL_AQI]],[1]!CATEGORY[AQI_LO],[1]!CATEGORY[CATEGORY],,-1)</f>
        <v>Satisfactory</v>
      </c>
      <c r="P189" t="str" cm="1">
        <f t="array" ref="P189">INDEX(
{"PM2.5","PM10","NO2","SO2","CO","O3"},
MATCH(N189,H189:M189,0)
)</f>
        <v>PM10</v>
      </c>
    </row>
    <row r="190" spans="1:16" x14ac:dyDescent="0.25">
      <c r="A190" s="4">
        <v>45480</v>
      </c>
      <c r="B190">
        <f>ROUND(AVERAGEIFS([1]HOURLY_DATA!B190:B8973,[1]HOURLY_DATA!H190:H8973,Daily_AQI!A190),0)</f>
        <v>18</v>
      </c>
      <c r="C190">
        <f>ROUND(AVERAGEIFS([1]HOURLY_DATA!C190:C8973,[1]HOURLY_DATA!H190:H8973,Daily_AQI!A190),0)</f>
        <v>46</v>
      </c>
      <c r="D190">
        <f>ROUND(AVERAGEIFS([1]HOURLY_DATA!D190:D8973,[1]HOURLY_DATA!H190:H8973,Daily_AQI!A190),0)</f>
        <v>17</v>
      </c>
      <c r="E190">
        <f>ROUND(AVERAGEIFS([1]HOURLY_DATA!E190:E8973,[1]HOURLY_DATA!H190:H8973,Daily_AQI!A190),0)</f>
        <v>9</v>
      </c>
      <c r="F190">
        <f>ROUND(AVERAGEIFS([1]HOURLY_DATA!I190:I8973,[1]HOURLY_DATA!H190:H8973,Daily_AQI!A190),2)</f>
        <v>0.61</v>
      </c>
      <c r="G190">
        <f>ROUND(AVERAGEIFS([1]HOURLY_DATA!J190:J8973,[1]HOURLY_DATA!H190:H8973,Daily_AQI!A190),0)</f>
        <v>24</v>
      </c>
      <c r="H190">
        <f>ROUND(((_xlfn.XLOOKUP(B190,[1]!PM2.5[BLO],[1]!PM2.5[IHI],,-1) - _xlfn.XLOOKUP(B190,[1]!PM2.5[BLO],[1]!PM2.5[ILO],,-1))
/
(_xlfn.XLOOKUP(B190,[1]!PM2.5[BLO],[1]!PM2.5[BHI],,-1) - _xlfn.XLOOKUP(B190,[1]!PM2.5[BLO],[1]!PM2.5[BLO],,-1)))
*
(B190 - _xlfn.XLOOKUP(B190,[1]!PM2.5[BLO],[1]!PM2.5[BLO],,-1))
+
_xlfn.XLOOKUP(B190,[1]!PM2.5[BLO],[1]!PM2.5[ILO],,-1),2)</f>
        <v>30</v>
      </c>
      <c r="I190">
        <f>ROUND(((_xlfn.XLOOKUP(C190,[1]!PM_10[BLO],[1]!PM_10[IHI],,-1) - _xlfn.XLOOKUP(C190,[1]!PM_10[BLO],[1]!PM_10[ILO],,-1))
/
(_xlfn.XLOOKUP(C190,[1]!PM_10[BLO],[1]!PM_10[BHI],,-1) - _xlfn.XLOOKUP(C190,[1]!PM_10[BLO],[1]!PM_10[BLO],,-1)))
*
( C190 - _xlfn.XLOOKUP(C190,[1]!PM_10[BLO],[1]!PM_10[BLO],,-1))
+
_xlfn.XLOOKUP(C190,[1]!PM_10[BLO],[1]!PM_10[ILO],,-1),2)</f>
        <v>46</v>
      </c>
      <c r="J190">
        <f>ROUND((( _xlfn.XLOOKUP(D190,[1]!NO_2[BLO],[1]!NO_2[IHI],,-1) - _xlfn.XLOOKUP(D190,[1]!NO_2[BLO],[1]!NO_2[ILO],,-1))
/
( _xlfn.XLOOKUP(D190,[1]!NO_2[BLO],[1]!NO_2[BHI],,-1) - _xlfn.XLOOKUP(D190,[1]!NO_2[BLO],[1]!NO_2[BLO],,-1) ))
*
( D190 - _xlfn.XLOOKUP(D190,[1]!NO_2[BLO],[1]!NO_2[BLO],,-1))
+
_xlfn.XLOOKUP(D190,[1]!NO_2[BLO],[1]!NO_2[ILO],,-1),2)</f>
        <v>21.25</v>
      </c>
      <c r="K190">
        <f>ROUND(( ( _xlfn.XLOOKUP(E190,[1]!SO_2[BLO],[1]!SO_2[IHI],,-1)  - _xlfn.XLOOKUP(E190,[1]!SO_2[BLO],[1]!SO_2[ILO],,-1) )
/
( _xlfn.XLOOKUP(E190,[1]!SO_2[BLO],[1]!SO_2[BHI],,-1)- _xlfn.XLOOKUP(E190,[1]!SO_2[BLO],[1]!SO_2[BLO],,-1) ))
*
( E190 - _xlfn.XLOOKUP(E190,[1]!SO_2[BLO],[1]!SO_2[BLO],,-1) )
+
_xlfn.XLOOKUP(E190,[1]!SO_2[BLO],[1]!SO_2[ILO],,-1),2)</f>
        <v>11.25</v>
      </c>
      <c r="L190">
        <f>( ( _xlfn.XLOOKUP(F190,[1]!CO[BLO],[1]!CO[IHI],,-1)
- _xlfn.XLOOKUP(F190,[1]!CO[BLO],[1]!CO[ILO],,-1) )
/
( _xlfn.XLOOKUP(F190,[1]!CO[BLO],[1]!CO[BHI],,-1) - _xlfn.XLOOKUP(F190,[1]!CO[BLO],[1]!CO[BLO],,-1)))
*
( F190 - _xlfn.XLOOKUP(F190,[1]!CO[BLO],[1]!CO[BLO],,-1) )
+
_xlfn.XLOOKUP(F190,[1]!CO[BLO],[1]!CO[ILO],,-1)</f>
        <v>30.5</v>
      </c>
      <c r="M190">
        <f>(( _xlfn.XLOOKUP(G190,[1]!O_3[BLO],[1]!O_3[IHI],,-1) - _xlfn.XLOOKUP(G190,[1]!O_3[BLO],[1]!O_3[ILO],,-1))
/
( _xlfn.XLOOKUP(G190,[1]!O_3[BLO],[1]!O_3[BHI],,-1) - _xlfn.XLOOKUP(G190,[1]!O_3[BLO],[1]!O_3[BLO],,-1)))
*
( G190 - _xlfn.XLOOKUP(G190,[1]!O_3[BLO],[1]!O_3[BLO],,-1))
+
_xlfn.XLOOKUP(G190,[1]!O_3[BLO],[1]!O_3[ILO],,-1)</f>
        <v>24</v>
      </c>
      <c r="N190">
        <f>MAX(DAILY_DATA[[#This Row],[AQI_PM2.5]:[AQI_O3]])</f>
        <v>46</v>
      </c>
      <c r="O190" t="str">
        <f>_xlfn.XLOOKUP(DAILY_DATA[[#This Row],[OVERALL_AQI]],[1]!CATEGORY[AQI_LO],[1]!CATEGORY[CATEGORY],,-1)</f>
        <v>Good</v>
      </c>
      <c r="P190" t="str" cm="1">
        <f t="array" ref="P190">INDEX(
{"PM2.5","PM10","NO2","SO2","CO","O3"},
MATCH(N190,H190:M190,0)
)</f>
        <v>PM10</v>
      </c>
    </row>
    <row r="191" spans="1:16" x14ac:dyDescent="0.25">
      <c r="A191" s="4">
        <v>45481</v>
      </c>
      <c r="B191">
        <f>ROUND(AVERAGEIFS([1]HOURLY_DATA!B191:B8974,[1]HOURLY_DATA!H191:H8974,Daily_AQI!A191),0)</f>
        <v>18</v>
      </c>
      <c r="C191">
        <f>ROUND(AVERAGEIFS([1]HOURLY_DATA!C191:C8974,[1]HOURLY_DATA!H191:H8974,Daily_AQI!A191),0)</f>
        <v>43</v>
      </c>
      <c r="D191">
        <f>ROUND(AVERAGEIFS([1]HOURLY_DATA!D191:D8974,[1]HOURLY_DATA!H191:H8974,Daily_AQI!A191),0)</f>
        <v>16</v>
      </c>
      <c r="E191">
        <f>ROUND(AVERAGEIFS([1]HOURLY_DATA!E191:E8974,[1]HOURLY_DATA!H191:H8974,Daily_AQI!A191),0)</f>
        <v>9</v>
      </c>
      <c r="F191">
        <f>ROUND(AVERAGEIFS([1]HOURLY_DATA!I191:I8974,[1]HOURLY_DATA!H191:H8974,Daily_AQI!A191),2)</f>
        <v>0.63</v>
      </c>
      <c r="G191">
        <f>ROUND(AVERAGEIFS([1]HOURLY_DATA!J191:J8974,[1]HOURLY_DATA!H191:H8974,Daily_AQI!A191),0)</f>
        <v>26</v>
      </c>
      <c r="H191">
        <f>ROUND(((_xlfn.XLOOKUP(B191,[1]!PM2.5[BLO],[1]!PM2.5[IHI],,-1) - _xlfn.XLOOKUP(B191,[1]!PM2.5[BLO],[1]!PM2.5[ILO],,-1))
/
(_xlfn.XLOOKUP(B191,[1]!PM2.5[BLO],[1]!PM2.5[BHI],,-1) - _xlfn.XLOOKUP(B191,[1]!PM2.5[BLO],[1]!PM2.5[BLO],,-1)))
*
(B191 - _xlfn.XLOOKUP(B191,[1]!PM2.5[BLO],[1]!PM2.5[BLO],,-1))
+
_xlfn.XLOOKUP(B191,[1]!PM2.5[BLO],[1]!PM2.5[ILO],,-1),2)</f>
        <v>30</v>
      </c>
      <c r="I191">
        <f>ROUND(((_xlfn.XLOOKUP(C191,[1]!PM_10[BLO],[1]!PM_10[IHI],,-1) - _xlfn.XLOOKUP(C191,[1]!PM_10[BLO],[1]!PM_10[ILO],,-1))
/
(_xlfn.XLOOKUP(C191,[1]!PM_10[BLO],[1]!PM_10[BHI],,-1) - _xlfn.XLOOKUP(C191,[1]!PM_10[BLO],[1]!PM_10[BLO],,-1)))
*
( C191 - _xlfn.XLOOKUP(C191,[1]!PM_10[BLO],[1]!PM_10[BLO],,-1))
+
_xlfn.XLOOKUP(C191,[1]!PM_10[BLO],[1]!PM_10[ILO],,-1),2)</f>
        <v>43</v>
      </c>
      <c r="J191">
        <f>ROUND((( _xlfn.XLOOKUP(D191,[1]!NO_2[BLO],[1]!NO_2[IHI],,-1) - _xlfn.XLOOKUP(D191,[1]!NO_2[BLO],[1]!NO_2[ILO],,-1))
/
( _xlfn.XLOOKUP(D191,[1]!NO_2[BLO],[1]!NO_2[BHI],,-1) - _xlfn.XLOOKUP(D191,[1]!NO_2[BLO],[1]!NO_2[BLO],,-1) ))
*
( D191 - _xlfn.XLOOKUP(D191,[1]!NO_2[BLO],[1]!NO_2[BLO],,-1))
+
_xlfn.XLOOKUP(D191,[1]!NO_2[BLO],[1]!NO_2[ILO],,-1),2)</f>
        <v>20</v>
      </c>
      <c r="K191">
        <f>ROUND(( ( _xlfn.XLOOKUP(E191,[1]!SO_2[BLO],[1]!SO_2[IHI],,-1)  - _xlfn.XLOOKUP(E191,[1]!SO_2[BLO],[1]!SO_2[ILO],,-1) )
/
( _xlfn.XLOOKUP(E191,[1]!SO_2[BLO],[1]!SO_2[BHI],,-1)- _xlfn.XLOOKUP(E191,[1]!SO_2[BLO],[1]!SO_2[BLO],,-1) ))
*
( E191 - _xlfn.XLOOKUP(E191,[1]!SO_2[BLO],[1]!SO_2[BLO],,-1) )
+
_xlfn.XLOOKUP(E191,[1]!SO_2[BLO],[1]!SO_2[ILO],,-1),2)</f>
        <v>11.25</v>
      </c>
      <c r="L191">
        <f>( ( _xlfn.XLOOKUP(F191,[1]!CO[BLO],[1]!CO[IHI],,-1)
- _xlfn.XLOOKUP(F191,[1]!CO[BLO],[1]!CO[ILO],,-1) )
/
( _xlfn.XLOOKUP(F191,[1]!CO[BLO],[1]!CO[BHI],,-1) - _xlfn.XLOOKUP(F191,[1]!CO[BLO],[1]!CO[BLO],,-1)))
*
( F191 - _xlfn.XLOOKUP(F191,[1]!CO[BLO],[1]!CO[BLO],,-1) )
+
_xlfn.XLOOKUP(F191,[1]!CO[BLO],[1]!CO[ILO],,-1)</f>
        <v>31.5</v>
      </c>
      <c r="M191">
        <f>(( _xlfn.XLOOKUP(G191,[1]!O_3[BLO],[1]!O_3[IHI],,-1) - _xlfn.XLOOKUP(G191,[1]!O_3[BLO],[1]!O_3[ILO],,-1))
/
( _xlfn.XLOOKUP(G191,[1]!O_3[BLO],[1]!O_3[BHI],,-1) - _xlfn.XLOOKUP(G191,[1]!O_3[BLO],[1]!O_3[BLO],,-1)))
*
( G191 - _xlfn.XLOOKUP(G191,[1]!O_3[BLO],[1]!O_3[BLO],,-1))
+
_xlfn.XLOOKUP(G191,[1]!O_3[BLO],[1]!O_3[ILO],,-1)</f>
        <v>26</v>
      </c>
      <c r="N191">
        <f>MAX(DAILY_DATA[[#This Row],[AQI_PM2.5]:[AQI_O3]])</f>
        <v>43</v>
      </c>
      <c r="O191" t="str">
        <f>_xlfn.XLOOKUP(DAILY_DATA[[#This Row],[OVERALL_AQI]],[1]!CATEGORY[AQI_LO],[1]!CATEGORY[CATEGORY],,-1)</f>
        <v>Good</v>
      </c>
      <c r="P191" t="str" cm="1">
        <f t="array" ref="P191">INDEX(
{"PM2.5","PM10","NO2","SO2","CO","O3"},
MATCH(N191,H191:M191,0)
)</f>
        <v>PM10</v>
      </c>
    </row>
    <row r="192" spans="1:16" x14ac:dyDescent="0.25">
      <c r="A192" s="4">
        <v>45482</v>
      </c>
      <c r="B192">
        <f>ROUND(AVERAGEIFS([1]HOURLY_DATA!B192:B8975,[1]HOURLY_DATA!H192:H8975,Daily_AQI!A192),0)</f>
        <v>19</v>
      </c>
      <c r="C192">
        <f>ROUND(AVERAGEIFS([1]HOURLY_DATA!C192:C8975,[1]HOURLY_DATA!H192:H8975,Daily_AQI!A192),0)</f>
        <v>46</v>
      </c>
      <c r="D192">
        <f>ROUND(AVERAGEIFS([1]HOURLY_DATA!D192:D8975,[1]HOURLY_DATA!H192:H8975,Daily_AQI!A192),0)</f>
        <v>18</v>
      </c>
      <c r="E192">
        <f>ROUND(AVERAGEIFS([1]HOURLY_DATA!E192:E8975,[1]HOURLY_DATA!H192:H8975,Daily_AQI!A192),0)</f>
        <v>8</v>
      </c>
      <c r="F192">
        <f>ROUND(AVERAGEIFS([1]HOURLY_DATA!I192:I8975,[1]HOURLY_DATA!H192:H8975,Daily_AQI!A192),2)</f>
        <v>0.63</v>
      </c>
      <c r="G192">
        <f>ROUND(AVERAGEIFS([1]HOURLY_DATA!J192:J8975,[1]HOURLY_DATA!H192:H8975,Daily_AQI!A192),0)</f>
        <v>27</v>
      </c>
      <c r="H192">
        <f>ROUND(((_xlfn.XLOOKUP(B192,[1]!PM2.5[BLO],[1]!PM2.5[IHI],,-1) - _xlfn.XLOOKUP(B192,[1]!PM2.5[BLO],[1]!PM2.5[ILO],,-1))
/
(_xlfn.XLOOKUP(B192,[1]!PM2.5[BLO],[1]!PM2.5[BHI],,-1) - _xlfn.XLOOKUP(B192,[1]!PM2.5[BLO],[1]!PM2.5[BLO],,-1)))
*
(B192 - _xlfn.XLOOKUP(B192,[1]!PM2.5[BLO],[1]!PM2.5[BLO],,-1))
+
_xlfn.XLOOKUP(B192,[1]!PM2.5[BLO],[1]!PM2.5[ILO],,-1),2)</f>
        <v>31.67</v>
      </c>
      <c r="I192">
        <f>ROUND(((_xlfn.XLOOKUP(C192,[1]!PM_10[BLO],[1]!PM_10[IHI],,-1) - _xlfn.XLOOKUP(C192,[1]!PM_10[BLO],[1]!PM_10[ILO],,-1))
/
(_xlfn.XLOOKUP(C192,[1]!PM_10[BLO],[1]!PM_10[BHI],,-1) - _xlfn.XLOOKUP(C192,[1]!PM_10[BLO],[1]!PM_10[BLO],,-1)))
*
( C192 - _xlfn.XLOOKUP(C192,[1]!PM_10[BLO],[1]!PM_10[BLO],,-1))
+
_xlfn.XLOOKUP(C192,[1]!PM_10[BLO],[1]!PM_10[ILO],,-1),2)</f>
        <v>46</v>
      </c>
      <c r="J192">
        <f>ROUND((( _xlfn.XLOOKUP(D192,[1]!NO_2[BLO],[1]!NO_2[IHI],,-1) - _xlfn.XLOOKUP(D192,[1]!NO_2[BLO],[1]!NO_2[ILO],,-1))
/
( _xlfn.XLOOKUP(D192,[1]!NO_2[BLO],[1]!NO_2[BHI],,-1) - _xlfn.XLOOKUP(D192,[1]!NO_2[BLO],[1]!NO_2[BLO],,-1) ))
*
( D192 - _xlfn.XLOOKUP(D192,[1]!NO_2[BLO],[1]!NO_2[BLO],,-1))
+
_xlfn.XLOOKUP(D192,[1]!NO_2[BLO],[1]!NO_2[ILO],,-1),2)</f>
        <v>22.5</v>
      </c>
      <c r="K192">
        <f>ROUND(( ( _xlfn.XLOOKUP(E192,[1]!SO_2[BLO],[1]!SO_2[IHI],,-1)  - _xlfn.XLOOKUP(E192,[1]!SO_2[BLO],[1]!SO_2[ILO],,-1) )
/
( _xlfn.XLOOKUP(E192,[1]!SO_2[BLO],[1]!SO_2[BHI],,-1)- _xlfn.XLOOKUP(E192,[1]!SO_2[BLO],[1]!SO_2[BLO],,-1) ))
*
( E192 - _xlfn.XLOOKUP(E192,[1]!SO_2[BLO],[1]!SO_2[BLO],,-1) )
+
_xlfn.XLOOKUP(E192,[1]!SO_2[BLO],[1]!SO_2[ILO],,-1),2)</f>
        <v>10</v>
      </c>
      <c r="L192">
        <f>( ( _xlfn.XLOOKUP(F192,[1]!CO[BLO],[1]!CO[IHI],,-1)
- _xlfn.XLOOKUP(F192,[1]!CO[BLO],[1]!CO[ILO],,-1) )
/
( _xlfn.XLOOKUP(F192,[1]!CO[BLO],[1]!CO[BHI],,-1) - _xlfn.XLOOKUP(F192,[1]!CO[BLO],[1]!CO[BLO],,-1)))
*
( F192 - _xlfn.XLOOKUP(F192,[1]!CO[BLO],[1]!CO[BLO],,-1) )
+
_xlfn.XLOOKUP(F192,[1]!CO[BLO],[1]!CO[ILO],,-1)</f>
        <v>31.5</v>
      </c>
      <c r="M192">
        <f>(( _xlfn.XLOOKUP(G192,[1]!O_3[BLO],[1]!O_3[IHI],,-1) - _xlfn.XLOOKUP(G192,[1]!O_3[BLO],[1]!O_3[ILO],,-1))
/
( _xlfn.XLOOKUP(G192,[1]!O_3[BLO],[1]!O_3[BHI],,-1) - _xlfn.XLOOKUP(G192,[1]!O_3[BLO],[1]!O_3[BLO],,-1)))
*
( G192 - _xlfn.XLOOKUP(G192,[1]!O_3[BLO],[1]!O_3[BLO],,-1))
+
_xlfn.XLOOKUP(G192,[1]!O_3[BLO],[1]!O_3[ILO],,-1)</f>
        <v>27</v>
      </c>
      <c r="N192">
        <f>MAX(DAILY_DATA[[#This Row],[AQI_PM2.5]:[AQI_O3]])</f>
        <v>46</v>
      </c>
      <c r="O192" t="str">
        <f>_xlfn.XLOOKUP(DAILY_DATA[[#This Row],[OVERALL_AQI]],[1]!CATEGORY[AQI_LO],[1]!CATEGORY[CATEGORY],,-1)</f>
        <v>Good</v>
      </c>
      <c r="P192" t="str" cm="1">
        <f t="array" ref="P192">INDEX(
{"PM2.5","PM10","NO2","SO2","CO","O3"},
MATCH(N192,H192:M192,0)
)</f>
        <v>PM10</v>
      </c>
    </row>
    <row r="193" spans="1:16" x14ac:dyDescent="0.25">
      <c r="A193" s="4">
        <v>45483</v>
      </c>
      <c r="B193">
        <f>ROUND(AVERAGEIFS([1]HOURLY_DATA!B193:B8976,[1]HOURLY_DATA!H193:H8976,Daily_AQI!A193),0)</f>
        <v>19</v>
      </c>
      <c r="C193">
        <f>ROUND(AVERAGEIFS([1]HOURLY_DATA!C193:C8976,[1]HOURLY_DATA!H193:H8976,Daily_AQI!A193),0)</f>
        <v>50</v>
      </c>
      <c r="D193">
        <f>ROUND(AVERAGEIFS([1]HOURLY_DATA!D193:D8976,[1]HOURLY_DATA!H193:H8976,Daily_AQI!A193),0)</f>
        <v>18</v>
      </c>
      <c r="E193">
        <f>ROUND(AVERAGEIFS([1]HOURLY_DATA!E193:E8976,[1]HOURLY_DATA!H193:H8976,Daily_AQI!A193),0)</f>
        <v>9</v>
      </c>
      <c r="F193">
        <f>ROUND(AVERAGEIFS([1]HOURLY_DATA!I193:I8976,[1]HOURLY_DATA!H193:H8976,Daily_AQI!A193),2)</f>
        <v>0.63</v>
      </c>
      <c r="G193">
        <f>ROUND(AVERAGEIFS([1]HOURLY_DATA!J193:J8976,[1]HOURLY_DATA!H193:H8976,Daily_AQI!A193),0)</f>
        <v>27</v>
      </c>
      <c r="H193">
        <f>ROUND(((_xlfn.XLOOKUP(B193,[1]!PM2.5[BLO],[1]!PM2.5[IHI],,-1) - _xlfn.XLOOKUP(B193,[1]!PM2.5[BLO],[1]!PM2.5[ILO],,-1))
/
(_xlfn.XLOOKUP(B193,[1]!PM2.5[BLO],[1]!PM2.5[BHI],,-1) - _xlfn.XLOOKUP(B193,[1]!PM2.5[BLO],[1]!PM2.5[BLO],,-1)))
*
(B193 - _xlfn.XLOOKUP(B193,[1]!PM2.5[BLO],[1]!PM2.5[BLO],,-1))
+
_xlfn.XLOOKUP(B193,[1]!PM2.5[BLO],[1]!PM2.5[ILO],,-1),2)</f>
        <v>31.67</v>
      </c>
      <c r="I193">
        <f>ROUND(((_xlfn.XLOOKUP(C193,[1]!PM_10[BLO],[1]!PM_10[IHI],,-1) - _xlfn.XLOOKUP(C193,[1]!PM_10[BLO],[1]!PM_10[ILO],,-1))
/
(_xlfn.XLOOKUP(C193,[1]!PM_10[BLO],[1]!PM_10[BHI],,-1) - _xlfn.XLOOKUP(C193,[1]!PM_10[BLO],[1]!PM_10[BLO],,-1)))
*
( C193 - _xlfn.XLOOKUP(C193,[1]!PM_10[BLO],[1]!PM_10[BLO],,-1))
+
_xlfn.XLOOKUP(C193,[1]!PM_10[BLO],[1]!PM_10[ILO],,-1),2)</f>
        <v>50</v>
      </c>
      <c r="J193">
        <f>ROUND((( _xlfn.XLOOKUP(D193,[1]!NO_2[BLO],[1]!NO_2[IHI],,-1) - _xlfn.XLOOKUP(D193,[1]!NO_2[BLO],[1]!NO_2[ILO],,-1))
/
( _xlfn.XLOOKUP(D193,[1]!NO_2[BLO],[1]!NO_2[BHI],,-1) - _xlfn.XLOOKUP(D193,[1]!NO_2[BLO],[1]!NO_2[BLO],,-1) ))
*
( D193 - _xlfn.XLOOKUP(D193,[1]!NO_2[BLO],[1]!NO_2[BLO],,-1))
+
_xlfn.XLOOKUP(D193,[1]!NO_2[BLO],[1]!NO_2[ILO],,-1),2)</f>
        <v>22.5</v>
      </c>
      <c r="K193">
        <f>ROUND(( ( _xlfn.XLOOKUP(E193,[1]!SO_2[BLO],[1]!SO_2[IHI],,-1)  - _xlfn.XLOOKUP(E193,[1]!SO_2[BLO],[1]!SO_2[ILO],,-1) )
/
( _xlfn.XLOOKUP(E193,[1]!SO_2[BLO],[1]!SO_2[BHI],,-1)- _xlfn.XLOOKUP(E193,[1]!SO_2[BLO],[1]!SO_2[BLO],,-1) ))
*
( E193 - _xlfn.XLOOKUP(E193,[1]!SO_2[BLO],[1]!SO_2[BLO],,-1) )
+
_xlfn.XLOOKUP(E193,[1]!SO_2[BLO],[1]!SO_2[ILO],,-1),2)</f>
        <v>11.25</v>
      </c>
      <c r="L193">
        <f>( ( _xlfn.XLOOKUP(F193,[1]!CO[BLO],[1]!CO[IHI],,-1)
- _xlfn.XLOOKUP(F193,[1]!CO[BLO],[1]!CO[ILO],,-1) )
/
( _xlfn.XLOOKUP(F193,[1]!CO[BLO],[1]!CO[BHI],,-1) - _xlfn.XLOOKUP(F193,[1]!CO[BLO],[1]!CO[BLO],,-1)))
*
( F193 - _xlfn.XLOOKUP(F193,[1]!CO[BLO],[1]!CO[BLO],,-1) )
+
_xlfn.XLOOKUP(F193,[1]!CO[BLO],[1]!CO[ILO],,-1)</f>
        <v>31.5</v>
      </c>
      <c r="M193">
        <f>(( _xlfn.XLOOKUP(G193,[1]!O_3[BLO],[1]!O_3[IHI],,-1) - _xlfn.XLOOKUP(G193,[1]!O_3[BLO],[1]!O_3[ILO],,-1))
/
( _xlfn.XLOOKUP(G193,[1]!O_3[BLO],[1]!O_3[BHI],,-1) - _xlfn.XLOOKUP(G193,[1]!O_3[BLO],[1]!O_3[BLO],,-1)))
*
( G193 - _xlfn.XLOOKUP(G193,[1]!O_3[BLO],[1]!O_3[BLO],,-1))
+
_xlfn.XLOOKUP(G193,[1]!O_3[BLO],[1]!O_3[ILO],,-1)</f>
        <v>27</v>
      </c>
      <c r="N193">
        <f>MAX(DAILY_DATA[[#This Row],[AQI_PM2.5]:[AQI_O3]])</f>
        <v>50</v>
      </c>
      <c r="O193" t="str">
        <f>_xlfn.XLOOKUP(DAILY_DATA[[#This Row],[OVERALL_AQI]],[1]!CATEGORY[AQI_LO],[1]!CATEGORY[CATEGORY],,-1)</f>
        <v>Good</v>
      </c>
      <c r="P193" t="str" cm="1">
        <f t="array" ref="P193">INDEX(
{"PM2.5","PM10","NO2","SO2","CO","O3"},
MATCH(N193,H193:M193,0)
)</f>
        <v>PM10</v>
      </c>
    </row>
    <row r="194" spans="1:16" x14ac:dyDescent="0.25">
      <c r="A194" s="4">
        <v>45484</v>
      </c>
      <c r="B194">
        <f>ROUND(AVERAGEIFS([1]HOURLY_DATA!B194:B8977,[1]HOURLY_DATA!H194:H8977,Daily_AQI!A194),0)</f>
        <v>19</v>
      </c>
      <c r="C194">
        <f>ROUND(AVERAGEIFS([1]HOURLY_DATA!C194:C8977,[1]HOURLY_DATA!H194:H8977,Daily_AQI!A194),0)</f>
        <v>51</v>
      </c>
      <c r="D194">
        <f>ROUND(AVERAGEIFS([1]HOURLY_DATA!D194:D8977,[1]HOURLY_DATA!H194:H8977,Daily_AQI!A194),0)</f>
        <v>18</v>
      </c>
      <c r="E194">
        <f>ROUND(AVERAGEIFS([1]HOURLY_DATA!E194:E8977,[1]HOURLY_DATA!H194:H8977,Daily_AQI!A194),0)</f>
        <v>9</v>
      </c>
      <c r="F194">
        <f>ROUND(AVERAGEIFS([1]HOURLY_DATA!I194:I8977,[1]HOURLY_DATA!H194:H8977,Daily_AQI!A194),2)</f>
        <v>0.63</v>
      </c>
      <c r="G194">
        <f>ROUND(AVERAGEIFS([1]HOURLY_DATA!J194:J8977,[1]HOURLY_DATA!H194:H8977,Daily_AQI!A194),0)</f>
        <v>26</v>
      </c>
      <c r="H194">
        <f>ROUND(((_xlfn.XLOOKUP(B194,[1]!PM2.5[BLO],[1]!PM2.5[IHI],,-1) - _xlfn.XLOOKUP(B194,[1]!PM2.5[BLO],[1]!PM2.5[ILO],,-1))
/
(_xlfn.XLOOKUP(B194,[1]!PM2.5[BLO],[1]!PM2.5[BHI],,-1) - _xlfn.XLOOKUP(B194,[1]!PM2.5[BLO],[1]!PM2.5[BLO],,-1)))
*
(B194 - _xlfn.XLOOKUP(B194,[1]!PM2.5[BLO],[1]!PM2.5[BLO],,-1))
+
_xlfn.XLOOKUP(B194,[1]!PM2.5[BLO],[1]!PM2.5[ILO],,-1),2)</f>
        <v>31.67</v>
      </c>
      <c r="I194">
        <f>ROUND(((_xlfn.XLOOKUP(C194,[1]!PM_10[BLO],[1]!PM_10[IHI],,-1) - _xlfn.XLOOKUP(C194,[1]!PM_10[BLO],[1]!PM_10[ILO],,-1))
/
(_xlfn.XLOOKUP(C194,[1]!PM_10[BLO],[1]!PM_10[BHI],,-1) - _xlfn.XLOOKUP(C194,[1]!PM_10[BLO],[1]!PM_10[BLO],,-1)))
*
( C194 - _xlfn.XLOOKUP(C194,[1]!PM_10[BLO],[1]!PM_10[BLO],,-1))
+
_xlfn.XLOOKUP(C194,[1]!PM_10[BLO],[1]!PM_10[ILO],,-1),2)</f>
        <v>51</v>
      </c>
      <c r="J194">
        <f>ROUND((( _xlfn.XLOOKUP(D194,[1]!NO_2[BLO],[1]!NO_2[IHI],,-1) - _xlfn.XLOOKUP(D194,[1]!NO_2[BLO],[1]!NO_2[ILO],,-1))
/
( _xlfn.XLOOKUP(D194,[1]!NO_2[BLO],[1]!NO_2[BHI],,-1) - _xlfn.XLOOKUP(D194,[1]!NO_2[BLO],[1]!NO_2[BLO],,-1) ))
*
( D194 - _xlfn.XLOOKUP(D194,[1]!NO_2[BLO],[1]!NO_2[BLO],,-1))
+
_xlfn.XLOOKUP(D194,[1]!NO_2[BLO],[1]!NO_2[ILO],,-1),2)</f>
        <v>22.5</v>
      </c>
      <c r="K194">
        <f>ROUND(( ( _xlfn.XLOOKUP(E194,[1]!SO_2[BLO],[1]!SO_2[IHI],,-1)  - _xlfn.XLOOKUP(E194,[1]!SO_2[BLO],[1]!SO_2[ILO],,-1) )
/
( _xlfn.XLOOKUP(E194,[1]!SO_2[BLO],[1]!SO_2[BHI],,-1)- _xlfn.XLOOKUP(E194,[1]!SO_2[BLO],[1]!SO_2[BLO],,-1) ))
*
( E194 - _xlfn.XLOOKUP(E194,[1]!SO_2[BLO],[1]!SO_2[BLO],,-1) )
+
_xlfn.XLOOKUP(E194,[1]!SO_2[BLO],[1]!SO_2[ILO],,-1),2)</f>
        <v>11.25</v>
      </c>
      <c r="L194">
        <f>( ( _xlfn.XLOOKUP(F194,[1]!CO[BLO],[1]!CO[IHI],,-1)
- _xlfn.XLOOKUP(F194,[1]!CO[BLO],[1]!CO[ILO],,-1) )
/
( _xlfn.XLOOKUP(F194,[1]!CO[BLO],[1]!CO[BHI],,-1) - _xlfn.XLOOKUP(F194,[1]!CO[BLO],[1]!CO[BLO],,-1)))
*
( F194 - _xlfn.XLOOKUP(F194,[1]!CO[BLO],[1]!CO[BLO],,-1) )
+
_xlfn.XLOOKUP(F194,[1]!CO[BLO],[1]!CO[ILO],,-1)</f>
        <v>31.5</v>
      </c>
      <c r="M194">
        <f>(( _xlfn.XLOOKUP(G194,[1]!O_3[BLO],[1]!O_3[IHI],,-1) - _xlfn.XLOOKUP(G194,[1]!O_3[BLO],[1]!O_3[ILO],,-1))
/
( _xlfn.XLOOKUP(G194,[1]!O_3[BLO],[1]!O_3[BHI],,-1) - _xlfn.XLOOKUP(G194,[1]!O_3[BLO],[1]!O_3[BLO],,-1)))
*
( G194 - _xlfn.XLOOKUP(G194,[1]!O_3[BLO],[1]!O_3[BLO],,-1))
+
_xlfn.XLOOKUP(G194,[1]!O_3[BLO],[1]!O_3[ILO],,-1)</f>
        <v>26</v>
      </c>
      <c r="N194">
        <f>MAX(DAILY_DATA[[#This Row],[AQI_PM2.5]:[AQI_O3]])</f>
        <v>51</v>
      </c>
      <c r="O194" t="str">
        <f>_xlfn.XLOOKUP(DAILY_DATA[[#This Row],[OVERALL_AQI]],[1]!CATEGORY[AQI_LO],[1]!CATEGORY[CATEGORY],,-1)</f>
        <v>Satisfactory</v>
      </c>
      <c r="P194" t="str" cm="1">
        <f t="array" ref="P194">INDEX(
{"PM2.5","PM10","NO2","SO2","CO","O3"},
MATCH(N194,H194:M194,0)
)</f>
        <v>PM10</v>
      </c>
    </row>
    <row r="195" spans="1:16" x14ac:dyDescent="0.25">
      <c r="A195" s="4">
        <v>45485</v>
      </c>
      <c r="B195">
        <f>ROUND(AVERAGEIFS([1]HOURLY_DATA!B195:B8978,[1]HOURLY_DATA!H195:H8978,Daily_AQI!A195),0)</f>
        <v>19</v>
      </c>
      <c r="C195">
        <f>ROUND(AVERAGEIFS([1]HOURLY_DATA!C195:C8978,[1]HOURLY_DATA!H195:H8978,Daily_AQI!A195),0)</f>
        <v>47</v>
      </c>
      <c r="D195">
        <f>ROUND(AVERAGEIFS([1]HOURLY_DATA!D195:D8978,[1]HOURLY_DATA!H195:H8978,Daily_AQI!A195),0)</f>
        <v>17</v>
      </c>
      <c r="E195">
        <f>ROUND(AVERAGEIFS([1]HOURLY_DATA!E195:E8978,[1]HOURLY_DATA!H195:H8978,Daily_AQI!A195),0)</f>
        <v>9</v>
      </c>
      <c r="F195">
        <f>ROUND(AVERAGEIFS([1]HOURLY_DATA!I195:I8978,[1]HOURLY_DATA!H195:H8978,Daily_AQI!A195),2)</f>
        <v>0.56999999999999995</v>
      </c>
      <c r="G195">
        <f>ROUND(AVERAGEIFS([1]HOURLY_DATA!J195:J8978,[1]HOURLY_DATA!H195:H8978,Daily_AQI!A195),0)</f>
        <v>28</v>
      </c>
      <c r="H195">
        <f>ROUND(((_xlfn.XLOOKUP(B195,[1]!PM2.5[BLO],[1]!PM2.5[IHI],,-1) - _xlfn.XLOOKUP(B195,[1]!PM2.5[BLO],[1]!PM2.5[ILO],,-1))
/
(_xlfn.XLOOKUP(B195,[1]!PM2.5[BLO],[1]!PM2.5[BHI],,-1) - _xlfn.XLOOKUP(B195,[1]!PM2.5[BLO],[1]!PM2.5[BLO],,-1)))
*
(B195 - _xlfn.XLOOKUP(B195,[1]!PM2.5[BLO],[1]!PM2.5[BLO],,-1))
+
_xlfn.XLOOKUP(B195,[1]!PM2.5[BLO],[1]!PM2.5[ILO],,-1),2)</f>
        <v>31.67</v>
      </c>
      <c r="I195">
        <f>ROUND(((_xlfn.XLOOKUP(C195,[1]!PM_10[BLO],[1]!PM_10[IHI],,-1) - _xlfn.XLOOKUP(C195,[1]!PM_10[BLO],[1]!PM_10[ILO],,-1))
/
(_xlfn.XLOOKUP(C195,[1]!PM_10[BLO],[1]!PM_10[BHI],,-1) - _xlfn.XLOOKUP(C195,[1]!PM_10[BLO],[1]!PM_10[BLO],,-1)))
*
( C195 - _xlfn.XLOOKUP(C195,[1]!PM_10[BLO],[1]!PM_10[BLO],,-1))
+
_xlfn.XLOOKUP(C195,[1]!PM_10[BLO],[1]!PM_10[ILO],,-1),2)</f>
        <v>47</v>
      </c>
      <c r="J195">
        <f>ROUND((( _xlfn.XLOOKUP(D195,[1]!NO_2[BLO],[1]!NO_2[IHI],,-1) - _xlfn.XLOOKUP(D195,[1]!NO_2[BLO],[1]!NO_2[ILO],,-1))
/
( _xlfn.XLOOKUP(D195,[1]!NO_2[BLO],[1]!NO_2[BHI],,-1) - _xlfn.XLOOKUP(D195,[1]!NO_2[BLO],[1]!NO_2[BLO],,-1) ))
*
( D195 - _xlfn.XLOOKUP(D195,[1]!NO_2[BLO],[1]!NO_2[BLO],,-1))
+
_xlfn.XLOOKUP(D195,[1]!NO_2[BLO],[1]!NO_2[ILO],,-1),2)</f>
        <v>21.25</v>
      </c>
      <c r="K195">
        <f>ROUND(( ( _xlfn.XLOOKUP(E195,[1]!SO_2[BLO],[1]!SO_2[IHI],,-1)  - _xlfn.XLOOKUP(E195,[1]!SO_2[BLO],[1]!SO_2[ILO],,-1) )
/
( _xlfn.XLOOKUP(E195,[1]!SO_2[BLO],[1]!SO_2[BHI],,-1)- _xlfn.XLOOKUP(E195,[1]!SO_2[BLO],[1]!SO_2[BLO],,-1) ))
*
( E195 - _xlfn.XLOOKUP(E195,[1]!SO_2[BLO],[1]!SO_2[BLO],,-1) )
+
_xlfn.XLOOKUP(E195,[1]!SO_2[BLO],[1]!SO_2[ILO],,-1),2)</f>
        <v>11.25</v>
      </c>
      <c r="L195">
        <f>( ( _xlfn.XLOOKUP(F195,[1]!CO[BLO],[1]!CO[IHI],,-1)
- _xlfn.XLOOKUP(F195,[1]!CO[BLO],[1]!CO[ILO],,-1) )
/
( _xlfn.XLOOKUP(F195,[1]!CO[BLO],[1]!CO[BHI],,-1) - _xlfn.XLOOKUP(F195,[1]!CO[BLO],[1]!CO[BLO],,-1)))
*
( F195 - _xlfn.XLOOKUP(F195,[1]!CO[BLO],[1]!CO[BLO],,-1) )
+
_xlfn.XLOOKUP(F195,[1]!CO[BLO],[1]!CO[ILO],,-1)</f>
        <v>28.499999999999996</v>
      </c>
      <c r="M195">
        <f>(( _xlfn.XLOOKUP(G195,[1]!O_3[BLO],[1]!O_3[IHI],,-1) - _xlfn.XLOOKUP(G195,[1]!O_3[BLO],[1]!O_3[ILO],,-1))
/
( _xlfn.XLOOKUP(G195,[1]!O_3[BLO],[1]!O_3[BHI],,-1) - _xlfn.XLOOKUP(G195,[1]!O_3[BLO],[1]!O_3[BLO],,-1)))
*
( G195 - _xlfn.XLOOKUP(G195,[1]!O_3[BLO],[1]!O_3[BLO],,-1))
+
_xlfn.XLOOKUP(G195,[1]!O_3[BLO],[1]!O_3[ILO],,-1)</f>
        <v>28</v>
      </c>
      <c r="N195">
        <f>MAX(DAILY_DATA[[#This Row],[AQI_PM2.5]:[AQI_O3]])</f>
        <v>47</v>
      </c>
      <c r="O195" t="str">
        <f>_xlfn.XLOOKUP(DAILY_DATA[[#This Row],[OVERALL_AQI]],[1]!CATEGORY[AQI_LO],[1]!CATEGORY[CATEGORY],,-1)</f>
        <v>Good</v>
      </c>
      <c r="P195" t="str" cm="1">
        <f t="array" ref="P195">INDEX(
{"PM2.5","PM10","NO2","SO2","CO","O3"},
MATCH(N195,H195:M195,0)
)</f>
        <v>PM10</v>
      </c>
    </row>
    <row r="196" spans="1:16" x14ac:dyDescent="0.25">
      <c r="A196" s="4">
        <v>45486</v>
      </c>
      <c r="B196">
        <f>ROUND(AVERAGEIFS([1]HOURLY_DATA!B196:B8979,[1]HOURLY_DATA!H196:H8979,Daily_AQI!A196),0)</f>
        <v>15</v>
      </c>
      <c r="C196">
        <f>ROUND(AVERAGEIFS([1]HOURLY_DATA!C196:C8979,[1]HOURLY_DATA!H196:H8979,Daily_AQI!A196),0)</f>
        <v>46</v>
      </c>
      <c r="D196">
        <f>ROUND(AVERAGEIFS([1]HOURLY_DATA!D196:D8979,[1]HOURLY_DATA!H196:H8979,Daily_AQI!A196),0)</f>
        <v>17</v>
      </c>
      <c r="E196">
        <f>ROUND(AVERAGEIFS([1]HOURLY_DATA!E196:E8979,[1]HOURLY_DATA!H196:H8979,Daily_AQI!A196),0)</f>
        <v>9</v>
      </c>
      <c r="F196">
        <f>ROUND(AVERAGEIFS([1]HOURLY_DATA!I196:I8979,[1]HOURLY_DATA!H196:H8979,Daily_AQI!A196),2)</f>
        <v>0.63</v>
      </c>
      <c r="G196">
        <f>ROUND(AVERAGEIFS([1]HOURLY_DATA!J196:J8979,[1]HOURLY_DATA!H196:H8979,Daily_AQI!A196),0)</f>
        <v>28</v>
      </c>
      <c r="H196">
        <f>ROUND(((_xlfn.XLOOKUP(B196,[1]!PM2.5[BLO],[1]!PM2.5[IHI],,-1) - _xlfn.XLOOKUP(B196,[1]!PM2.5[BLO],[1]!PM2.5[ILO],,-1))
/
(_xlfn.XLOOKUP(B196,[1]!PM2.5[BLO],[1]!PM2.5[BHI],,-1) - _xlfn.XLOOKUP(B196,[1]!PM2.5[BLO],[1]!PM2.5[BLO],,-1)))
*
(B196 - _xlfn.XLOOKUP(B196,[1]!PM2.5[BLO],[1]!PM2.5[BLO],,-1))
+
_xlfn.XLOOKUP(B196,[1]!PM2.5[BLO],[1]!PM2.5[ILO],,-1),2)</f>
        <v>25</v>
      </c>
      <c r="I196">
        <f>ROUND(((_xlfn.XLOOKUP(C196,[1]!PM_10[BLO],[1]!PM_10[IHI],,-1) - _xlfn.XLOOKUP(C196,[1]!PM_10[BLO],[1]!PM_10[ILO],,-1))
/
(_xlfn.XLOOKUP(C196,[1]!PM_10[BLO],[1]!PM_10[BHI],,-1) - _xlfn.XLOOKUP(C196,[1]!PM_10[BLO],[1]!PM_10[BLO],,-1)))
*
( C196 - _xlfn.XLOOKUP(C196,[1]!PM_10[BLO],[1]!PM_10[BLO],,-1))
+
_xlfn.XLOOKUP(C196,[1]!PM_10[BLO],[1]!PM_10[ILO],,-1),2)</f>
        <v>46</v>
      </c>
      <c r="J196">
        <f>ROUND((( _xlfn.XLOOKUP(D196,[1]!NO_2[BLO],[1]!NO_2[IHI],,-1) - _xlfn.XLOOKUP(D196,[1]!NO_2[BLO],[1]!NO_2[ILO],,-1))
/
( _xlfn.XLOOKUP(D196,[1]!NO_2[BLO],[1]!NO_2[BHI],,-1) - _xlfn.XLOOKUP(D196,[1]!NO_2[BLO],[1]!NO_2[BLO],,-1) ))
*
( D196 - _xlfn.XLOOKUP(D196,[1]!NO_2[BLO],[1]!NO_2[BLO],,-1))
+
_xlfn.XLOOKUP(D196,[1]!NO_2[BLO],[1]!NO_2[ILO],,-1),2)</f>
        <v>21.25</v>
      </c>
      <c r="K196">
        <f>ROUND(( ( _xlfn.XLOOKUP(E196,[1]!SO_2[BLO],[1]!SO_2[IHI],,-1)  - _xlfn.XLOOKUP(E196,[1]!SO_2[BLO],[1]!SO_2[ILO],,-1) )
/
( _xlfn.XLOOKUP(E196,[1]!SO_2[BLO],[1]!SO_2[BHI],,-1)- _xlfn.XLOOKUP(E196,[1]!SO_2[BLO],[1]!SO_2[BLO],,-1) ))
*
( E196 - _xlfn.XLOOKUP(E196,[1]!SO_2[BLO],[1]!SO_2[BLO],,-1) )
+
_xlfn.XLOOKUP(E196,[1]!SO_2[BLO],[1]!SO_2[ILO],,-1),2)</f>
        <v>11.25</v>
      </c>
      <c r="L196">
        <f>( ( _xlfn.XLOOKUP(F196,[1]!CO[BLO],[1]!CO[IHI],,-1)
- _xlfn.XLOOKUP(F196,[1]!CO[BLO],[1]!CO[ILO],,-1) )
/
( _xlfn.XLOOKUP(F196,[1]!CO[BLO],[1]!CO[BHI],,-1) - _xlfn.XLOOKUP(F196,[1]!CO[BLO],[1]!CO[BLO],,-1)))
*
( F196 - _xlfn.XLOOKUP(F196,[1]!CO[BLO],[1]!CO[BLO],,-1) )
+
_xlfn.XLOOKUP(F196,[1]!CO[BLO],[1]!CO[ILO],,-1)</f>
        <v>31.5</v>
      </c>
      <c r="M196">
        <f>(( _xlfn.XLOOKUP(G196,[1]!O_3[BLO],[1]!O_3[IHI],,-1) - _xlfn.XLOOKUP(G196,[1]!O_3[BLO],[1]!O_3[ILO],,-1))
/
( _xlfn.XLOOKUP(G196,[1]!O_3[BLO],[1]!O_3[BHI],,-1) - _xlfn.XLOOKUP(G196,[1]!O_3[BLO],[1]!O_3[BLO],,-1)))
*
( G196 - _xlfn.XLOOKUP(G196,[1]!O_3[BLO],[1]!O_3[BLO],,-1))
+
_xlfn.XLOOKUP(G196,[1]!O_3[BLO],[1]!O_3[ILO],,-1)</f>
        <v>28</v>
      </c>
      <c r="N196">
        <f>MAX(DAILY_DATA[[#This Row],[AQI_PM2.5]:[AQI_O3]])</f>
        <v>46</v>
      </c>
      <c r="O196" t="str">
        <f>_xlfn.XLOOKUP(DAILY_DATA[[#This Row],[OVERALL_AQI]],[1]!CATEGORY[AQI_LO],[1]!CATEGORY[CATEGORY],,-1)</f>
        <v>Good</v>
      </c>
      <c r="P196" t="str" cm="1">
        <f t="array" ref="P196">INDEX(
{"PM2.5","PM10","NO2","SO2","CO","O3"},
MATCH(N196,H196:M196,0)
)</f>
        <v>PM10</v>
      </c>
    </row>
    <row r="197" spans="1:16" x14ac:dyDescent="0.25">
      <c r="A197" s="4">
        <v>45487</v>
      </c>
      <c r="B197">
        <f>ROUND(AVERAGEIFS([1]HOURLY_DATA!B197:B8980,[1]HOURLY_DATA!H197:H8980,Daily_AQI!A197),0)</f>
        <v>16</v>
      </c>
      <c r="C197">
        <f>ROUND(AVERAGEIFS([1]HOURLY_DATA!C197:C8980,[1]HOURLY_DATA!H197:H8980,Daily_AQI!A197),0)</f>
        <v>43</v>
      </c>
      <c r="D197">
        <f>ROUND(AVERAGEIFS([1]HOURLY_DATA!D197:D8980,[1]HOURLY_DATA!H197:H8980,Daily_AQI!A197),0)</f>
        <v>16</v>
      </c>
      <c r="E197">
        <f>ROUND(AVERAGEIFS([1]HOURLY_DATA!E197:E8980,[1]HOURLY_DATA!H197:H8980,Daily_AQI!A197),0)</f>
        <v>9</v>
      </c>
      <c r="F197">
        <f>ROUND(AVERAGEIFS([1]HOURLY_DATA!I197:I8980,[1]HOURLY_DATA!H197:H8980,Daily_AQI!A197),2)</f>
        <v>0.6</v>
      </c>
      <c r="G197">
        <f>ROUND(AVERAGEIFS([1]HOURLY_DATA!J197:J8980,[1]HOURLY_DATA!H197:H8980,Daily_AQI!A197),0)</f>
        <v>28</v>
      </c>
      <c r="H197">
        <f>ROUND(((_xlfn.XLOOKUP(B197,[1]!PM2.5[BLO],[1]!PM2.5[IHI],,-1) - _xlfn.XLOOKUP(B197,[1]!PM2.5[BLO],[1]!PM2.5[ILO],,-1))
/
(_xlfn.XLOOKUP(B197,[1]!PM2.5[BLO],[1]!PM2.5[BHI],,-1) - _xlfn.XLOOKUP(B197,[1]!PM2.5[BLO],[1]!PM2.5[BLO],,-1)))
*
(B197 - _xlfn.XLOOKUP(B197,[1]!PM2.5[BLO],[1]!PM2.5[BLO],,-1))
+
_xlfn.XLOOKUP(B197,[1]!PM2.5[BLO],[1]!PM2.5[ILO],,-1),2)</f>
        <v>26.67</v>
      </c>
      <c r="I197">
        <f>ROUND(((_xlfn.XLOOKUP(C197,[1]!PM_10[BLO],[1]!PM_10[IHI],,-1) - _xlfn.XLOOKUP(C197,[1]!PM_10[BLO],[1]!PM_10[ILO],,-1))
/
(_xlfn.XLOOKUP(C197,[1]!PM_10[BLO],[1]!PM_10[BHI],,-1) - _xlfn.XLOOKUP(C197,[1]!PM_10[BLO],[1]!PM_10[BLO],,-1)))
*
( C197 - _xlfn.XLOOKUP(C197,[1]!PM_10[BLO],[1]!PM_10[BLO],,-1))
+
_xlfn.XLOOKUP(C197,[1]!PM_10[BLO],[1]!PM_10[ILO],,-1),2)</f>
        <v>43</v>
      </c>
      <c r="J197">
        <f>ROUND((( _xlfn.XLOOKUP(D197,[1]!NO_2[BLO],[1]!NO_2[IHI],,-1) - _xlfn.XLOOKUP(D197,[1]!NO_2[BLO],[1]!NO_2[ILO],,-1))
/
( _xlfn.XLOOKUP(D197,[1]!NO_2[BLO],[1]!NO_2[BHI],,-1) - _xlfn.XLOOKUP(D197,[1]!NO_2[BLO],[1]!NO_2[BLO],,-1) ))
*
( D197 - _xlfn.XLOOKUP(D197,[1]!NO_2[BLO],[1]!NO_2[BLO],,-1))
+
_xlfn.XLOOKUP(D197,[1]!NO_2[BLO],[1]!NO_2[ILO],,-1),2)</f>
        <v>20</v>
      </c>
      <c r="K197">
        <f>ROUND(( ( _xlfn.XLOOKUP(E197,[1]!SO_2[BLO],[1]!SO_2[IHI],,-1)  - _xlfn.XLOOKUP(E197,[1]!SO_2[BLO],[1]!SO_2[ILO],,-1) )
/
( _xlfn.XLOOKUP(E197,[1]!SO_2[BLO],[1]!SO_2[BHI],,-1)- _xlfn.XLOOKUP(E197,[1]!SO_2[BLO],[1]!SO_2[BLO],,-1) ))
*
( E197 - _xlfn.XLOOKUP(E197,[1]!SO_2[BLO],[1]!SO_2[BLO],,-1) )
+
_xlfn.XLOOKUP(E197,[1]!SO_2[BLO],[1]!SO_2[ILO],,-1),2)</f>
        <v>11.25</v>
      </c>
      <c r="L197">
        <f>( ( _xlfn.XLOOKUP(F197,[1]!CO[BLO],[1]!CO[IHI],,-1)
- _xlfn.XLOOKUP(F197,[1]!CO[BLO],[1]!CO[ILO],,-1) )
/
( _xlfn.XLOOKUP(F197,[1]!CO[BLO],[1]!CO[BHI],,-1) - _xlfn.XLOOKUP(F197,[1]!CO[BLO],[1]!CO[BLO],,-1)))
*
( F197 - _xlfn.XLOOKUP(F197,[1]!CO[BLO],[1]!CO[BLO],,-1) )
+
_xlfn.XLOOKUP(F197,[1]!CO[BLO],[1]!CO[ILO],,-1)</f>
        <v>30</v>
      </c>
      <c r="M197">
        <f>(( _xlfn.XLOOKUP(G197,[1]!O_3[BLO],[1]!O_3[IHI],,-1) - _xlfn.XLOOKUP(G197,[1]!O_3[BLO],[1]!O_3[ILO],,-1))
/
( _xlfn.XLOOKUP(G197,[1]!O_3[BLO],[1]!O_3[BHI],,-1) - _xlfn.XLOOKUP(G197,[1]!O_3[BLO],[1]!O_3[BLO],,-1)))
*
( G197 - _xlfn.XLOOKUP(G197,[1]!O_3[BLO],[1]!O_3[BLO],,-1))
+
_xlfn.XLOOKUP(G197,[1]!O_3[BLO],[1]!O_3[ILO],,-1)</f>
        <v>28</v>
      </c>
      <c r="N197">
        <f>MAX(DAILY_DATA[[#This Row],[AQI_PM2.5]:[AQI_O3]])</f>
        <v>43</v>
      </c>
      <c r="O197" t="str">
        <f>_xlfn.XLOOKUP(DAILY_DATA[[#This Row],[OVERALL_AQI]],[1]!CATEGORY[AQI_LO],[1]!CATEGORY[CATEGORY],,-1)</f>
        <v>Good</v>
      </c>
      <c r="P197" t="str" cm="1">
        <f t="array" ref="P197">INDEX(
{"PM2.5","PM10","NO2","SO2","CO","O3"},
MATCH(N197,H197:M197,0)
)</f>
        <v>PM10</v>
      </c>
    </row>
    <row r="198" spans="1:16" x14ac:dyDescent="0.25">
      <c r="A198" s="4">
        <v>45488</v>
      </c>
      <c r="B198">
        <f>ROUND(AVERAGEIFS([1]HOURLY_DATA!B198:B8981,[1]HOURLY_DATA!H198:H8981,Daily_AQI!A198),0)</f>
        <v>14</v>
      </c>
      <c r="C198">
        <f>ROUND(AVERAGEIFS([1]HOURLY_DATA!C198:C8981,[1]HOURLY_DATA!H198:H8981,Daily_AQI!A198),0)</f>
        <v>35</v>
      </c>
      <c r="D198">
        <f>ROUND(AVERAGEIFS([1]HOURLY_DATA!D198:D8981,[1]HOURLY_DATA!H198:H8981,Daily_AQI!A198),0)</f>
        <v>16</v>
      </c>
      <c r="E198">
        <f>ROUND(AVERAGEIFS([1]HOURLY_DATA!E198:E8981,[1]HOURLY_DATA!H198:H8981,Daily_AQI!A198),0)</f>
        <v>9</v>
      </c>
      <c r="F198">
        <f>ROUND(AVERAGEIFS([1]HOURLY_DATA!I198:I8981,[1]HOURLY_DATA!H198:H8981,Daily_AQI!A198),2)</f>
        <v>0.57999999999999996</v>
      </c>
      <c r="G198">
        <f>ROUND(AVERAGEIFS([1]HOURLY_DATA!J198:J8981,[1]HOURLY_DATA!H198:H8981,Daily_AQI!A198),0)</f>
        <v>26</v>
      </c>
      <c r="H198">
        <f>ROUND(((_xlfn.XLOOKUP(B198,[1]!PM2.5[BLO],[1]!PM2.5[IHI],,-1) - _xlfn.XLOOKUP(B198,[1]!PM2.5[BLO],[1]!PM2.5[ILO],,-1))
/
(_xlfn.XLOOKUP(B198,[1]!PM2.5[BLO],[1]!PM2.5[BHI],,-1) - _xlfn.XLOOKUP(B198,[1]!PM2.5[BLO],[1]!PM2.5[BLO],,-1)))
*
(B198 - _xlfn.XLOOKUP(B198,[1]!PM2.5[BLO],[1]!PM2.5[BLO],,-1))
+
_xlfn.XLOOKUP(B198,[1]!PM2.5[BLO],[1]!PM2.5[ILO],,-1),2)</f>
        <v>23.33</v>
      </c>
      <c r="I198">
        <f>ROUND(((_xlfn.XLOOKUP(C198,[1]!PM_10[BLO],[1]!PM_10[IHI],,-1) - _xlfn.XLOOKUP(C198,[1]!PM_10[BLO],[1]!PM_10[ILO],,-1))
/
(_xlfn.XLOOKUP(C198,[1]!PM_10[BLO],[1]!PM_10[BHI],,-1) - _xlfn.XLOOKUP(C198,[1]!PM_10[BLO],[1]!PM_10[BLO],,-1)))
*
( C198 - _xlfn.XLOOKUP(C198,[1]!PM_10[BLO],[1]!PM_10[BLO],,-1))
+
_xlfn.XLOOKUP(C198,[1]!PM_10[BLO],[1]!PM_10[ILO],,-1),2)</f>
        <v>35</v>
      </c>
      <c r="J198">
        <f>ROUND((( _xlfn.XLOOKUP(D198,[1]!NO_2[BLO],[1]!NO_2[IHI],,-1) - _xlfn.XLOOKUP(D198,[1]!NO_2[BLO],[1]!NO_2[ILO],,-1))
/
( _xlfn.XLOOKUP(D198,[1]!NO_2[BLO],[1]!NO_2[BHI],,-1) - _xlfn.XLOOKUP(D198,[1]!NO_2[BLO],[1]!NO_2[BLO],,-1) ))
*
( D198 - _xlfn.XLOOKUP(D198,[1]!NO_2[BLO],[1]!NO_2[BLO],,-1))
+
_xlfn.XLOOKUP(D198,[1]!NO_2[BLO],[1]!NO_2[ILO],,-1),2)</f>
        <v>20</v>
      </c>
      <c r="K198">
        <f>ROUND(( ( _xlfn.XLOOKUP(E198,[1]!SO_2[BLO],[1]!SO_2[IHI],,-1)  - _xlfn.XLOOKUP(E198,[1]!SO_2[BLO],[1]!SO_2[ILO],,-1) )
/
( _xlfn.XLOOKUP(E198,[1]!SO_2[BLO],[1]!SO_2[BHI],,-1)- _xlfn.XLOOKUP(E198,[1]!SO_2[BLO],[1]!SO_2[BLO],,-1) ))
*
( E198 - _xlfn.XLOOKUP(E198,[1]!SO_2[BLO],[1]!SO_2[BLO],,-1) )
+
_xlfn.XLOOKUP(E198,[1]!SO_2[BLO],[1]!SO_2[ILO],,-1),2)</f>
        <v>11.25</v>
      </c>
      <c r="L198">
        <f>( ( _xlfn.XLOOKUP(F198,[1]!CO[BLO],[1]!CO[IHI],,-1)
- _xlfn.XLOOKUP(F198,[1]!CO[BLO],[1]!CO[ILO],,-1) )
/
( _xlfn.XLOOKUP(F198,[1]!CO[BLO],[1]!CO[BHI],,-1) - _xlfn.XLOOKUP(F198,[1]!CO[BLO],[1]!CO[BLO],,-1)))
*
( F198 - _xlfn.XLOOKUP(F198,[1]!CO[BLO],[1]!CO[BLO],,-1) )
+
_xlfn.XLOOKUP(F198,[1]!CO[BLO],[1]!CO[ILO],,-1)</f>
        <v>28.999999999999996</v>
      </c>
      <c r="M198">
        <f>(( _xlfn.XLOOKUP(G198,[1]!O_3[BLO],[1]!O_3[IHI],,-1) - _xlfn.XLOOKUP(G198,[1]!O_3[BLO],[1]!O_3[ILO],,-1))
/
( _xlfn.XLOOKUP(G198,[1]!O_3[BLO],[1]!O_3[BHI],,-1) - _xlfn.XLOOKUP(G198,[1]!O_3[BLO],[1]!O_3[BLO],,-1)))
*
( G198 - _xlfn.XLOOKUP(G198,[1]!O_3[BLO],[1]!O_3[BLO],,-1))
+
_xlfn.XLOOKUP(G198,[1]!O_3[BLO],[1]!O_3[ILO],,-1)</f>
        <v>26</v>
      </c>
      <c r="N198">
        <f>MAX(DAILY_DATA[[#This Row],[AQI_PM2.5]:[AQI_O3]])</f>
        <v>35</v>
      </c>
      <c r="O198" t="str">
        <f>_xlfn.XLOOKUP(DAILY_DATA[[#This Row],[OVERALL_AQI]],[1]!CATEGORY[AQI_LO],[1]!CATEGORY[CATEGORY],,-1)</f>
        <v>Good</v>
      </c>
      <c r="P198" t="str" cm="1">
        <f t="array" ref="P198">INDEX(
{"PM2.5","PM10","NO2","SO2","CO","O3"},
MATCH(N198,H198:M198,0)
)</f>
        <v>PM10</v>
      </c>
    </row>
    <row r="199" spans="1:16" x14ac:dyDescent="0.25">
      <c r="A199" s="4">
        <v>45489</v>
      </c>
      <c r="B199">
        <f>ROUND(AVERAGEIFS([1]HOURLY_DATA!B199:B8982,[1]HOURLY_DATA!H199:H8982,Daily_AQI!A199),0)</f>
        <v>13</v>
      </c>
      <c r="C199">
        <f>ROUND(AVERAGEIFS([1]HOURLY_DATA!C199:C8982,[1]HOURLY_DATA!H199:H8982,Daily_AQI!A199),0)</f>
        <v>37</v>
      </c>
      <c r="D199">
        <f>ROUND(AVERAGEIFS([1]HOURLY_DATA!D199:D8982,[1]HOURLY_DATA!H199:H8982,Daily_AQI!A199),0)</f>
        <v>17</v>
      </c>
      <c r="E199">
        <f>ROUND(AVERAGEIFS([1]HOURLY_DATA!E199:E8982,[1]HOURLY_DATA!H199:H8982,Daily_AQI!A199),0)</f>
        <v>8</v>
      </c>
      <c r="F199">
        <f>ROUND(AVERAGEIFS([1]HOURLY_DATA!I199:I8982,[1]HOURLY_DATA!H199:H8982,Daily_AQI!A199),2)</f>
        <v>0.63</v>
      </c>
      <c r="G199">
        <f>ROUND(AVERAGEIFS([1]HOURLY_DATA!J199:J8982,[1]HOURLY_DATA!H199:H8982,Daily_AQI!A199),0)</f>
        <v>25</v>
      </c>
      <c r="H199">
        <f>ROUND(((_xlfn.XLOOKUP(B199,[1]!PM2.5[BLO],[1]!PM2.5[IHI],,-1) - _xlfn.XLOOKUP(B199,[1]!PM2.5[BLO],[1]!PM2.5[ILO],,-1))
/
(_xlfn.XLOOKUP(B199,[1]!PM2.5[BLO],[1]!PM2.5[BHI],,-1) - _xlfn.XLOOKUP(B199,[1]!PM2.5[BLO],[1]!PM2.5[BLO],,-1)))
*
(B199 - _xlfn.XLOOKUP(B199,[1]!PM2.5[BLO],[1]!PM2.5[BLO],,-1))
+
_xlfn.XLOOKUP(B199,[1]!PM2.5[BLO],[1]!PM2.5[ILO],,-1),2)</f>
        <v>21.67</v>
      </c>
      <c r="I199">
        <f>ROUND(((_xlfn.XLOOKUP(C199,[1]!PM_10[BLO],[1]!PM_10[IHI],,-1) - _xlfn.XLOOKUP(C199,[1]!PM_10[BLO],[1]!PM_10[ILO],,-1))
/
(_xlfn.XLOOKUP(C199,[1]!PM_10[BLO],[1]!PM_10[BHI],,-1) - _xlfn.XLOOKUP(C199,[1]!PM_10[BLO],[1]!PM_10[BLO],,-1)))
*
( C199 - _xlfn.XLOOKUP(C199,[1]!PM_10[BLO],[1]!PM_10[BLO],,-1))
+
_xlfn.XLOOKUP(C199,[1]!PM_10[BLO],[1]!PM_10[ILO],,-1),2)</f>
        <v>37</v>
      </c>
      <c r="J199">
        <f>ROUND((( _xlfn.XLOOKUP(D199,[1]!NO_2[BLO],[1]!NO_2[IHI],,-1) - _xlfn.XLOOKUP(D199,[1]!NO_2[BLO],[1]!NO_2[ILO],,-1))
/
( _xlfn.XLOOKUP(D199,[1]!NO_2[BLO],[1]!NO_2[BHI],,-1) - _xlfn.XLOOKUP(D199,[1]!NO_2[BLO],[1]!NO_2[BLO],,-1) ))
*
( D199 - _xlfn.XLOOKUP(D199,[1]!NO_2[BLO],[1]!NO_2[BLO],,-1))
+
_xlfn.XLOOKUP(D199,[1]!NO_2[BLO],[1]!NO_2[ILO],,-1),2)</f>
        <v>21.25</v>
      </c>
      <c r="K199">
        <f>ROUND(( ( _xlfn.XLOOKUP(E199,[1]!SO_2[BLO],[1]!SO_2[IHI],,-1)  - _xlfn.XLOOKUP(E199,[1]!SO_2[BLO],[1]!SO_2[ILO],,-1) )
/
( _xlfn.XLOOKUP(E199,[1]!SO_2[BLO],[1]!SO_2[BHI],,-1)- _xlfn.XLOOKUP(E199,[1]!SO_2[BLO],[1]!SO_2[BLO],,-1) ))
*
( E199 - _xlfn.XLOOKUP(E199,[1]!SO_2[BLO],[1]!SO_2[BLO],,-1) )
+
_xlfn.XLOOKUP(E199,[1]!SO_2[BLO],[1]!SO_2[ILO],,-1),2)</f>
        <v>10</v>
      </c>
      <c r="L199">
        <f>( ( _xlfn.XLOOKUP(F199,[1]!CO[BLO],[1]!CO[IHI],,-1)
- _xlfn.XLOOKUP(F199,[1]!CO[BLO],[1]!CO[ILO],,-1) )
/
( _xlfn.XLOOKUP(F199,[1]!CO[BLO],[1]!CO[BHI],,-1) - _xlfn.XLOOKUP(F199,[1]!CO[BLO],[1]!CO[BLO],,-1)))
*
( F199 - _xlfn.XLOOKUP(F199,[1]!CO[BLO],[1]!CO[BLO],,-1) )
+
_xlfn.XLOOKUP(F199,[1]!CO[BLO],[1]!CO[ILO],,-1)</f>
        <v>31.5</v>
      </c>
      <c r="M199">
        <f>(( _xlfn.XLOOKUP(G199,[1]!O_3[BLO],[1]!O_3[IHI],,-1) - _xlfn.XLOOKUP(G199,[1]!O_3[BLO],[1]!O_3[ILO],,-1))
/
( _xlfn.XLOOKUP(G199,[1]!O_3[BLO],[1]!O_3[BHI],,-1) - _xlfn.XLOOKUP(G199,[1]!O_3[BLO],[1]!O_3[BLO],,-1)))
*
( G199 - _xlfn.XLOOKUP(G199,[1]!O_3[BLO],[1]!O_3[BLO],,-1))
+
_xlfn.XLOOKUP(G199,[1]!O_3[BLO],[1]!O_3[ILO],,-1)</f>
        <v>25</v>
      </c>
      <c r="N199">
        <f>MAX(DAILY_DATA[[#This Row],[AQI_PM2.5]:[AQI_O3]])</f>
        <v>37</v>
      </c>
      <c r="O199" t="str">
        <f>_xlfn.XLOOKUP(DAILY_DATA[[#This Row],[OVERALL_AQI]],[1]!CATEGORY[AQI_LO],[1]!CATEGORY[CATEGORY],,-1)</f>
        <v>Good</v>
      </c>
      <c r="P199" t="str" cm="1">
        <f t="array" ref="P199">INDEX(
{"PM2.5","PM10","NO2","SO2","CO","O3"},
MATCH(N199,H199:M199,0)
)</f>
        <v>PM10</v>
      </c>
    </row>
    <row r="200" spans="1:16" x14ac:dyDescent="0.25">
      <c r="A200" s="4">
        <v>45490</v>
      </c>
      <c r="B200">
        <f>ROUND(AVERAGEIFS([1]HOURLY_DATA!B200:B8983,[1]HOURLY_DATA!H200:H8983,Daily_AQI!A200),0)</f>
        <v>15</v>
      </c>
      <c r="C200">
        <f>ROUND(AVERAGEIFS([1]HOURLY_DATA!C200:C8983,[1]HOURLY_DATA!H200:H8983,Daily_AQI!A200),0)</f>
        <v>49</v>
      </c>
      <c r="D200">
        <f>ROUND(AVERAGEIFS([1]HOURLY_DATA!D200:D8983,[1]HOURLY_DATA!H200:H8983,Daily_AQI!A200),0)</f>
        <v>16</v>
      </c>
      <c r="E200">
        <f>ROUND(AVERAGEIFS([1]HOURLY_DATA!E200:E8983,[1]HOURLY_DATA!H200:H8983,Daily_AQI!A200),0)</f>
        <v>8</v>
      </c>
      <c r="F200">
        <f>ROUND(AVERAGEIFS([1]HOURLY_DATA!I200:I8983,[1]HOURLY_DATA!H200:H8983,Daily_AQI!A200),2)</f>
        <v>0.63</v>
      </c>
      <c r="G200">
        <f>ROUND(AVERAGEIFS([1]HOURLY_DATA!J200:J8983,[1]HOURLY_DATA!H200:H8983,Daily_AQI!A200),0)</f>
        <v>27</v>
      </c>
      <c r="H200">
        <f>ROUND(((_xlfn.XLOOKUP(B200,[1]!PM2.5[BLO],[1]!PM2.5[IHI],,-1) - _xlfn.XLOOKUP(B200,[1]!PM2.5[BLO],[1]!PM2.5[ILO],,-1))
/
(_xlfn.XLOOKUP(B200,[1]!PM2.5[BLO],[1]!PM2.5[BHI],,-1) - _xlfn.XLOOKUP(B200,[1]!PM2.5[BLO],[1]!PM2.5[BLO],,-1)))
*
(B200 - _xlfn.XLOOKUP(B200,[1]!PM2.5[BLO],[1]!PM2.5[BLO],,-1))
+
_xlfn.XLOOKUP(B200,[1]!PM2.5[BLO],[1]!PM2.5[ILO],,-1),2)</f>
        <v>25</v>
      </c>
      <c r="I200">
        <f>ROUND(((_xlfn.XLOOKUP(C200,[1]!PM_10[BLO],[1]!PM_10[IHI],,-1) - _xlfn.XLOOKUP(C200,[1]!PM_10[BLO],[1]!PM_10[ILO],,-1))
/
(_xlfn.XLOOKUP(C200,[1]!PM_10[BLO],[1]!PM_10[BHI],,-1) - _xlfn.XLOOKUP(C200,[1]!PM_10[BLO],[1]!PM_10[BLO],,-1)))
*
( C200 - _xlfn.XLOOKUP(C200,[1]!PM_10[BLO],[1]!PM_10[BLO],,-1))
+
_xlfn.XLOOKUP(C200,[1]!PM_10[BLO],[1]!PM_10[ILO],,-1),2)</f>
        <v>49</v>
      </c>
      <c r="J200">
        <f>ROUND((( _xlfn.XLOOKUP(D200,[1]!NO_2[BLO],[1]!NO_2[IHI],,-1) - _xlfn.XLOOKUP(D200,[1]!NO_2[BLO],[1]!NO_2[ILO],,-1))
/
( _xlfn.XLOOKUP(D200,[1]!NO_2[BLO],[1]!NO_2[BHI],,-1) - _xlfn.XLOOKUP(D200,[1]!NO_2[BLO],[1]!NO_2[BLO],,-1) ))
*
( D200 - _xlfn.XLOOKUP(D200,[1]!NO_2[BLO],[1]!NO_2[BLO],,-1))
+
_xlfn.XLOOKUP(D200,[1]!NO_2[BLO],[1]!NO_2[ILO],,-1),2)</f>
        <v>20</v>
      </c>
      <c r="K200">
        <f>ROUND(( ( _xlfn.XLOOKUP(E200,[1]!SO_2[BLO],[1]!SO_2[IHI],,-1)  - _xlfn.XLOOKUP(E200,[1]!SO_2[BLO],[1]!SO_2[ILO],,-1) )
/
( _xlfn.XLOOKUP(E200,[1]!SO_2[BLO],[1]!SO_2[BHI],,-1)- _xlfn.XLOOKUP(E200,[1]!SO_2[BLO],[1]!SO_2[BLO],,-1) ))
*
( E200 - _xlfn.XLOOKUP(E200,[1]!SO_2[BLO],[1]!SO_2[BLO],,-1) )
+
_xlfn.XLOOKUP(E200,[1]!SO_2[BLO],[1]!SO_2[ILO],,-1),2)</f>
        <v>10</v>
      </c>
      <c r="L200">
        <f>( ( _xlfn.XLOOKUP(F200,[1]!CO[BLO],[1]!CO[IHI],,-1)
- _xlfn.XLOOKUP(F200,[1]!CO[BLO],[1]!CO[ILO],,-1) )
/
( _xlfn.XLOOKUP(F200,[1]!CO[BLO],[1]!CO[BHI],,-1) - _xlfn.XLOOKUP(F200,[1]!CO[BLO],[1]!CO[BLO],,-1)))
*
( F200 - _xlfn.XLOOKUP(F200,[1]!CO[BLO],[1]!CO[BLO],,-1) )
+
_xlfn.XLOOKUP(F200,[1]!CO[BLO],[1]!CO[ILO],,-1)</f>
        <v>31.5</v>
      </c>
      <c r="M200">
        <f>(( _xlfn.XLOOKUP(G200,[1]!O_3[BLO],[1]!O_3[IHI],,-1) - _xlfn.XLOOKUP(G200,[1]!O_3[BLO],[1]!O_3[ILO],,-1))
/
( _xlfn.XLOOKUP(G200,[1]!O_3[BLO],[1]!O_3[BHI],,-1) - _xlfn.XLOOKUP(G200,[1]!O_3[BLO],[1]!O_3[BLO],,-1)))
*
( G200 - _xlfn.XLOOKUP(G200,[1]!O_3[BLO],[1]!O_3[BLO],,-1))
+
_xlfn.XLOOKUP(G200,[1]!O_3[BLO],[1]!O_3[ILO],,-1)</f>
        <v>27</v>
      </c>
      <c r="N200">
        <f>MAX(DAILY_DATA[[#This Row],[AQI_PM2.5]:[AQI_O3]])</f>
        <v>49</v>
      </c>
      <c r="O200" t="str">
        <f>_xlfn.XLOOKUP(DAILY_DATA[[#This Row],[OVERALL_AQI]],[1]!CATEGORY[AQI_LO],[1]!CATEGORY[CATEGORY],,-1)</f>
        <v>Good</v>
      </c>
      <c r="P200" t="str" cm="1">
        <f t="array" ref="P200">INDEX(
{"PM2.5","PM10","NO2","SO2","CO","O3"},
MATCH(N200,H200:M200,0)
)</f>
        <v>PM10</v>
      </c>
    </row>
    <row r="201" spans="1:16" x14ac:dyDescent="0.25">
      <c r="A201" s="4">
        <v>45491</v>
      </c>
      <c r="B201">
        <f>ROUND(AVERAGEIFS([1]HOURLY_DATA!B201:B8984,[1]HOURLY_DATA!H201:H8984,Daily_AQI!A201),0)</f>
        <v>13</v>
      </c>
      <c r="C201">
        <f>ROUND(AVERAGEIFS([1]HOURLY_DATA!C201:C8984,[1]HOURLY_DATA!H201:H8984,Daily_AQI!A201),0)</f>
        <v>36</v>
      </c>
      <c r="D201">
        <f>ROUND(AVERAGEIFS([1]HOURLY_DATA!D201:D8984,[1]HOURLY_DATA!H201:H8984,Daily_AQI!A201),0)</f>
        <v>17</v>
      </c>
      <c r="E201">
        <f>ROUND(AVERAGEIFS([1]HOURLY_DATA!E201:E8984,[1]HOURLY_DATA!H201:H8984,Daily_AQI!A201),0)</f>
        <v>9</v>
      </c>
      <c r="F201">
        <f>ROUND(AVERAGEIFS([1]HOURLY_DATA!I201:I8984,[1]HOURLY_DATA!H201:H8984,Daily_AQI!A201),2)</f>
        <v>0.64</v>
      </c>
      <c r="G201">
        <f>ROUND(AVERAGEIFS([1]HOURLY_DATA!J201:J8984,[1]HOURLY_DATA!H201:H8984,Daily_AQI!A201),0)</f>
        <v>29</v>
      </c>
      <c r="H201">
        <f>ROUND(((_xlfn.XLOOKUP(B201,[1]!PM2.5[BLO],[1]!PM2.5[IHI],,-1) - _xlfn.XLOOKUP(B201,[1]!PM2.5[BLO],[1]!PM2.5[ILO],,-1))
/
(_xlfn.XLOOKUP(B201,[1]!PM2.5[BLO],[1]!PM2.5[BHI],,-1) - _xlfn.XLOOKUP(B201,[1]!PM2.5[BLO],[1]!PM2.5[BLO],,-1)))
*
(B201 - _xlfn.XLOOKUP(B201,[1]!PM2.5[BLO],[1]!PM2.5[BLO],,-1))
+
_xlfn.XLOOKUP(B201,[1]!PM2.5[BLO],[1]!PM2.5[ILO],,-1),2)</f>
        <v>21.67</v>
      </c>
      <c r="I201">
        <f>ROUND(((_xlfn.XLOOKUP(C201,[1]!PM_10[BLO],[1]!PM_10[IHI],,-1) - _xlfn.XLOOKUP(C201,[1]!PM_10[BLO],[1]!PM_10[ILO],,-1))
/
(_xlfn.XLOOKUP(C201,[1]!PM_10[BLO],[1]!PM_10[BHI],,-1) - _xlfn.XLOOKUP(C201,[1]!PM_10[BLO],[1]!PM_10[BLO],,-1)))
*
( C201 - _xlfn.XLOOKUP(C201,[1]!PM_10[BLO],[1]!PM_10[BLO],,-1))
+
_xlfn.XLOOKUP(C201,[1]!PM_10[BLO],[1]!PM_10[ILO],,-1),2)</f>
        <v>36</v>
      </c>
      <c r="J201">
        <f>ROUND((( _xlfn.XLOOKUP(D201,[1]!NO_2[BLO],[1]!NO_2[IHI],,-1) - _xlfn.XLOOKUP(D201,[1]!NO_2[BLO],[1]!NO_2[ILO],,-1))
/
( _xlfn.XLOOKUP(D201,[1]!NO_2[BLO],[1]!NO_2[BHI],,-1) - _xlfn.XLOOKUP(D201,[1]!NO_2[BLO],[1]!NO_2[BLO],,-1) ))
*
( D201 - _xlfn.XLOOKUP(D201,[1]!NO_2[BLO],[1]!NO_2[BLO],,-1))
+
_xlfn.XLOOKUP(D201,[1]!NO_2[BLO],[1]!NO_2[ILO],,-1),2)</f>
        <v>21.25</v>
      </c>
      <c r="K201">
        <f>ROUND(( ( _xlfn.XLOOKUP(E201,[1]!SO_2[BLO],[1]!SO_2[IHI],,-1)  - _xlfn.XLOOKUP(E201,[1]!SO_2[BLO],[1]!SO_2[ILO],,-1) )
/
( _xlfn.XLOOKUP(E201,[1]!SO_2[BLO],[1]!SO_2[BHI],,-1)- _xlfn.XLOOKUP(E201,[1]!SO_2[BLO],[1]!SO_2[BLO],,-1) ))
*
( E201 - _xlfn.XLOOKUP(E201,[1]!SO_2[BLO],[1]!SO_2[BLO],,-1) )
+
_xlfn.XLOOKUP(E201,[1]!SO_2[BLO],[1]!SO_2[ILO],,-1),2)</f>
        <v>11.25</v>
      </c>
      <c r="L201">
        <f>( ( _xlfn.XLOOKUP(F201,[1]!CO[BLO],[1]!CO[IHI],,-1)
- _xlfn.XLOOKUP(F201,[1]!CO[BLO],[1]!CO[ILO],,-1) )
/
( _xlfn.XLOOKUP(F201,[1]!CO[BLO],[1]!CO[BHI],,-1) - _xlfn.XLOOKUP(F201,[1]!CO[BLO],[1]!CO[BLO],,-1)))
*
( F201 - _xlfn.XLOOKUP(F201,[1]!CO[BLO],[1]!CO[BLO],,-1) )
+
_xlfn.XLOOKUP(F201,[1]!CO[BLO],[1]!CO[ILO],,-1)</f>
        <v>32</v>
      </c>
      <c r="M201">
        <f>(( _xlfn.XLOOKUP(G201,[1]!O_3[BLO],[1]!O_3[IHI],,-1) - _xlfn.XLOOKUP(G201,[1]!O_3[BLO],[1]!O_3[ILO],,-1))
/
( _xlfn.XLOOKUP(G201,[1]!O_3[BLO],[1]!O_3[BHI],,-1) - _xlfn.XLOOKUP(G201,[1]!O_3[BLO],[1]!O_3[BLO],,-1)))
*
( G201 - _xlfn.XLOOKUP(G201,[1]!O_3[BLO],[1]!O_3[BLO],,-1))
+
_xlfn.XLOOKUP(G201,[1]!O_3[BLO],[1]!O_3[ILO],,-1)</f>
        <v>29</v>
      </c>
      <c r="N201">
        <f>MAX(DAILY_DATA[[#This Row],[AQI_PM2.5]:[AQI_O3]])</f>
        <v>36</v>
      </c>
      <c r="O201" t="str">
        <f>_xlfn.XLOOKUP(DAILY_DATA[[#This Row],[OVERALL_AQI]],[1]!CATEGORY[AQI_LO],[1]!CATEGORY[CATEGORY],,-1)</f>
        <v>Good</v>
      </c>
      <c r="P201" t="str" cm="1">
        <f t="array" ref="P201">INDEX(
{"PM2.5","PM10","NO2","SO2","CO","O3"},
MATCH(N201,H201:M201,0)
)</f>
        <v>PM10</v>
      </c>
    </row>
    <row r="202" spans="1:16" x14ac:dyDescent="0.25">
      <c r="A202" s="4">
        <v>45492</v>
      </c>
      <c r="B202">
        <f>ROUND(AVERAGEIFS([1]HOURLY_DATA!B202:B8985,[1]HOURLY_DATA!H202:H8985,Daily_AQI!A202),0)</f>
        <v>14</v>
      </c>
      <c r="C202">
        <f>ROUND(AVERAGEIFS([1]HOURLY_DATA!C202:C8985,[1]HOURLY_DATA!H202:H8985,Daily_AQI!A202),0)</f>
        <v>37</v>
      </c>
      <c r="D202">
        <f>ROUND(AVERAGEIFS([1]HOURLY_DATA!D202:D8985,[1]HOURLY_DATA!H202:H8985,Daily_AQI!A202),0)</f>
        <v>17</v>
      </c>
      <c r="E202">
        <f>ROUND(AVERAGEIFS([1]HOURLY_DATA!E202:E8985,[1]HOURLY_DATA!H202:H8985,Daily_AQI!A202),0)</f>
        <v>8</v>
      </c>
      <c r="F202">
        <f>ROUND(AVERAGEIFS([1]HOURLY_DATA!I202:I8985,[1]HOURLY_DATA!H202:H8985,Daily_AQI!A202),2)</f>
        <v>0.63</v>
      </c>
      <c r="G202">
        <f>ROUND(AVERAGEIFS([1]HOURLY_DATA!J202:J8985,[1]HOURLY_DATA!H202:H8985,Daily_AQI!A202),0)</f>
        <v>29</v>
      </c>
      <c r="H202">
        <f>ROUND(((_xlfn.XLOOKUP(B202,[1]!PM2.5[BLO],[1]!PM2.5[IHI],,-1) - _xlfn.XLOOKUP(B202,[1]!PM2.5[BLO],[1]!PM2.5[ILO],,-1))
/
(_xlfn.XLOOKUP(B202,[1]!PM2.5[BLO],[1]!PM2.5[BHI],,-1) - _xlfn.XLOOKUP(B202,[1]!PM2.5[BLO],[1]!PM2.5[BLO],,-1)))
*
(B202 - _xlfn.XLOOKUP(B202,[1]!PM2.5[BLO],[1]!PM2.5[BLO],,-1))
+
_xlfn.XLOOKUP(B202,[1]!PM2.5[BLO],[1]!PM2.5[ILO],,-1),2)</f>
        <v>23.33</v>
      </c>
      <c r="I202">
        <f>ROUND(((_xlfn.XLOOKUP(C202,[1]!PM_10[BLO],[1]!PM_10[IHI],,-1) - _xlfn.XLOOKUP(C202,[1]!PM_10[BLO],[1]!PM_10[ILO],,-1))
/
(_xlfn.XLOOKUP(C202,[1]!PM_10[BLO],[1]!PM_10[BHI],,-1) - _xlfn.XLOOKUP(C202,[1]!PM_10[BLO],[1]!PM_10[BLO],,-1)))
*
( C202 - _xlfn.XLOOKUP(C202,[1]!PM_10[BLO],[1]!PM_10[BLO],,-1))
+
_xlfn.XLOOKUP(C202,[1]!PM_10[BLO],[1]!PM_10[ILO],,-1),2)</f>
        <v>37</v>
      </c>
      <c r="J202">
        <f>ROUND((( _xlfn.XLOOKUP(D202,[1]!NO_2[BLO],[1]!NO_2[IHI],,-1) - _xlfn.XLOOKUP(D202,[1]!NO_2[BLO],[1]!NO_2[ILO],,-1))
/
( _xlfn.XLOOKUP(D202,[1]!NO_2[BLO],[1]!NO_2[BHI],,-1) - _xlfn.XLOOKUP(D202,[1]!NO_2[BLO],[1]!NO_2[BLO],,-1) ))
*
( D202 - _xlfn.XLOOKUP(D202,[1]!NO_2[BLO],[1]!NO_2[BLO],,-1))
+
_xlfn.XLOOKUP(D202,[1]!NO_2[BLO],[1]!NO_2[ILO],,-1),2)</f>
        <v>21.25</v>
      </c>
      <c r="K202">
        <f>ROUND(( ( _xlfn.XLOOKUP(E202,[1]!SO_2[BLO],[1]!SO_2[IHI],,-1)  - _xlfn.XLOOKUP(E202,[1]!SO_2[BLO],[1]!SO_2[ILO],,-1) )
/
( _xlfn.XLOOKUP(E202,[1]!SO_2[BLO],[1]!SO_2[BHI],,-1)- _xlfn.XLOOKUP(E202,[1]!SO_2[BLO],[1]!SO_2[BLO],,-1) ))
*
( E202 - _xlfn.XLOOKUP(E202,[1]!SO_2[BLO],[1]!SO_2[BLO],,-1) )
+
_xlfn.XLOOKUP(E202,[1]!SO_2[BLO],[1]!SO_2[ILO],,-1),2)</f>
        <v>10</v>
      </c>
      <c r="L202">
        <f>( ( _xlfn.XLOOKUP(F202,[1]!CO[BLO],[1]!CO[IHI],,-1)
- _xlfn.XLOOKUP(F202,[1]!CO[BLO],[1]!CO[ILO],,-1) )
/
( _xlfn.XLOOKUP(F202,[1]!CO[BLO],[1]!CO[BHI],,-1) - _xlfn.XLOOKUP(F202,[1]!CO[BLO],[1]!CO[BLO],,-1)))
*
( F202 - _xlfn.XLOOKUP(F202,[1]!CO[BLO],[1]!CO[BLO],,-1) )
+
_xlfn.XLOOKUP(F202,[1]!CO[BLO],[1]!CO[ILO],,-1)</f>
        <v>31.5</v>
      </c>
      <c r="M202">
        <f>(( _xlfn.XLOOKUP(G202,[1]!O_3[BLO],[1]!O_3[IHI],,-1) - _xlfn.XLOOKUP(G202,[1]!O_3[BLO],[1]!O_3[ILO],,-1))
/
( _xlfn.XLOOKUP(G202,[1]!O_3[BLO],[1]!O_3[BHI],,-1) - _xlfn.XLOOKUP(G202,[1]!O_3[BLO],[1]!O_3[BLO],,-1)))
*
( G202 - _xlfn.XLOOKUP(G202,[1]!O_3[BLO],[1]!O_3[BLO],,-1))
+
_xlfn.XLOOKUP(G202,[1]!O_3[BLO],[1]!O_3[ILO],,-1)</f>
        <v>29</v>
      </c>
      <c r="N202">
        <f>MAX(DAILY_DATA[[#This Row],[AQI_PM2.5]:[AQI_O3]])</f>
        <v>37</v>
      </c>
      <c r="O202" t="str">
        <f>_xlfn.XLOOKUP(DAILY_DATA[[#This Row],[OVERALL_AQI]],[1]!CATEGORY[AQI_LO],[1]!CATEGORY[CATEGORY],,-1)</f>
        <v>Good</v>
      </c>
      <c r="P202" t="str" cm="1">
        <f t="array" ref="P202">INDEX(
{"PM2.5","PM10","NO2","SO2","CO","O3"},
MATCH(N202,H202:M202,0)
)</f>
        <v>PM10</v>
      </c>
    </row>
    <row r="203" spans="1:16" x14ac:dyDescent="0.25">
      <c r="A203" s="4">
        <v>45493</v>
      </c>
      <c r="B203">
        <f>ROUND(AVERAGEIFS([1]HOURLY_DATA!B203:B8986,[1]HOURLY_DATA!H203:H8986,Daily_AQI!A203),0)</f>
        <v>16</v>
      </c>
      <c r="C203">
        <f>ROUND(AVERAGEIFS([1]HOURLY_DATA!C203:C8986,[1]HOURLY_DATA!H203:H8986,Daily_AQI!A203),0)</f>
        <v>54</v>
      </c>
      <c r="D203">
        <f>ROUND(AVERAGEIFS([1]HOURLY_DATA!D203:D8986,[1]HOURLY_DATA!H203:H8986,Daily_AQI!A203),0)</f>
        <v>16</v>
      </c>
      <c r="E203">
        <f>ROUND(AVERAGEIFS([1]HOURLY_DATA!E203:E8986,[1]HOURLY_DATA!H203:H8986,Daily_AQI!A203),0)</f>
        <v>8</v>
      </c>
      <c r="F203">
        <f>ROUND(AVERAGEIFS([1]HOURLY_DATA!I203:I8986,[1]HOURLY_DATA!H203:H8986,Daily_AQI!A203),2)</f>
        <v>0.62</v>
      </c>
      <c r="G203">
        <f>ROUND(AVERAGEIFS([1]HOURLY_DATA!J203:J8986,[1]HOURLY_DATA!H203:H8986,Daily_AQI!A203),0)</f>
        <v>28</v>
      </c>
      <c r="H203">
        <f>ROUND(((_xlfn.XLOOKUP(B203,[1]!PM2.5[BLO],[1]!PM2.5[IHI],,-1) - _xlfn.XLOOKUP(B203,[1]!PM2.5[BLO],[1]!PM2.5[ILO],,-1))
/
(_xlfn.XLOOKUP(B203,[1]!PM2.5[BLO],[1]!PM2.5[BHI],,-1) - _xlfn.XLOOKUP(B203,[1]!PM2.5[BLO],[1]!PM2.5[BLO],,-1)))
*
(B203 - _xlfn.XLOOKUP(B203,[1]!PM2.5[BLO],[1]!PM2.5[BLO],,-1))
+
_xlfn.XLOOKUP(B203,[1]!PM2.5[BLO],[1]!PM2.5[ILO],,-1),2)</f>
        <v>26.67</v>
      </c>
      <c r="I203">
        <f>ROUND(((_xlfn.XLOOKUP(C203,[1]!PM_10[BLO],[1]!PM_10[IHI],,-1) - _xlfn.XLOOKUP(C203,[1]!PM_10[BLO],[1]!PM_10[ILO],,-1))
/
(_xlfn.XLOOKUP(C203,[1]!PM_10[BLO],[1]!PM_10[BHI],,-1) - _xlfn.XLOOKUP(C203,[1]!PM_10[BLO],[1]!PM_10[BLO],,-1)))
*
( C203 - _xlfn.XLOOKUP(C203,[1]!PM_10[BLO],[1]!PM_10[BLO],,-1))
+
_xlfn.XLOOKUP(C203,[1]!PM_10[BLO],[1]!PM_10[ILO],,-1),2)</f>
        <v>54</v>
      </c>
      <c r="J203">
        <f>ROUND((( _xlfn.XLOOKUP(D203,[1]!NO_2[BLO],[1]!NO_2[IHI],,-1) - _xlfn.XLOOKUP(D203,[1]!NO_2[BLO],[1]!NO_2[ILO],,-1))
/
( _xlfn.XLOOKUP(D203,[1]!NO_2[BLO],[1]!NO_2[BHI],,-1) - _xlfn.XLOOKUP(D203,[1]!NO_2[BLO],[1]!NO_2[BLO],,-1) ))
*
( D203 - _xlfn.XLOOKUP(D203,[1]!NO_2[BLO],[1]!NO_2[BLO],,-1))
+
_xlfn.XLOOKUP(D203,[1]!NO_2[BLO],[1]!NO_2[ILO],,-1),2)</f>
        <v>20</v>
      </c>
      <c r="K203">
        <f>ROUND(( ( _xlfn.XLOOKUP(E203,[1]!SO_2[BLO],[1]!SO_2[IHI],,-1)  - _xlfn.XLOOKUP(E203,[1]!SO_2[BLO],[1]!SO_2[ILO],,-1) )
/
( _xlfn.XLOOKUP(E203,[1]!SO_2[BLO],[1]!SO_2[BHI],,-1)- _xlfn.XLOOKUP(E203,[1]!SO_2[BLO],[1]!SO_2[BLO],,-1) ))
*
( E203 - _xlfn.XLOOKUP(E203,[1]!SO_2[BLO],[1]!SO_2[BLO],,-1) )
+
_xlfn.XLOOKUP(E203,[1]!SO_2[BLO],[1]!SO_2[ILO],,-1),2)</f>
        <v>10</v>
      </c>
      <c r="L203">
        <f>( ( _xlfn.XLOOKUP(F203,[1]!CO[BLO],[1]!CO[IHI],,-1)
- _xlfn.XLOOKUP(F203,[1]!CO[BLO],[1]!CO[ILO],,-1) )
/
( _xlfn.XLOOKUP(F203,[1]!CO[BLO],[1]!CO[BHI],,-1) - _xlfn.XLOOKUP(F203,[1]!CO[BLO],[1]!CO[BLO],,-1)))
*
( F203 - _xlfn.XLOOKUP(F203,[1]!CO[BLO],[1]!CO[BLO],,-1) )
+
_xlfn.XLOOKUP(F203,[1]!CO[BLO],[1]!CO[ILO],,-1)</f>
        <v>31</v>
      </c>
      <c r="M203">
        <f>(( _xlfn.XLOOKUP(G203,[1]!O_3[BLO],[1]!O_3[IHI],,-1) - _xlfn.XLOOKUP(G203,[1]!O_3[BLO],[1]!O_3[ILO],,-1))
/
( _xlfn.XLOOKUP(G203,[1]!O_3[BLO],[1]!O_3[BHI],,-1) - _xlfn.XLOOKUP(G203,[1]!O_3[BLO],[1]!O_3[BLO],,-1)))
*
( G203 - _xlfn.XLOOKUP(G203,[1]!O_3[BLO],[1]!O_3[BLO],,-1))
+
_xlfn.XLOOKUP(G203,[1]!O_3[BLO],[1]!O_3[ILO],,-1)</f>
        <v>28</v>
      </c>
      <c r="N203">
        <f>MAX(DAILY_DATA[[#This Row],[AQI_PM2.5]:[AQI_O3]])</f>
        <v>54</v>
      </c>
      <c r="O203" t="str">
        <f>_xlfn.XLOOKUP(DAILY_DATA[[#This Row],[OVERALL_AQI]],[1]!CATEGORY[AQI_LO],[1]!CATEGORY[CATEGORY],,-1)</f>
        <v>Satisfactory</v>
      </c>
      <c r="P203" t="str" cm="1">
        <f t="array" ref="P203">INDEX(
{"PM2.5","PM10","NO2","SO2","CO","O3"},
MATCH(N203,H203:M203,0)
)</f>
        <v>PM10</v>
      </c>
    </row>
    <row r="204" spans="1:16" x14ac:dyDescent="0.25">
      <c r="A204" s="4">
        <v>45494</v>
      </c>
      <c r="B204">
        <f>ROUND(AVERAGEIFS([1]HOURLY_DATA!B204:B8987,[1]HOURLY_DATA!H204:H8987,Daily_AQI!A204),0)</f>
        <v>16</v>
      </c>
      <c r="C204">
        <f>ROUND(AVERAGEIFS([1]HOURLY_DATA!C204:C8987,[1]HOURLY_DATA!H204:H8987,Daily_AQI!A204),0)</f>
        <v>46</v>
      </c>
      <c r="D204">
        <f>ROUND(AVERAGEIFS([1]HOURLY_DATA!D204:D8987,[1]HOURLY_DATA!H204:H8987,Daily_AQI!A204),0)</f>
        <v>15</v>
      </c>
      <c r="E204">
        <f>ROUND(AVERAGEIFS([1]HOURLY_DATA!E204:E8987,[1]HOURLY_DATA!H204:H8987,Daily_AQI!A204),0)</f>
        <v>8</v>
      </c>
      <c r="F204">
        <f>ROUND(AVERAGEIFS([1]HOURLY_DATA!I204:I8987,[1]HOURLY_DATA!H204:H8987,Daily_AQI!A204),2)</f>
        <v>0.56000000000000005</v>
      </c>
      <c r="G204">
        <f>ROUND(AVERAGEIFS([1]HOURLY_DATA!J204:J8987,[1]HOURLY_DATA!H204:H8987,Daily_AQI!A204),0)</f>
        <v>30</v>
      </c>
      <c r="H204">
        <f>ROUND(((_xlfn.XLOOKUP(B204,[1]!PM2.5[BLO],[1]!PM2.5[IHI],,-1) - _xlfn.XLOOKUP(B204,[1]!PM2.5[BLO],[1]!PM2.5[ILO],,-1))
/
(_xlfn.XLOOKUP(B204,[1]!PM2.5[BLO],[1]!PM2.5[BHI],,-1) - _xlfn.XLOOKUP(B204,[1]!PM2.5[BLO],[1]!PM2.5[BLO],,-1)))
*
(B204 - _xlfn.XLOOKUP(B204,[1]!PM2.5[BLO],[1]!PM2.5[BLO],,-1))
+
_xlfn.XLOOKUP(B204,[1]!PM2.5[BLO],[1]!PM2.5[ILO],,-1),2)</f>
        <v>26.67</v>
      </c>
      <c r="I204">
        <f>ROUND(((_xlfn.XLOOKUP(C204,[1]!PM_10[BLO],[1]!PM_10[IHI],,-1) - _xlfn.XLOOKUP(C204,[1]!PM_10[BLO],[1]!PM_10[ILO],,-1))
/
(_xlfn.XLOOKUP(C204,[1]!PM_10[BLO],[1]!PM_10[BHI],,-1) - _xlfn.XLOOKUP(C204,[1]!PM_10[BLO],[1]!PM_10[BLO],,-1)))
*
( C204 - _xlfn.XLOOKUP(C204,[1]!PM_10[BLO],[1]!PM_10[BLO],,-1))
+
_xlfn.XLOOKUP(C204,[1]!PM_10[BLO],[1]!PM_10[ILO],,-1),2)</f>
        <v>46</v>
      </c>
      <c r="J204">
        <f>ROUND((( _xlfn.XLOOKUP(D204,[1]!NO_2[BLO],[1]!NO_2[IHI],,-1) - _xlfn.XLOOKUP(D204,[1]!NO_2[BLO],[1]!NO_2[ILO],,-1))
/
( _xlfn.XLOOKUP(D204,[1]!NO_2[BLO],[1]!NO_2[BHI],,-1) - _xlfn.XLOOKUP(D204,[1]!NO_2[BLO],[1]!NO_2[BLO],,-1) ))
*
( D204 - _xlfn.XLOOKUP(D204,[1]!NO_2[BLO],[1]!NO_2[BLO],,-1))
+
_xlfn.XLOOKUP(D204,[1]!NO_2[BLO],[1]!NO_2[ILO],,-1),2)</f>
        <v>18.75</v>
      </c>
      <c r="K204">
        <f>ROUND(( ( _xlfn.XLOOKUP(E204,[1]!SO_2[BLO],[1]!SO_2[IHI],,-1)  - _xlfn.XLOOKUP(E204,[1]!SO_2[BLO],[1]!SO_2[ILO],,-1) )
/
( _xlfn.XLOOKUP(E204,[1]!SO_2[BLO],[1]!SO_2[BHI],,-1)- _xlfn.XLOOKUP(E204,[1]!SO_2[BLO],[1]!SO_2[BLO],,-1) ))
*
( E204 - _xlfn.XLOOKUP(E204,[1]!SO_2[BLO],[1]!SO_2[BLO],,-1) )
+
_xlfn.XLOOKUP(E204,[1]!SO_2[BLO],[1]!SO_2[ILO],,-1),2)</f>
        <v>10</v>
      </c>
      <c r="L204">
        <f>( ( _xlfn.XLOOKUP(F204,[1]!CO[BLO],[1]!CO[IHI],,-1)
- _xlfn.XLOOKUP(F204,[1]!CO[BLO],[1]!CO[ILO],,-1) )
/
( _xlfn.XLOOKUP(F204,[1]!CO[BLO],[1]!CO[BHI],,-1) - _xlfn.XLOOKUP(F204,[1]!CO[BLO],[1]!CO[BLO],,-1)))
*
( F204 - _xlfn.XLOOKUP(F204,[1]!CO[BLO],[1]!CO[BLO],,-1) )
+
_xlfn.XLOOKUP(F204,[1]!CO[BLO],[1]!CO[ILO],,-1)</f>
        <v>28.000000000000004</v>
      </c>
      <c r="M204">
        <f>(( _xlfn.XLOOKUP(G204,[1]!O_3[BLO],[1]!O_3[IHI],,-1) - _xlfn.XLOOKUP(G204,[1]!O_3[BLO],[1]!O_3[ILO],,-1))
/
( _xlfn.XLOOKUP(G204,[1]!O_3[BLO],[1]!O_3[BHI],,-1) - _xlfn.XLOOKUP(G204,[1]!O_3[BLO],[1]!O_3[BLO],,-1)))
*
( G204 - _xlfn.XLOOKUP(G204,[1]!O_3[BLO],[1]!O_3[BLO],,-1))
+
_xlfn.XLOOKUP(G204,[1]!O_3[BLO],[1]!O_3[ILO],,-1)</f>
        <v>30</v>
      </c>
      <c r="N204">
        <f>MAX(DAILY_DATA[[#This Row],[AQI_PM2.5]:[AQI_O3]])</f>
        <v>46</v>
      </c>
      <c r="O204" t="str">
        <f>_xlfn.XLOOKUP(DAILY_DATA[[#This Row],[OVERALL_AQI]],[1]!CATEGORY[AQI_LO],[1]!CATEGORY[CATEGORY],,-1)</f>
        <v>Good</v>
      </c>
      <c r="P204" t="str" cm="1">
        <f t="array" ref="P204">INDEX(
{"PM2.5","PM10","NO2","SO2","CO","O3"},
MATCH(N204,H204:M204,0)
)</f>
        <v>PM10</v>
      </c>
    </row>
    <row r="205" spans="1:16" x14ac:dyDescent="0.25">
      <c r="A205" s="4">
        <v>45495</v>
      </c>
      <c r="B205">
        <f>ROUND(AVERAGEIFS([1]HOURLY_DATA!B205:B8988,[1]HOURLY_DATA!H205:H8988,Daily_AQI!A205),0)</f>
        <v>15</v>
      </c>
      <c r="C205">
        <f>ROUND(AVERAGEIFS([1]HOURLY_DATA!C205:C8988,[1]HOURLY_DATA!H205:H8988,Daily_AQI!A205),0)</f>
        <v>47</v>
      </c>
      <c r="D205">
        <f>ROUND(AVERAGEIFS([1]HOURLY_DATA!D205:D8988,[1]HOURLY_DATA!H205:H8988,Daily_AQI!A205),0)</f>
        <v>16</v>
      </c>
      <c r="E205">
        <f>ROUND(AVERAGEIFS([1]HOURLY_DATA!E205:E8988,[1]HOURLY_DATA!H205:H8988,Daily_AQI!A205),0)</f>
        <v>8</v>
      </c>
      <c r="F205">
        <f>ROUND(AVERAGEIFS([1]HOURLY_DATA!I205:I8988,[1]HOURLY_DATA!H205:H8988,Daily_AQI!A205),2)</f>
        <v>0.59</v>
      </c>
      <c r="G205">
        <f>ROUND(AVERAGEIFS([1]HOURLY_DATA!J205:J8988,[1]HOURLY_DATA!H205:H8988,Daily_AQI!A205),0)</f>
        <v>28</v>
      </c>
      <c r="H205">
        <f>ROUND(((_xlfn.XLOOKUP(B205,[1]!PM2.5[BLO],[1]!PM2.5[IHI],,-1) - _xlfn.XLOOKUP(B205,[1]!PM2.5[BLO],[1]!PM2.5[ILO],,-1))
/
(_xlfn.XLOOKUP(B205,[1]!PM2.5[BLO],[1]!PM2.5[BHI],,-1) - _xlfn.XLOOKUP(B205,[1]!PM2.5[BLO],[1]!PM2.5[BLO],,-1)))
*
(B205 - _xlfn.XLOOKUP(B205,[1]!PM2.5[BLO],[1]!PM2.5[BLO],,-1))
+
_xlfn.XLOOKUP(B205,[1]!PM2.5[BLO],[1]!PM2.5[ILO],,-1),2)</f>
        <v>25</v>
      </c>
      <c r="I205">
        <f>ROUND(((_xlfn.XLOOKUP(C205,[1]!PM_10[BLO],[1]!PM_10[IHI],,-1) - _xlfn.XLOOKUP(C205,[1]!PM_10[BLO],[1]!PM_10[ILO],,-1))
/
(_xlfn.XLOOKUP(C205,[1]!PM_10[BLO],[1]!PM_10[BHI],,-1) - _xlfn.XLOOKUP(C205,[1]!PM_10[BLO],[1]!PM_10[BLO],,-1)))
*
( C205 - _xlfn.XLOOKUP(C205,[1]!PM_10[BLO],[1]!PM_10[BLO],,-1))
+
_xlfn.XLOOKUP(C205,[1]!PM_10[BLO],[1]!PM_10[ILO],,-1),2)</f>
        <v>47</v>
      </c>
      <c r="J205">
        <f>ROUND((( _xlfn.XLOOKUP(D205,[1]!NO_2[BLO],[1]!NO_2[IHI],,-1) - _xlfn.XLOOKUP(D205,[1]!NO_2[BLO],[1]!NO_2[ILO],,-1))
/
( _xlfn.XLOOKUP(D205,[1]!NO_2[BLO],[1]!NO_2[BHI],,-1) - _xlfn.XLOOKUP(D205,[1]!NO_2[BLO],[1]!NO_2[BLO],,-1) ))
*
( D205 - _xlfn.XLOOKUP(D205,[1]!NO_2[BLO],[1]!NO_2[BLO],,-1))
+
_xlfn.XLOOKUP(D205,[1]!NO_2[BLO],[1]!NO_2[ILO],,-1),2)</f>
        <v>20</v>
      </c>
      <c r="K205">
        <f>ROUND(( ( _xlfn.XLOOKUP(E205,[1]!SO_2[BLO],[1]!SO_2[IHI],,-1)  - _xlfn.XLOOKUP(E205,[1]!SO_2[BLO],[1]!SO_2[ILO],,-1) )
/
( _xlfn.XLOOKUP(E205,[1]!SO_2[BLO],[1]!SO_2[BHI],,-1)- _xlfn.XLOOKUP(E205,[1]!SO_2[BLO],[1]!SO_2[BLO],,-1) ))
*
( E205 - _xlfn.XLOOKUP(E205,[1]!SO_2[BLO],[1]!SO_2[BLO],,-1) )
+
_xlfn.XLOOKUP(E205,[1]!SO_2[BLO],[1]!SO_2[ILO],,-1),2)</f>
        <v>10</v>
      </c>
      <c r="L205">
        <f>( ( _xlfn.XLOOKUP(F205,[1]!CO[BLO],[1]!CO[IHI],,-1)
- _xlfn.XLOOKUP(F205,[1]!CO[BLO],[1]!CO[ILO],,-1) )
/
( _xlfn.XLOOKUP(F205,[1]!CO[BLO],[1]!CO[BHI],,-1) - _xlfn.XLOOKUP(F205,[1]!CO[BLO],[1]!CO[BLO],,-1)))
*
( F205 - _xlfn.XLOOKUP(F205,[1]!CO[BLO],[1]!CO[BLO],,-1) )
+
_xlfn.XLOOKUP(F205,[1]!CO[BLO],[1]!CO[ILO],,-1)</f>
        <v>29.5</v>
      </c>
      <c r="M205">
        <f>(( _xlfn.XLOOKUP(G205,[1]!O_3[BLO],[1]!O_3[IHI],,-1) - _xlfn.XLOOKUP(G205,[1]!O_3[BLO],[1]!O_3[ILO],,-1))
/
( _xlfn.XLOOKUP(G205,[1]!O_3[BLO],[1]!O_3[BHI],,-1) - _xlfn.XLOOKUP(G205,[1]!O_3[BLO],[1]!O_3[BLO],,-1)))
*
( G205 - _xlfn.XLOOKUP(G205,[1]!O_3[BLO],[1]!O_3[BLO],,-1))
+
_xlfn.XLOOKUP(G205,[1]!O_3[BLO],[1]!O_3[ILO],,-1)</f>
        <v>28</v>
      </c>
      <c r="N205">
        <f>MAX(DAILY_DATA[[#This Row],[AQI_PM2.5]:[AQI_O3]])</f>
        <v>47</v>
      </c>
      <c r="O205" t="str">
        <f>_xlfn.XLOOKUP(DAILY_DATA[[#This Row],[OVERALL_AQI]],[1]!CATEGORY[AQI_LO],[1]!CATEGORY[CATEGORY],,-1)</f>
        <v>Good</v>
      </c>
      <c r="P205" t="str" cm="1">
        <f t="array" ref="P205">INDEX(
{"PM2.5","PM10","NO2","SO2","CO","O3"},
MATCH(N205,H205:M205,0)
)</f>
        <v>PM10</v>
      </c>
    </row>
    <row r="206" spans="1:16" x14ac:dyDescent="0.25">
      <c r="A206" s="4">
        <v>45496</v>
      </c>
      <c r="B206">
        <f>ROUND(AVERAGEIFS([1]HOURLY_DATA!B206:B8989,[1]HOURLY_DATA!H206:H8989,Daily_AQI!A206),0)</f>
        <v>15</v>
      </c>
      <c r="C206">
        <f>ROUND(AVERAGEIFS([1]HOURLY_DATA!C206:C8989,[1]HOURLY_DATA!H206:H8989,Daily_AQI!A206),0)</f>
        <v>46</v>
      </c>
      <c r="D206">
        <f>ROUND(AVERAGEIFS([1]HOURLY_DATA!D206:D8989,[1]HOURLY_DATA!H206:H8989,Daily_AQI!A206),0)</f>
        <v>18</v>
      </c>
      <c r="E206">
        <f>ROUND(AVERAGEIFS([1]HOURLY_DATA!E206:E8989,[1]HOURLY_DATA!H206:H8989,Daily_AQI!A206),0)</f>
        <v>8</v>
      </c>
      <c r="F206">
        <f>ROUND(AVERAGEIFS([1]HOURLY_DATA!I206:I8989,[1]HOURLY_DATA!H206:H8989,Daily_AQI!A206),2)</f>
        <v>0.65</v>
      </c>
      <c r="G206">
        <f>ROUND(AVERAGEIFS([1]HOURLY_DATA!J206:J8989,[1]HOURLY_DATA!H206:H8989,Daily_AQI!A206),0)</f>
        <v>25</v>
      </c>
      <c r="H206">
        <f>ROUND(((_xlfn.XLOOKUP(B206,[1]!PM2.5[BLO],[1]!PM2.5[IHI],,-1) - _xlfn.XLOOKUP(B206,[1]!PM2.5[BLO],[1]!PM2.5[ILO],,-1))
/
(_xlfn.XLOOKUP(B206,[1]!PM2.5[BLO],[1]!PM2.5[BHI],,-1) - _xlfn.XLOOKUP(B206,[1]!PM2.5[BLO],[1]!PM2.5[BLO],,-1)))
*
(B206 - _xlfn.XLOOKUP(B206,[1]!PM2.5[BLO],[1]!PM2.5[BLO],,-1))
+
_xlfn.XLOOKUP(B206,[1]!PM2.5[BLO],[1]!PM2.5[ILO],,-1),2)</f>
        <v>25</v>
      </c>
      <c r="I206">
        <f>ROUND(((_xlfn.XLOOKUP(C206,[1]!PM_10[BLO],[1]!PM_10[IHI],,-1) - _xlfn.XLOOKUP(C206,[1]!PM_10[BLO],[1]!PM_10[ILO],,-1))
/
(_xlfn.XLOOKUP(C206,[1]!PM_10[BLO],[1]!PM_10[BHI],,-1) - _xlfn.XLOOKUP(C206,[1]!PM_10[BLO],[1]!PM_10[BLO],,-1)))
*
( C206 - _xlfn.XLOOKUP(C206,[1]!PM_10[BLO],[1]!PM_10[BLO],,-1))
+
_xlfn.XLOOKUP(C206,[1]!PM_10[BLO],[1]!PM_10[ILO],,-1),2)</f>
        <v>46</v>
      </c>
      <c r="J206">
        <f>ROUND((( _xlfn.XLOOKUP(D206,[1]!NO_2[BLO],[1]!NO_2[IHI],,-1) - _xlfn.XLOOKUP(D206,[1]!NO_2[BLO],[1]!NO_2[ILO],,-1))
/
( _xlfn.XLOOKUP(D206,[1]!NO_2[BLO],[1]!NO_2[BHI],,-1) - _xlfn.XLOOKUP(D206,[1]!NO_2[BLO],[1]!NO_2[BLO],,-1) ))
*
( D206 - _xlfn.XLOOKUP(D206,[1]!NO_2[BLO],[1]!NO_2[BLO],,-1))
+
_xlfn.XLOOKUP(D206,[1]!NO_2[BLO],[1]!NO_2[ILO],,-1),2)</f>
        <v>22.5</v>
      </c>
      <c r="K206">
        <f>ROUND(( ( _xlfn.XLOOKUP(E206,[1]!SO_2[BLO],[1]!SO_2[IHI],,-1)  - _xlfn.XLOOKUP(E206,[1]!SO_2[BLO],[1]!SO_2[ILO],,-1) )
/
( _xlfn.XLOOKUP(E206,[1]!SO_2[BLO],[1]!SO_2[BHI],,-1)- _xlfn.XLOOKUP(E206,[1]!SO_2[BLO],[1]!SO_2[BLO],,-1) ))
*
( E206 - _xlfn.XLOOKUP(E206,[1]!SO_2[BLO],[1]!SO_2[BLO],,-1) )
+
_xlfn.XLOOKUP(E206,[1]!SO_2[BLO],[1]!SO_2[ILO],,-1),2)</f>
        <v>10</v>
      </c>
      <c r="L206">
        <f>( ( _xlfn.XLOOKUP(F206,[1]!CO[BLO],[1]!CO[IHI],,-1)
- _xlfn.XLOOKUP(F206,[1]!CO[BLO],[1]!CO[ILO],,-1) )
/
( _xlfn.XLOOKUP(F206,[1]!CO[BLO],[1]!CO[BHI],,-1) - _xlfn.XLOOKUP(F206,[1]!CO[BLO],[1]!CO[BLO],,-1)))
*
( F206 - _xlfn.XLOOKUP(F206,[1]!CO[BLO],[1]!CO[BLO],,-1) )
+
_xlfn.XLOOKUP(F206,[1]!CO[BLO],[1]!CO[ILO],,-1)</f>
        <v>32.5</v>
      </c>
      <c r="M206">
        <f>(( _xlfn.XLOOKUP(G206,[1]!O_3[BLO],[1]!O_3[IHI],,-1) - _xlfn.XLOOKUP(G206,[1]!O_3[BLO],[1]!O_3[ILO],,-1))
/
( _xlfn.XLOOKUP(G206,[1]!O_3[BLO],[1]!O_3[BHI],,-1) - _xlfn.XLOOKUP(G206,[1]!O_3[BLO],[1]!O_3[BLO],,-1)))
*
( G206 - _xlfn.XLOOKUP(G206,[1]!O_3[BLO],[1]!O_3[BLO],,-1))
+
_xlfn.XLOOKUP(G206,[1]!O_3[BLO],[1]!O_3[ILO],,-1)</f>
        <v>25</v>
      </c>
      <c r="N206">
        <f>MAX(DAILY_DATA[[#This Row],[AQI_PM2.5]:[AQI_O3]])</f>
        <v>46</v>
      </c>
      <c r="O206" t="str">
        <f>_xlfn.XLOOKUP(DAILY_DATA[[#This Row],[OVERALL_AQI]],[1]!CATEGORY[AQI_LO],[1]!CATEGORY[CATEGORY],,-1)</f>
        <v>Good</v>
      </c>
      <c r="P206" t="str" cm="1">
        <f t="array" ref="P206">INDEX(
{"PM2.5","PM10","NO2","SO2","CO","O3"},
MATCH(N206,H206:M206,0)
)</f>
        <v>PM10</v>
      </c>
    </row>
    <row r="207" spans="1:16" x14ac:dyDescent="0.25">
      <c r="A207" s="4">
        <v>45497</v>
      </c>
      <c r="B207">
        <f>ROUND(AVERAGEIFS([1]HOURLY_DATA!B207:B8990,[1]HOURLY_DATA!H207:H8990,Daily_AQI!A207),0)</f>
        <v>16</v>
      </c>
      <c r="C207">
        <f>ROUND(AVERAGEIFS([1]HOURLY_DATA!C207:C8990,[1]HOURLY_DATA!H207:H8990,Daily_AQI!A207),0)</f>
        <v>43</v>
      </c>
      <c r="D207">
        <f>ROUND(AVERAGEIFS([1]HOURLY_DATA!D207:D8990,[1]HOURLY_DATA!H207:H8990,Daily_AQI!A207),0)</f>
        <v>17</v>
      </c>
      <c r="E207">
        <f>ROUND(AVERAGEIFS([1]HOURLY_DATA!E207:E8990,[1]HOURLY_DATA!H207:H8990,Daily_AQI!A207),0)</f>
        <v>8</v>
      </c>
      <c r="F207">
        <f>ROUND(AVERAGEIFS([1]HOURLY_DATA!I207:I8990,[1]HOURLY_DATA!H207:H8990,Daily_AQI!A207),2)</f>
        <v>0.64</v>
      </c>
      <c r="G207">
        <f>ROUND(AVERAGEIFS([1]HOURLY_DATA!J207:J8990,[1]HOURLY_DATA!H207:H8990,Daily_AQI!A207),0)</f>
        <v>25</v>
      </c>
      <c r="H207">
        <f>ROUND(((_xlfn.XLOOKUP(B207,[1]!PM2.5[BLO],[1]!PM2.5[IHI],,-1) - _xlfn.XLOOKUP(B207,[1]!PM2.5[BLO],[1]!PM2.5[ILO],,-1))
/
(_xlfn.XLOOKUP(B207,[1]!PM2.5[BLO],[1]!PM2.5[BHI],,-1) - _xlfn.XLOOKUP(B207,[1]!PM2.5[BLO],[1]!PM2.5[BLO],,-1)))
*
(B207 - _xlfn.XLOOKUP(B207,[1]!PM2.5[BLO],[1]!PM2.5[BLO],,-1))
+
_xlfn.XLOOKUP(B207,[1]!PM2.5[BLO],[1]!PM2.5[ILO],,-1),2)</f>
        <v>26.67</v>
      </c>
      <c r="I207">
        <f>ROUND(((_xlfn.XLOOKUP(C207,[1]!PM_10[BLO],[1]!PM_10[IHI],,-1) - _xlfn.XLOOKUP(C207,[1]!PM_10[BLO],[1]!PM_10[ILO],,-1))
/
(_xlfn.XLOOKUP(C207,[1]!PM_10[BLO],[1]!PM_10[BHI],,-1) - _xlfn.XLOOKUP(C207,[1]!PM_10[BLO],[1]!PM_10[BLO],,-1)))
*
( C207 - _xlfn.XLOOKUP(C207,[1]!PM_10[BLO],[1]!PM_10[BLO],,-1))
+
_xlfn.XLOOKUP(C207,[1]!PM_10[BLO],[1]!PM_10[ILO],,-1),2)</f>
        <v>43</v>
      </c>
      <c r="J207">
        <f>ROUND((( _xlfn.XLOOKUP(D207,[1]!NO_2[BLO],[1]!NO_2[IHI],,-1) - _xlfn.XLOOKUP(D207,[1]!NO_2[BLO],[1]!NO_2[ILO],,-1))
/
( _xlfn.XLOOKUP(D207,[1]!NO_2[BLO],[1]!NO_2[BHI],,-1) - _xlfn.XLOOKUP(D207,[1]!NO_2[BLO],[1]!NO_2[BLO],,-1) ))
*
( D207 - _xlfn.XLOOKUP(D207,[1]!NO_2[BLO],[1]!NO_2[BLO],,-1))
+
_xlfn.XLOOKUP(D207,[1]!NO_2[BLO],[1]!NO_2[ILO],,-1),2)</f>
        <v>21.25</v>
      </c>
      <c r="K207">
        <f>ROUND(( ( _xlfn.XLOOKUP(E207,[1]!SO_2[BLO],[1]!SO_2[IHI],,-1)  - _xlfn.XLOOKUP(E207,[1]!SO_2[BLO],[1]!SO_2[ILO],,-1) )
/
( _xlfn.XLOOKUP(E207,[1]!SO_2[BLO],[1]!SO_2[BHI],,-1)- _xlfn.XLOOKUP(E207,[1]!SO_2[BLO],[1]!SO_2[BLO],,-1) ))
*
( E207 - _xlfn.XLOOKUP(E207,[1]!SO_2[BLO],[1]!SO_2[BLO],,-1) )
+
_xlfn.XLOOKUP(E207,[1]!SO_2[BLO],[1]!SO_2[ILO],,-1),2)</f>
        <v>10</v>
      </c>
      <c r="L207">
        <f>( ( _xlfn.XLOOKUP(F207,[1]!CO[BLO],[1]!CO[IHI],,-1)
- _xlfn.XLOOKUP(F207,[1]!CO[BLO],[1]!CO[ILO],,-1) )
/
( _xlfn.XLOOKUP(F207,[1]!CO[BLO],[1]!CO[BHI],,-1) - _xlfn.XLOOKUP(F207,[1]!CO[BLO],[1]!CO[BLO],,-1)))
*
( F207 - _xlfn.XLOOKUP(F207,[1]!CO[BLO],[1]!CO[BLO],,-1) )
+
_xlfn.XLOOKUP(F207,[1]!CO[BLO],[1]!CO[ILO],,-1)</f>
        <v>32</v>
      </c>
      <c r="M207">
        <f>(( _xlfn.XLOOKUP(G207,[1]!O_3[BLO],[1]!O_3[IHI],,-1) - _xlfn.XLOOKUP(G207,[1]!O_3[BLO],[1]!O_3[ILO],,-1))
/
( _xlfn.XLOOKUP(G207,[1]!O_3[BLO],[1]!O_3[BHI],,-1) - _xlfn.XLOOKUP(G207,[1]!O_3[BLO],[1]!O_3[BLO],,-1)))
*
( G207 - _xlfn.XLOOKUP(G207,[1]!O_3[BLO],[1]!O_3[BLO],,-1))
+
_xlfn.XLOOKUP(G207,[1]!O_3[BLO],[1]!O_3[ILO],,-1)</f>
        <v>25</v>
      </c>
      <c r="N207">
        <f>MAX(DAILY_DATA[[#This Row],[AQI_PM2.5]:[AQI_O3]])</f>
        <v>43</v>
      </c>
      <c r="O207" t="str">
        <f>_xlfn.XLOOKUP(DAILY_DATA[[#This Row],[OVERALL_AQI]],[1]!CATEGORY[AQI_LO],[1]!CATEGORY[CATEGORY],,-1)</f>
        <v>Good</v>
      </c>
      <c r="P207" t="str" cm="1">
        <f t="array" ref="P207">INDEX(
{"PM2.5","PM10","NO2","SO2","CO","O3"},
MATCH(N207,H207:M207,0)
)</f>
        <v>PM10</v>
      </c>
    </row>
    <row r="208" spans="1:16" x14ac:dyDescent="0.25">
      <c r="A208" s="4">
        <v>45498</v>
      </c>
      <c r="B208">
        <f>ROUND(AVERAGEIFS([1]HOURLY_DATA!B208:B8991,[1]HOURLY_DATA!H208:H8991,Daily_AQI!A208),0)</f>
        <v>16</v>
      </c>
      <c r="C208">
        <f>ROUND(AVERAGEIFS([1]HOURLY_DATA!C208:C8991,[1]HOURLY_DATA!H208:H8991,Daily_AQI!A208),0)</f>
        <v>39</v>
      </c>
      <c r="D208">
        <f>ROUND(AVERAGEIFS([1]HOURLY_DATA!D208:D8991,[1]HOURLY_DATA!H208:H8991,Daily_AQI!A208),0)</f>
        <v>18</v>
      </c>
      <c r="E208">
        <f>ROUND(AVERAGEIFS([1]HOURLY_DATA!E208:E8991,[1]HOURLY_DATA!H208:H8991,Daily_AQI!A208),0)</f>
        <v>9</v>
      </c>
      <c r="F208">
        <f>ROUND(AVERAGEIFS([1]HOURLY_DATA!I208:I8991,[1]HOURLY_DATA!H208:H8991,Daily_AQI!A208),2)</f>
        <v>0.65</v>
      </c>
      <c r="G208">
        <f>ROUND(AVERAGEIFS([1]HOURLY_DATA!J208:J8991,[1]HOURLY_DATA!H208:H8991,Daily_AQI!A208),0)</f>
        <v>24</v>
      </c>
      <c r="H208">
        <f>ROUND(((_xlfn.XLOOKUP(B208,[1]!PM2.5[BLO],[1]!PM2.5[IHI],,-1) - _xlfn.XLOOKUP(B208,[1]!PM2.5[BLO],[1]!PM2.5[ILO],,-1))
/
(_xlfn.XLOOKUP(B208,[1]!PM2.5[BLO],[1]!PM2.5[BHI],,-1) - _xlfn.XLOOKUP(B208,[1]!PM2.5[BLO],[1]!PM2.5[BLO],,-1)))
*
(B208 - _xlfn.XLOOKUP(B208,[1]!PM2.5[BLO],[1]!PM2.5[BLO],,-1))
+
_xlfn.XLOOKUP(B208,[1]!PM2.5[BLO],[1]!PM2.5[ILO],,-1),2)</f>
        <v>26.67</v>
      </c>
      <c r="I208">
        <f>ROUND(((_xlfn.XLOOKUP(C208,[1]!PM_10[BLO],[1]!PM_10[IHI],,-1) - _xlfn.XLOOKUP(C208,[1]!PM_10[BLO],[1]!PM_10[ILO],,-1))
/
(_xlfn.XLOOKUP(C208,[1]!PM_10[BLO],[1]!PM_10[BHI],,-1) - _xlfn.XLOOKUP(C208,[1]!PM_10[BLO],[1]!PM_10[BLO],,-1)))
*
( C208 - _xlfn.XLOOKUP(C208,[1]!PM_10[BLO],[1]!PM_10[BLO],,-1))
+
_xlfn.XLOOKUP(C208,[1]!PM_10[BLO],[1]!PM_10[ILO],,-1),2)</f>
        <v>39</v>
      </c>
      <c r="J208">
        <f>ROUND((( _xlfn.XLOOKUP(D208,[1]!NO_2[BLO],[1]!NO_2[IHI],,-1) - _xlfn.XLOOKUP(D208,[1]!NO_2[BLO],[1]!NO_2[ILO],,-1))
/
( _xlfn.XLOOKUP(D208,[1]!NO_2[BLO],[1]!NO_2[BHI],,-1) - _xlfn.XLOOKUP(D208,[1]!NO_2[BLO],[1]!NO_2[BLO],,-1) ))
*
( D208 - _xlfn.XLOOKUP(D208,[1]!NO_2[BLO],[1]!NO_2[BLO],,-1))
+
_xlfn.XLOOKUP(D208,[1]!NO_2[BLO],[1]!NO_2[ILO],,-1),2)</f>
        <v>22.5</v>
      </c>
      <c r="K208">
        <f>ROUND(( ( _xlfn.XLOOKUP(E208,[1]!SO_2[BLO],[1]!SO_2[IHI],,-1)  - _xlfn.XLOOKUP(E208,[1]!SO_2[BLO],[1]!SO_2[ILO],,-1) )
/
( _xlfn.XLOOKUP(E208,[1]!SO_2[BLO],[1]!SO_2[BHI],,-1)- _xlfn.XLOOKUP(E208,[1]!SO_2[BLO],[1]!SO_2[BLO],,-1) ))
*
( E208 - _xlfn.XLOOKUP(E208,[1]!SO_2[BLO],[1]!SO_2[BLO],,-1) )
+
_xlfn.XLOOKUP(E208,[1]!SO_2[BLO],[1]!SO_2[ILO],,-1),2)</f>
        <v>11.25</v>
      </c>
      <c r="L208">
        <f>( ( _xlfn.XLOOKUP(F208,[1]!CO[BLO],[1]!CO[IHI],,-1)
- _xlfn.XLOOKUP(F208,[1]!CO[BLO],[1]!CO[ILO],,-1) )
/
( _xlfn.XLOOKUP(F208,[1]!CO[BLO],[1]!CO[BHI],,-1) - _xlfn.XLOOKUP(F208,[1]!CO[BLO],[1]!CO[BLO],,-1)))
*
( F208 - _xlfn.XLOOKUP(F208,[1]!CO[BLO],[1]!CO[BLO],,-1) )
+
_xlfn.XLOOKUP(F208,[1]!CO[BLO],[1]!CO[ILO],,-1)</f>
        <v>32.5</v>
      </c>
      <c r="M208">
        <f>(( _xlfn.XLOOKUP(G208,[1]!O_3[BLO],[1]!O_3[IHI],,-1) - _xlfn.XLOOKUP(G208,[1]!O_3[BLO],[1]!O_3[ILO],,-1))
/
( _xlfn.XLOOKUP(G208,[1]!O_3[BLO],[1]!O_3[BHI],,-1) - _xlfn.XLOOKUP(G208,[1]!O_3[BLO],[1]!O_3[BLO],,-1)))
*
( G208 - _xlfn.XLOOKUP(G208,[1]!O_3[BLO],[1]!O_3[BLO],,-1))
+
_xlfn.XLOOKUP(G208,[1]!O_3[BLO],[1]!O_3[ILO],,-1)</f>
        <v>24</v>
      </c>
      <c r="N208">
        <f>MAX(DAILY_DATA[[#This Row],[AQI_PM2.5]:[AQI_O3]])</f>
        <v>39</v>
      </c>
      <c r="O208" t="str">
        <f>_xlfn.XLOOKUP(DAILY_DATA[[#This Row],[OVERALL_AQI]],[1]!CATEGORY[AQI_LO],[1]!CATEGORY[CATEGORY],,-1)</f>
        <v>Good</v>
      </c>
      <c r="P208" t="str" cm="1">
        <f t="array" ref="P208">INDEX(
{"PM2.5","PM10","NO2","SO2","CO","O3"},
MATCH(N208,H208:M208,0)
)</f>
        <v>PM10</v>
      </c>
    </row>
    <row r="209" spans="1:16" x14ac:dyDescent="0.25">
      <c r="A209" s="4">
        <v>45499</v>
      </c>
      <c r="B209">
        <f>ROUND(AVERAGEIFS([1]HOURLY_DATA!B209:B8992,[1]HOURLY_DATA!H209:H8992,Daily_AQI!A209),0)</f>
        <v>18</v>
      </c>
      <c r="C209">
        <f>ROUND(AVERAGEIFS([1]HOURLY_DATA!C209:C8992,[1]HOURLY_DATA!H209:H8992,Daily_AQI!A209),0)</f>
        <v>46</v>
      </c>
      <c r="D209">
        <f>ROUND(AVERAGEIFS([1]HOURLY_DATA!D209:D8992,[1]HOURLY_DATA!H209:H8992,Daily_AQI!A209),0)</f>
        <v>18</v>
      </c>
      <c r="E209">
        <f>ROUND(AVERAGEIFS([1]HOURLY_DATA!E209:E8992,[1]HOURLY_DATA!H209:H8992,Daily_AQI!A209),0)</f>
        <v>9</v>
      </c>
      <c r="F209">
        <f>ROUND(AVERAGEIFS([1]HOURLY_DATA!I209:I8992,[1]HOURLY_DATA!H209:H8992,Daily_AQI!A209),2)</f>
        <v>0.66</v>
      </c>
      <c r="G209">
        <f>ROUND(AVERAGEIFS([1]HOURLY_DATA!J209:J8992,[1]HOURLY_DATA!H209:H8992,Daily_AQI!A209),0)</f>
        <v>22</v>
      </c>
      <c r="H209">
        <f>ROUND(((_xlfn.XLOOKUP(B209,[1]!PM2.5[BLO],[1]!PM2.5[IHI],,-1) - _xlfn.XLOOKUP(B209,[1]!PM2.5[BLO],[1]!PM2.5[ILO],,-1))
/
(_xlfn.XLOOKUP(B209,[1]!PM2.5[BLO],[1]!PM2.5[BHI],,-1) - _xlfn.XLOOKUP(B209,[1]!PM2.5[BLO],[1]!PM2.5[BLO],,-1)))
*
(B209 - _xlfn.XLOOKUP(B209,[1]!PM2.5[BLO],[1]!PM2.5[BLO],,-1))
+
_xlfn.XLOOKUP(B209,[1]!PM2.5[BLO],[1]!PM2.5[ILO],,-1),2)</f>
        <v>30</v>
      </c>
      <c r="I209">
        <f>ROUND(((_xlfn.XLOOKUP(C209,[1]!PM_10[BLO],[1]!PM_10[IHI],,-1) - _xlfn.XLOOKUP(C209,[1]!PM_10[BLO],[1]!PM_10[ILO],,-1))
/
(_xlfn.XLOOKUP(C209,[1]!PM_10[BLO],[1]!PM_10[BHI],,-1) - _xlfn.XLOOKUP(C209,[1]!PM_10[BLO],[1]!PM_10[BLO],,-1)))
*
( C209 - _xlfn.XLOOKUP(C209,[1]!PM_10[BLO],[1]!PM_10[BLO],,-1))
+
_xlfn.XLOOKUP(C209,[1]!PM_10[BLO],[1]!PM_10[ILO],,-1),2)</f>
        <v>46</v>
      </c>
      <c r="J209">
        <f>ROUND((( _xlfn.XLOOKUP(D209,[1]!NO_2[BLO],[1]!NO_2[IHI],,-1) - _xlfn.XLOOKUP(D209,[1]!NO_2[BLO],[1]!NO_2[ILO],,-1))
/
( _xlfn.XLOOKUP(D209,[1]!NO_2[BLO],[1]!NO_2[BHI],,-1) - _xlfn.XLOOKUP(D209,[1]!NO_2[BLO],[1]!NO_2[BLO],,-1) ))
*
( D209 - _xlfn.XLOOKUP(D209,[1]!NO_2[BLO],[1]!NO_2[BLO],,-1))
+
_xlfn.XLOOKUP(D209,[1]!NO_2[BLO],[1]!NO_2[ILO],,-1),2)</f>
        <v>22.5</v>
      </c>
      <c r="K209">
        <f>ROUND(( ( _xlfn.XLOOKUP(E209,[1]!SO_2[BLO],[1]!SO_2[IHI],,-1)  - _xlfn.XLOOKUP(E209,[1]!SO_2[BLO],[1]!SO_2[ILO],,-1) )
/
( _xlfn.XLOOKUP(E209,[1]!SO_2[BLO],[1]!SO_2[BHI],,-1)- _xlfn.XLOOKUP(E209,[1]!SO_2[BLO],[1]!SO_2[BLO],,-1) ))
*
( E209 - _xlfn.XLOOKUP(E209,[1]!SO_2[BLO],[1]!SO_2[BLO],,-1) )
+
_xlfn.XLOOKUP(E209,[1]!SO_2[BLO],[1]!SO_2[ILO],,-1),2)</f>
        <v>11.25</v>
      </c>
      <c r="L209">
        <f>( ( _xlfn.XLOOKUP(F209,[1]!CO[BLO],[1]!CO[IHI],,-1)
- _xlfn.XLOOKUP(F209,[1]!CO[BLO],[1]!CO[ILO],,-1) )
/
( _xlfn.XLOOKUP(F209,[1]!CO[BLO],[1]!CO[BHI],,-1) - _xlfn.XLOOKUP(F209,[1]!CO[BLO],[1]!CO[BLO],,-1)))
*
( F209 - _xlfn.XLOOKUP(F209,[1]!CO[BLO],[1]!CO[BLO],,-1) )
+
_xlfn.XLOOKUP(F209,[1]!CO[BLO],[1]!CO[ILO],,-1)</f>
        <v>33</v>
      </c>
      <c r="M209">
        <f>(( _xlfn.XLOOKUP(G209,[1]!O_3[BLO],[1]!O_3[IHI],,-1) - _xlfn.XLOOKUP(G209,[1]!O_3[BLO],[1]!O_3[ILO],,-1))
/
( _xlfn.XLOOKUP(G209,[1]!O_3[BLO],[1]!O_3[BHI],,-1) - _xlfn.XLOOKUP(G209,[1]!O_3[BLO],[1]!O_3[BLO],,-1)))
*
( G209 - _xlfn.XLOOKUP(G209,[1]!O_3[BLO],[1]!O_3[BLO],,-1))
+
_xlfn.XLOOKUP(G209,[1]!O_3[BLO],[1]!O_3[ILO],,-1)</f>
        <v>22</v>
      </c>
      <c r="N209">
        <f>MAX(DAILY_DATA[[#This Row],[AQI_PM2.5]:[AQI_O3]])</f>
        <v>46</v>
      </c>
      <c r="O209" t="str">
        <f>_xlfn.XLOOKUP(DAILY_DATA[[#This Row],[OVERALL_AQI]],[1]!CATEGORY[AQI_LO],[1]!CATEGORY[CATEGORY],,-1)</f>
        <v>Good</v>
      </c>
      <c r="P209" t="str" cm="1">
        <f t="array" ref="P209">INDEX(
{"PM2.5","PM10","NO2","SO2","CO","O3"},
MATCH(N209,H209:M209,0)
)</f>
        <v>PM10</v>
      </c>
    </row>
    <row r="210" spans="1:16" x14ac:dyDescent="0.25">
      <c r="A210" s="4">
        <v>45500</v>
      </c>
      <c r="B210">
        <f>ROUND(AVERAGEIFS([1]HOURLY_DATA!B210:B8993,[1]HOURLY_DATA!H210:H8993,Daily_AQI!A210),0)</f>
        <v>18</v>
      </c>
      <c r="C210">
        <f>ROUND(AVERAGEIFS([1]HOURLY_DATA!C210:C8993,[1]HOURLY_DATA!H210:H8993,Daily_AQI!A210),0)</f>
        <v>49</v>
      </c>
      <c r="D210">
        <f>ROUND(AVERAGEIFS([1]HOURLY_DATA!D210:D8993,[1]HOURLY_DATA!H210:H8993,Daily_AQI!A210),0)</f>
        <v>17</v>
      </c>
      <c r="E210">
        <f>ROUND(AVERAGEIFS([1]HOURLY_DATA!E210:E8993,[1]HOURLY_DATA!H210:H8993,Daily_AQI!A210),0)</f>
        <v>8</v>
      </c>
      <c r="F210">
        <f>ROUND(AVERAGEIFS([1]HOURLY_DATA!I210:I8993,[1]HOURLY_DATA!H210:H8993,Daily_AQI!A210),2)</f>
        <v>0.63</v>
      </c>
      <c r="G210">
        <f>ROUND(AVERAGEIFS([1]HOURLY_DATA!J210:J8993,[1]HOURLY_DATA!H210:H8993,Daily_AQI!A210),0)</f>
        <v>21</v>
      </c>
      <c r="H210">
        <f>ROUND(((_xlfn.XLOOKUP(B210,[1]!PM2.5[BLO],[1]!PM2.5[IHI],,-1) - _xlfn.XLOOKUP(B210,[1]!PM2.5[BLO],[1]!PM2.5[ILO],,-1))
/
(_xlfn.XLOOKUP(B210,[1]!PM2.5[BLO],[1]!PM2.5[BHI],,-1) - _xlfn.XLOOKUP(B210,[1]!PM2.5[BLO],[1]!PM2.5[BLO],,-1)))
*
(B210 - _xlfn.XLOOKUP(B210,[1]!PM2.5[BLO],[1]!PM2.5[BLO],,-1))
+
_xlfn.XLOOKUP(B210,[1]!PM2.5[BLO],[1]!PM2.5[ILO],,-1),2)</f>
        <v>30</v>
      </c>
      <c r="I210">
        <f>ROUND(((_xlfn.XLOOKUP(C210,[1]!PM_10[BLO],[1]!PM_10[IHI],,-1) - _xlfn.XLOOKUP(C210,[1]!PM_10[BLO],[1]!PM_10[ILO],,-1))
/
(_xlfn.XLOOKUP(C210,[1]!PM_10[BLO],[1]!PM_10[BHI],,-1) - _xlfn.XLOOKUP(C210,[1]!PM_10[BLO],[1]!PM_10[BLO],,-1)))
*
( C210 - _xlfn.XLOOKUP(C210,[1]!PM_10[BLO],[1]!PM_10[BLO],,-1))
+
_xlfn.XLOOKUP(C210,[1]!PM_10[BLO],[1]!PM_10[ILO],,-1),2)</f>
        <v>49</v>
      </c>
      <c r="J210">
        <f>ROUND((( _xlfn.XLOOKUP(D210,[1]!NO_2[BLO],[1]!NO_2[IHI],,-1) - _xlfn.XLOOKUP(D210,[1]!NO_2[BLO],[1]!NO_2[ILO],,-1))
/
( _xlfn.XLOOKUP(D210,[1]!NO_2[BLO],[1]!NO_2[BHI],,-1) - _xlfn.XLOOKUP(D210,[1]!NO_2[BLO],[1]!NO_2[BLO],,-1) ))
*
( D210 - _xlfn.XLOOKUP(D210,[1]!NO_2[BLO],[1]!NO_2[BLO],,-1))
+
_xlfn.XLOOKUP(D210,[1]!NO_2[BLO],[1]!NO_2[ILO],,-1),2)</f>
        <v>21.25</v>
      </c>
      <c r="K210">
        <f>ROUND(( ( _xlfn.XLOOKUP(E210,[1]!SO_2[BLO],[1]!SO_2[IHI],,-1)  - _xlfn.XLOOKUP(E210,[1]!SO_2[BLO],[1]!SO_2[ILO],,-1) )
/
( _xlfn.XLOOKUP(E210,[1]!SO_2[BLO],[1]!SO_2[BHI],,-1)- _xlfn.XLOOKUP(E210,[1]!SO_2[BLO],[1]!SO_2[BLO],,-1) ))
*
( E210 - _xlfn.XLOOKUP(E210,[1]!SO_2[BLO],[1]!SO_2[BLO],,-1) )
+
_xlfn.XLOOKUP(E210,[1]!SO_2[BLO],[1]!SO_2[ILO],,-1),2)</f>
        <v>10</v>
      </c>
      <c r="L210">
        <f>( ( _xlfn.XLOOKUP(F210,[1]!CO[BLO],[1]!CO[IHI],,-1)
- _xlfn.XLOOKUP(F210,[1]!CO[BLO],[1]!CO[ILO],,-1) )
/
( _xlfn.XLOOKUP(F210,[1]!CO[BLO],[1]!CO[BHI],,-1) - _xlfn.XLOOKUP(F210,[1]!CO[BLO],[1]!CO[BLO],,-1)))
*
( F210 - _xlfn.XLOOKUP(F210,[1]!CO[BLO],[1]!CO[BLO],,-1) )
+
_xlfn.XLOOKUP(F210,[1]!CO[BLO],[1]!CO[ILO],,-1)</f>
        <v>31.5</v>
      </c>
      <c r="M210">
        <f>(( _xlfn.XLOOKUP(G210,[1]!O_3[BLO],[1]!O_3[IHI],,-1) - _xlfn.XLOOKUP(G210,[1]!O_3[BLO],[1]!O_3[ILO],,-1))
/
( _xlfn.XLOOKUP(G210,[1]!O_3[BLO],[1]!O_3[BHI],,-1) - _xlfn.XLOOKUP(G210,[1]!O_3[BLO],[1]!O_3[BLO],,-1)))
*
( G210 - _xlfn.XLOOKUP(G210,[1]!O_3[BLO],[1]!O_3[BLO],,-1))
+
_xlfn.XLOOKUP(G210,[1]!O_3[BLO],[1]!O_3[ILO],,-1)</f>
        <v>21</v>
      </c>
      <c r="N210">
        <f>MAX(DAILY_DATA[[#This Row],[AQI_PM2.5]:[AQI_O3]])</f>
        <v>49</v>
      </c>
      <c r="O210" t="str">
        <f>_xlfn.XLOOKUP(DAILY_DATA[[#This Row],[OVERALL_AQI]],[1]!CATEGORY[AQI_LO],[1]!CATEGORY[CATEGORY],,-1)</f>
        <v>Good</v>
      </c>
      <c r="P210" t="str" cm="1">
        <f t="array" ref="P210">INDEX(
{"PM2.5","PM10","NO2","SO2","CO","O3"},
MATCH(N210,H210:M210,0)
)</f>
        <v>PM10</v>
      </c>
    </row>
    <row r="211" spans="1:16" x14ac:dyDescent="0.25">
      <c r="A211" s="4">
        <v>45501</v>
      </c>
      <c r="B211">
        <f>ROUND(AVERAGEIFS([1]HOURLY_DATA!B211:B8994,[1]HOURLY_DATA!H211:H8994,Daily_AQI!A211),0)</f>
        <v>20</v>
      </c>
      <c r="C211">
        <f>ROUND(AVERAGEIFS([1]HOURLY_DATA!C211:C8994,[1]HOURLY_DATA!H211:H8994,Daily_AQI!A211),0)</f>
        <v>49</v>
      </c>
      <c r="D211">
        <f>ROUND(AVERAGEIFS([1]HOURLY_DATA!D211:D8994,[1]HOURLY_DATA!H211:H8994,Daily_AQI!A211),0)</f>
        <v>16</v>
      </c>
      <c r="E211">
        <f>ROUND(AVERAGEIFS([1]HOURLY_DATA!E211:E8994,[1]HOURLY_DATA!H211:H8994,Daily_AQI!A211),0)</f>
        <v>8</v>
      </c>
      <c r="F211">
        <f>ROUND(AVERAGEIFS([1]HOURLY_DATA!I211:I8994,[1]HOURLY_DATA!H211:H8994,Daily_AQI!A211),2)</f>
        <v>0.59</v>
      </c>
      <c r="G211">
        <f>ROUND(AVERAGEIFS([1]HOURLY_DATA!J211:J8994,[1]HOURLY_DATA!H211:H8994,Daily_AQI!A211),0)</f>
        <v>23</v>
      </c>
      <c r="H211">
        <f>ROUND(((_xlfn.XLOOKUP(B211,[1]!PM2.5[BLO],[1]!PM2.5[IHI],,-1) - _xlfn.XLOOKUP(B211,[1]!PM2.5[BLO],[1]!PM2.5[ILO],,-1))
/
(_xlfn.XLOOKUP(B211,[1]!PM2.5[BLO],[1]!PM2.5[BHI],,-1) - _xlfn.XLOOKUP(B211,[1]!PM2.5[BLO],[1]!PM2.5[BLO],,-1)))
*
(B211 - _xlfn.XLOOKUP(B211,[1]!PM2.5[BLO],[1]!PM2.5[BLO],,-1))
+
_xlfn.XLOOKUP(B211,[1]!PM2.5[BLO],[1]!PM2.5[ILO],,-1),2)</f>
        <v>33.33</v>
      </c>
      <c r="I211">
        <f>ROUND(((_xlfn.XLOOKUP(C211,[1]!PM_10[BLO],[1]!PM_10[IHI],,-1) - _xlfn.XLOOKUP(C211,[1]!PM_10[BLO],[1]!PM_10[ILO],,-1))
/
(_xlfn.XLOOKUP(C211,[1]!PM_10[BLO],[1]!PM_10[BHI],,-1) - _xlfn.XLOOKUP(C211,[1]!PM_10[BLO],[1]!PM_10[BLO],,-1)))
*
( C211 - _xlfn.XLOOKUP(C211,[1]!PM_10[BLO],[1]!PM_10[BLO],,-1))
+
_xlfn.XLOOKUP(C211,[1]!PM_10[BLO],[1]!PM_10[ILO],,-1),2)</f>
        <v>49</v>
      </c>
      <c r="J211">
        <f>ROUND((( _xlfn.XLOOKUP(D211,[1]!NO_2[BLO],[1]!NO_2[IHI],,-1) - _xlfn.XLOOKUP(D211,[1]!NO_2[BLO],[1]!NO_2[ILO],,-1))
/
( _xlfn.XLOOKUP(D211,[1]!NO_2[BLO],[1]!NO_2[BHI],,-1) - _xlfn.XLOOKUP(D211,[1]!NO_2[BLO],[1]!NO_2[BLO],,-1) ))
*
( D211 - _xlfn.XLOOKUP(D211,[1]!NO_2[BLO],[1]!NO_2[BLO],,-1))
+
_xlfn.XLOOKUP(D211,[1]!NO_2[BLO],[1]!NO_2[ILO],,-1),2)</f>
        <v>20</v>
      </c>
      <c r="K211">
        <f>ROUND(( ( _xlfn.XLOOKUP(E211,[1]!SO_2[BLO],[1]!SO_2[IHI],,-1)  - _xlfn.XLOOKUP(E211,[1]!SO_2[BLO],[1]!SO_2[ILO],,-1) )
/
( _xlfn.XLOOKUP(E211,[1]!SO_2[BLO],[1]!SO_2[BHI],,-1)- _xlfn.XLOOKUP(E211,[1]!SO_2[BLO],[1]!SO_2[BLO],,-1) ))
*
( E211 - _xlfn.XLOOKUP(E211,[1]!SO_2[BLO],[1]!SO_2[BLO],,-1) )
+
_xlfn.XLOOKUP(E211,[1]!SO_2[BLO],[1]!SO_2[ILO],,-1),2)</f>
        <v>10</v>
      </c>
      <c r="L211">
        <f>( ( _xlfn.XLOOKUP(F211,[1]!CO[BLO],[1]!CO[IHI],,-1)
- _xlfn.XLOOKUP(F211,[1]!CO[BLO],[1]!CO[ILO],,-1) )
/
( _xlfn.XLOOKUP(F211,[1]!CO[BLO],[1]!CO[BHI],,-1) - _xlfn.XLOOKUP(F211,[1]!CO[BLO],[1]!CO[BLO],,-1)))
*
( F211 - _xlfn.XLOOKUP(F211,[1]!CO[BLO],[1]!CO[BLO],,-1) )
+
_xlfn.XLOOKUP(F211,[1]!CO[BLO],[1]!CO[ILO],,-1)</f>
        <v>29.5</v>
      </c>
      <c r="M211">
        <f>(( _xlfn.XLOOKUP(G211,[1]!O_3[BLO],[1]!O_3[IHI],,-1) - _xlfn.XLOOKUP(G211,[1]!O_3[BLO],[1]!O_3[ILO],,-1))
/
( _xlfn.XLOOKUP(G211,[1]!O_3[BLO],[1]!O_3[BHI],,-1) - _xlfn.XLOOKUP(G211,[1]!O_3[BLO],[1]!O_3[BLO],,-1)))
*
( G211 - _xlfn.XLOOKUP(G211,[1]!O_3[BLO],[1]!O_3[BLO],,-1))
+
_xlfn.XLOOKUP(G211,[1]!O_3[BLO],[1]!O_3[ILO],,-1)</f>
        <v>23</v>
      </c>
      <c r="N211">
        <f>MAX(DAILY_DATA[[#This Row],[AQI_PM2.5]:[AQI_O3]])</f>
        <v>49</v>
      </c>
      <c r="O211" t="str">
        <f>_xlfn.XLOOKUP(DAILY_DATA[[#This Row],[OVERALL_AQI]],[1]!CATEGORY[AQI_LO],[1]!CATEGORY[CATEGORY],,-1)</f>
        <v>Good</v>
      </c>
      <c r="P211" t="str" cm="1">
        <f t="array" ref="P211">INDEX(
{"PM2.5","PM10","NO2","SO2","CO","O3"},
MATCH(N211,H211:M211,0)
)</f>
        <v>PM10</v>
      </c>
    </row>
    <row r="212" spans="1:16" x14ac:dyDescent="0.25">
      <c r="A212" s="4">
        <v>45502</v>
      </c>
      <c r="B212">
        <f>ROUND(AVERAGEIFS([1]HOURLY_DATA!B212:B8995,[1]HOURLY_DATA!H212:H8995,Daily_AQI!A212),0)</f>
        <v>21</v>
      </c>
      <c r="C212">
        <f>ROUND(AVERAGEIFS([1]HOURLY_DATA!C212:C8995,[1]HOURLY_DATA!H212:H8995,Daily_AQI!A212),0)</f>
        <v>53</v>
      </c>
      <c r="D212">
        <f>ROUND(AVERAGEIFS([1]HOURLY_DATA!D212:D8995,[1]HOURLY_DATA!H212:H8995,Daily_AQI!A212),0)</f>
        <v>17</v>
      </c>
      <c r="E212">
        <f>ROUND(AVERAGEIFS([1]HOURLY_DATA!E212:E8995,[1]HOURLY_DATA!H212:H8995,Daily_AQI!A212),0)</f>
        <v>9</v>
      </c>
      <c r="F212">
        <f>ROUND(AVERAGEIFS([1]HOURLY_DATA!I212:I8995,[1]HOURLY_DATA!H212:H8995,Daily_AQI!A212),2)</f>
        <v>0.52</v>
      </c>
      <c r="G212">
        <f>ROUND(AVERAGEIFS([1]HOURLY_DATA!J212:J8995,[1]HOURLY_DATA!H212:H8995,Daily_AQI!A212),0)</f>
        <v>24</v>
      </c>
      <c r="H212">
        <f>ROUND(((_xlfn.XLOOKUP(B212,[1]!PM2.5[BLO],[1]!PM2.5[IHI],,-1) - _xlfn.XLOOKUP(B212,[1]!PM2.5[BLO],[1]!PM2.5[ILO],,-1))
/
(_xlfn.XLOOKUP(B212,[1]!PM2.5[BLO],[1]!PM2.5[BHI],,-1) - _xlfn.XLOOKUP(B212,[1]!PM2.5[BLO],[1]!PM2.5[BLO],,-1)))
*
(B212 - _xlfn.XLOOKUP(B212,[1]!PM2.5[BLO],[1]!PM2.5[BLO],,-1))
+
_xlfn.XLOOKUP(B212,[1]!PM2.5[BLO],[1]!PM2.5[ILO],,-1),2)</f>
        <v>35</v>
      </c>
      <c r="I212">
        <f>ROUND(((_xlfn.XLOOKUP(C212,[1]!PM_10[BLO],[1]!PM_10[IHI],,-1) - _xlfn.XLOOKUP(C212,[1]!PM_10[BLO],[1]!PM_10[ILO],,-1))
/
(_xlfn.XLOOKUP(C212,[1]!PM_10[BLO],[1]!PM_10[BHI],,-1) - _xlfn.XLOOKUP(C212,[1]!PM_10[BLO],[1]!PM_10[BLO],,-1)))
*
( C212 - _xlfn.XLOOKUP(C212,[1]!PM_10[BLO],[1]!PM_10[BLO],,-1))
+
_xlfn.XLOOKUP(C212,[1]!PM_10[BLO],[1]!PM_10[ILO],,-1),2)</f>
        <v>53</v>
      </c>
      <c r="J212">
        <f>ROUND((( _xlfn.XLOOKUP(D212,[1]!NO_2[BLO],[1]!NO_2[IHI],,-1) - _xlfn.XLOOKUP(D212,[1]!NO_2[BLO],[1]!NO_2[ILO],,-1))
/
( _xlfn.XLOOKUP(D212,[1]!NO_2[BLO],[1]!NO_2[BHI],,-1) - _xlfn.XLOOKUP(D212,[1]!NO_2[BLO],[1]!NO_2[BLO],,-1) ))
*
( D212 - _xlfn.XLOOKUP(D212,[1]!NO_2[BLO],[1]!NO_2[BLO],,-1))
+
_xlfn.XLOOKUP(D212,[1]!NO_2[BLO],[1]!NO_2[ILO],,-1),2)</f>
        <v>21.25</v>
      </c>
      <c r="K212">
        <f>ROUND(( ( _xlfn.XLOOKUP(E212,[1]!SO_2[BLO],[1]!SO_2[IHI],,-1)  - _xlfn.XLOOKUP(E212,[1]!SO_2[BLO],[1]!SO_2[ILO],,-1) )
/
( _xlfn.XLOOKUP(E212,[1]!SO_2[BLO],[1]!SO_2[BHI],,-1)- _xlfn.XLOOKUP(E212,[1]!SO_2[BLO],[1]!SO_2[BLO],,-1) ))
*
( E212 - _xlfn.XLOOKUP(E212,[1]!SO_2[BLO],[1]!SO_2[BLO],,-1) )
+
_xlfn.XLOOKUP(E212,[1]!SO_2[BLO],[1]!SO_2[ILO],,-1),2)</f>
        <v>11.25</v>
      </c>
      <c r="L212">
        <f>( ( _xlfn.XLOOKUP(F212,[1]!CO[BLO],[1]!CO[IHI],,-1)
- _xlfn.XLOOKUP(F212,[1]!CO[BLO],[1]!CO[ILO],,-1) )
/
( _xlfn.XLOOKUP(F212,[1]!CO[BLO],[1]!CO[BHI],,-1) - _xlfn.XLOOKUP(F212,[1]!CO[BLO],[1]!CO[BLO],,-1)))
*
( F212 - _xlfn.XLOOKUP(F212,[1]!CO[BLO],[1]!CO[BLO],,-1) )
+
_xlfn.XLOOKUP(F212,[1]!CO[BLO],[1]!CO[ILO],,-1)</f>
        <v>26</v>
      </c>
      <c r="M212">
        <f>(( _xlfn.XLOOKUP(G212,[1]!O_3[BLO],[1]!O_3[IHI],,-1) - _xlfn.XLOOKUP(G212,[1]!O_3[BLO],[1]!O_3[ILO],,-1))
/
( _xlfn.XLOOKUP(G212,[1]!O_3[BLO],[1]!O_3[BHI],,-1) - _xlfn.XLOOKUP(G212,[1]!O_3[BLO],[1]!O_3[BLO],,-1)))
*
( G212 - _xlfn.XLOOKUP(G212,[1]!O_3[BLO],[1]!O_3[BLO],,-1))
+
_xlfn.XLOOKUP(G212,[1]!O_3[BLO],[1]!O_3[ILO],,-1)</f>
        <v>24</v>
      </c>
      <c r="N212">
        <f>MAX(DAILY_DATA[[#This Row],[AQI_PM2.5]:[AQI_O3]])</f>
        <v>53</v>
      </c>
      <c r="O212" t="str">
        <f>_xlfn.XLOOKUP(DAILY_DATA[[#This Row],[OVERALL_AQI]],[1]!CATEGORY[AQI_LO],[1]!CATEGORY[CATEGORY],,-1)</f>
        <v>Satisfactory</v>
      </c>
      <c r="P212" t="str" cm="1">
        <f t="array" ref="P212">INDEX(
{"PM2.5","PM10","NO2","SO2","CO","O3"},
MATCH(N212,H212:M212,0)
)</f>
        <v>PM10</v>
      </c>
    </row>
    <row r="213" spans="1:16" x14ac:dyDescent="0.25">
      <c r="A213" s="4">
        <v>45503</v>
      </c>
      <c r="B213">
        <f>ROUND(AVERAGEIFS([1]HOURLY_DATA!B213:B8996,[1]HOURLY_DATA!H213:H8996,Daily_AQI!A213),0)</f>
        <v>18</v>
      </c>
      <c r="C213">
        <f>ROUND(AVERAGEIFS([1]HOURLY_DATA!C213:C8996,[1]HOURLY_DATA!H213:H8996,Daily_AQI!A213),0)</f>
        <v>40</v>
      </c>
      <c r="D213">
        <f>ROUND(AVERAGEIFS([1]HOURLY_DATA!D213:D8996,[1]HOURLY_DATA!H213:H8996,Daily_AQI!A213),0)</f>
        <v>17</v>
      </c>
      <c r="E213">
        <f>ROUND(AVERAGEIFS([1]HOURLY_DATA!E213:E8996,[1]HOURLY_DATA!H213:H8996,Daily_AQI!A213),0)</f>
        <v>9</v>
      </c>
      <c r="F213">
        <f>ROUND(AVERAGEIFS([1]HOURLY_DATA!I213:I8996,[1]HOURLY_DATA!H213:H8996,Daily_AQI!A213),2)</f>
        <v>0.57999999999999996</v>
      </c>
      <c r="G213">
        <f>ROUND(AVERAGEIFS([1]HOURLY_DATA!J213:J8996,[1]HOURLY_DATA!H213:H8996,Daily_AQI!A213),0)</f>
        <v>25</v>
      </c>
      <c r="H213">
        <f>ROUND(((_xlfn.XLOOKUP(B213,[1]!PM2.5[BLO],[1]!PM2.5[IHI],,-1) - _xlfn.XLOOKUP(B213,[1]!PM2.5[BLO],[1]!PM2.5[ILO],,-1))
/
(_xlfn.XLOOKUP(B213,[1]!PM2.5[BLO],[1]!PM2.5[BHI],,-1) - _xlfn.XLOOKUP(B213,[1]!PM2.5[BLO],[1]!PM2.5[BLO],,-1)))
*
(B213 - _xlfn.XLOOKUP(B213,[1]!PM2.5[BLO],[1]!PM2.5[BLO],,-1))
+
_xlfn.XLOOKUP(B213,[1]!PM2.5[BLO],[1]!PM2.5[ILO],,-1),2)</f>
        <v>30</v>
      </c>
      <c r="I213">
        <f>ROUND(((_xlfn.XLOOKUP(C213,[1]!PM_10[BLO],[1]!PM_10[IHI],,-1) - _xlfn.XLOOKUP(C213,[1]!PM_10[BLO],[1]!PM_10[ILO],,-1))
/
(_xlfn.XLOOKUP(C213,[1]!PM_10[BLO],[1]!PM_10[BHI],,-1) - _xlfn.XLOOKUP(C213,[1]!PM_10[BLO],[1]!PM_10[BLO],,-1)))
*
( C213 - _xlfn.XLOOKUP(C213,[1]!PM_10[BLO],[1]!PM_10[BLO],,-1))
+
_xlfn.XLOOKUP(C213,[1]!PM_10[BLO],[1]!PM_10[ILO],,-1),2)</f>
        <v>40</v>
      </c>
      <c r="J213">
        <f>ROUND((( _xlfn.XLOOKUP(D213,[1]!NO_2[BLO],[1]!NO_2[IHI],,-1) - _xlfn.XLOOKUP(D213,[1]!NO_2[BLO],[1]!NO_2[ILO],,-1))
/
( _xlfn.XLOOKUP(D213,[1]!NO_2[BLO],[1]!NO_2[BHI],,-1) - _xlfn.XLOOKUP(D213,[1]!NO_2[BLO],[1]!NO_2[BLO],,-1) ))
*
( D213 - _xlfn.XLOOKUP(D213,[1]!NO_2[BLO],[1]!NO_2[BLO],,-1))
+
_xlfn.XLOOKUP(D213,[1]!NO_2[BLO],[1]!NO_2[ILO],,-1),2)</f>
        <v>21.25</v>
      </c>
      <c r="K213">
        <f>ROUND(( ( _xlfn.XLOOKUP(E213,[1]!SO_2[BLO],[1]!SO_2[IHI],,-1)  - _xlfn.XLOOKUP(E213,[1]!SO_2[BLO],[1]!SO_2[ILO],,-1) )
/
( _xlfn.XLOOKUP(E213,[1]!SO_2[BLO],[1]!SO_2[BHI],,-1)- _xlfn.XLOOKUP(E213,[1]!SO_2[BLO],[1]!SO_2[BLO],,-1) ))
*
( E213 - _xlfn.XLOOKUP(E213,[1]!SO_2[BLO],[1]!SO_2[BLO],,-1) )
+
_xlfn.XLOOKUP(E213,[1]!SO_2[BLO],[1]!SO_2[ILO],,-1),2)</f>
        <v>11.25</v>
      </c>
      <c r="L213">
        <f>( ( _xlfn.XLOOKUP(F213,[1]!CO[BLO],[1]!CO[IHI],,-1)
- _xlfn.XLOOKUP(F213,[1]!CO[BLO],[1]!CO[ILO],,-1) )
/
( _xlfn.XLOOKUP(F213,[1]!CO[BLO],[1]!CO[BHI],,-1) - _xlfn.XLOOKUP(F213,[1]!CO[BLO],[1]!CO[BLO],,-1)))
*
( F213 - _xlfn.XLOOKUP(F213,[1]!CO[BLO],[1]!CO[BLO],,-1) )
+
_xlfn.XLOOKUP(F213,[1]!CO[BLO],[1]!CO[ILO],,-1)</f>
        <v>28.999999999999996</v>
      </c>
      <c r="M213">
        <f>(( _xlfn.XLOOKUP(G213,[1]!O_3[BLO],[1]!O_3[IHI],,-1) - _xlfn.XLOOKUP(G213,[1]!O_3[BLO],[1]!O_3[ILO],,-1))
/
( _xlfn.XLOOKUP(G213,[1]!O_3[BLO],[1]!O_3[BHI],,-1) - _xlfn.XLOOKUP(G213,[1]!O_3[BLO],[1]!O_3[BLO],,-1)))
*
( G213 - _xlfn.XLOOKUP(G213,[1]!O_3[BLO],[1]!O_3[BLO],,-1))
+
_xlfn.XLOOKUP(G213,[1]!O_3[BLO],[1]!O_3[ILO],,-1)</f>
        <v>25</v>
      </c>
      <c r="N213">
        <f>MAX(DAILY_DATA[[#This Row],[AQI_PM2.5]:[AQI_O3]])</f>
        <v>40</v>
      </c>
      <c r="O213" t="str">
        <f>_xlfn.XLOOKUP(DAILY_DATA[[#This Row],[OVERALL_AQI]],[1]!CATEGORY[AQI_LO],[1]!CATEGORY[CATEGORY],,-1)</f>
        <v>Good</v>
      </c>
      <c r="P213" t="str" cm="1">
        <f t="array" ref="P213">INDEX(
{"PM2.5","PM10","NO2","SO2","CO","O3"},
MATCH(N213,H213:M213,0)
)</f>
        <v>PM10</v>
      </c>
    </row>
    <row r="214" spans="1:16" x14ac:dyDescent="0.25">
      <c r="A214" s="4">
        <v>45504</v>
      </c>
      <c r="B214">
        <f>ROUND(AVERAGEIFS([1]HOURLY_DATA!B214:B8997,[1]HOURLY_DATA!H214:H8997,Daily_AQI!A214),0)</f>
        <v>20</v>
      </c>
      <c r="C214">
        <f>ROUND(AVERAGEIFS([1]HOURLY_DATA!C214:C8997,[1]HOURLY_DATA!H214:H8997,Daily_AQI!A214),0)</f>
        <v>47</v>
      </c>
      <c r="D214">
        <f>ROUND(AVERAGEIFS([1]HOURLY_DATA!D214:D8997,[1]HOURLY_DATA!H214:H8997,Daily_AQI!A214),0)</f>
        <v>18</v>
      </c>
      <c r="E214">
        <f>ROUND(AVERAGEIFS([1]HOURLY_DATA!E214:E8997,[1]HOURLY_DATA!H214:H8997,Daily_AQI!A214),0)</f>
        <v>9</v>
      </c>
      <c r="F214">
        <f>ROUND(AVERAGEIFS([1]HOURLY_DATA!I214:I8997,[1]HOURLY_DATA!H214:H8997,Daily_AQI!A214),2)</f>
        <v>0.7</v>
      </c>
      <c r="G214">
        <f>ROUND(AVERAGEIFS([1]HOURLY_DATA!J214:J8997,[1]HOURLY_DATA!H214:H8997,Daily_AQI!A214),0)</f>
        <v>25</v>
      </c>
      <c r="H214">
        <f>ROUND(((_xlfn.XLOOKUP(B214,[1]!PM2.5[BLO],[1]!PM2.5[IHI],,-1) - _xlfn.XLOOKUP(B214,[1]!PM2.5[BLO],[1]!PM2.5[ILO],,-1))
/
(_xlfn.XLOOKUP(B214,[1]!PM2.5[BLO],[1]!PM2.5[BHI],,-1) - _xlfn.XLOOKUP(B214,[1]!PM2.5[BLO],[1]!PM2.5[BLO],,-1)))
*
(B214 - _xlfn.XLOOKUP(B214,[1]!PM2.5[BLO],[1]!PM2.5[BLO],,-1))
+
_xlfn.XLOOKUP(B214,[1]!PM2.5[BLO],[1]!PM2.5[ILO],,-1),2)</f>
        <v>33.33</v>
      </c>
      <c r="I214">
        <f>ROUND(((_xlfn.XLOOKUP(C214,[1]!PM_10[BLO],[1]!PM_10[IHI],,-1) - _xlfn.XLOOKUP(C214,[1]!PM_10[BLO],[1]!PM_10[ILO],,-1))
/
(_xlfn.XLOOKUP(C214,[1]!PM_10[BLO],[1]!PM_10[BHI],,-1) - _xlfn.XLOOKUP(C214,[1]!PM_10[BLO],[1]!PM_10[BLO],,-1)))
*
( C214 - _xlfn.XLOOKUP(C214,[1]!PM_10[BLO],[1]!PM_10[BLO],,-1))
+
_xlfn.XLOOKUP(C214,[1]!PM_10[BLO],[1]!PM_10[ILO],,-1),2)</f>
        <v>47</v>
      </c>
      <c r="J214">
        <f>ROUND((( _xlfn.XLOOKUP(D214,[1]!NO_2[BLO],[1]!NO_2[IHI],,-1) - _xlfn.XLOOKUP(D214,[1]!NO_2[BLO],[1]!NO_2[ILO],,-1))
/
( _xlfn.XLOOKUP(D214,[1]!NO_2[BLO],[1]!NO_2[BHI],,-1) - _xlfn.XLOOKUP(D214,[1]!NO_2[BLO],[1]!NO_2[BLO],,-1) ))
*
( D214 - _xlfn.XLOOKUP(D214,[1]!NO_2[BLO],[1]!NO_2[BLO],,-1))
+
_xlfn.XLOOKUP(D214,[1]!NO_2[BLO],[1]!NO_2[ILO],,-1),2)</f>
        <v>22.5</v>
      </c>
      <c r="K214">
        <f>ROUND(( ( _xlfn.XLOOKUP(E214,[1]!SO_2[BLO],[1]!SO_2[IHI],,-1)  - _xlfn.XLOOKUP(E214,[1]!SO_2[BLO],[1]!SO_2[ILO],,-1) )
/
( _xlfn.XLOOKUP(E214,[1]!SO_2[BLO],[1]!SO_2[BHI],,-1)- _xlfn.XLOOKUP(E214,[1]!SO_2[BLO],[1]!SO_2[BLO],,-1) ))
*
( E214 - _xlfn.XLOOKUP(E214,[1]!SO_2[BLO],[1]!SO_2[BLO],,-1) )
+
_xlfn.XLOOKUP(E214,[1]!SO_2[BLO],[1]!SO_2[ILO],,-1),2)</f>
        <v>11.25</v>
      </c>
      <c r="L214">
        <f>( ( _xlfn.XLOOKUP(F214,[1]!CO[BLO],[1]!CO[IHI],,-1)
- _xlfn.XLOOKUP(F214,[1]!CO[BLO],[1]!CO[ILO],,-1) )
/
( _xlfn.XLOOKUP(F214,[1]!CO[BLO],[1]!CO[BHI],,-1) - _xlfn.XLOOKUP(F214,[1]!CO[BLO],[1]!CO[BLO],,-1)))
*
( F214 - _xlfn.XLOOKUP(F214,[1]!CO[BLO],[1]!CO[BLO],,-1) )
+
_xlfn.XLOOKUP(F214,[1]!CO[BLO],[1]!CO[ILO],,-1)</f>
        <v>35</v>
      </c>
      <c r="M214">
        <f>(( _xlfn.XLOOKUP(G214,[1]!O_3[BLO],[1]!O_3[IHI],,-1) - _xlfn.XLOOKUP(G214,[1]!O_3[BLO],[1]!O_3[ILO],,-1))
/
( _xlfn.XLOOKUP(G214,[1]!O_3[BLO],[1]!O_3[BHI],,-1) - _xlfn.XLOOKUP(G214,[1]!O_3[BLO],[1]!O_3[BLO],,-1)))
*
( G214 - _xlfn.XLOOKUP(G214,[1]!O_3[BLO],[1]!O_3[BLO],,-1))
+
_xlfn.XLOOKUP(G214,[1]!O_3[BLO],[1]!O_3[ILO],,-1)</f>
        <v>25</v>
      </c>
      <c r="N214">
        <f>MAX(DAILY_DATA[[#This Row],[AQI_PM2.5]:[AQI_O3]])</f>
        <v>47</v>
      </c>
      <c r="O214" t="str">
        <f>_xlfn.XLOOKUP(DAILY_DATA[[#This Row],[OVERALL_AQI]],[1]!CATEGORY[AQI_LO],[1]!CATEGORY[CATEGORY],,-1)</f>
        <v>Good</v>
      </c>
      <c r="P214" t="str" cm="1">
        <f t="array" ref="P214">INDEX(
{"PM2.5","PM10","NO2","SO2","CO","O3"},
MATCH(N214,H214:M214,0)
)</f>
        <v>PM10</v>
      </c>
    </row>
    <row r="215" spans="1:16" x14ac:dyDescent="0.25">
      <c r="A215" s="4">
        <v>45505</v>
      </c>
      <c r="B215">
        <f>ROUND(AVERAGEIFS([1]HOURLY_DATA!B215:B8998,[1]HOURLY_DATA!H215:H8998,Daily_AQI!A215),0)</f>
        <v>18</v>
      </c>
      <c r="C215">
        <f>ROUND(AVERAGEIFS([1]HOURLY_DATA!C215:C8998,[1]HOURLY_DATA!H215:H8998,Daily_AQI!A215),0)</f>
        <v>47</v>
      </c>
      <c r="D215">
        <f>ROUND(AVERAGEIFS([1]HOURLY_DATA!D215:D8998,[1]HOURLY_DATA!H215:H8998,Daily_AQI!A215),0)</f>
        <v>17</v>
      </c>
      <c r="E215">
        <f>ROUND(AVERAGEIFS([1]HOURLY_DATA!E215:E8998,[1]HOURLY_DATA!H215:H8998,Daily_AQI!A215),0)</f>
        <v>9</v>
      </c>
      <c r="F215">
        <f>ROUND(AVERAGEIFS([1]HOURLY_DATA!I215:I8998,[1]HOURLY_DATA!H215:H8998,Daily_AQI!A215),2)</f>
        <v>0.66</v>
      </c>
      <c r="G215">
        <f>ROUND(AVERAGEIFS([1]HOURLY_DATA!J215:J8998,[1]HOURLY_DATA!H215:H8998,Daily_AQI!A215),0)</f>
        <v>25</v>
      </c>
      <c r="H215">
        <f>ROUND(((_xlfn.XLOOKUP(B215,[1]!PM2.5[BLO],[1]!PM2.5[IHI],,-1) - _xlfn.XLOOKUP(B215,[1]!PM2.5[BLO],[1]!PM2.5[ILO],,-1))
/
(_xlfn.XLOOKUP(B215,[1]!PM2.5[BLO],[1]!PM2.5[BHI],,-1) - _xlfn.XLOOKUP(B215,[1]!PM2.5[BLO],[1]!PM2.5[BLO],,-1)))
*
(B215 - _xlfn.XLOOKUP(B215,[1]!PM2.5[BLO],[1]!PM2.5[BLO],,-1))
+
_xlfn.XLOOKUP(B215,[1]!PM2.5[BLO],[1]!PM2.5[ILO],,-1),2)</f>
        <v>30</v>
      </c>
      <c r="I215">
        <f>ROUND(((_xlfn.XLOOKUP(C215,[1]!PM_10[BLO],[1]!PM_10[IHI],,-1) - _xlfn.XLOOKUP(C215,[1]!PM_10[BLO],[1]!PM_10[ILO],,-1))
/
(_xlfn.XLOOKUP(C215,[1]!PM_10[BLO],[1]!PM_10[BHI],,-1) - _xlfn.XLOOKUP(C215,[1]!PM_10[BLO],[1]!PM_10[BLO],,-1)))
*
( C215 - _xlfn.XLOOKUP(C215,[1]!PM_10[BLO],[1]!PM_10[BLO],,-1))
+
_xlfn.XLOOKUP(C215,[1]!PM_10[BLO],[1]!PM_10[ILO],,-1),2)</f>
        <v>47</v>
      </c>
      <c r="J215">
        <f>ROUND((( _xlfn.XLOOKUP(D215,[1]!NO_2[BLO],[1]!NO_2[IHI],,-1) - _xlfn.XLOOKUP(D215,[1]!NO_2[BLO],[1]!NO_2[ILO],,-1))
/
( _xlfn.XLOOKUP(D215,[1]!NO_2[BLO],[1]!NO_2[BHI],,-1) - _xlfn.XLOOKUP(D215,[1]!NO_2[BLO],[1]!NO_2[BLO],,-1) ))
*
( D215 - _xlfn.XLOOKUP(D215,[1]!NO_2[BLO],[1]!NO_2[BLO],,-1))
+
_xlfn.XLOOKUP(D215,[1]!NO_2[BLO],[1]!NO_2[ILO],,-1),2)</f>
        <v>21.25</v>
      </c>
      <c r="K215">
        <f>ROUND(( ( _xlfn.XLOOKUP(E215,[1]!SO_2[BLO],[1]!SO_2[IHI],,-1)  - _xlfn.XLOOKUP(E215,[1]!SO_2[BLO],[1]!SO_2[ILO],,-1) )
/
( _xlfn.XLOOKUP(E215,[1]!SO_2[BLO],[1]!SO_2[BHI],,-1)- _xlfn.XLOOKUP(E215,[1]!SO_2[BLO],[1]!SO_2[BLO],,-1) ))
*
( E215 - _xlfn.XLOOKUP(E215,[1]!SO_2[BLO],[1]!SO_2[BLO],,-1) )
+
_xlfn.XLOOKUP(E215,[1]!SO_2[BLO],[1]!SO_2[ILO],,-1),2)</f>
        <v>11.25</v>
      </c>
      <c r="L215">
        <f>( ( _xlfn.XLOOKUP(F215,[1]!CO[BLO],[1]!CO[IHI],,-1)
- _xlfn.XLOOKUP(F215,[1]!CO[BLO],[1]!CO[ILO],,-1) )
/
( _xlfn.XLOOKUP(F215,[1]!CO[BLO],[1]!CO[BHI],,-1) - _xlfn.XLOOKUP(F215,[1]!CO[BLO],[1]!CO[BLO],,-1)))
*
( F215 - _xlfn.XLOOKUP(F215,[1]!CO[BLO],[1]!CO[BLO],,-1) )
+
_xlfn.XLOOKUP(F215,[1]!CO[BLO],[1]!CO[ILO],,-1)</f>
        <v>33</v>
      </c>
      <c r="M215">
        <f>(( _xlfn.XLOOKUP(G215,[1]!O_3[BLO],[1]!O_3[IHI],,-1) - _xlfn.XLOOKUP(G215,[1]!O_3[BLO],[1]!O_3[ILO],,-1))
/
( _xlfn.XLOOKUP(G215,[1]!O_3[BLO],[1]!O_3[BHI],,-1) - _xlfn.XLOOKUP(G215,[1]!O_3[BLO],[1]!O_3[BLO],,-1)))
*
( G215 - _xlfn.XLOOKUP(G215,[1]!O_3[BLO],[1]!O_3[BLO],,-1))
+
_xlfn.XLOOKUP(G215,[1]!O_3[BLO],[1]!O_3[ILO],,-1)</f>
        <v>25</v>
      </c>
      <c r="N215">
        <f>MAX(DAILY_DATA[[#This Row],[AQI_PM2.5]:[AQI_O3]])</f>
        <v>47</v>
      </c>
      <c r="O215" t="str">
        <f>_xlfn.XLOOKUP(DAILY_DATA[[#This Row],[OVERALL_AQI]],[1]!CATEGORY[AQI_LO],[1]!CATEGORY[CATEGORY],,-1)</f>
        <v>Good</v>
      </c>
      <c r="P215" t="str" cm="1">
        <f t="array" ref="P215">INDEX(
{"PM2.5","PM10","NO2","SO2","CO","O3"},
MATCH(N215,H215:M215,0)
)</f>
        <v>PM10</v>
      </c>
    </row>
    <row r="216" spans="1:16" x14ac:dyDescent="0.25">
      <c r="A216" s="4">
        <v>45506</v>
      </c>
      <c r="B216">
        <f>ROUND(AVERAGEIFS([1]HOURLY_DATA!B216:B8999,[1]HOURLY_DATA!H216:H8999,Daily_AQI!A216),0)</f>
        <v>19</v>
      </c>
      <c r="C216">
        <f>ROUND(AVERAGEIFS([1]HOURLY_DATA!C216:C8999,[1]HOURLY_DATA!H216:H8999,Daily_AQI!A216),0)</f>
        <v>42</v>
      </c>
      <c r="D216">
        <f>ROUND(AVERAGEIFS([1]HOURLY_DATA!D216:D8999,[1]HOURLY_DATA!H216:H8999,Daily_AQI!A216),0)</f>
        <v>15</v>
      </c>
      <c r="E216">
        <f>ROUND(AVERAGEIFS([1]HOURLY_DATA!E216:E8999,[1]HOURLY_DATA!H216:H8999,Daily_AQI!A216),0)</f>
        <v>8</v>
      </c>
      <c r="F216">
        <f>ROUND(AVERAGEIFS([1]HOURLY_DATA!I216:I8999,[1]HOURLY_DATA!H216:H8999,Daily_AQI!A216),2)</f>
        <v>0.7</v>
      </c>
      <c r="G216">
        <f>ROUND(AVERAGEIFS([1]HOURLY_DATA!J216:J8999,[1]HOURLY_DATA!H216:H8999,Daily_AQI!A216),0)</f>
        <v>26</v>
      </c>
      <c r="H216">
        <f>ROUND(((_xlfn.XLOOKUP(B216,[1]!PM2.5[BLO],[1]!PM2.5[IHI],,-1) - _xlfn.XLOOKUP(B216,[1]!PM2.5[BLO],[1]!PM2.5[ILO],,-1))
/
(_xlfn.XLOOKUP(B216,[1]!PM2.5[BLO],[1]!PM2.5[BHI],,-1) - _xlfn.XLOOKUP(B216,[1]!PM2.5[BLO],[1]!PM2.5[BLO],,-1)))
*
(B216 - _xlfn.XLOOKUP(B216,[1]!PM2.5[BLO],[1]!PM2.5[BLO],,-1))
+
_xlfn.XLOOKUP(B216,[1]!PM2.5[BLO],[1]!PM2.5[ILO],,-1),2)</f>
        <v>31.67</v>
      </c>
      <c r="I216">
        <f>ROUND(((_xlfn.XLOOKUP(C216,[1]!PM_10[BLO],[1]!PM_10[IHI],,-1) - _xlfn.XLOOKUP(C216,[1]!PM_10[BLO],[1]!PM_10[ILO],,-1))
/
(_xlfn.XLOOKUP(C216,[1]!PM_10[BLO],[1]!PM_10[BHI],,-1) - _xlfn.XLOOKUP(C216,[1]!PM_10[BLO],[1]!PM_10[BLO],,-1)))
*
( C216 - _xlfn.XLOOKUP(C216,[1]!PM_10[BLO],[1]!PM_10[BLO],,-1))
+
_xlfn.XLOOKUP(C216,[1]!PM_10[BLO],[1]!PM_10[ILO],,-1),2)</f>
        <v>42</v>
      </c>
      <c r="J216">
        <f>ROUND((( _xlfn.XLOOKUP(D216,[1]!NO_2[BLO],[1]!NO_2[IHI],,-1) - _xlfn.XLOOKUP(D216,[1]!NO_2[BLO],[1]!NO_2[ILO],,-1))
/
( _xlfn.XLOOKUP(D216,[1]!NO_2[BLO],[1]!NO_2[BHI],,-1) - _xlfn.XLOOKUP(D216,[1]!NO_2[BLO],[1]!NO_2[BLO],,-1) ))
*
( D216 - _xlfn.XLOOKUP(D216,[1]!NO_2[BLO],[1]!NO_2[BLO],,-1))
+
_xlfn.XLOOKUP(D216,[1]!NO_2[BLO],[1]!NO_2[ILO],,-1),2)</f>
        <v>18.75</v>
      </c>
      <c r="K216">
        <f>ROUND(( ( _xlfn.XLOOKUP(E216,[1]!SO_2[BLO],[1]!SO_2[IHI],,-1)  - _xlfn.XLOOKUP(E216,[1]!SO_2[BLO],[1]!SO_2[ILO],,-1) )
/
( _xlfn.XLOOKUP(E216,[1]!SO_2[BLO],[1]!SO_2[BHI],,-1)- _xlfn.XLOOKUP(E216,[1]!SO_2[BLO],[1]!SO_2[BLO],,-1) ))
*
( E216 - _xlfn.XLOOKUP(E216,[1]!SO_2[BLO],[1]!SO_2[BLO],,-1) )
+
_xlfn.XLOOKUP(E216,[1]!SO_2[BLO],[1]!SO_2[ILO],,-1),2)</f>
        <v>10</v>
      </c>
      <c r="L216">
        <f>( ( _xlfn.XLOOKUP(F216,[1]!CO[BLO],[1]!CO[IHI],,-1)
- _xlfn.XLOOKUP(F216,[1]!CO[BLO],[1]!CO[ILO],,-1) )
/
( _xlfn.XLOOKUP(F216,[1]!CO[BLO],[1]!CO[BHI],,-1) - _xlfn.XLOOKUP(F216,[1]!CO[BLO],[1]!CO[BLO],,-1)))
*
( F216 - _xlfn.XLOOKUP(F216,[1]!CO[BLO],[1]!CO[BLO],,-1) )
+
_xlfn.XLOOKUP(F216,[1]!CO[BLO],[1]!CO[ILO],,-1)</f>
        <v>35</v>
      </c>
      <c r="M216">
        <f>(( _xlfn.XLOOKUP(G216,[1]!O_3[BLO],[1]!O_3[IHI],,-1) - _xlfn.XLOOKUP(G216,[1]!O_3[BLO],[1]!O_3[ILO],,-1))
/
( _xlfn.XLOOKUP(G216,[1]!O_3[BLO],[1]!O_3[BHI],,-1) - _xlfn.XLOOKUP(G216,[1]!O_3[BLO],[1]!O_3[BLO],,-1)))
*
( G216 - _xlfn.XLOOKUP(G216,[1]!O_3[BLO],[1]!O_3[BLO],,-1))
+
_xlfn.XLOOKUP(G216,[1]!O_3[BLO],[1]!O_3[ILO],,-1)</f>
        <v>26</v>
      </c>
      <c r="N216">
        <f>MAX(DAILY_DATA[[#This Row],[AQI_PM2.5]:[AQI_O3]])</f>
        <v>42</v>
      </c>
      <c r="O216" t="str">
        <f>_xlfn.XLOOKUP(DAILY_DATA[[#This Row],[OVERALL_AQI]],[1]!CATEGORY[AQI_LO],[1]!CATEGORY[CATEGORY],,-1)</f>
        <v>Good</v>
      </c>
      <c r="P216" t="str" cm="1">
        <f t="array" ref="P216">INDEX(
{"PM2.5","PM10","NO2","SO2","CO","O3"},
MATCH(N216,H216:M216,0)
)</f>
        <v>PM10</v>
      </c>
    </row>
    <row r="217" spans="1:16" x14ac:dyDescent="0.25">
      <c r="A217" s="4">
        <v>45507</v>
      </c>
      <c r="B217">
        <f>ROUND(AVERAGEIFS([1]HOURLY_DATA!B217:B9000,[1]HOURLY_DATA!H217:H9000,Daily_AQI!A217),0)</f>
        <v>21</v>
      </c>
      <c r="C217">
        <f>ROUND(AVERAGEIFS([1]HOURLY_DATA!C217:C9000,[1]HOURLY_DATA!H217:H9000,Daily_AQI!A217),0)</f>
        <v>51</v>
      </c>
      <c r="D217">
        <f>ROUND(AVERAGEIFS([1]HOURLY_DATA!D217:D9000,[1]HOURLY_DATA!H217:H9000,Daily_AQI!A217),0)</f>
        <v>16</v>
      </c>
      <c r="E217">
        <f>ROUND(AVERAGEIFS([1]HOURLY_DATA!E217:E9000,[1]HOURLY_DATA!H217:H9000,Daily_AQI!A217),0)</f>
        <v>9</v>
      </c>
      <c r="F217">
        <f>ROUND(AVERAGEIFS([1]HOURLY_DATA!I217:I9000,[1]HOURLY_DATA!H217:H9000,Daily_AQI!A217),2)</f>
        <v>0.68</v>
      </c>
      <c r="G217">
        <f>ROUND(AVERAGEIFS([1]HOURLY_DATA!J217:J9000,[1]HOURLY_DATA!H217:H9000,Daily_AQI!A217),0)</f>
        <v>24</v>
      </c>
      <c r="H217">
        <f>ROUND(((_xlfn.XLOOKUP(B217,[1]!PM2.5[BLO],[1]!PM2.5[IHI],,-1) - _xlfn.XLOOKUP(B217,[1]!PM2.5[BLO],[1]!PM2.5[ILO],,-1))
/
(_xlfn.XLOOKUP(B217,[1]!PM2.5[BLO],[1]!PM2.5[BHI],,-1) - _xlfn.XLOOKUP(B217,[1]!PM2.5[BLO],[1]!PM2.5[BLO],,-1)))
*
(B217 - _xlfn.XLOOKUP(B217,[1]!PM2.5[BLO],[1]!PM2.5[BLO],,-1))
+
_xlfn.XLOOKUP(B217,[1]!PM2.5[BLO],[1]!PM2.5[ILO],,-1),2)</f>
        <v>35</v>
      </c>
      <c r="I217">
        <f>ROUND(((_xlfn.XLOOKUP(C217,[1]!PM_10[BLO],[1]!PM_10[IHI],,-1) - _xlfn.XLOOKUP(C217,[1]!PM_10[BLO],[1]!PM_10[ILO],,-1))
/
(_xlfn.XLOOKUP(C217,[1]!PM_10[BLO],[1]!PM_10[BHI],,-1) - _xlfn.XLOOKUP(C217,[1]!PM_10[BLO],[1]!PM_10[BLO],,-1)))
*
( C217 - _xlfn.XLOOKUP(C217,[1]!PM_10[BLO],[1]!PM_10[BLO],,-1))
+
_xlfn.XLOOKUP(C217,[1]!PM_10[BLO],[1]!PM_10[ILO],,-1),2)</f>
        <v>51</v>
      </c>
      <c r="J217">
        <f>ROUND((( _xlfn.XLOOKUP(D217,[1]!NO_2[BLO],[1]!NO_2[IHI],,-1) - _xlfn.XLOOKUP(D217,[1]!NO_2[BLO],[1]!NO_2[ILO],,-1))
/
( _xlfn.XLOOKUP(D217,[1]!NO_2[BLO],[1]!NO_2[BHI],,-1) - _xlfn.XLOOKUP(D217,[1]!NO_2[BLO],[1]!NO_2[BLO],,-1) ))
*
( D217 - _xlfn.XLOOKUP(D217,[1]!NO_2[BLO],[1]!NO_2[BLO],,-1))
+
_xlfn.XLOOKUP(D217,[1]!NO_2[BLO],[1]!NO_2[ILO],,-1),2)</f>
        <v>20</v>
      </c>
      <c r="K217">
        <f>ROUND(( ( _xlfn.XLOOKUP(E217,[1]!SO_2[BLO],[1]!SO_2[IHI],,-1)  - _xlfn.XLOOKUP(E217,[1]!SO_2[BLO],[1]!SO_2[ILO],,-1) )
/
( _xlfn.XLOOKUP(E217,[1]!SO_2[BLO],[1]!SO_2[BHI],,-1)- _xlfn.XLOOKUP(E217,[1]!SO_2[BLO],[1]!SO_2[BLO],,-1) ))
*
( E217 - _xlfn.XLOOKUP(E217,[1]!SO_2[BLO],[1]!SO_2[BLO],,-1) )
+
_xlfn.XLOOKUP(E217,[1]!SO_2[BLO],[1]!SO_2[ILO],,-1),2)</f>
        <v>11.25</v>
      </c>
      <c r="L217">
        <f>( ( _xlfn.XLOOKUP(F217,[1]!CO[BLO],[1]!CO[IHI],,-1)
- _xlfn.XLOOKUP(F217,[1]!CO[BLO],[1]!CO[ILO],,-1) )
/
( _xlfn.XLOOKUP(F217,[1]!CO[BLO],[1]!CO[BHI],,-1) - _xlfn.XLOOKUP(F217,[1]!CO[BLO],[1]!CO[BLO],,-1)))
*
( F217 - _xlfn.XLOOKUP(F217,[1]!CO[BLO],[1]!CO[BLO],,-1) )
+
_xlfn.XLOOKUP(F217,[1]!CO[BLO],[1]!CO[ILO],,-1)</f>
        <v>34</v>
      </c>
      <c r="M217">
        <f>(( _xlfn.XLOOKUP(G217,[1]!O_3[BLO],[1]!O_3[IHI],,-1) - _xlfn.XLOOKUP(G217,[1]!O_3[BLO],[1]!O_3[ILO],,-1))
/
( _xlfn.XLOOKUP(G217,[1]!O_3[BLO],[1]!O_3[BHI],,-1) - _xlfn.XLOOKUP(G217,[1]!O_3[BLO],[1]!O_3[BLO],,-1)))
*
( G217 - _xlfn.XLOOKUP(G217,[1]!O_3[BLO],[1]!O_3[BLO],,-1))
+
_xlfn.XLOOKUP(G217,[1]!O_3[BLO],[1]!O_3[ILO],,-1)</f>
        <v>24</v>
      </c>
      <c r="N217">
        <f>MAX(DAILY_DATA[[#This Row],[AQI_PM2.5]:[AQI_O3]])</f>
        <v>51</v>
      </c>
      <c r="O217" t="str">
        <f>_xlfn.XLOOKUP(DAILY_DATA[[#This Row],[OVERALL_AQI]],[1]!CATEGORY[AQI_LO],[1]!CATEGORY[CATEGORY],,-1)</f>
        <v>Satisfactory</v>
      </c>
      <c r="P217" t="str" cm="1">
        <f t="array" ref="P217">INDEX(
{"PM2.5","PM10","NO2","SO2","CO","O3"},
MATCH(N217,H217:M217,0)
)</f>
        <v>PM10</v>
      </c>
    </row>
    <row r="218" spans="1:16" x14ac:dyDescent="0.25">
      <c r="A218" s="4">
        <v>45508</v>
      </c>
      <c r="B218">
        <f>ROUND(AVERAGEIFS([1]HOURLY_DATA!B218:B9001,[1]HOURLY_DATA!H218:H9001,Daily_AQI!A218),0)</f>
        <v>20</v>
      </c>
      <c r="C218">
        <f>ROUND(AVERAGEIFS([1]HOURLY_DATA!C218:C9001,[1]HOURLY_DATA!H218:H9001,Daily_AQI!A218),0)</f>
        <v>45</v>
      </c>
      <c r="D218">
        <f>ROUND(AVERAGEIFS([1]HOURLY_DATA!D218:D9001,[1]HOURLY_DATA!H218:H9001,Daily_AQI!A218),0)</f>
        <v>15</v>
      </c>
      <c r="E218">
        <f>ROUND(AVERAGEIFS([1]HOURLY_DATA!E218:E9001,[1]HOURLY_DATA!H218:H9001,Daily_AQI!A218),0)</f>
        <v>8</v>
      </c>
      <c r="F218">
        <f>ROUND(AVERAGEIFS([1]HOURLY_DATA!I218:I9001,[1]HOURLY_DATA!H218:H9001,Daily_AQI!A218),2)</f>
        <v>0.68</v>
      </c>
      <c r="G218">
        <f>ROUND(AVERAGEIFS([1]HOURLY_DATA!J218:J9001,[1]HOURLY_DATA!H218:H9001,Daily_AQI!A218),0)</f>
        <v>25</v>
      </c>
      <c r="H218">
        <f>ROUND(((_xlfn.XLOOKUP(B218,[1]!PM2.5[BLO],[1]!PM2.5[IHI],,-1) - _xlfn.XLOOKUP(B218,[1]!PM2.5[BLO],[1]!PM2.5[ILO],,-1))
/
(_xlfn.XLOOKUP(B218,[1]!PM2.5[BLO],[1]!PM2.5[BHI],,-1) - _xlfn.XLOOKUP(B218,[1]!PM2.5[BLO],[1]!PM2.5[BLO],,-1)))
*
(B218 - _xlfn.XLOOKUP(B218,[1]!PM2.5[BLO],[1]!PM2.5[BLO],,-1))
+
_xlfn.XLOOKUP(B218,[1]!PM2.5[BLO],[1]!PM2.5[ILO],,-1),2)</f>
        <v>33.33</v>
      </c>
      <c r="I218">
        <f>ROUND(((_xlfn.XLOOKUP(C218,[1]!PM_10[BLO],[1]!PM_10[IHI],,-1) - _xlfn.XLOOKUP(C218,[1]!PM_10[BLO],[1]!PM_10[ILO],,-1))
/
(_xlfn.XLOOKUP(C218,[1]!PM_10[BLO],[1]!PM_10[BHI],,-1) - _xlfn.XLOOKUP(C218,[1]!PM_10[BLO],[1]!PM_10[BLO],,-1)))
*
( C218 - _xlfn.XLOOKUP(C218,[1]!PM_10[BLO],[1]!PM_10[BLO],,-1))
+
_xlfn.XLOOKUP(C218,[1]!PM_10[BLO],[1]!PM_10[ILO],,-1),2)</f>
        <v>45</v>
      </c>
      <c r="J218">
        <f>ROUND((( _xlfn.XLOOKUP(D218,[1]!NO_2[BLO],[1]!NO_2[IHI],,-1) - _xlfn.XLOOKUP(D218,[1]!NO_2[BLO],[1]!NO_2[ILO],,-1))
/
( _xlfn.XLOOKUP(D218,[1]!NO_2[BLO],[1]!NO_2[BHI],,-1) - _xlfn.XLOOKUP(D218,[1]!NO_2[BLO],[1]!NO_2[BLO],,-1) ))
*
( D218 - _xlfn.XLOOKUP(D218,[1]!NO_2[BLO],[1]!NO_2[BLO],,-1))
+
_xlfn.XLOOKUP(D218,[1]!NO_2[BLO],[1]!NO_2[ILO],,-1),2)</f>
        <v>18.75</v>
      </c>
      <c r="K218">
        <f>ROUND(( ( _xlfn.XLOOKUP(E218,[1]!SO_2[BLO],[1]!SO_2[IHI],,-1)  - _xlfn.XLOOKUP(E218,[1]!SO_2[BLO],[1]!SO_2[ILO],,-1) )
/
( _xlfn.XLOOKUP(E218,[1]!SO_2[BLO],[1]!SO_2[BHI],,-1)- _xlfn.XLOOKUP(E218,[1]!SO_2[BLO],[1]!SO_2[BLO],,-1) ))
*
( E218 - _xlfn.XLOOKUP(E218,[1]!SO_2[BLO],[1]!SO_2[BLO],,-1) )
+
_xlfn.XLOOKUP(E218,[1]!SO_2[BLO],[1]!SO_2[ILO],,-1),2)</f>
        <v>10</v>
      </c>
      <c r="L218">
        <f>( ( _xlfn.XLOOKUP(F218,[1]!CO[BLO],[1]!CO[IHI],,-1)
- _xlfn.XLOOKUP(F218,[1]!CO[BLO],[1]!CO[ILO],,-1) )
/
( _xlfn.XLOOKUP(F218,[1]!CO[BLO],[1]!CO[BHI],,-1) - _xlfn.XLOOKUP(F218,[1]!CO[BLO],[1]!CO[BLO],,-1)))
*
( F218 - _xlfn.XLOOKUP(F218,[1]!CO[BLO],[1]!CO[BLO],,-1) )
+
_xlfn.XLOOKUP(F218,[1]!CO[BLO],[1]!CO[ILO],,-1)</f>
        <v>34</v>
      </c>
      <c r="M218">
        <f>(( _xlfn.XLOOKUP(G218,[1]!O_3[BLO],[1]!O_3[IHI],,-1) - _xlfn.XLOOKUP(G218,[1]!O_3[BLO],[1]!O_3[ILO],,-1))
/
( _xlfn.XLOOKUP(G218,[1]!O_3[BLO],[1]!O_3[BHI],,-1) - _xlfn.XLOOKUP(G218,[1]!O_3[BLO],[1]!O_3[BLO],,-1)))
*
( G218 - _xlfn.XLOOKUP(G218,[1]!O_3[BLO],[1]!O_3[BLO],,-1))
+
_xlfn.XLOOKUP(G218,[1]!O_3[BLO],[1]!O_3[ILO],,-1)</f>
        <v>25</v>
      </c>
      <c r="N218">
        <f>MAX(DAILY_DATA[[#This Row],[AQI_PM2.5]:[AQI_O3]])</f>
        <v>45</v>
      </c>
      <c r="O218" t="str">
        <f>_xlfn.XLOOKUP(DAILY_DATA[[#This Row],[OVERALL_AQI]],[1]!CATEGORY[AQI_LO],[1]!CATEGORY[CATEGORY],,-1)</f>
        <v>Good</v>
      </c>
      <c r="P218" t="str" cm="1">
        <f t="array" ref="P218">INDEX(
{"PM2.5","PM10","NO2","SO2","CO","O3"},
MATCH(N218,H218:M218,0)
)</f>
        <v>PM10</v>
      </c>
    </row>
    <row r="219" spans="1:16" x14ac:dyDescent="0.25">
      <c r="A219" s="4">
        <v>45509</v>
      </c>
      <c r="B219">
        <f>ROUND(AVERAGEIFS([1]HOURLY_DATA!B219:B9002,[1]HOURLY_DATA!H219:H9002,Daily_AQI!A219),0)</f>
        <v>23</v>
      </c>
      <c r="C219">
        <f>ROUND(AVERAGEIFS([1]HOURLY_DATA!C219:C9002,[1]HOURLY_DATA!H219:H9002,Daily_AQI!A219),0)</f>
        <v>50</v>
      </c>
      <c r="D219">
        <f>ROUND(AVERAGEIFS([1]HOURLY_DATA!D219:D9002,[1]HOURLY_DATA!H219:H9002,Daily_AQI!A219),0)</f>
        <v>17</v>
      </c>
      <c r="E219">
        <f>ROUND(AVERAGEIFS([1]HOURLY_DATA!E219:E9002,[1]HOURLY_DATA!H219:H9002,Daily_AQI!A219),0)</f>
        <v>9</v>
      </c>
      <c r="F219">
        <f>ROUND(AVERAGEIFS([1]HOURLY_DATA!I219:I9002,[1]HOURLY_DATA!H219:H9002,Daily_AQI!A219),2)</f>
        <v>0.78</v>
      </c>
      <c r="G219">
        <f>ROUND(AVERAGEIFS([1]HOURLY_DATA!J219:J9002,[1]HOURLY_DATA!H219:H9002,Daily_AQI!A219),0)</f>
        <v>26</v>
      </c>
      <c r="H219">
        <f>ROUND(((_xlfn.XLOOKUP(B219,[1]!PM2.5[BLO],[1]!PM2.5[IHI],,-1) - _xlfn.XLOOKUP(B219,[1]!PM2.5[BLO],[1]!PM2.5[ILO],,-1))
/
(_xlfn.XLOOKUP(B219,[1]!PM2.5[BLO],[1]!PM2.5[BHI],,-1) - _xlfn.XLOOKUP(B219,[1]!PM2.5[BLO],[1]!PM2.5[BLO],,-1)))
*
(B219 - _xlfn.XLOOKUP(B219,[1]!PM2.5[BLO],[1]!PM2.5[BLO],,-1))
+
_xlfn.XLOOKUP(B219,[1]!PM2.5[BLO],[1]!PM2.5[ILO],,-1),2)</f>
        <v>38.33</v>
      </c>
      <c r="I219">
        <f>ROUND(((_xlfn.XLOOKUP(C219,[1]!PM_10[BLO],[1]!PM_10[IHI],,-1) - _xlfn.XLOOKUP(C219,[1]!PM_10[BLO],[1]!PM_10[ILO],,-1))
/
(_xlfn.XLOOKUP(C219,[1]!PM_10[BLO],[1]!PM_10[BHI],,-1) - _xlfn.XLOOKUP(C219,[1]!PM_10[BLO],[1]!PM_10[BLO],,-1)))
*
( C219 - _xlfn.XLOOKUP(C219,[1]!PM_10[BLO],[1]!PM_10[BLO],,-1))
+
_xlfn.XLOOKUP(C219,[1]!PM_10[BLO],[1]!PM_10[ILO],,-1),2)</f>
        <v>50</v>
      </c>
      <c r="J219">
        <f>ROUND((( _xlfn.XLOOKUP(D219,[1]!NO_2[BLO],[1]!NO_2[IHI],,-1) - _xlfn.XLOOKUP(D219,[1]!NO_2[BLO],[1]!NO_2[ILO],,-1))
/
( _xlfn.XLOOKUP(D219,[1]!NO_2[BLO],[1]!NO_2[BHI],,-1) - _xlfn.XLOOKUP(D219,[1]!NO_2[BLO],[1]!NO_2[BLO],,-1) ))
*
( D219 - _xlfn.XLOOKUP(D219,[1]!NO_2[BLO],[1]!NO_2[BLO],,-1))
+
_xlfn.XLOOKUP(D219,[1]!NO_2[BLO],[1]!NO_2[ILO],,-1),2)</f>
        <v>21.25</v>
      </c>
      <c r="K219">
        <f>ROUND(( ( _xlfn.XLOOKUP(E219,[1]!SO_2[BLO],[1]!SO_2[IHI],,-1)  - _xlfn.XLOOKUP(E219,[1]!SO_2[BLO],[1]!SO_2[ILO],,-1) )
/
( _xlfn.XLOOKUP(E219,[1]!SO_2[BLO],[1]!SO_2[BHI],,-1)- _xlfn.XLOOKUP(E219,[1]!SO_2[BLO],[1]!SO_2[BLO],,-1) ))
*
( E219 - _xlfn.XLOOKUP(E219,[1]!SO_2[BLO],[1]!SO_2[BLO],,-1) )
+
_xlfn.XLOOKUP(E219,[1]!SO_2[BLO],[1]!SO_2[ILO],,-1),2)</f>
        <v>11.25</v>
      </c>
      <c r="L219">
        <f>( ( _xlfn.XLOOKUP(F219,[1]!CO[BLO],[1]!CO[IHI],,-1)
- _xlfn.XLOOKUP(F219,[1]!CO[BLO],[1]!CO[ILO],,-1) )
/
( _xlfn.XLOOKUP(F219,[1]!CO[BLO],[1]!CO[BHI],,-1) - _xlfn.XLOOKUP(F219,[1]!CO[BLO],[1]!CO[BLO],,-1)))
*
( F219 - _xlfn.XLOOKUP(F219,[1]!CO[BLO],[1]!CO[BLO],,-1) )
+
_xlfn.XLOOKUP(F219,[1]!CO[BLO],[1]!CO[ILO],,-1)</f>
        <v>39</v>
      </c>
      <c r="M219">
        <f>(( _xlfn.XLOOKUP(G219,[1]!O_3[BLO],[1]!O_3[IHI],,-1) - _xlfn.XLOOKUP(G219,[1]!O_3[BLO],[1]!O_3[ILO],,-1))
/
( _xlfn.XLOOKUP(G219,[1]!O_3[BLO],[1]!O_3[BHI],,-1) - _xlfn.XLOOKUP(G219,[1]!O_3[BLO],[1]!O_3[BLO],,-1)))
*
( G219 - _xlfn.XLOOKUP(G219,[1]!O_3[BLO],[1]!O_3[BLO],,-1))
+
_xlfn.XLOOKUP(G219,[1]!O_3[BLO],[1]!O_3[ILO],,-1)</f>
        <v>26</v>
      </c>
      <c r="N219">
        <f>MAX(DAILY_DATA[[#This Row],[AQI_PM2.5]:[AQI_O3]])</f>
        <v>50</v>
      </c>
      <c r="O219" t="str">
        <f>_xlfn.XLOOKUP(DAILY_DATA[[#This Row],[OVERALL_AQI]],[1]!CATEGORY[AQI_LO],[1]!CATEGORY[CATEGORY],,-1)</f>
        <v>Good</v>
      </c>
      <c r="P219" t="str" cm="1">
        <f t="array" ref="P219">INDEX(
{"PM2.5","PM10","NO2","SO2","CO","O3"},
MATCH(N219,H219:M219,0)
)</f>
        <v>PM10</v>
      </c>
    </row>
    <row r="220" spans="1:16" x14ac:dyDescent="0.25">
      <c r="A220" s="4">
        <v>45510</v>
      </c>
      <c r="B220">
        <f>ROUND(AVERAGEIFS([1]HOURLY_DATA!B220:B9003,[1]HOURLY_DATA!H220:H9003,Daily_AQI!A220),0)</f>
        <v>17</v>
      </c>
      <c r="C220">
        <f>ROUND(AVERAGEIFS([1]HOURLY_DATA!C220:C9003,[1]HOURLY_DATA!H220:H9003,Daily_AQI!A220),0)</f>
        <v>41</v>
      </c>
      <c r="D220">
        <f>ROUND(AVERAGEIFS([1]HOURLY_DATA!D220:D9003,[1]HOURLY_DATA!H220:H9003,Daily_AQI!A220),0)</f>
        <v>17</v>
      </c>
      <c r="E220">
        <f>ROUND(AVERAGEIFS([1]HOURLY_DATA!E220:E9003,[1]HOURLY_DATA!H220:H9003,Daily_AQI!A220),0)</f>
        <v>8</v>
      </c>
      <c r="F220">
        <f>ROUND(AVERAGEIFS([1]HOURLY_DATA!I220:I9003,[1]HOURLY_DATA!H220:H9003,Daily_AQI!A220),2)</f>
        <v>0.75</v>
      </c>
      <c r="G220">
        <f>ROUND(AVERAGEIFS([1]HOURLY_DATA!J220:J9003,[1]HOURLY_DATA!H220:H9003,Daily_AQI!A220),0)</f>
        <v>24</v>
      </c>
      <c r="H220">
        <f>ROUND(((_xlfn.XLOOKUP(B220,[1]!PM2.5[BLO],[1]!PM2.5[IHI],,-1) - _xlfn.XLOOKUP(B220,[1]!PM2.5[BLO],[1]!PM2.5[ILO],,-1))
/
(_xlfn.XLOOKUP(B220,[1]!PM2.5[BLO],[1]!PM2.5[BHI],,-1) - _xlfn.XLOOKUP(B220,[1]!PM2.5[BLO],[1]!PM2.5[BLO],,-1)))
*
(B220 - _xlfn.XLOOKUP(B220,[1]!PM2.5[BLO],[1]!PM2.5[BLO],,-1))
+
_xlfn.XLOOKUP(B220,[1]!PM2.5[BLO],[1]!PM2.5[ILO],,-1),2)</f>
        <v>28.33</v>
      </c>
      <c r="I220">
        <f>ROUND(((_xlfn.XLOOKUP(C220,[1]!PM_10[BLO],[1]!PM_10[IHI],,-1) - _xlfn.XLOOKUP(C220,[1]!PM_10[BLO],[1]!PM_10[ILO],,-1))
/
(_xlfn.XLOOKUP(C220,[1]!PM_10[BLO],[1]!PM_10[BHI],,-1) - _xlfn.XLOOKUP(C220,[1]!PM_10[BLO],[1]!PM_10[BLO],,-1)))
*
( C220 - _xlfn.XLOOKUP(C220,[1]!PM_10[BLO],[1]!PM_10[BLO],,-1))
+
_xlfn.XLOOKUP(C220,[1]!PM_10[BLO],[1]!PM_10[ILO],,-1),2)</f>
        <v>41</v>
      </c>
      <c r="J220">
        <f>ROUND((( _xlfn.XLOOKUP(D220,[1]!NO_2[BLO],[1]!NO_2[IHI],,-1) - _xlfn.XLOOKUP(D220,[1]!NO_2[BLO],[1]!NO_2[ILO],,-1))
/
( _xlfn.XLOOKUP(D220,[1]!NO_2[BLO],[1]!NO_2[BHI],,-1) - _xlfn.XLOOKUP(D220,[1]!NO_2[BLO],[1]!NO_2[BLO],,-1) ))
*
( D220 - _xlfn.XLOOKUP(D220,[1]!NO_2[BLO],[1]!NO_2[BLO],,-1))
+
_xlfn.XLOOKUP(D220,[1]!NO_2[BLO],[1]!NO_2[ILO],,-1),2)</f>
        <v>21.25</v>
      </c>
      <c r="K220">
        <f>ROUND(( ( _xlfn.XLOOKUP(E220,[1]!SO_2[BLO],[1]!SO_2[IHI],,-1)  - _xlfn.XLOOKUP(E220,[1]!SO_2[BLO],[1]!SO_2[ILO],,-1) )
/
( _xlfn.XLOOKUP(E220,[1]!SO_2[BLO],[1]!SO_2[BHI],,-1)- _xlfn.XLOOKUP(E220,[1]!SO_2[BLO],[1]!SO_2[BLO],,-1) ))
*
( E220 - _xlfn.XLOOKUP(E220,[1]!SO_2[BLO],[1]!SO_2[BLO],,-1) )
+
_xlfn.XLOOKUP(E220,[1]!SO_2[BLO],[1]!SO_2[ILO],,-1),2)</f>
        <v>10</v>
      </c>
      <c r="L220">
        <f>( ( _xlfn.XLOOKUP(F220,[1]!CO[BLO],[1]!CO[IHI],,-1)
- _xlfn.XLOOKUP(F220,[1]!CO[BLO],[1]!CO[ILO],,-1) )
/
( _xlfn.XLOOKUP(F220,[1]!CO[BLO],[1]!CO[BHI],,-1) - _xlfn.XLOOKUP(F220,[1]!CO[BLO],[1]!CO[BLO],,-1)))
*
( F220 - _xlfn.XLOOKUP(F220,[1]!CO[BLO],[1]!CO[BLO],,-1) )
+
_xlfn.XLOOKUP(F220,[1]!CO[BLO],[1]!CO[ILO],,-1)</f>
        <v>37.5</v>
      </c>
      <c r="M220">
        <f>(( _xlfn.XLOOKUP(G220,[1]!O_3[BLO],[1]!O_3[IHI],,-1) - _xlfn.XLOOKUP(G220,[1]!O_3[BLO],[1]!O_3[ILO],,-1))
/
( _xlfn.XLOOKUP(G220,[1]!O_3[BLO],[1]!O_3[BHI],,-1) - _xlfn.XLOOKUP(G220,[1]!O_3[BLO],[1]!O_3[BLO],,-1)))
*
( G220 - _xlfn.XLOOKUP(G220,[1]!O_3[BLO],[1]!O_3[BLO],,-1))
+
_xlfn.XLOOKUP(G220,[1]!O_3[BLO],[1]!O_3[ILO],,-1)</f>
        <v>24</v>
      </c>
      <c r="N220">
        <f>MAX(DAILY_DATA[[#This Row],[AQI_PM2.5]:[AQI_O3]])</f>
        <v>41</v>
      </c>
      <c r="O220" t="str">
        <f>_xlfn.XLOOKUP(DAILY_DATA[[#This Row],[OVERALL_AQI]],[1]!CATEGORY[AQI_LO],[1]!CATEGORY[CATEGORY],,-1)</f>
        <v>Good</v>
      </c>
      <c r="P220" t="str" cm="1">
        <f t="array" ref="P220">INDEX(
{"PM2.5","PM10","NO2","SO2","CO","O3"},
MATCH(N220,H220:M220,0)
)</f>
        <v>PM10</v>
      </c>
    </row>
    <row r="221" spans="1:16" x14ac:dyDescent="0.25">
      <c r="A221" s="4">
        <v>45511</v>
      </c>
      <c r="B221">
        <f>ROUND(AVERAGEIFS([1]HOURLY_DATA!B221:B9004,[1]HOURLY_DATA!H221:H9004,Daily_AQI!A221),0)</f>
        <v>20</v>
      </c>
      <c r="C221">
        <f>ROUND(AVERAGEIFS([1]HOURLY_DATA!C221:C9004,[1]HOURLY_DATA!H221:H9004,Daily_AQI!A221),0)</f>
        <v>52</v>
      </c>
      <c r="D221">
        <f>ROUND(AVERAGEIFS([1]HOURLY_DATA!D221:D9004,[1]HOURLY_DATA!H221:H9004,Daily_AQI!A221),0)</f>
        <v>18</v>
      </c>
      <c r="E221">
        <f>ROUND(AVERAGEIFS([1]HOURLY_DATA!E221:E9004,[1]HOURLY_DATA!H221:H9004,Daily_AQI!A221),0)</f>
        <v>10</v>
      </c>
      <c r="F221">
        <f>ROUND(AVERAGEIFS([1]HOURLY_DATA!I221:I9004,[1]HOURLY_DATA!H221:H9004,Daily_AQI!A221),2)</f>
        <v>0.68</v>
      </c>
      <c r="G221">
        <f>ROUND(AVERAGEIFS([1]HOURLY_DATA!J221:J9004,[1]HOURLY_DATA!H221:H9004,Daily_AQI!A221),0)</f>
        <v>22</v>
      </c>
      <c r="H221">
        <f>ROUND(((_xlfn.XLOOKUP(B221,[1]!PM2.5[BLO],[1]!PM2.5[IHI],,-1) - _xlfn.XLOOKUP(B221,[1]!PM2.5[BLO],[1]!PM2.5[ILO],,-1))
/
(_xlfn.XLOOKUP(B221,[1]!PM2.5[BLO],[1]!PM2.5[BHI],,-1) - _xlfn.XLOOKUP(B221,[1]!PM2.5[BLO],[1]!PM2.5[BLO],,-1)))
*
(B221 - _xlfn.XLOOKUP(B221,[1]!PM2.5[BLO],[1]!PM2.5[BLO],,-1))
+
_xlfn.XLOOKUP(B221,[1]!PM2.5[BLO],[1]!PM2.5[ILO],,-1),2)</f>
        <v>33.33</v>
      </c>
      <c r="I221">
        <f>ROUND(((_xlfn.XLOOKUP(C221,[1]!PM_10[BLO],[1]!PM_10[IHI],,-1) - _xlfn.XLOOKUP(C221,[1]!PM_10[BLO],[1]!PM_10[ILO],,-1))
/
(_xlfn.XLOOKUP(C221,[1]!PM_10[BLO],[1]!PM_10[BHI],,-1) - _xlfn.XLOOKUP(C221,[1]!PM_10[BLO],[1]!PM_10[BLO],,-1)))
*
( C221 - _xlfn.XLOOKUP(C221,[1]!PM_10[BLO],[1]!PM_10[BLO],,-1))
+
_xlfn.XLOOKUP(C221,[1]!PM_10[BLO],[1]!PM_10[ILO],,-1),2)</f>
        <v>52</v>
      </c>
      <c r="J221">
        <f>ROUND((( _xlfn.XLOOKUP(D221,[1]!NO_2[BLO],[1]!NO_2[IHI],,-1) - _xlfn.XLOOKUP(D221,[1]!NO_2[BLO],[1]!NO_2[ILO],,-1))
/
( _xlfn.XLOOKUP(D221,[1]!NO_2[BLO],[1]!NO_2[BHI],,-1) - _xlfn.XLOOKUP(D221,[1]!NO_2[BLO],[1]!NO_2[BLO],,-1) ))
*
( D221 - _xlfn.XLOOKUP(D221,[1]!NO_2[BLO],[1]!NO_2[BLO],,-1))
+
_xlfn.XLOOKUP(D221,[1]!NO_2[BLO],[1]!NO_2[ILO],,-1),2)</f>
        <v>22.5</v>
      </c>
      <c r="K221">
        <f>ROUND(( ( _xlfn.XLOOKUP(E221,[1]!SO_2[BLO],[1]!SO_2[IHI],,-1)  - _xlfn.XLOOKUP(E221,[1]!SO_2[BLO],[1]!SO_2[ILO],,-1) )
/
( _xlfn.XLOOKUP(E221,[1]!SO_2[BLO],[1]!SO_2[BHI],,-1)- _xlfn.XLOOKUP(E221,[1]!SO_2[BLO],[1]!SO_2[BLO],,-1) ))
*
( E221 - _xlfn.XLOOKUP(E221,[1]!SO_2[BLO],[1]!SO_2[BLO],,-1) )
+
_xlfn.XLOOKUP(E221,[1]!SO_2[BLO],[1]!SO_2[ILO],,-1),2)</f>
        <v>12.5</v>
      </c>
      <c r="L221">
        <f>( ( _xlfn.XLOOKUP(F221,[1]!CO[BLO],[1]!CO[IHI],,-1)
- _xlfn.XLOOKUP(F221,[1]!CO[BLO],[1]!CO[ILO],,-1) )
/
( _xlfn.XLOOKUP(F221,[1]!CO[BLO],[1]!CO[BHI],,-1) - _xlfn.XLOOKUP(F221,[1]!CO[BLO],[1]!CO[BLO],,-1)))
*
( F221 - _xlfn.XLOOKUP(F221,[1]!CO[BLO],[1]!CO[BLO],,-1) )
+
_xlfn.XLOOKUP(F221,[1]!CO[BLO],[1]!CO[ILO],,-1)</f>
        <v>34</v>
      </c>
      <c r="M221">
        <f>(( _xlfn.XLOOKUP(G221,[1]!O_3[BLO],[1]!O_3[IHI],,-1) - _xlfn.XLOOKUP(G221,[1]!O_3[BLO],[1]!O_3[ILO],,-1))
/
( _xlfn.XLOOKUP(G221,[1]!O_3[BLO],[1]!O_3[BHI],,-1) - _xlfn.XLOOKUP(G221,[1]!O_3[BLO],[1]!O_3[BLO],,-1)))
*
( G221 - _xlfn.XLOOKUP(G221,[1]!O_3[BLO],[1]!O_3[BLO],,-1))
+
_xlfn.XLOOKUP(G221,[1]!O_3[BLO],[1]!O_3[ILO],,-1)</f>
        <v>22</v>
      </c>
      <c r="N221">
        <f>MAX(DAILY_DATA[[#This Row],[AQI_PM2.5]:[AQI_O3]])</f>
        <v>52</v>
      </c>
      <c r="O221" t="str">
        <f>_xlfn.XLOOKUP(DAILY_DATA[[#This Row],[OVERALL_AQI]],[1]!CATEGORY[AQI_LO],[1]!CATEGORY[CATEGORY],,-1)</f>
        <v>Satisfactory</v>
      </c>
      <c r="P221" t="str" cm="1">
        <f t="array" ref="P221">INDEX(
{"PM2.5","PM10","NO2","SO2","CO","O3"},
MATCH(N221,H221:M221,0)
)</f>
        <v>PM10</v>
      </c>
    </row>
    <row r="222" spans="1:16" x14ac:dyDescent="0.25">
      <c r="A222" s="4">
        <v>45512</v>
      </c>
      <c r="B222">
        <f>ROUND(AVERAGEIFS([1]HOURLY_DATA!B222:B9005,[1]HOURLY_DATA!H222:H9005,Daily_AQI!A222),0)</f>
        <v>21</v>
      </c>
      <c r="C222">
        <f>ROUND(AVERAGEIFS([1]HOURLY_DATA!C222:C9005,[1]HOURLY_DATA!H222:H9005,Daily_AQI!A222),0)</f>
        <v>56</v>
      </c>
      <c r="D222">
        <f>ROUND(AVERAGEIFS([1]HOURLY_DATA!D222:D9005,[1]HOURLY_DATA!H222:H9005,Daily_AQI!A222),0)</f>
        <v>17</v>
      </c>
      <c r="E222">
        <f>ROUND(AVERAGEIFS([1]HOURLY_DATA!E222:E9005,[1]HOURLY_DATA!H222:H9005,Daily_AQI!A222),0)</f>
        <v>9</v>
      </c>
      <c r="F222">
        <f>ROUND(AVERAGEIFS([1]HOURLY_DATA!I222:I9005,[1]HOURLY_DATA!H222:H9005,Daily_AQI!A222),2)</f>
        <v>0.61</v>
      </c>
      <c r="G222">
        <f>ROUND(AVERAGEIFS([1]HOURLY_DATA!J222:J9005,[1]HOURLY_DATA!H222:H9005,Daily_AQI!A222),0)</f>
        <v>23</v>
      </c>
      <c r="H222">
        <f>ROUND(((_xlfn.XLOOKUP(B222,[1]!PM2.5[BLO],[1]!PM2.5[IHI],,-1) - _xlfn.XLOOKUP(B222,[1]!PM2.5[BLO],[1]!PM2.5[ILO],,-1))
/
(_xlfn.XLOOKUP(B222,[1]!PM2.5[BLO],[1]!PM2.5[BHI],,-1) - _xlfn.XLOOKUP(B222,[1]!PM2.5[BLO],[1]!PM2.5[BLO],,-1)))
*
(B222 - _xlfn.XLOOKUP(B222,[1]!PM2.5[BLO],[1]!PM2.5[BLO],,-1))
+
_xlfn.XLOOKUP(B222,[1]!PM2.5[BLO],[1]!PM2.5[ILO],,-1),2)</f>
        <v>35</v>
      </c>
      <c r="I222">
        <f>ROUND(((_xlfn.XLOOKUP(C222,[1]!PM_10[BLO],[1]!PM_10[IHI],,-1) - _xlfn.XLOOKUP(C222,[1]!PM_10[BLO],[1]!PM_10[ILO],,-1))
/
(_xlfn.XLOOKUP(C222,[1]!PM_10[BLO],[1]!PM_10[BHI],,-1) - _xlfn.XLOOKUP(C222,[1]!PM_10[BLO],[1]!PM_10[BLO],,-1)))
*
( C222 - _xlfn.XLOOKUP(C222,[1]!PM_10[BLO],[1]!PM_10[BLO],,-1))
+
_xlfn.XLOOKUP(C222,[1]!PM_10[BLO],[1]!PM_10[ILO],,-1),2)</f>
        <v>56</v>
      </c>
      <c r="J222">
        <f>ROUND((( _xlfn.XLOOKUP(D222,[1]!NO_2[BLO],[1]!NO_2[IHI],,-1) - _xlfn.XLOOKUP(D222,[1]!NO_2[BLO],[1]!NO_2[ILO],,-1))
/
( _xlfn.XLOOKUP(D222,[1]!NO_2[BLO],[1]!NO_2[BHI],,-1) - _xlfn.XLOOKUP(D222,[1]!NO_2[BLO],[1]!NO_2[BLO],,-1) ))
*
( D222 - _xlfn.XLOOKUP(D222,[1]!NO_2[BLO],[1]!NO_2[BLO],,-1))
+
_xlfn.XLOOKUP(D222,[1]!NO_2[BLO],[1]!NO_2[ILO],,-1),2)</f>
        <v>21.25</v>
      </c>
      <c r="K222">
        <f>ROUND(( ( _xlfn.XLOOKUP(E222,[1]!SO_2[BLO],[1]!SO_2[IHI],,-1)  - _xlfn.XLOOKUP(E222,[1]!SO_2[BLO],[1]!SO_2[ILO],,-1) )
/
( _xlfn.XLOOKUP(E222,[1]!SO_2[BLO],[1]!SO_2[BHI],,-1)- _xlfn.XLOOKUP(E222,[1]!SO_2[BLO],[1]!SO_2[BLO],,-1) ))
*
( E222 - _xlfn.XLOOKUP(E222,[1]!SO_2[BLO],[1]!SO_2[BLO],,-1) )
+
_xlfn.XLOOKUP(E222,[1]!SO_2[BLO],[1]!SO_2[ILO],,-1),2)</f>
        <v>11.25</v>
      </c>
      <c r="L222">
        <f>( ( _xlfn.XLOOKUP(F222,[1]!CO[BLO],[1]!CO[IHI],,-1)
- _xlfn.XLOOKUP(F222,[1]!CO[BLO],[1]!CO[ILO],,-1) )
/
( _xlfn.XLOOKUP(F222,[1]!CO[BLO],[1]!CO[BHI],,-1) - _xlfn.XLOOKUP(F222,[1]!CO[BLO],[1]!CO[BLO],,-1)))
*
( F222 - _xlfn.XLOOKUP(F222,[1]!CO[BLO],[1]!CO[BLO],,-1) )
+
_xlfn.XLOOKUP(F222,[1]!CO[BLO],[1]!CO[ILO],,-1)</f>
        <v>30.5</v>
      </c>
      <c r="M222">
        <f>(( _xlfn.XLOOKUP(G222,[1]!O_3[BLO],[1]!O_3[IHI],,-1) - _xlfn.XLOOKUP(G222,[1]!O_3[BLO],[1]!O_3[ILO],,-1))
/
( _xlfn.XLOOKUP(G222,[1]!O_3[BLO],[1]!O_3[BHI],,-1) - _xlfn.XLOOKUP(G222,[1]!O_3[BLO],[1]!O_3[BLO],,-1)))
*
( G222 - _xlfn.XLOOKUP(G222,[1]!O_3[BLO],[1]!O_3[BLO],,-1))
+
_xlfn.XLOOKUP(G222,[1]!O_3[BLO],[1]!O_3[ILO],,-1)</f>
        <v>23</v>
      </c>
      <c r="N222">
        <f>MAX(DAILY_DATA[[#This Row],[AQI_PM2.5]:[AQI_O3]])</f>
        <v>56</v>
      </c>
      <c r="O222" t="str">
        <f>_xlfn.XLOOKUP(DAILY_DATA[[#This Row],[OVERALL_AQI]],[1]!CATEGORY[AQI_LO],[1]!CATEGORY[CATEGORY],,-1)</f>
        <v>Satisfactory</v>
      </c>
      <c r="P222" t="str" cm="1">
        <f t="array" ref="P222">INDEX(
{"PM2.5","PM10","NO2","SO2","CO","O3"},
MATCH(N222,H222:M222,0)
)</f>
        <v>PM10</v>
      </c>
    </row>
    <row r="223" spans="1:16" x14ac:dyDescent="0.25">
      <c r="A223" s="4">
        <v>45513</v>
      </c>
      <c r="B223">
        <f>ROUND(AVERAGEIFS([1]HOURLY_DATA!B223:B9006,[1]HOURLY_DATA!H223:H9006,Daily_AQI!A223),0)</f>
        <v>24</v>
      </c>
      <c r="C223">
        <f>ROUND(AVERAGEIFS([1]HOURLY_DATA!C223:C9006,[1]HOURLY_DATA!H223:H9006,Daily_AQI!A223),0)</f>
        <v>65</v>
      </c>
      <c r="D223">
        <f>ROUND(AVERAGEIFS([1]HOURLY_DATA!D223:D9006,[1]HOURLY_DATA!H223:H9006,Daily_AQI!A223),0)</f>
        <v>18</v>
      </c>
      <c r="E223">
        <f>ROUND(AVERAGEIFS([1]HOURLY_DATA!E223:E9006,[1]HOURLY_DATA!H223:H9006,Daily_AQI!A223),0)</f>
        <v>9</v>
      </c>
      <c r="F223">
        <f>ROUND(AVERAGEIFS([1]HOURLY_DATA!I223:I9006,[1]HOURLY_DATA!H223:H9006,Daily_AQI!A223),2)</f>
        <v>0.68</v>
      </c>
      <c r="G223">
        <f>ROUND(AVERAGEIFS([1]HOURLY_DATA!J223:J9006,[1]HOURLY_DATA!H223:H9006,Daily_AQI!A223),0)</f>
        <v>24</v>
      </c>
      <c r="H223">
        <f>ROUND(((_xlfn.XLOOKUP(B223,[1]!PM2.5[BLO],[1]!PM2.5[IHI],,-1) - _xlfn.XLOOKUP(B223,[1]!PM2.5[BLO],[1]!PM2.5[ILO],,-1))
/
(_xlfn.XLOOKUP(B223,[1]!PM2.5[BLO],[1]!PM2.5[BHI],,-1) - _xlfn.XLOOKUP(B223,[1]!PM2.5[BLO],[1]!PM2.5[BLO],,-1)))
*
(B223 - _xlfn.XLOOKUP(B223,[1]!PM2.5[BLO],[1]!PM2.5[BLO],,-1))
+
_xlfn.XLOOKUP(B223,[1]!PM2.5[BLO],[1]!PM2.5[ILO],,-1),2)</f>
        <v>40</v>
      </c>
      <c r="I223">
        <f>ROUND(((_xlfn.XLOOKUP(C223,[1]!PM_10[BLO],[1]!PM_10[IHI],,-1) - _xlfn.XLOOKUP(C223,[1]!PM_10[BLO],[1]!PM_10[ILO],,-1))
/
(_xlfn.XLOOKUP(C223,[1]!PM_10[BLO],[1]!PM_10[BHI],,-1) - _xlfn.XLOOKUP(C223,[1]!PM_10[BLO],[1]!PM_10[BLO],,-1)))
*
( C223 - _xlfn.XLOOKUP(C223,[1]!PM_10[BLO],[1]!PM_10[BLO],,-1))
+
_xlfn.XLOOKUP(C223,[1]!PM_10[BLO],[1]!PM_10[ILO],,-1),2)</f>
        <v>65</v>
      </c>
      <c r="J223">
        <f>ROUND((( _xlfn.XLOOKUP(D223,[1]!NO_2[BLO],[1]!NO_2[IHI],,-1) - _xlfn.XLOOKUP(D223,[1]!NO_2[BLO],[1]!NO_2[ILO],,-1))
/
( _xlfn.XLOOKUP(D223,[1]!NO_2[BLO],[1]!NO_2[BHI],,-1) - _xlfn.XLOOKUP(D223,[1]!NO_2[BLO],[1]!NO_2[BLO],,-1) ))
*
( D223 - _xlfn.XLOOKUP(D223,[1]!NO_2[BLO],[1]!NO_2[BLO],,-1))
+
_xlfn.XLOOKUP(D223,[1]!NO_2[BLO],[1]!NO_2[ILO],,-1),2)</f>
        <v>22.5</v>
      </c>
      <c r="K223">
        <f>ROUND(( ( _xlfn.XLOOKUP(E223,[1]!SO_2[BLO],[1]!SO_2[IHI],,-1)  - _xlfn.XLOOKUP(E223,[1]!SO_2[BLO],[1]!SO_2[ILO],,-1) )
/
( _xlfn.XLOOKUP(E223,[1]!SO_2[BLO],[1]!SO_2[BHI],,-1)- _xlfn.XLOOKUP(E223,[1]!SO_2[BLO],[1]!SO_2[BLO],,-1) ))
*
( E223 - _xlfn.XLOOKUP(E223,[1]!SO_2[BLO],[1]!SO_2[BLO],,-1) )
+
_xlfn.XLOOKUP(E223,[1]!SO_2[BLO],[1]!SO_2[ILO],,-1),2)</f>
        <v>11.25</v>
      </c>
      <c r="L223">
        <f>( ( _xlfn.XLOOKUP(F223,[1]!CO[BLO],[1]!CO[IHI],,-1)
- _xlfn.XLOOKUP(F223,[1]!CO[BLO],[1]!CO[ILO],,-1) )
/
( _xlfn.XLOOKUP(F223,[1]!CO[BLO],[1]!CO[BHI],,-1) - _xlfn.XLOOKUP(F223,[1]!CO[BLO],[1]!CO[BLO],,-1)))
*
( F223 - _xlfn.XLOOKUP(F223,[1]!CO[BLO],[1]!CO[BLO],,-1) )
+
_xlfn.XLOOKUP(F223,[1]!CO[BLO],[1]!CO[ILO],,-1)</f>
        <v>34</v>
      </c>
      <c r="M223">
        <f>(( _xlfn.XLOOKUP(G223,[1]!O_3[BLO],[1]!O_3[IHI],,-1) - _xlfn.XLOOKUP(G223,[1]!O_3[BLO],[1]!O_3[ILO],,-1))
/
( _xlfn.XLOOKUP(G223,[1]!O_3[BLO],[1]!O_3[BHI],,-1) - _xlfn.XLOOKUP(G223,[1]!O_3[BLO],[1]!O_3[BLO],,-1)))
*
( G223 - _xlfn.XLOOKUP(G223,[1]!O_3[BLO],[1]!O_3[BLO],,-1))
+
_xlfn.XLOOKUP(G223,[1]!O_3[BLO],[1]!O_3[ILO],,-1)</f>
        <v>24</v>
      </c>
      <c r="N223">
        <f>MAX(DAILY_DATA[[#This Row],[AQI_PM2.5]:[AQI_O3]])</f>
        <v>65</v>
      </c>
      <c r="O223" t="str">
        <f>_xlfn.XLOOKUP(DAILY_DATA[[#This Row],[OVERALL_AQI]],[1]!CATEGORY[AQI_LO],[1]!CATEGORY[CATEGORY],,-1)</f>
        <v>Satisfactory</v>
      </c>
      <c r="P223" t="str" cm="1">
        <f t="array" ref="P223">INDEX(
{"PM2.5","PM10","NO2","SO2","CO","O3"},
MATCH(N223,H223:M223,0)
)</f>
        <v>PM10</v>
      </c>
    </row>
    <row r="224" spans="1:16" x14ac:dyDescent="0.25">
      <c r="A224" s="4">
        <v>45514</v>
      </c>
      <c r="B224">
        <f>ROUND(AVERAGEIFS([1]HOURLY_DATA!B224:B9007,[1]HOURLY_DATA!H224:H9007,Daily_AQI!A224),0)</f>
        <v>24</v>
      </c>
      <c r="C224">
        <f>ROUND(AVERAGEIFS([1]HOURLY_DATA!C224:C9007,[1]HOURLY_DATA!H224:H9007,Daily_AQI!A224),0)</f>
        <v>58</v>
      </c>
      <c r="D224">
        <f>ROUND(AVERAGEIFS([1]HOURLY_DATA!D224:D9007,[1]HOURLY_DATA!H224:H9007,Daily_AQI!A224),0)</f>
        <v>17</v>
      </c>
      <c r="E224">
        <f>ROUND(AVERAGEIFS([1]HOURLY_DATA!E224:E9007,[1]HOURLY_DATA!H224:H9007,Daily_AQI!A224),0)</f>
        <v>8</v>
      </c>
      <c r="F224">
        <f>ROUND(AVERAGEIFS([1]HOURLY_DATA!I224:I9007,[1]HOURLY_DATA!H224:H9007,Daily_AQI!A224),2)</f>
        <v>0.72</v>
      </c>
      <c r="G224">
        <f>ROUND(AVERAGEIFS([1]HOURLY_DATA!J224:J9007,[1]HOURLY_DATA!H224:H9007,Daily_AQI!A224),0)</f>
        <v>25</v>
      </c>
      <c r="H224">
        <f>ROUND(((_xlfn.XLOOKUP(B224,[1]!PM2.5[BLO],[1]!PM2.5[IHI],,-1) - _xlfn.XLOOKUP(B224,[1]!PM2.5[BLO],[1]!PM2.5[ILO],,-1))
/
(_xlfn.XLOOKUP(B224,[1]!PM2.5[BLO],[1]!PM2.5[BHI],,-1) - _xlfn.XLOOKUP(B224,[1]!PM2.5[BLO],[1]!PM2.5[BLO],,-1)))
*
(B224 - _xlfn.XLOOKUP(B224,[1]!PM2.5[BLO],[1]!PM2.5[BLO],,-1))
+
_xlfn.XLOOKUP(B224,[1]!PM2.5[BLO],[1]!PM2.5[ILO],,-1),2)</f>
        <v>40</v>
      </c>
      <c r="I224">
        <f>ROUND(((_xlfn.XLOOKUP(C224,[1]!PM_10[BLO],[1]!PM_10[IHI],,-1) - _xlfn.XLOOKUP(C224,[1]!PM_10[BLO],[1]!PM_10[ILO],,-1))
/
(_xlfn.XLOOKUP(C224,[1]!PM_10[BLO],[1]!PM_10[BHI],,-1) - _xlfn.XLOOKUP(C224,[1]!PM_10[BLO],[1]!PM_10[BLO],,-1)))
*
( C224 - _xlfn.XLOOKUP(C224,[1]!PM_10[BLO],[1]!PM_10[BLO],,-1))
+
_xlfn.XLOOKUP(C224,[1]!PM_10[BLO],[1]!PM_10[ILO],,-1),2)</f>
        <v>58</v>
      </c>
      <c r="J224">
        <f>ROUND((( _xlfn.XLOOKUP(D224,[1]!NO_2[BLO],[1]!NO_2[IHI],,-1) - _xlfn.XLOOKUP(D224,[1]!NO_2[BLO],[1]!NO_2[ILO],,-1))
/
( _xlfn.XLOOKUP(D224,[1]!NO_2[BLO],[1]!NO_2[BHI],,-1) - _xlfn.XLOOKUP(D224,[1]!NO_2[BLO],[1]!NO_2[BLO],,-1) ))
*
( D224 - _xlfn.XLOOKUP(D224,[1]!NO_2[BLO],[1]!NO_2[BLO],,-1))
+
_xlfn.XLOOKUP(D224,[1]!NO_2[BLO],[1]!NO_2[ILO],,-1),2)</f>
        <v>21.25</v>
      </c>
      <c r="K224">
        <f>ROUND(( ( _xlfn.XLOOKUP(E224,[1]!SO_2[BLO],[1]!SO_2[IHI],,-1)  - _xlfn.XLOOKUP(E224,[1]!SO_2[BLO],[1]!SO_2[ILO],,-1) )
/
( _xlfn.XLOOKUP(E224,[1]!SO_2[BLO],[1]!SO_2[BHI],,-1)- _xlfn.XLOOKUP(E224,[1]!SO_2[BLO],[1]!SO_2[BLO],,-1) ))
*
( E224 - _xlfn.XLOOKUP(E224,[1]!SO_2[BLO],[1]!SO_2[BLO],,-1) )
+
_xlfn.XLOOKUP(E224,[1]!SO_2[BLO],[1]!SO_2[ILO],,-1),2)</f>
        <v>10</v>
      </c>
      <c r="L224">
        <f>( ( _xlfn.XLOOKUP(F224,[1]!CO[BLO],[1]!CO[IHI],,-1)
- _xlfn.XLOOKUP(F224,[1]!CO[BLO],[1]!CO[ILO],,-1) )
/
( _xlfn.XLOOKUP(F224,[1]!CO[BLO],[1]!CO[BHI],,-1) - _xlfn.XLOOKUP(F224,[1]!CO[BLO],[1]!CO[BLO],,-1)))
*
( F224 - _xlfn.XLOOKUP(F224,[1]!CO[BLO],[1]!CO[BLO],,-1) )
+
_xlfn.XLOOKUP(F224,[1]!CO[BLO],[1]!CO[ILO],,-1)</f>
        <v>36</v>
      </c>
      <c r="M224">
        <f>(( _xlfn.XLOOKUP(G224,[1]!O_3[BLO],[1]!O_3[IHI],,-1) - _xlfn.XLOOKUP(G224,[1]!O_3[BLO],[1]!O_3[ILO],,-1))
/
( _xlfn.XLOOKUP(G224,[1]!O_3[BLO],[1]!O_3[BHI],,-1) - _xlfn.XLOOKUP(G224,[1]!O_3[BLO],[1]!O_3[BLO],,-1)))
*
( G224 - _xlfn.XLOOKUP(G224,[1]!O_3[BLO],[1]!O_3[BLO],,-1))
+
_xlfn.XLOOKUP(G224,[1]!O_3[BLO],[1]!O_3[ILO],,-1)</f>
        <v>25</v>
      </c>
      <c r="N224">
        <f>MAX(DAILY_DATA[[#This Row],[AQI_PM2.5]:[AQI_O3]])</f>
        <v>58</v>
      </c>
      <c r="O224" t="str">
        <f>_xlfn.XLOOKUP(DAILY_DATA[[#This Row],[OVERALL_AQI]],[1]!CATEGORY[AQI_LO],[1]!CATEGORY[CATEGORY],,-1)</f>
        <v>Satisfactory</v>
      </c>
      <c r="P224" t="str" cm="1">
        <f t="array" ref="P224">INDEX(
{"PM2.5","PM10","NO2","SO2","CO","O3"},
MATCH(N224,H224:M224,0)
)</f>
        <v>PM10</v>
      </c>
    </row>
    <row r="225" spans="1:16" x14ac:dyDescent="0.25">
      <c r="A225" s="4">
        <v>45515</v>
      </c>
      <c r="B225">
        <f>ROUND(AVERAGEIFS([1]HOURLY_DATA!B225:B9008,[1]HOURLY_DATA!H225:H9008,Daily_AQI!A225),0)</f>
        <v>23</v>
      </c>
      <c r="C225">
        <f>ROUND(AVERAGEIFS([1]HOURLY_DATA!C225:C9008,[1]HOURLY_DATA!H225:H9008,Daily_AQI!A225),0)</f>
        <v>59</v>
      </c>
      <c r="D225">
        <f>ROUND(AVERAGEIFS([1]HOURLY_DATA!D225:D9008,[1]HOURLY_DATA!H225:H9008,Daily_AQI!A225),0)</f>
        <v>17</v>
      </c>
      <c r="E225">
        <f>ROUND(AVERAGEIFS([1]HOURLY_DATA!E225:E9008,[1]HOURLY_DATA!H225:H9008,Daily_AQI!A225),0)</f>
        <v>8</v>
      </c>
      <c r="F225">
        <f>ROUND(AVERAGEIFS([1]HOURLY_DATA!I225:I9008,[1]HOURLY_DATA!H225:H9008,Daily_AQI!A225),2)</f>
        <v>0.63</v>
      </c>
      <c r="G225">
        <f>ROUND(AVERAGEIFS([1]HOURLY_DATA!J225:J9008,[1]HOURLY_DATA!H225:H9008,Daily_AQI!A225),0)</f>
        <v>24</v>
      </c>
      <c r="H225">
        <f>ROUND(((_xlfn.XLOOKUP(B225,[1]!PM2.5[BLO],[1]!PM2.5[IHI],,-1) - _xlfn.XLOOKUP(B225,[1]!PM2.5[BLO],[1]!PM2.5[ILO],,-1))
/
(_xlfn.XLOOKUP(B225,[1]!PM2.5[BLO],[1]!PM2.5[BHI],,-1) - _xlfn.XLOOKUP(B225,[1]!PM2.5[BLO],[1]!PM2.5[BLO],,-1)))
*
(B225 - _xlfn.XLOOKUP(B225,[1]!PM2.5[BLO],[1]!PM2.5[BLO],,-1))
+
_xlfn.XLOOKUP(B225,[1]!PM2.5[BLO],[1]!PM2.5[ILO],,-1),2)</f>
        <v>38.33</v>
      </c>
      <c r="I225">
        <f>ROUND(((_xlfn.XLOOKUP(C225,[1]!PM_10[BLO],[1]!PM_10[IHI],,-1) - _xlfn.XLOOKUP(C225,[1]!PM_10[BLO],[1]!PM_10[ILO],,-1))
/
(_xlfn.XLOOKUP(C225,[1]!PM_10[BLO],[1]!PM_10[BHI],,-1) - _xlfn.XLOOKUP(C225,[1]!PM_10[BLO],[1]!PM_10[BLO],,-1)))
*
( C225 - _xlfn.XLOOKUP(C225,[1]!PM_10[BLO],[1]!PM_10[BLO],,-1))
+
_xlfn.XLOOKUP(C225,[1]!PM_10[BLO],[1]!PM_10[ILO],,-1),2)</f>
        <v>59</v>
      </c>
      <c r="J225">
        <f>ROUND((( _xlfn.XLOOKUP(D225,[1]!NO_2[BLO],[1]!NO_2[IHI],,-1) - _xlfn.XLOOKUP(D225,[1]!NO_2[BLO],[1]!NO_2[ILO],,-1))
/
( _xlfn.XLOOKUP(D225,[1]!NO_2[BLO],[1]!NO_2[BHI],,-1) - _xlfn.XLOOKUP(D225,[1]!NO_2[BLO],[1]!NO_2[BLO],,-1) ))
*
( D225 - _xlfn.XLOOKUP(D225,[1]!NO_2[BLO],[1]!NO_2[BLO],,-1))
+
_xlfn.XLOOKUP(D225,[1]!NO_2[BLO],[1]!NO_2[ILO],,-1),2)</f>
        <v>21.25</v>
      </c>
      <c r="K225">
        <f>ROUND(( ( _xlfn.XLOOKUP(E225,[1]!SO_2[BLO],[1]!SO_2[IHI],,-1)  - _xlfn.XLOOKUP(E225,[1]!SO_2[BLO],[1]!SO_2[ILO],,-1) )
/
( _xlfn.XLOOKUP(E225,[1]!SO_2[BLO],[1]!SO_2[BHI],,-1)- _xlfn.XLOOKUP(E225,[1]!SO_2[BLO],[1]!SO_2[BLO],,-1) ))
*
( E225 - _xlfn.XLOOKUP(E225,[1]!SO_2[BLO],[1]!SO_2[BLO],,-1) )
+
_xlfn.XLOOKUP(E225,[1]!SO_2[BLO],[1]!SO_2[ILO],,-1),2)</f>
        <v>10</v>
      </c>
      <c r="L225">
        <f>( ( _xlfn.XLOOKUP(F225,[1]!CO[BLO],[1]!CO[IHI],,-1)
- _xlfn.XLOOKUP(F225,[1]!CO[BLO],[1]!CO[ILO],,-1) )
/
( _xlfn.XLOOKUP(F225,[1]!CO[BLO],[1]!CO[BHI],,-1) - _xlfn.XLOOKUP(F225,[1]!CO[BLO],[1]!CO[BLO],,-1)))
*
( F225 - _xlfn.XLOOKUP(F225,[1]!CO[BLO],[1]!CO[BLO],,-1) )
+
_xlfn.XLOOKUP(F225,[1]!CO[BLO],[1]!CO[ILO],,-1)</f>
        <v>31.5</v>
      </c>
      <c r="M225">
        <f>(( _xlfn.XLOOKUP(G225,[1]!O_3[BLO],[1]!O_3[IHI],,-1) - _xlfn.XLOOKUP(G225,[1]!O_3[BLO],[1]!O_3[ILO],,-1))
/
( _xlfn.XLOOKUP(G225,[1]!O_3[BLO],[1]!O_3[BHI],,-1) - _xlfn.XLOOKUP(G225,[1]!O_3[BLO],[1]!O_3[BLO],,-1)))
*
( G225 - _xlfn.XLOOKUP(G225,[1]!O_3[BLO],[1]!O_3[BLO],,-1))
+
_xlfn.XLOOKUP(G225,[1]!O_3[BLO],[1]!O_3[ILO],,-1)</f>
        <v>24</v>
      </c>
      <c r="N225">
        <f>MAX(DAILY_DATA[[#This Row],[AQI_PM2.5]:[AQI_O3]])</f>
        <v>59</v>
      </c>
      <c r="O225" t="str">
        <f>_xlfn.XLOOKUP(DAILY_DATA[[#This Row],[OVERALL_AQI]],[1]!CATEGORY[AQI_LO],[1]!CATEGORY[CATEGORY],,-1)</f>
        <v>Satisfactory</v>
      </c>
      <c r="P225" t="str" cm="1">
        <f t="array" ref="P225">INDEX(
{"PM2.5","PM10","NO2","SO2","CO","O3"},
MATCH(N225,H225:M225,0)
)</f>
        <v>PM10</v>
      </c>
    </row>
    <row r="226" spans="1:16" x14ac:dyDescent="0.25">
      <c r="A226" s="4">
        <v>45516</v>
      </c>
      <c r="B226">
        <f>ROUND(AVERAGEIFS([1]HOURLY_DATA!B226:B9009,[1]HOURLY_DATA!H226:H9009,Daily_AQI!A226),0)</f>
        <v>27</v>
      </c>
      <c r="C226">
        <f>ROUND(AVERAGEIFS([1]HOURLY_DATA!C226:C9009,[1]HOURLY_DATA!H226:H9009,Daily_AQI!A226),0)</f>
        <v>68</v>
      </c>
      <c r="D226">
        <f>ROUND(AVERAGEIFS([1]HOURLY_DATA!D226:D9009,[1]HOURLY_DATA!H226:H9009,Daily_AQI!A226),0)</f>
        <v>19</v>
      </c>
      <c r="E226">
        <f>ROUND(AVERAGEIFS([1]HOURLY_DATA!E226:E9009,[1]HOURLY_DATA!H226:H9009,Daily_AQI!A226),0)</f>
        <v>8</v>
      </c>
      <c r="F226">
        <f>ROUND(AVERAGEIFS([1]HOURLY_DATA!I226:I9009,[1]HOURLY_DATA!H226:H9009,Daily_AQI!A226),2)</f>
        <v>0.75</v>
      </c>
      <c r="G226">
        <f>ROUND(AVERAGEIFS([1]HOURLY_DATA!J226:J9009,[1]HOURLY_DATA!H226:H9009,Daily_AQI!A226),0)</f>
        <v>25</v>
      </c>
      <c r="H226">
        <f>ROUND(((_xlfn.XLOOKUP(B226,[1]!PM2.5[BLO],[1]!PM2.5[IHI],,-1) - _xlfn.XLOOKUP(B226,[1]!PM2.5[BLO],[1]!PM2.5[ILO],,-1))
/
(_xlfn.XLOOKUP(B226,[1]!PM2.5[BLO],[1]!PM2.5[BHI],,-1) - _xlfn.XLOOKUP(B226,[1]!PM2.5[BLO],[1]!PM2.5[BLO],,-1)))
*
(B226 - _xlfn.XLOOKUP(B226,[1]!PM2.5[BLO],[1]!PM2.5[BLO],,-1))
+
_xlfn.XLOOKUP(B226,[1]!PM2.5[BLO],[1]!PM2.5[ILO],,-1),2)</f>
        <v>45</v>
      </c>
      <c r="I226">
        <f>ROUND(((_xlfn.XLOOKUP(C226,[1]!PM_10[BLO],[1]!PM_10[IHI],,-1) - _xlfn.XLOOKUP(C226,[1]!PM_10[BLO],[1]!PM_10[ILO],,-1))
/
(_xlfn.XLOOKUP(C226,[1]!PM_10[BLO],[1]!PM_10[BHI],,-1) - _xlfn.XLOOKUP(C226,[1]!PM_10[BLO],[1]!PM_10[BLO],,-1)))
*
( C226 - _xlfn.XLOOKUP(C226,[1]!PM_10[BLO],[1]!PM_10[BLO],,-1))
+
_xlfn.XLOOKUP(C226,[1]!PM_10[BLO],[1]!PM_10[ILO],,-1),2)</f>
        <v>68</v>
      </c>
      <c r="J226">
        <f>ROUND((( _xlfn.XLOOKUP(D226,[1]!NO_2[BLO],[1]!NO_2[IHI],,-1) - _xlfn.XLOOKUP(D226,[1]!NO_2[BLO],[1]!NO_2[ILO],,-1))
/
( _xlfn.XLOOKUP(D226,[1]!NO_2[BLO],[1]!NO_2[BHI],,-1) - _xlfn.XLOOKUP(D226,[1]!NO_2[BLO],[1]!NO_2[BLO],,-1) ))
*
( D226 - _xlfn.XLOOKUP(D226,[1]!NO_2[BLO],[1]!NO_2[BLO],,-1))
+
_xlfn.XLOOKUP(D226,[1]!NO_2[BLO],[1]!NO_2[ILO],,-1),2)</f>
        <v>23.75</v>
      </c>
      <c r="K226">
        <f>ROUND(( ( _xlfn.XLOOKUP(E226,[1]!SO_2[BLO],[1]!SO_2[IHI],,-1)  - _xlfn.XLOOKUP(E226,[1]!SO_2[BLO],[1]!SO_2[ILO],,-1) )
/
( _xlfn.XLOOKUP(E226,[1]!SO_2[BLO],[1]!SO_2[BHI],,-1)- _xlfn.XLOOKUP(E226,[1]!SO_2[BLO],[1]!SO_2[BLO],,-1) ))
*
( E226 - _xlfn.XLOOKUP(E226,[1]!SO_2[BLO],[1]!SO_2[BLO],,-1) )
+
_xlfn.XLOOKUP(E226,[1]!SO_2[BLO],[1]!SO_2[ILO],,-1),2)</f>
        <v>10</v>
      </c>
      <c r="L226">
        <f>( ( _xlfn.XLOOKUP(F226,[1]!CO[BLO],[1]!CO[IHI],,-1)
- _xlfn.XLOOKUP(F226,[1]!CO[BLO],[1]!CO[ILO],,-1) )
/
( _xlfn.XLOOKUP(F226,[1]!CO[BLO],[1]!CO[BHI],,-1) - _xlfn.XLOOKUP(F226,[1]!CO[BLO],[1]!CO[BLO],,-1)))
*
( F226 - _xlfn.XLOOKUP(F226,[1]!CO[BLO],[1]!CO[BLO],,-1) )
+
_xlfn.XLOOKUP(F226,[1]!CO[BLO],[1]!CO[ILO],,-1)</f>
        <v>37.5</v>
      </c>
      <c r="M226">
        <f>(( _xlfn.XLOOKUP(G226,[1]!O_3[BLO],[1]!O_3[IHI],,-1) - _xlfn.XLOOKUP(G226,[1]!O_3[BLO],[1]!O_3[ILO],,-1))
/
( _xlfn.XLOOKUP(G226,[1]!O_3[BLO],[1]!O_3[BHI],,-1) - _xlfn.XLOOKUP(G226,[1]!O_3[BLO],[1]!O_3[BLO],,-1)))
*
( G226 - _xlfn.XLOOKUP(G226,[1]!O_3[BLO],[1]!O_3[BLO],,-1))
+
_xlfn.XLOOKUP(G226,[1]!O_3[BLO],[1]!O_3[ILO],,-1)</f>
        <v>25</v>
      </c>
      <c r="N226">
        <f>MAX(DAILY_DATA[[#This Row],[AQI_PM2.5]:[AQI_O3]])</f>
        <v>68</v>
      </c>
      <c r="O226" t="str">
        <f>_xlfn.XLOOKUP(DAILY_DATA[[#This Row],[OVERALL_AQI]],[1]!CATEGORY[AQI_LO],[1]!CATEGORY[CATEGORY],,-1)</f>
        <v>Satisfactory</v>
      </c>
      <c r="P226" t="str" cm="1">
        <f t="array" ref="P226">INDEX(
{"PM2.5","PM10","NO2","SO2","CO","O3"},
MATCH(N226,H226:M226,0)
)</f>
        <v>PM10</v>
      </c>
    </row>
    <row r="227" spans="1:16" x14ac:dyDescent="0.25">
      <c r="A227" s="4">
        <v>45517</v>
      </c>
      <c r="B227">
        <f>ROUND(AVERAGEIFS([1]HOURLY_DATA!B227:B9010,[1]HOURLY_DATA!H227:H9010,Daily_AQI!A227),0)</f>
        <v>29</v>
      </c>
      <c r="C227">
        <f>ROUND(AVERAGEIFS([1]HOURLY_DATA!C227:C9010,[1]HOURLY_DATA!H227:H9010,Daily_AQI!A227),0)</f>
        <v>66</v>
      </c>
      <c r="D227">
        <f>ROUND(AVERAGEIFS([1]HOURLY_DATA!D227:D9010,[1]HOURLY_DATA!H227:H9010,Daily_AQI!A227),0)</f>
        <v>19</v>
      </c>
      <c r="E227">
        <f>ROUND(AVERAGEIFS([1]HOURLY_DATA!E227:E9010,[1]HOURLY_DATA!H227:H9010,Daily_AQI!A227),0)</f>
        <v>8</v>
      </c>
      <c r="F227">
        <f>ROUND(AVERAGEIFS([1]HOURLY_DATA!I227:I9010,[1]HOURLY_DATA!H227:H9010,Daily_AQI!A227),2)</f>
        <v>0.8</v>
      </c>
      <c r="G227">
        <f>ROUND(AVERAGEIFS([1]HOURLY_DATA!J227:J9010,[1]HOURLY_DATA!H227:H9010,Daily_AQI!A227),0)</f>
        <v>24</v>
      </c>
      <c r="H227">
        <f>ROUND(((_xlfn.XLOOKUP(B227,[1]!PM2.5[BLO],[1]!PM2.5[IHI],,-1) - _xlfn.XLOOKUP(B227,[1]!PM2.5[BLO],[1]!PM2.5[ILO],,-1))
/
(_xlfn.XLOOKUP(B227,[1]!PM2.5[BLO],[1]!PM2.5[BHI],,-1) - _xlfn.XLOOKUP(B227,[1]!PM2.5[BLO],[1]!PM2.5[BLO],,-1)))
*
(B227 - _xlfn.XLOOKUP(B227,[1]!PM2.5[BLO],[1]!PM2.5[BLO],,-1))
+
_xlfn.XLOOKUP(B227,[1]!PM2.5[BLO],[1]!PM2.5[ILO],,-1),2)</f>
        <v>48.33</v>
      </c>
      <c r="I227">
        <f>ROUND(((_xlfn.XLOOKUP(C227,[1]!PM_10[BLO],[1]!PM_10[IHI],,-1) - _xlfn.XLOOKUP(C227,[1]!PM_10[BLO],[1]!PM_10[ILO],,-1))
/
(_xlfn.XLOOKUP(C227,[1]!PM_10[BLO],[1]!PM_10[BHI],,-1) - _xlfn.XLOOKUP(C227,[1]!PM_10[BLO],[1]!PM_10[BLO],,-1)))
*
( C227 - _xlfn.XLOOKUP(C227,[1]!PM_10[BLO],[1]!PM_10[BLO],,-1))
+
_xlfn.XLOOKUP(C227,[1]!PM_10[BLO],[1]!PM_10[ILO],,-1),2)</f>
        <v>66</v>
      </c>
      <c r="J227">
        <f>ROUND((( _xlfn.XLOOKUP(D227,[1]!NO_2[BLO],[1]!NO_2[IHI],,-1) - _xlfn.XLOOKUP(D227,[1]!NO_2[BLO],[1]!NO_2[ILO],,-1))
/
( _xlfn.XLOOKUP(D227,[1]!NO_2[BLO],[1]!NO_2[BHI],,-1) - _xlfn.XLOOKUP(D227,[1]!NO_2[BLO],[1]!NO_2[BLO],,-1) ))
*
( D227 - _xlfn.XLOOKUP(D227,[1]!NO_2[BLO],[1]!NO_2[BLO],,-1))
+
_xlfn.XLOOKUP(D227,[1]!NO_2[BLO],[1]!NO_2[ILO],,-1),2)</f>
        <v>23.75</v>
      </c>
      <c r="K227">
        <f>ROUND(( ( _xlfn.XLOOKUP(E227,[1]!SO_2[BLO],[1]!SO_2[IHI],,-1)  - _xlfn.XLOOKUP(E227,[1]!SO_2[BLO],[1]!SO_2[ILO],,-1) )
/
( _xlfn.XLOOKUP(E227,[1]!SO_2[BLO],[1]!SO_2[BHI],,-1)- _xlfn.XLOOKUP(E227,[1]!SO_2[BLO],[1]!SO_2[BLO],,-1) ))
*
( E227 - _xlfn.XLOOKUP(E227,[1]!SO_2[BLO],[1]!SO_2[BLO],,-1) )
+
_xlfn.XLOOKUP(E227,[1]!SO_2[BLO],[1]!SO_2[ILO],,-1),2)</f>
        <v>10</v>
      </c>
      <c r="L227">
        <f>( ( _xlfn.XLOOKUP(F227,[1]!CO[BLO],[1]!CO[IHI],,-1)
- _xlfn.XLOOKUP(F227,[1]!CO[BLO],[1]!CO[ILO],,-1) )
/
( _xlfn.XLOOKUP(F227,[1]!CO[BLO],[1]!CO[BHI],,-1) - _xlfn.XLOOKUP(F227,[1]!CO[BLO],[1]!CO[BLO],,-1)))
*
( F227 - _xlfn.XLOOKUP(F227,[1]!CO[BLO],[1]!CO[BLO],,-1) )
+
_xlfn.XLOOKUP(F227,[1]!CO[BLO],[1]!CO[ILO],,-1)</f>
        <v>40</v>
      </c>
      <c r="M227">
        <f>(( _xlfn.XLOOKUP(G227,[1]!O_3[BLO],[1]!O_3[IHI],,-1) - _xlfn.XLOOKUP(G227,[1]!O_3[BLO],[1]!O_3[ILO],,-1))
/
( _xlfn.XLOOKUP(G227,[1]!O_3[BLO],[1]!O_3[BHI],,-1) - _xlfn.XLOOKUP(G227,[1]!O_3[BLO],[1]!O_3[BLO],,-1)))
*
( G227 - _xlfn.XLOOKUP(G227,[1]!O_3[BLO],[1]!O_3[BLO],,-1))
+
_xlfn.XLOOKUP(G227,[1]!O_3[BLO],[1]!O_3[ILO],,-1)</f>
        <v>24</v>
      </c>
      <c r="N227">
        <f>MAX(DAILY_DATA[[#This Row],[AQI_PM2.5]:[AQI_O3]])</f>
        <v>66</v>
      </c>
      <c r="O227" t="str">
        <f>_xlfn.XLOOKUP(DAILY_DATA[[#This Row],[OVERALL_AQI]],[1]!CATEGORY[AQI_LO],[1]!CATEGORY[CATEGORY],,-1)</f>
        <v>Satisfactory</v>
      </c>
      <c r="P227" t="str" cm="1">
        <f t="array" ref="P227">INDEX(
{"PM2.5","PM10","NO2","SO2","CO","O3"},
MATCH(N227,H227:M227,0)
)</f>
        <v>PM10</v>
      </c>
    </row>
    <row r="228" spans="1:16" x14ac:dyDescent="0.25">
      <c r="A228" s="4">
        <v>45518</v>
      </c>
      <c r="B228">
        <f>ROUND(AVERAGEIFS([1]HOURLY_DATA!B228:B9011,[1]HOURLY_DATA!H228:H9011,Daily_AQI!A228),0)</f>
        <v>37</v>
      </c>
      <c r="C228">
        <f>ROUND(AVERAGEIFS([1]HOURLY_DATA!C228:C9011,[1]HOURLY_DATA!H228:H9011,Daily_AQI!A228),0)</f>
        <v>80</v>
      </c>
      <c r="D228">
        <f>ROUND(AVERAGEIFS([1]HOURLY_DATA!D228:D9011,[1]HOURLY_DATA!H228:H9011,Daily_AQI!A228),0)</f>
        <v>18</v>
      </c>
      <c r="E228">
        <f>ROUND(AVERAGEIFS([1]HOURLY_DATA!E228:E9011,[1]HOURLY_DATA!H228:H9011,Daily_AQI!A228),0)</f>
        <v>8</v>
      </c>
      <c r="F228">
        <f>ROUND(AVERAGEIFS([1]HOURLY_DATA!I228:I9011,[1]HOURLY_DATA!H228:H9011,Daily_AQI!A228),2)</f>
        <v>0.83</v>
      </c>
      <c r="G228">
        <f>ROUND(AVERAGEIFS([1]HOURLY_DATA!J228:J9011,[1]HOURLY_DATA!H228:H9011,Daily_AQI!A228),0)</f>
        <v>26</v>
      </c>
      <c r="H228">
        <f>ROUND(((_xlfn.XLOOKUP(B228,[1]!PM2.5[BLO],[1]!PM2.5[IHI],,-1) - _xlfn.XLOOKUP(B228,[1]!PM2.5[BLO],[1]!PM2.5[ILO],,-1))
/
(_xlfn.XLOOKUP(B228,[1]!PM2.5[BLO],[1]!PM2.5[BHI],,-1) - _xlfn.XLOOKUP(B228,[1]!PM2.5[BLO],[1]!PM2.5[BLO],,-1)))
*
(B228 - _xlfn.XLOOKUP(B228,[1]!PM2.5[BLO],[1]!PM2.5[BLO],,-1))
+
_xlfn.XLOOKUP(B228,[1]!PM2.5[BLO],[1]!PM2.5[ILO],,-1),2)</f>
        <v>61.14</v>
      </c>
      <c r="I228">
        <f>ROUND(((_xlfn.XLOOKUP(C228,[1]!PM_10[BLO],[1]!PM_10[IHI],,-1) - _xlfn.XLOOKUP(C228,[1]!PM_10[BLO],[1]!PM_10[ILO],,-1))
/
(_xlfn.XLOOKUP(C228,[1]!PM_10[BLO],[1]!PM_10[BHI],,-1) - _xlfn.XLOOKUP(C228,[1]!PM_10[BLO],[1]!PM_10[BLO],,-1)))
*
( C228 - _xlfn.XLOOKUP(C228,[1]!PM_10[BLO],[1]!PM_10[BLO],,-1))
+
_xlfn.XLOOKUP(C228,[1]!PM_10[BLO],[1]!PM_10[ILO],,-1),2)</f>
        <v>80</v>
      </c>
      <c r="J228">
        <f>ROUND((( _xlfn.XLOOKUP(D228,[1]!NO_2[BLO],[1]!NO_2[IHI],,-1) - _xlfn.XLOOKUP(D228,[1]!NO_2[BLO],[1]!NO_2[ILO],,-1))
/
( _xlfn.XLOOKUP(D228,[1]!NO_2[BLO],[1]!NO_2[BHI],,-1) - _xlfn.XLOOKUP(D228,[1]!NO_2[BLO],[1]!NO_2[BLO],,-1) ))
*
( D228 - _xlfn.XLOOKUP(D228,[1]!NO_2[BLO],[1]!NO_2[BLO],,-1))
+
_xlfn.XLOOKUP(D228,[1]!NO_2[BLO],[1]!NO_2[ILO],,-1),2)</f>
        <v>22.5</v>
      </c>
      <c r="K228">
        <f>ROUND(( ( _xlfn.XLOOKUP(E228,[1]!SO_2[BLO],[1]!SO_2[IHI],,-1)  - _xlfn.XLOOKUP(E228,[1]!SO_2[BLO],[1]!SO_2[ILO],,-1) )
/
( _xlfn.XLOOKUP(E228,[1]!SO_2[BLO],[1]!SO_2[BHI],,-1)- _xlfn.XLOOKUP(E228,[1]!SO_2[BLO],[1]!SO_2[BLO],,-1) ))
*
( E228 - _xlfn.XLOOKUP(E228,[1]!SO_2[BLO],[1]!SO_2[BLO],,-1) )
+
_xlfn.XLOOKUP(E228,[1]!SO_2[BLO],[1]!SO_2[ILO],,-1),2)</f>
        <v>10</v>
      </c>
      <c r="L228">
        <f>( ( _xlfn.XLOOKUP(F228,[1]!CO[BLO],[1]!CO[IHI],,-1)
- _xlfn.XLOOKUP(F228,[1]!CO[BLO],[1]!CO[ILO],,-1) )
/
( _xlfn.XLOOKUP(F228,[1]!CO[BLO],[1]!CO[BHI],,-1) - _xlfn.XLOOKUP(F228,[1]!CO[BLO],[1]!CO[BLO],,-1)))
*
( F228 - _xlfn.XLOOKUP(F228,[1]!CO[BLO],[1]!CO[BLO],,-1) )
+
_xlfn.XLOOKUP(F228,[1]!CO[BLO],[1]!CO[ILO],,-1)</f>
        <v>41.5</v>
      </c>
      <c r="M228">
        <f>(( _xlfn.XLOOKUP(G228,[1]!O_3[BLO],[1]!O_3[IHI],,-1) - _xlfn.XLOOKUP(G228,[1]!O_3[BLO],[1]!O_3[ILO],,-1))
/
( _xlfn.XLOOKUP(G228,[1]!O_3[BLO],[1]!O_3[BHI],,-1) - _xlfn.XLOOKUP(G228,[1]!O_3[BLO],[1]!O_3[BLO],,-1)))
*
( G228 - _xlfn.XLOOKUP(G228,[1]!O_3[BLO],[1]!O_3[BLO],,-1))
+
_xlfn.XLOOKUP(G228,[1]!O_3[BLO],[1]!O_3[ILO],,-1)</f>
        <v>26</v>
      </c>
      <c r="N228">
        <f>MAX(DAILY_DATA[[#This Row],[AQI_PM2.5]:[AQI_O3]])</f>
        <v>80</v>
      </c>
      <c r="O228" t="str">
        <f>_xlfn.XLOOKUP(DAILY_DATA[[#This Row],[OVERALL_AQI]],[1]!CATEGORY[AQI_LO],[1]!CATEGORY[CATEGORY],,-1)</f>
        <v>Satisfactory</v>
      </c>
      <c r="P228" t="str" cm="1">
        <f t="array" ref="P228">INDEX(
{"PM2.5","PM10","NO2","SO2","CO","O3"},
MATCH(N228,H228:M228,0)
)</f>
        <v>PM10</v>
      </c>
    </row>
    <row r="229" spans="1:16" x14ac:dyDescent="0.25">
      <c r="A229" s="4">
        <v>45519</v>
      </c>
      <c r="B229">
        <f>ROUND(AVERAGEIFS([1]HOURLY_DATA!B229:B9012,[1]HOURLY_DATA!H229:H9012,Daily_AQI!A229),0)</f>
        <v>27</v>
      </c>
      <c r="C229">
        <f>ROUND(AVERAGEIFS([1]HOURLY_DATA!C229:C9012,[1]HOURLY_DATA!H229:H9012,Daily_AQI!A229),0)</f>
        <v>59</v>
      </c>
      <c r="D229">
        <f>ROUND(AVERAGEIFS([1]HOURLY_DATA!D229:D9012,[1]HOURLY_DATA!H229:H9012,Daily_AQI!A229),0)</f>
        <v>17</v>
      </c>
      <c r="E229">
        <f>ROUND(AVERAGEIFS([1]HOURLY_DATA!E229:E9012,[1]HOURLY_DATA!H229:H9012,Daily_AQI!A229),0)</f>
        <v>8</v>
      </c>
      <c r="F229">
        <f>ROUND(AVERAGEIFS([1]HOURLY_DATA!I229:I9012,[1]HOURLY_DATA!H229:H9012,Daily_AQI!A229),2)</f>
        <v>0.78</v>
      </c>
      <c r="G229">
        <f>ROUND(AVERAGEIFS([1]HOURLY_DATA!J229:J9012,[1]HOURLY_DATA!H229:H9012,Daily_AQI!A229),0)</f>
        <v>26</v>
      </c>
      <c r="H229">
        <f>ROUND(((_xlfn.XLOOKUP(B229,[1]!PM2.5[BLO],[1]!PM2.5[IHI],,-1) - _xlfn.XLOOKUP(B229,[1]!PM2.5[BLO],[1]!PM2.5[ILO],,-1))
/
(_xlfn.XLOOKUP(B229,[1]!PM2.5[BLO],[1]!PM2.5[BHI],,-1) - _xlfn.XLOOKUP(B229,[1]!PM2.5[BLO],[1]!PM2.5[BLO],,-1)))
*
(B229 - _xlfn.XLOOKUP(B229,[1]!PM2.5[BLO],[1]!PM2.5[BLO],,-1))
+
_xlfn.XLOOKUP(B229,[1]!PM2.5[BLO],[1]!PM2.5[ILO],,-1),2)</f>
        <v>45</v>
      </c>
      <c r="I229">
        <f>ROUND(((_xlfn.XLOOKUP(C229,[1]!PM_10[BLO],[1]!PM_10[IHI],,-1) - _xlfn.XLOOKUP(C229,[1]!PM_10[BLO],[1]!PM_10[ILO],,-1))
/
(_xlfn.XLOOKUP(C229,[1]!PM_10[BLO],[1]!PM_10[BHI],,-1) - _xlfn.XLOOKUP(C229,[1]!PM_10[BLO],[1]!PM_10[BLO],,-1)))
*
( C229 - _xlfn.XLOOKUP(C229,[1]!PM_10[BLO],[1]!PM_10[BLO],,-1))
+
_xlfn.XLOOKUP(C229,[1]!PM_10[BLO],[1]!PM_10[ILO],,-1),2)</f>
        <v>59</v>
      </c>
      <c r="J229">
        <f>ROUND((( _xlfn.XLOOKUP(D229,[1]!NO_2[BLO],[1]!NO_2[IHI],,-1) - _xlfn.XLOOKUP(D229,[1]!NO_2[BLO],[1]!NO_2[ILO],,-1))
/
( _xlfn.XLOOKUP(D229,[1]!NO_2[BLO],[1]!NO_2[BHI],,-1) - _xlfn.XLOOKUP(D229,[1]!NO_2[BLO],[1]!NO_2[BLO],,-1) ))
*
( D229 - _xlfn.XLOOKUP(D229,[1]!NO_2[BLO],[1]!NO_2[BLO],,-1))
+
_xlfn.XLOOKUP(D229,[1]!NO_2[BLO],[1]!NO_2[ILO],,-1),2)</f>
        <v>21.25</v>
      </c>
      <c r="K229">
        <f>ROUND(( ( _xlfn.XLOOKUP(E229,[1]!SO_2[BLO],[1]!SO_2[IHI],,-1)  - _xlfn.XLOOKUP(E229,[1]!SO_2[BLO],[1]!SO_2[ILO],,-1) )
/
( _xlfn.XLOOKUP(E229,[1]!SO_2[BLO],[1]!SO_2[BHI],,-1)- _xlfn.XLOOKUP(E229,[1]!SO_2[BLO],[1]!SO_2[BLO],,-1) ))
*
( E229 - _xlfn.XLOOKUP(E229,[1]!SO_2[BLO],[1]!SO_2[BLO],,-1) )
+
_xlfn.XLOOKUP(E229,[1]!SO_2[BLO],[1]!SO_2[ILO],,-1),2)</f>
        <v>10</v>
      </c>
      <c r="L229">
        <f>( ( _xlfn.XLOOKUP(F229,[1]!CO[BLO],[1]!CO[IHI],,-1)
- _xlfn.XLOOKUP(F229,[1]!CO[BLO],[1]!CO[ILO],,-1) )
/
( _xlfn.XLOOKUP(F229,[1]!CO[BLO],[1]!CO[BHI],,-1) - _xlfn.XLOOKUP(F229,[1]!CO[BLO],[1]!CO[BLO],,-1)))
*
( F229 - _xlfn.XLOOKUP(F229,[1]!CO[BLO],[1]!CO[BLO],,-1) )
+
_xlfn.XLOOKUP(F229,[1]!CO[BLO],[1]!CO[ILO],,-1)</f>
        <v>39</v>
      </c>
      <c r="M229">
        <f>(( _xlfn.XLOOKUP(G229,[1]!O_3[BLO],[1]!O_3[IHI],,-1) - _xlfn.XLOOKUP(G229,[1]!O_3[BLO],[1]!O_3[ILO],,-1))
/
( _xlfn.XLOOKUP(G229,[1]!O_3[BLO],[1]!O_3[BHI],,-1) - _xlfn.XLOOKUP(G229,[1]!O_3[BLO],[1]!O_3[BLO],,-1)))
*
( G229 - _xlfn.XLOOKUP(G229,[1]!O_3[BLO],[1]!O_3[BLO],,-1))
+
_xlfn.XLOOKUP(G229,[1]!O_3[BLO],[1]!O_3[ILO],,-1)</f>
        <v>26</v>
      </c>
      <c r="N229">
        <f>MAX(DAILY_DATA[[#This Row],[AQI_PM2.5]:[AQI_O3]])</f>
        <v>59</v>
      </c>
      <c r="O229" t="str">
        <f>_xlfn.XLOOKUP(DAILY_DATA[[#This Row],[OVERALL_AQI]],[1]!CATEGORY[AQI_LO],[1]!CATEGORY[CATEGORY],,-1)</f>
        <v>Satisfactory</v>
      </c>
      <c r="P229" t="str" cm="1">
        <f t="array" ref="P229">INDEX(
{"PM2.5","PM10","NO2","SO2","CO","O3"},
MATCH(N229,H229:M229,0)
)</f>
        <v>PM10</v>
      </c>
    </row>
    <row r="230" spans="1:16" x14ac:dyDescent="0.25">
      <c r="A230" s="4">
        <v>45520</v>
      </c>
      <c r="B230">
        <f>ROUND(AVERAGEIFS([1]HOURLY_DATA!B230:B9013,[1]HOURLY_DATA!H230:H9013,Daily_AQI!A230),0)</f>
        <v>34</v>
      </c>
      <c r="C230">
        <f>ROUND(AVERAGEIFS([1]HOURLY_DATA!C230:C9013,[1]HOURLY_DATA!H230:H9013,Daily_AQI!A230),0)</f>
        <v>65</v>
      </c>
      <c r="D230">
        <f>ROUND(AVERAGEIFS([1]HOURLY_DATA!D230:D9013,[1]HOURLY_DATA!H230:H9013,Daily_AQI!A230),0)</f>
        <v>19</v>
      </c>
      <c r="E230">
        <f>ROUND(AVERAGEIFS([1]HOURLY_DATA!E230:E9013,[1]HOURLY_DATA!H230:H9013,Daily_AQI!A230),0)</f>
        <v>9</v>
      </c>
      <c r="F230">
        <f>ROUND(AVERAGEIFS([1]HOURLY_DATA!I230:I9013,[1]HOURLY_DATA!H230:H9013,Daily_AQI!A230),2)</f>
        <v>0.84</v>
      </c>
      <c r="G230">
        <f>ROUND(AVERAGEIFS([1]HOURLY_DATA!J230:J9013,[1]HOURLY_DATA!H230:H9013,Daily_AQI!A230),0)</f>
        <v>29</v>
      </c>
      <c r="H230">
        <f>ROUND(((_xlfn.XLOOKUP(B230,[1]!PM2.5[BLO],[1]!PM2.5[IHI],,-1) - _xlfn.XLOOKUP(B230,[1]!PM2.5[BLO],[1]!PM2.5[ILO],,-1))
/
(_xlfn.XLOOKUP(B230,[1]!PM2.5[BLO],[1]!PM2.5[BHI],,-1) - _xlfn.XLOOKUP(B230,[1]!PM2.5[BLO],[1]!PM2.5[BLO],,-1)))
*
(B230 - _xlfn.XLOOKUP(B230,[1]!PM2.5[BLO],[1]!PM2.5[BLO],,-1))
+
_xlfn.XLOOKUP(B230,[1]!PM2.5[BLO],[1]!PM2.5[ILO],,-1),2)</f>
        <v>56.07</v>
      </c>
      <c r="I230">
        <f>ROUND(((_xlfn.XLOOKUP(C230,[1]!PM_10[BLO],[1]!PM_10[IHI],,-1) - _xlfn.XLOOKUP(C230,[1]!PM_10[BLO],[1]!PM_10[ILO],,-1))
/
(_xlfn.XLOOKUP(C230,[1]!PM_10[BLO],[1]!PM_10[BHI],,-1) - _xlfn.XLOOKUP(C230,[1]!PM_10[BLO],[1]!PM_10[BLO],,-1)))
*
( C230 - _xlfn.XLOOKUP(C230,[1]!PM_10[BLO],[1]!PM_10[BLO],,-1))
+
_xlfn.XLOOKUP(C230,[1]!PM_10[BLO],[1]!PM_10[ILO],,-1),2)</f>
        <v>65</v>
      </c>
      <c r="J230">
        <f>ROUND((( _xlfn.XLOOKUP(D230,[1]!NO_2[BLO],[1]!NO_2[IHI],,-1) - _xlfn.XLOOKUP(D230,[1]!NO_2[BLO],[1]!NO_2[ILO],,-1))
/
( _xlfn.XLOOKUP(D230,[1]!NO_2[BLO],[1]!NO_2[BHI],,-1) - _xlfn.XLOOKUP(D230,[1]!NO_2[BLO],[1]!NO_2[BLO],,-1) ))
*
( D230 - _xlfn.XLOOKUP(D230,[1]!NO_2[BLO],[1]!NO_2[BLO],,-1))
+
_xlfn.XLOOKUP(D230,[1]!NO_2[BLO],[1]!NO_2[ILO],,-1),2)</f>
        <v>23.75</v>
      </c>
      <c r="K230">
        <f>ROUND(( ( _xlfn.XLOOKUP(E230,[1]!SO_2[BLO],[1]!SO_2[IHI],,-1)  - _xlfn.XLOOKUP(E230,[1]!SO_2[BLO],[1]!SO_2[ILO],,-1) )
/
( _xlfn.XLOOKUP(E230,[1]!SO_2[BLO],[1]!SO_2[BHI],,-1)- _xlfn.XLOOKUP(E230,[1]!SO_2[BLO],[1]!SO_2[BLO],,-1) ))
*
( E230 - _xlfn.XLOOKUP(E230,[1]!SO_2[BLO],[1]!SO_2[BLO],,-1) )
+
_xlfn.XLOOKUP(E230,[1]!SO_2[BLO],[1]!SO_2[ILO],,-1),2)</f>
        <v>11.25</v>
      </c>
      <c r="L230">
        <f>( ( _xlfn.XLOOKUP(F230,[1]!CO[BLO],[1]!CO[IHI],,-1)
- _xlfn.XLOOKUP(F230,[1]!CO[BLO],[1]!CO[ILO],,-1) )
/
( _xlfn.XLOOKUP(F230,[1]!CO[BLO],[1]!CO[BHI],,-1) - _xlfn.XLOOKUP(F230,[1]!CO[BLO],[1]!CO[BLO],,-1)))
*
( F230 - _xlfn.XLOOKUP(F230,[1]!CO[BLO],[1]!CO[BLO],,-1) )
+
_xlfn.XLOOKUP(F230,[1]!CO[BLO],[1]!CO[ILO],,-1)</f>
        <v>42</v>
      </c>
      <c r="M230">
        <f>(( _xlfn.XLOOKUP(G230,[1]!O_3[BLO],[1]!O_3[IHI],,-1) - _xlfn.XLOOKUP(G230,[1]!O_3[BLO],[1]!O_3[ILO],,-1))
/
( _xlfn.XLOOKUP(G230,[1]!O_3[BLO],[1]!O_3[BHI],,-1) - _xlfn.XLOOKUP(G230,[1]!O_3[BLO],[1]!O_3[BLO],,-1)))
*
( G230 - _xlfn.XLOOKUP(G230,[1]!O_3[BLO],[1]!O_3[BLO],,-1))
+
_xlfn.XLOOKUP(G230,[1]!O_3[BLO],[1]!O_3[ILO],,-1)</f>
        <v>29</v>
      </c>
      <c r="N230">
        <f>MAX(DAILY_DATA[[#This Row],[AQI_PM2.5]:[AQI_O3]])</f>
        <v>65</v>
      </c>
      <c r="O230" t="str">
        <f>_xlfn.XLOOKUP(DAILY_DATA[[#This Row],[OVERALL_AQI]],[1]!CATEGORY[AQI_LO],[1]!CATEGORY[CATEGORY],,-1)</f>
        <v>Satisfactory</v>
      </c>
      <c r="P230" t="str" cm="1">
        <f t="array" ref="P230">INDEX(
{"PM2.5","PM10","NO2","SO2","CO","O3"},
MATCH(N230,H230:M230,0)
)</f>
        <v>PM10</v>
      </c>
    </row>
    <row r="231" spans="1:16" x14ac:dyDescent="0.25">
      <c r="A231" s="4">
        <v>45521</v>
      </c>
      <c r="B231">
        <f>ROUND(AVERAGEIFS([1]HOURLY_DATA!B231:B9014,[1]HOURLY_DATA!H231:H9014,Daily_AQI!A231),0)</f>
        <v>41</v>
      </c>
      <c r="C231">
        <f>ROUND(AVERAGEIFS([1]HOURLY_DATA!C231:C9014,[1]HOURLY_DATA!H231:H9014,Daily_AQI!A231),0)</f>
        <v>55</v>
      </c>
      <c r="D231">
        <f>ROUND(AVERAGEIFS([1]HOURLY_DATA!D231:D9014,[1]HOURLY_DATA!H231:H9014,Daily_AQI!A231),0)</f>
        <v>18</v>
      </c>
      <c r="E231">
        <f>ROUND(AVERAGEIFS([1]HOURLY_DATA!E231:E9014,[1]HOURLY_DATA!H231:H9014,Daily_AQI!A231),0)</f>
        <v>9</v>
      </c>
      <c r="F231">
        <f>ROUND(AVERAGEIFS([1]HOURLY_DATA!I231:I9014,[1]HOURLY_DATA!H231:H9014,Daily_AQI!A231),2)</f>
        <v>0.78</v>
      </c>
      <c r="G231">
        <f>ROUND(AVERAGEIFS([1]HOURLY_DATA!J231:J9014,[1]HOURLY_DATA!H231:H9014,Daily_AQI!A231),0)</f>
        <v>30</v>
      </c>
      <c r="H231">
        <f>ROUND(((_xlfn.XLOOKUP(B231,[1]!PM2.5[BLO],[1]!PM2.5[IHI],,-1) - _xlfn.XLOOKUP(B231,[1]!PM2.5[BLO],[1]!PM2.5[ILO],,-1))
/
(_xlfn.XLOOKUP(B231,[1]!PM2.5[BLO],[1]!PM2.5[BHI],,-1) - _xlfn.XLOOKUP(B231,[1]!PM2.5[BLO],[1]!PM2.5[BLO],,-1)))
*
(B231 - _xlfn.XLOOKUP(B231,[1]!PM2.5[BLO],[1]!PM2.5[BLO],,-1))
+
_xlfn.XLOOKUP(B231,[1]!PM2.5[BLO],[1]!PM2.5[ILO],,-1),2)</f>
        <v>67.900000000000006</v>
      </c>
      <c r="I231">
        <f>ROUND(((_xlfn.XLOOKUP(C231,[1]!PM_10[BLO],[1]!PM_10[IHI],,-1) - _xlfn.XLOOKUP(C231,[1]!PM_10[BLO],[1]!PM_10[ILO],,-1))
/
(_xlfn.XLOOKUP(C231,[1]!PM_10[BLO],[1]!PM_10[BHI],,-1) - _xlfn.XLOOKUP(C231,[1]!PM_10[BLO],[1]!PM_10[BLO],,-1)))
*
( C231 - _xlfn.XLOOKUP(C231,[1]!PM_10[BLO],[1]!PM_10[BLO],,-1))
+
_xlfn.XLOOKUP(C231,[1]!PM_10[BLO],[1]!PM_10[ILO],,-1),2)</f>
        <v>55</v>
      </c>
      <c r="J231">
        <f>ROUND((( _xlfn.XLOOKUP(D231,[1]!NO_2[BLO],[1]!NO_2[IHI],,-1) - _xlfn.XLOOKUP(D231,[1]!NO_2[BLO],[1]!NO_2[ILO],,-1))
/
( _xlfn.XLOOKUP(D231,[1]!NO_2[BLO],[1]!NO_2[BHI],,-1) - _xlfn.XLOOKUP(D231,[1]!NO_2[BLO],[1]!NO_2[BLO],,-1) ))
*
( D231 - _xlfn.XLOOKUP(D231,[1]!NO_2[BLO],[1]!NO_2[BLO],,-1))
+
_xlfn.XLOOKUP(D231,[1]!NO_2[BLO],[1]!NO_2[ILO],,-1),2)</f>
        <v>22.5</v>
      </c>
      <c r="K231">
        <f>ROUND(( ( _xlfn.XLOOKUP(E231,[1]!SO_2[BLO],[1]!SO_2[IHI],,-1)  - _xlfn.XLOOKUP(E231,[1]!SO_2[BLO],[1]!SO_2[ILO],,-1) )
/
( _xlfn.XLOOKUP(E231,[1]!SO_2[BLO],[1]!SO_2[BHI],,-1)- _xlfn.XLOOKUP(E231,[1]!SO_2[BLO],[1]!SO_2[BLO],,-1) ))
*
( E231 - _xlfn.XLOOKUP(E231,[1]!SO_2[BLO],[1]!SO_2[BLO],,-1) )
+
_xlfn.XLOOKUP(E231,[1]!SO_2[BLO],[1]!SO_2[ILO],,-1),2)</f>
        <v>11.25</v>
      </c>
      <c r="L231">
        <f>( ( _xlfn.XLOOKUP(F231,[1]!CO[BLO],[1]!CO[IHI],,-1)
- _xlfn.XLOOKUP(F231,[1]!CO[BLO],[1]!CO[ILO],,-1) )
/
( _xlfn.XLOOKUP(F231,[1]!CO[BLO],[1]!CO[BHI],,-1) - _xlfn.XLOOKUP(F231,[1]!CO[BLO],[1]!CO[BLO],,-1)))
*
( F231 - _xlfn.XLOOKUP(F231,[1]!CO[BLO],[1]!CO[BLO],,-1) )
+
_xlfn.XLOOKUP(F231,[1]!CO[BLO],[1]!CO[ILO],,-1)</f>
        <v>39</v>
      </c>
      <c r="M231">
        <f>(( _xlfn.XLOOKUP(G231,[1]!O_3[BLO],[1]!O_3[IHI],,-1) - _xlfn.XLOOKUP(G231,[1]!O_3[BLO],[1]!O_3[ILO],,-1))
/
( _xlfn.XLOOKUP(G231,[1]!O_3[BLO],[1]!O_3[BHI],,-1) - _xlfn.XLOOKUP(G231,[1]!O_3[BLO],[1]!O_3[BLO],,-1)))
*
( G231 - _xlfn.XLOOKUP(G231,[1]!O_3[BLO],[1]!O_3[BLO],,-1))
+
_xlfn.XLOOKUP(G231,[1]!O_3[BLO],[1]!O_3[ILO],,-1)</f>
        <v>30</v>
      </c>
      <c r="N231">
        <f>MAX(DAILY_DATA[[#This Row],[AQI_PM2.5]:[AQI_O3]])</f>
        <v>67.900000000000006</v>
      </c>
      <c r="O231" t="str">
        <f>_xlfn.XLOOKUP(DAILY_DATA[[#This Row],[OVERALL_AQI]],[1]!CATEGORY[AQI_LO],[1]!CATEGORY[CATEGORY],,-1)</f>
        <v>Satisfactory</v>
      </c>
      <c r="P231" t="str" cm="1">
        <f t="array" ref="P231">INDEX(
{"PM2.5","PM10","NO2","SO2","CO","O3"},
MATCH(N231,H231:M231,0)
)</f>
        <v>PM2.5</v>
      </c>
    </row>
    <row r="232" spans="1:16" x14ac:dyDescent="0.25">
      <c r="A232" s="4">
        <v>45522</v>
      </c>
      <c r="B232">
        <f>ROUND(AVERAGEIFS([1]HOURLY_DATA!B232:B9015,[1]HOURLY_DATA!H232:H9015,Daily_AQI!A232),0)</f>
        <v>24</v>
      </c>
      <c r="C232">
        <f>ROUND(AVERAGEIFS([1]HOURLY_DATA!C232:C9015,[1]HOURLY_DATA!H232:H9015,Daily_AQI!A232),0)</f>
        <v>50</v>
      </c>
      <c r="D232">
        <f>ROUND(AVERAGEIFS([1]HOURLY_DATA!D232:D9015,[1]HOURLY_DATA!H232:H9015,Daily_AQI!A232),0)</f>
        <v>17</v>
      </c>
      <c r="E232">
        <f>ROUND(AVERAGEIFS([1]HOURLY_DATA!E232:E9015,[1]HOURLY_DATA!H232:H9015,Daily_AQI!A232),0)</f>
        <v>9</v>
      </c>
      <c r="F232">
        <f>ROUND(AVERAGEIFS([1]HOURLY_DATA!I232:I9015,[1]HOURLY_DATA!H232:H9015,Daily_AQI!A232),2)</f>
        <v>0.72</v>
      </c>
      <c r="G232">
        <f>ROUND(AVERAGEIFS([1]HOURLY_DATA!J232:J9015,[1]HOURLY_DATA!H232:H9015,Daily_AQI!A232),0)</f>
        <v>28</v>
      </c>
      <c r="H232">
        <f>ROUND(((_xlfn.XLOOKUP(B232,[1]!PM2.5[BLO],[1]!PM2.5[IHI],,-1) - _xlfn.XLOOKUP(B232,[1]!PM2.5[BLO],[1]!PM2.5[ILO],,-1))
/
(_xlfn.XLOOKUP(B232,[1]!PM2.5[BLO],[1]!PM2.5[BHI],,-1) - _xlfn.XLOOKUP(B232,[1]!PM2.5[BLO],[1]!PM2.5[BLO],,-1)))
*
(B232 - _xlfn.XLOOKUP(B232,[1]!PM2.5[BLO],[1]!PM2.5[BLO],,-1))
+
_xlfn.XLOOKUP(B232,[1]!PM2.5[BLO],[1]!PM2.5[ILO],,-1),2)</f>
        <v>40</v>
      </c>
      <c r="I232">
        <f>ROUND(((_xlfn.XLOOKUP(C232,[1]!PM_10[BLO],[1]!PM_10[IHI],,-1) - _xlfn.XLOOKUP(C232,[1]!PM_10[BLO],[1]!PM_10[ILO],,-1))
/
(_xlfn.XLOOKUP(C232,[1]!PM_10[BLO],[1]!PM_10[BHI],,-1) - _xlfn.XLOOKUP(C232,[1]!PM_10[BLO],[1]!PM_10[BLO],,-1)))
*
( C232 - _xlfn.XLOOKUP(C232,[1]!PM_10[BLO],[1]!PM_10[BLO],,-1))
+
_xlfn.XLOOKUP(C232,[1]!PM_10[BLO],[1]!PM_10[ILO],,-1),2)</f>
        <v>50</v>
      </c>
      <c r="J232">
        <f>ROUND((( _xlfn.XLOOKUP(D232,[1]!NO_2[BLO],[1]!NO_2[IHI],,-1) - _xlfn.XLOOKUP(D232,[1]!NO_2[BLO],[1]!NO_2[ILO],,-1))
/
( _xlfn.XLOOKUP(D232,[1]!NO_2[BLO],[1]!NO_2[BHI],,-1) - _xlfn.XLOOKUP(D232,[1]!NO_2[BLO],[1]!NO_2[BLO],,-1) ))
*
( D232 - _xlfn.XLOOKUP(D232,[1]!NO_2[BLO],[1]!NO_2[BLO],,-1))
+
_xlfn.XLOOKUP(D232,[1]!NO_2[BLO],[1]!NO_2[ILO],,-1),2)</f>
        <v>21.25</v>
      </c>
      <c r="K232">
        <f>ROUND(( ( _xlfn.XLOOKUP(E232,[1]!SO_2[BLO],[1]!SO_2[IHI],,-1)  - _xlfn.XLOOKUP(E232,[1]!SO_2[BLO],[1]!SO_2[ILO],,-1) )
/
( _xlfn.XLOOKUP(E232,[1]!SO_2[BLO],[1]!SO_2[BHI],,-1)- _xlfn.XLOOKUP(E232,[1]!SO_2[BLO],[1]!SO_2[BLO],,-1) ))
*
( E232 - _xlfn.XLOOKUP(E232,[1]!SO_2[BLO],[1]!SO_2[BLO],,-1) )
+
_xlfn.XLOOKUP(E232,[1]!SO_2[BLO],[1]!SO_2[ILO],,-1),2)</f>
        <v>11.25</v>
      </c>
      <c r="L232">
        <f>( ( _xlfn.XLOOKUP(F232,[1]!CO[BLO],[1]!CO[IHI],,-1)
- _xlfn.XLOOKUP(F232,[1]!CO[BLO],[1]!CO[ILO],,-1) )
/
( _xlfn.XLOOKUP(F232,[1]!CO[BLO],[1]!CO[BHI],,-1) - _xlfn.XLOOKUP(F232,[1]!CO[BLO],[1]!CO[BLO],,-1)))
*
( F232 - _xlfn.XLOOKUP(F232,[1]!CO[BLO],[1]!CO[BLO],,-1) )
+
_xlfn.XLOOKUP(F232,[1]!CO[BLO],[1]!CO[ILO],,-1)</f>
        <v>36</v>
      </c>
      <c r="M232">
        <f>(( _xlfn.XLOOKUP(G232,[1]!O_3[BLO],[1]!O_3[IHI],,-1) - _xlfn.XLOOKUP(G232,[1]!O_3[BLO],[1]!O_3[ILO],,-1))
/
( _xlfn.XLOOKUP(G232,[1]!O_3[BLO],[1]!O_3[BHI],,-1) - _xlfn.XLOOKUP(G232,[1]!O_3[BLO],[1]!O_3[BLO],,-1)))
*
( G232 - _xlfn.XLOOKUP(G232,[1]!O_3[BLO],[1]!O_3[BLO],,-1))
+
_xlfn.XLOOKUP(G232,[1]!O_3[BLO],[1]!O_3[ILO],,-1)</f>
        <v>28</v>
      </c>
      <c r="N232">
        <f>MAX(DAILY_DATA[[#This Row],[AQI_PM2.5]:[AQI_O3]])</f>
        <v>50</v>
      </c>
      <c r="O232" t="str">
        <f>_xlfn.XLOOKUP(DAILY_DATA[[#This Row],[OVERALL_AQI]],[1]!CATEGORY[AQI_LO],[1]!CATEGORY[CATEGORY],,-1)</f>
        <v>Good</v>
      </c>
      <c r="P232" t="str" cm="1">
        <f t="array" ref="P232">INDEX(
{"PM2.5","PM10","NO2","SO2","CO","O3"},
MATCH(N232,H232:M232,0)
)</f>
        <v>PM10</v>
      </c>
    </row>
    <row r="233" spans="1:16" x14ac:dyDescent="0.25">
      <c r="A233" s="4">
        <v>45523</v>
      </c>
      <c r="B233">
        <f>ROUND(AVERAGEIFS([1]HOURLY_DATA!B233:B9016,[1]HOURLY_DATA!H233:H9016,Daily_AQI!A233),0)</f>
        <v>28</v>
      </c>
      <c r="C233">
        <f>ROUND(AVERAGEIFS([1]HOURLY_DATA!C233:C9016,[1]HOURLY_DATA!H233:H9016,Daily_AQI!A233),0)</f>
        <v>56</v>
      </c>
      <c r="D233">
        <f>ROUND(AVERAGEIFS([1]HOURLY_DATA!D233:D9016,[1]HOURLY_DATA!H233:H9016,Daily_AQI!A233),0)</f>
        <v>18</v>
      </c>
      <c r="E233">
        <f>ROUND(AVERAGEIFS([1]HOURLY_DATA!E233:E9016,[1]HOURLY_DATA!H233:H9016,Daily_AQI!A233),0)</f>
        <v>8</v>
      </c>
      <c r="F233">
        <f>ROUND(AVERAGEIFS([1]HOURLY_DATA!I233:I9016,[1]HOURLY_DATA!H233:H9016,Daily_AQI!A233),2)</f>
        <v>0.78</v>
      </c>
      <c r="G233">
        <f>ROUND(AVERAGEIFS([1]HOURLY_DATA!J233:J9016,[1]HOURLY_DATA!H233:H9016,Daily_AQI!A233),0)</f>
        <v>26</v>
      </c>
      <c r="H233">
        <f>ROUND(((_xlfn.XLOOKUP(B233,[1]!PM2.5[BLO],[1]!PM2.5[IHI],,-1) - _xlfn.XLOOKUP(B233,[1]!PM2.5[BLO],[1]!PM2.5[ILO],,-1))
/
(_xlfn.XLOOKUP(B233,[1]!PM2.5[BLO],[1]!PM2.5[BHI],,-1) - _xlfn.XLOOKUP(B233,[1]!PM2.5[BLO],[1]!PM2.5[BLO],,-1)))
*
(B233 - _xlfn.XLOOKUP(B233,[1]!PM2.5[BLO],[1]!PM2.5[BLO],,-1))
+
_xlfn.XLOOKUP(B233,[1]!PM2.5[BLO],[1]!PM2.5[ILO],,-1),2)</f>
        <v>46.67</v>
      </c>
      <c r="I233">
        <f>ROUND(((_xlfn.XLOOKUP(C233,[1]!PM_10[BLO],[1]!PM_10[IHI],,-1) - _xlfn.XLOOKUP(C233,[1]!PM_10[BLO],[1]!PM_10[ILO],,-1))
/
(_xlfn.XLOOKUP(C233,[1]!PM_10[BLO],[1]!PM_10[BHI],,-1) - _xlfn.XLOOKUP(C233,[1]!PM_10[BLO],[1]!PM_10[BLO],,-1)))
*
( C233 - _xlfn.XLOOKUP(C233,[1]!PM_10[BLO],[1]!PM_10[BLO],,-1))
+
_xlfn.XLOOKUP(C233,[1]!PM_10[BLO],[1]!PM_10[ILO],,-1),2)</f>
        <v>56</v>
      </c>
      <c r="J233">
        <f>ROUND((( _xlfn.XLOOKUP(D233,[1]!NO_2[BLO],[1]!NO_2[IHI],,-1) - _xlfn.XLOOKUP(D233,[1]!NO_2[BLO],[1]!NO_2[ILO],,-1))
/
( _xlfn.XLOOKUP(D233,[1]!NO_2[BLO],[1]!NO_2[BHI],,-1) - _xlfn.XLOOKUP(D233,[1]!NO_2[BLO],[1]!NO_2[BLO],,-1) ))
*
( D233 - _xlfn.XLOOKUP(D233,[1]!NO_2[BLO],[1]!NO_2[BLO],,-1))
+
_xlfn.XLOOKUP(D233,[1]!NO_2[BLO],[1]!NO_2[ILO],,-1),2)</f>
        <v>22.5</v>
      </c>
      <c r="K233">
        <f>ROUND(( ( _xlfn.XLOOKUP(E233,[1]!SO_2[BLO],[1]!SO_2[IHI],,-1)  - _xlfn.XLOOKUP(E233,[1]!SO_2[BLO],[1]!SO_2[ILO],,-1) )
/
( _xlfn.XLOOKUP(E233,[1]!SO_2[BLO],[1]!SO_2[BHI],,-1)- _xlfn.XLOOKUP(E233,[1]!SO_2[BLO],[1]!SO_2[BLO],,-1) ))
*
( E233 - _xlfn.XLOOKUP(E233,[1]!SO_2[BLO],[1]!SO_2[BLO],,-1) )
+
_xlfn.XLOOKUP(E233,[1]!SO_2[BLO],[1]!SO_2[ILO],,-1),2)</f>
        <v>10</v>
      </c>
      <c r="L233">
        <f>( ( _xlfn.XLOOKUP(F233,[1]!CO[BLO],[1]!CO[IHI],,-1)
- _xlfn.XLOOKUP(F233,[1]!CO[BLO],[1]!CO[ILO],,-1) )
/
( _xlfn.XLOOKUP(F233,[1]!CO[BLO],[1]!CO[BHI],,-1) - _xlfn.XLOOKUP(F233,[1]!CO[BLO],[1]!CO[BLO],,-1)))
*
( F233 - _xlfn.XLOOKUP(F233,[1]!CO[BLO],[1]!CO[BLO],,-1) )
+
_xlfn.XLOOKUP(F233,[1]!CO[BLO],[1]!CO[ILO],,-1)</f>
        <v>39</v>
      </c>
      <c r="M233">
        <f>(( _xlfn.XLOOKUP(G233,[1]!O_3[BLO],[1]!O_3[IHI],,-1) - _xlfn.XLOOKUP(G233,[1]!O_3[BLO],[1]!O_3[ILO],,-1))
/
( _xlfn.XLOOKUP(G233,[1]!O_3[BLO],[1]!O_3[BHI],,-1) - _xlfn.XLOOKUP(G233,[1]!O_3[BLO],[1]!O_3[BLO],,-1)))
*
( G233 - _xlfn.XLOOKUP(G233,[1]!O_3[BLO],[1]!O_3[BLO],,-1))
+
_xlfn.XLOOKUP(G233,[1]!O_3[BLO],[1]!O_3[ILO],,-1)</f>
        <v>26</v>
      </c>
      <c r="N233">
        <f>MAX(DAILY_DATA[[#This Row],[AQI_PM2.5]:[AQI_O3]])</f>
        <v>56</v>
      </c>
      <c r="O233" t="str">
        <f>_xlfn.XLOOKUP(DAILY_DATA[[#This Row],[OVERALL_AQI]],[1]!CATEGORY[AQI_LO],[1]!CATEGORY[CATEGORY],,-1)</f>
        <v>Satisfactory</v>
      </c>
      <c r="P233" t="str" cm="1">
        <f t="array" ref="P233">INDEX(
{"PM2.5","PM10","NO2","SO2","CO","O3"},
MATCH(N233,H233:M233,0)
)</f>
        <v>PM10</v>
      </c>
    </row>
    <row r="234" spans="1:16" x14ac:dyDescent="0.25">
      <c r="A234" s="4">
        <v>45524</v>
      </c>
      <c r="B234">
        <f>ROUND(AVERAGEIFS([1]HOURLY_DATA!B234:B9017,[1]HOURLY_DATA!H234:H9017,Daily_AQI!A234),0)</f>
        <v>22</v>
      </c>
      <c r="C234">
        <f>ROUND(AVERAGEIFS([1]HOURLY_DATA!C234:C9017,[1]HOURLY_DATA!H234:H9017,Daily_AQI!A234),0)</f>
        <v>50</v>
      </c>
      <c r="D234">
        <f>ROUND(AVERAGEIFS([1]HOURLY_DATA!D234:D9017,[1]HOURLY_DATA!H234:H9017,Daily_AQI!A234),0)</f>
        <v>17</v>
      </c>
      <c r="E234">
        <f>ROUND(AVERAGEIFS([1]HOURLY_DATA!E234:E9017,[1]HOURLY_DATA!H234:H9017,Daily_AQI!A234),0)</f>
        <v>8</v>
      </c>
      <c r="F234">
        <f>ROUND(AVERAGEIFS([1]HOURLY_DATA!I234:I9017,[1]HOURLY_DATA!H234:H9017,Daily_AQI!A234),2)</f>
        <v>0.74</v>
      </c>
      <c r="G234">
        <f>ROUND(AVERAGEIFS([1]HOURLY_DATA!J234:J9017,[1]HOURLY_DATA!H234:H9017,Daily_AQI!A234),0)</f>
        <v>30</v>
      </c>
      <c r="H234">
        <f>ROUND(((_xlfn.XLOOKUP(B234,[1]!PM2.5[BLO],[1]!PM2.5[IHI],,-1) - _xlfn.XLOOKUP(B234,[1]!PM2.5[BLO],[1]!PM2.5[ILO],,-1))
/
(_xlfn.XLOOKUP(B234,[1]!PM2.5[BLO],[1]!PM2.5[BHI],,-1) - _xlfn.XLOOKUP(B234,[1]!PM2.5[BLO],[1]!PM2.5[BLO],,-1)))
*
(B234 - _xlfn.XLOOKUP(B234,[1]!PM2.5[BLO],[1]!PM2.5[BLO],,-1))
+
_xlfn.XLOOKUP(B234,[1]!PM2.5[BLO],[1]!PM2.5[ILO],,-1),2)</f>
        <v>36.67</v>
      </c>
      <c r="I234">
        <f>ROUND(((_xlfn.XLOOKUP(C234,[1]!PM_10[BLO],[1]!PM_10[IHI],,-1) - _xlfn.XLOOKUP(C234,[1]!PM_10[BLO],[1]!PM_10[ILO],,-1))
/
(_xlfn.XLOOKUP(C234,[1]!PM_10[BLO],[1]!PM_10[BHI],,-1) - _xlfn.XLOOKUP(C234,[1]!PM_10[BLO],[1]!PM_10[BLO],,-1)))
*
( C234 - _xlfn.XLOOKUP(C234,[1]!PM_10[BLO],[1]!PM_10[BLO],,-1))
+
_xlfn.XLOOKUP(C234,[1]!PM_10[BLO],[1]!PM_10[ILO],,-1),2)</f>
        <v>50</v>
      </c>
      <c r="J234">
        <f>ROUND((( _xlfn.XLOOKUP(D234,[1]!NO_2[BLO],[1]!NO_2[IHI],,-1) - _xlfn.XLOOKUP(D234,[1]!NO_2[BLO],[1]!NO_2[ILO],,-1))
/
( _xlfn.XLOOKUP(D234,[1]!NO_2[BLO],[1]!NO_2[BHI],,-1) - _xlfn.XLOOKUP(D234,[1]!NO_2[BLO],[1]!NO_2[BLO],,-1) ))
*
( D234 - _xlfn.XLOOKUP(D234,[1]!NO_2[BLO],[1]!NO_2[BLO],,-1))
+
_xlfn.XLOOKUP(D234,[1]!NO_2[BLO],[1]!NO_2[ILO],,-1),2)</f>
        <v>21.25</v>
      </c>
      <c r="K234">
        <f>ROUND(( ( _xlfn.XLOOKUP(E234,[1]!SO_2[BLO],[1]!SO_2[IHI],,-1)  - _xlfn.XLOOKUP(E234,[1]!SO_2[BLO],[1]!SO_2[ILO],,-1) )
/
( _xlfn.XLOOKUP(E234,[1]!SO_2[BLO],[1]!SO_2[BHI],,-1)- _xlfn.XLOOKUP(E234,[1]!SO_2[BLO],[1]!SO_2[BLO],,-1) ))
*
( E234 - _xlfn.XLOOKUP(E234,[1]!SO_2[BLO],[1]!SO_2[BLO],,-1) )
+
_xlfn.XLOOKUP(E234,[1]!SO_2[BLO],[1]!SO_2[ILO],,-1),2)</f>
        <v>10</v>
      </c>
      <c r="L234">
        <f>( ( _xlfn.XLOOKUP(F234,[1]!CO[BLO],[1]!CO[IHI],,-1)
- _xlfn.XLOOKUP(F234,[1]!CO[BLO],[1]!CO[ILO],,-1) )
/
( _xlfn.XLOOKUP(F234,[1]!CO[BLO],[1]!CO[BHI],,-1) - _xlfn.XLOOKUP(F234,[1]!CO[BLO],[1]!CO[BLO],,-1)))
*
( F234 - _xlfn.XLOOKUP(F234,[1]!CO[BLO],[1]!CO[BLO],,-1) )
+
_xlfn.XLOOKUP(F234,[1]!CO[BLO],[1]!CO[ILO],,-1)</f>
        <v>37</v>
      </c>
      <c r="M234">
        <f>(( _xlfn.XLOOKUP(G234,[1]!O_3[BLO],[1]!O_3[IHI],,-1) - _xlfn.XLOOKUP(G234,[1]!O_3[BLO],[1]!O_3[ILO],,-1))
/
( _xlfn.XLOOKUP(G234,[1]!O_3[BLO],[1]!O_3[BHI],,-1) - _xlfn.XLOOKUP(G234,[1]!O_3[BLO],[1]!O_3[BLO],,-1)))
*
( G234 - _xlfn.XLOOKUP(G234,[1]!O_3[BLO],[1]!O_3[BLO],,-1))
+
_xlfn.XLOOKUP(G234,[1]!O_3[BLO],[1]!O_3[ILO],,-1)</f>
        <v>30</v>
      </c>
      <c r="N234">
        <f>MAX(DAILY_DATA[[#This Row],[AQI_PM2.5]:[AQI_O3]])</f>
        <v>50</v>
      </c>
      <c r="O234" t="str">
        <f>_xlfn.XLOOKUP(DAILY_DATA[[#This Row],[OVERALL_AQI]],[1]!CATEGORY[AQI_LO],[1]!CATEGORY[CATEGORY],,-1)</f>
        <v>Good</v>
      </c>
      <c r="P234" t="str" cm="1">
        <f t="array" ref="P234">INDEX(
{"PM2.5","PM10","NO2","SO2","CO","O3"},
MATCH(N234,H234:M234,0)
)</f>
        <v>PM10</v>
      </c>
    </row>
    <row r="235" spans="1:16" x14ac:dyDescent="0.25">
      <c r="A235" s="4">
        <v>45525</v>
      </c>
      <c r="B235">
        <f>ROUND(AVERAGEIFS([1]HOURLY_DATA!B235:B9018,[1]HOURLY_DATA!H235:H9018,Daily_AQI!A235),0)</f>
        <v>17</v>
      </c>
      <c r="C235">
        <f>ROUND(AVERAGEIFS([1]HOURLY_DATA!C235:C9018,[1]HOURLY_DATA!H235:H9018,Daily_AQI!A235),0)</f>
        <v>40</v>
      </c>
      <c r="D235">
        <f>ROUND(AVERAGEIFS([1]HOURLY_DATA!D235:D9018,[1]HOURLY_DATA!H235:H9018,Daily_AQI!A235),0)</f>
        <v>16</v>
      </c>
      <c r="E235">
        <f>ROUND(AVERAGEIFS([1]HOURLY_DATA!E235:E9018,[1]HOURLY_DATA!H235:H9018,Daily_AQI!A235),0)</f>
        <v>8</v>
      </c>
      <c r="F235">
        <f>ROUND(AVERAGEIFS([1]HOURLY_DATA!I235:I9018,[1]HOURLY_DATA!H235:H9018,Daily_AQI!A235),2)</f>
        <v>0.68</v>
      </c>
      <c r="G235">
        <f>ROUND(AVERAGEIFS([1]HOURLY_DATA!J235:J9018,[1]HOURLY_DATA!H235:H9018,Daily_AQI!A235),0)</f>
        <v>25</v>
      </c>
      <c r="H235">
        <f>ROUND(((_xlfn.XLOOKUP(B235,[1]!PM2.5[BLO],[1]!PM2.5[IHI],,-1) - _xlfn.XLOOKUP(B235,[1]!PM2.5[BLO],[1]!PM2.5[ILO],,-1))
/
(_xlfn.XLOOKUP(B235,[1]!PM2.5[BLO],[1]!PM2.5[BHI],,-1) - _xlfn.XLOOKUP(B235,[1]!PM2.5[BLO],[1]!PM2.5[BLO],,-1)))
*
(B235 - _xlfn.XLOOKUP(B235,[1]!PM2.5[BLO],[1]!PM2.5[BLO],,-1))
+
_xlfn.XLOOKUP(B235,[1]!PM2.5[BLO],[1]!PM2.5[ILO],,-1),2)</f>
        <v>28.33</v>
      </c>
      <c r="I235">
        <f>ROUND(((_xlfn.XLOOKUP(C235,[1]!PM_10[BLO],[1]!PM_10[IHI],,-1) - _xlfn.XLOOKUP(C235,[1]!PM_10[BLO],[1]!PM_10[ILO],,-1))
/
(_xlfn.XLOOKUP(C235,[1]!PM_10[BLO],[1]!PM_10[BHI],,-1) - _xlfn.XLOOKUP(C235,[1]!PM_10[BLO],[1]!PM_10[BLO],,-1)))
*
( C235 - _xlfn.XLOOKUP(C235,[1]!PM_10[BLO],[1]!PM_10[BLO],,-1))
+
_xlfn.XLOOKUP(C235,[1]!PM_10[BLO],[1]!PM_10[ILO],,-1),2)</f>
        <v>40</v>
      </c>
      <c r="J235">
        <f>ROUND((( _xlfn.XLOOKUP(D235,[1]!NO_2[BLO],[1]!NO_2[IHI],,-1) - _xlfn.XLOOKUP(D235,[1]!NO_2[BLO],[1]!NO_2[ILO],,-1))
/
( _xlfn.XLOOKUP(D235,[1]!NO_2[BLO],[1]!NO_2[BHI],,-1) - _xlfn.XLOOKUP(D235,[1]!NO_2[BLO],[1]!NO_2[BLO],,-1) ))
*
( D235 - _xlfn.XLOOKUP(D235,[1]!NO_2[BLO],[1]!NO_2[BLO],,-1))
+
_xlfn.XLOOKUP(D235,[1]!NO_2[BLO],[1]!NO_2[ILO],,-1),2)</f>
        <v>20</v>
      </c>
      <c r="K235">
        <f>ROUND(( ( _xlfn.XLOOKUP(E235,[1]!SO_2[BLO],[1]!SO_2[IHI],,-1)  - _xlfn.XLOOKUP(E235,[1]!SO_2[BLO],[1]!SO_2[ILO],,-1) )
/
( _xlfn.XLOOKUP(E235,[1]!SO_2[BLO],[1]!SO_2[BHI],,-1)- _xlfn.XLOOKUP(E235,[1]!SO_2[BLO],[1]!SO_2[BLO],,-1) ))
*
( E235 - _xlfn.XLOOKUP(E235,[1]!SO_2[BLO],[1]!SO_2[BLO],,-1) )
+
_xlfn.XLOOKUP(E235,[1]!SO_2[BLO],[1]!SO_2[ILO],,-1),2)</f>
        <v>10</v>
      </c>
      <c r="L235">
        <f>( ( _xlfn.XLOOKUP(F235,[1]!CO[BLO],[1]!CO[IHI],,-1)
- _xlfn.XLOOKUP(F235,[1]!CO[BLO],[1]!CO[ILO],,-1) )
/
( _xlfn.XLOOKUP(F235,[1]!CO[BLO],[1]!CO[BHI],,-1) - _xlfn.XLOOKUP(F235,[1]!CO[BLO],[1]!CO[BLO],,-1)))
*
( F235 - _xlfn.XLOOKUP(F235,[1]!CO[BLO],[1]!CO[BLO],,-1) )
+
_xlfn.XLOOKUP(F235,[1]!CO[BLO],[1]!CO[ILO],,-1)</f>
        <v>34</v>
      </c>
      <c r="M235">
        <f>(( _xlfn.XLOOKUP(G235,[1]!O_3[BLO],[1]!O_3[IHI],,-1) - _xlfn.XLOOKUP(G235,[1]!O_3[BLO],[1]!O_3[ILO],,-1))
/
( _xlfn.XLOOKUP(G235,[1]!O_3[BLO],[1]!O_3[BHI],,-1) - _xlfn.XLOOKUP(G235,[1]!O_3[BLO],[1]!O_3[BLO],,-1)))
*
( G235 - _xlfn.XLOOKUP(G235,[1]!O_3[BLO],[1]!O_3[BLO],,-1))
+
_xlfn.XLOOKUP(G235,[1]!O_3[BLO],[1]!O_3[ILO],,-1)</f>
        <v>25</v>
      </c>
      <c r="N235">
        <f>MAX(DAILY_DATA[[#This Row],[AQI_PM2.5]:[AQI_O3]])</f>
        <v>40</v>
      </c>
      <c r="O235" t="str">
        <f>_xlfn.XLOOKUP(DAILY_DATA[[#This Row],[OVERALL_AQI]],[1]!CATEGORY[AQI_LO],[1]!CATEGORY[CATEGORY],,-1)</f>
        <v>Good</v>
      </c>
      <c r="P235" t="str" cm="1">
        <f t="array" ref="P235">INDEX(
{"PM2.5","PM10","NO2","SO2","CO","O3"},
MATCH(N235,H235:M235,0)
)</f>
        <v>PM10</v>
      </c>
    </row>
    <row r="236" spans="1:16" x14ac:dyDescent="0.25">
      <c r="A236" s="4">
        <v>45526</v>
      </c>
      <c r="B236">
        <f>ROUND(AVERAGEIFS([1]HOURLY_DATA!B236:B9019,[1]HOURLY_DATA!H236:H9019,Daily_AQI!A236),0)</f>
        <v>17</v>
      </c>
      <c r="C236">
        <f>ROUND(AVERAGEIFS([1]HOURLY_DATA!C236:C9019,[1]HOURLY_DATA!H236:H9019,Daily_AQI!A236),0)</f>
        <v>45</v>
      </c>
      <c r="D236">
        <f>ROUND(AVERAGEIFS([1]HOURLY_DATA!D236:D9019,[1]HOURLY_DATA!H236:H9019,Daily_AQI!A236),0)</f>
        <v>17</v>
      </c>
      <c r="E236">
        <f>ROUND(AVERAGEIFS([1]HOURLY_DATA!E236:E9019,[1]HOURLY_DATA!H236:H9019,Daily_AQI!A236),0)</f>
        <v>9</v>
      </c>
      <c r="F236">
        <f>ROUND(AVERAGEIFS([1]HOURLY_DATA!I236:I9019,[1]HOURLY_DATA!H236:H9019,Daily_AQI!A236),2)</f>
        <v>0.64</v>
      </c>
      <c r="G236">
        <f>ROUND(AVERAGEIFS([1]HOURLY_DATA!J236:J9019,[1]HOURLY_DATA!H236:H9019,Daily_AQI!A236),0)</f>
        <v>27</v>
      </c>
      <c r="H236">
        <f>ROUND(((_xlfn.XLOOKUP(B236,[1]!PM2.5[BLO],[1]!PM2.5[IHI],,-1) - _xlfn.XLOOKUP(B236,[1]!PM2.5[BLO],[1]!PM2.5[ILO],,-1))
/
(_xlfn.XLOOKUP(B236,[1]!PM2.5[BLO],[1]!PM2.5[BHI],,-1) - _xlfn.XLOOKUP(B236,[1]!PM2.5[BLO],[1]!PM2.5[BLO],,-1)))
*
(B236 - _xlfn.XLOOKUP(B236,[1]!PM2.5[BLO],[1]!PM2.5[BLO],,-1))
+
_xlfn.XLOOKUP(B236,[1]!PM2.5[BLO],[1]!PM2.5[ILO],,-1),2)</f>
        <v>28.33</v>
      </c>
      <c r="I236">
        <f>ROUND(((_xlfn.XLOOKUP(C236,[1]!PM_10[BLO],[1]!PM_10[IHI],,-1) - _xlfn.XLOOKUP(C236,[1]!PM_10[BLO],[1]!PM_10[ILO],,-1))
/
(_xlfn.XLOOKUP(C236,[1]!PM_10[BLO],[1]!PM_10[BHI],,-1) - _xlfn.XLOOKUP(C236,[1]!PM_10[BLO],[1]!PM_10[BLO],,-1)))
*
( C236 - _xlfn.XLOOKUP(C236,[1]!PM_10[BLO],[1]!PM_10[BLO],,-1))
+
_xlfn.XLOOKUP(C236,[1]!PM_10[BLO],[1]!PM_10[ILO],,-1),2)</f>
        <v>45</v>
      </c>
      <c r="J236">
        <f>ROUND((( _xlfn.XLOOKUP(D236,[1]!NO_2[BLO],[1]!NO_2[IHI],,-1) - _xlfn.XLOOKUP(D236,[1]!NO_2[BLO],[1]!NO_2[ILO],,-1))
/
( _xlfn.XLOOKUP(D236,[1]!NO_2[BLO],[1]!NO_2[BHI],,-1) - _xlfn.XLOOKUP(D236,[1]!NO_2[BLO],[1]!NO_2[BLO],,-1) ))
*
( D236 - _xlfn.XLOOKUP(D236,[1]!NO_2[BLO],[1]!NO_2[BLO],,-1))
+
_xlfn.XLOOKUP(D236,[1]!NO_2[BLO],[1]!NO_2[ILO],,-1),2)</f>
        <v>21.25</v>
      </c>
      <c r="K236">
        <f>ROUND(( ( _xlfn.XLOOKUP(E236,[1]!SO_2[BLO],[1]!SO_2[IHI],,-1)  - _xlfn.XLOOKUP(E236,[1]!SO_2[BLO],[1]!SO_2[ILO],,-1) )
/
( _xlfn.XLOOKUP(E236,[1]!SO_2[BLO],[1]!SO_2[BHI],,-1)- _xlfn.XLOOKUP(E236,[1]!SO_2[BLO],[1]!SO_2[BLO],,-1) ))
*
( E236 - _xlfn.XLOOKUP(E236,[1]!SO_2[BLO],[1]!SO_2[BLO],,-1) )
+
_xlfn.XLOOKUP(E236,[1]!SO_2[BLO],[1]!SO_2[ILO],,-1),2)</f>
        <v>11.25</v>
      </c>
      <c r="L236">
        <f>( ( _xlfn.XLOOKUP(F236,[1]!CO[BLO],[1]!CO[IHI],,-1)
- _xlfn.XLOOKUP(F236,[1]!CO[BLO],[1]!CO[ILO],,-1) )
/
( _xlfn.XLOOKUP(F236,[1]!CO[BLO],[1]!CO[BHI],,-1) - _xlfn.XLOOKUP(F236,[1]!CO[BLO],[1]!CO[BLO],,-1)))
*
( F236 - _xlfn.XLOOKUP(F236,[1]!CO[BLO],[1]!CO[BLO],,-1) )
+
_xlfn.XLOOKUP(F236,[1]!CO[BLO],[1]!CO[ILO],,-1)</f>
        <v>32</v>
      </c>
      <c r="M236">
        <f>(( _xlfn.XLOOKUP(G236,[1]!O_3[BLO],[1]!O_3[IHI],,-1) - _xlfn.XLOOKUP(G236,[1]!O_3[BLO],[1]!O_3[ILO],,-1))
/
( _xlfn.XLOOKUP(G236,[1]!O_3[BLO],[1]!O_3[BHI],,-1) - _xlfn.XLOOKUP(G236,[1]!O_3[BLO],[1]!O_3[BLO],,-1)))
*
( G236 - _xlfn.XLOOKUP(G236,[1]!O_3[BLO],[1]!O_3[BLO],,-1))
+
_xlfn.XLOOKUP(G236,[1]!O_3[BLO],[1]!O_3[ILO],,-1)</f>
        <v>27</v>
      </c>
      <c r="N236">
        <f>MAX(DAILY_DATA[[#This Row],[AQI_PM2.5]:[AQI_O3]])</f>
        <v>45</v>
      </c>
      <c r="O236" t="str">
        <f>_xlfn.XLOOKUP(DAILY_DATA[[#This Row],[OVERALL_AQI]],[1]!CATEGORY[AQI_LO],[1]!CATEGORY[CATEGORY],,-1)</f>
        <v>Good</v>
      </c>
      <c r="P236" t="str" cm="1">
        <f t="array" ref="P236">INDEX(
{"PM2.5","PM10","NO2","SO2","CO","O3"},
MATCH(N236,H236:M236,0)
)</f>
        <v>PM10</v>
      </c>
    </row>
    <row r="237" spans="1:16" x14ac:dyDescent="0.25">
      <c r="A237" s="4">
        <v>45527</v>
      </c>
      <c r="B237">
        <f>ROUND(AVERAGEIFS([1]HOURLY_DATA!B237:B9020,[1]HOURLY_DATA!H237:H9020,Daily_AQI!A237),0)</f>
        <v>21</v>
      </c>
      <c r="C237">
        <f>ROUND(AVERAGEIFS([1]HOURLY_DATA!C237:C9020,[1]HOURLY_DATA!H237:H9020,Daily_AQI!A237),0)</f>
        <v>56</v>
      </c>
      <c r="D237">
        <f>ROUND(AVERAGEIFS([1]HOURLY_DATA!D237:D9020,[1]HOURLY_DATA!H237:H9020,Daily_AQI!A237),0)</f>
        <v>17</v>
      </c>
      <c r="E237">
        <f>ROUND(AVERAGEIFS([1]HOURLY_DATA!E237:E9020,[1]HOURLY_DATA!H237:H9020,Daily_AQI!A237),0)</f>
        <v>9</v>
      </c>
      <c r="F237">
        <f>ROUND(AVERAGEIFS([1]HOURLY_DATA!I237:I9020,[1]HOURLY_DATA!H237:H9020,Daily_AQI!A237),2)</f>
        <v>0.63</v>
      </c>
      <c r="G237">
        <f>ROUND(AVERAGEIFS([1]HOURLY_DATA!J237:J9020,[1]HOURLY_DATA!H237:H9020,Daily_AQI!A237),0)</f>
        <v>27</v>
      </c>
      <c r="H237">
        <f>ROUND(((_xlfn.XLOOKUP(B237,[1]!PM2.5[BLO],[1]!PM2.5[IHI],,-1) - _xlfn.XLOOKUP(B237,[1]!PM2.5[BLO],[1]!PM2.5[ILO],,-1))
/
(_xlfn.XLOOKUP(B237,[1]!PM2.5[BLO],[1]!PM2.5[BHI],,-1) - _xlfn.XLOOKUP(B237,[1]!PM2.5[BLO],[1]!PM2.5[BLO],,-1)))
*
(B237 - _xlfn.XLOOKUP(B237,[1]!PM2.5[BLO],[1]!PM2.5[BLO],,-1))
+
_xlfn.XLOOKUP(B237,[1]!PM2.5[BLO],[1]!PM2.5[ILO],,-1),2)</f>
        <v>35</v>
      </c>
      <c r="I237">
        <f>ROUND(((_xlfn.XLOOKUP(C237,[1]!PM_10[BLO],[1]!PM_10[IHI],,-1) - _xlfn.XLOOKUP(C237,[1]!PM_10[BLO],[1]!PM_10[ILO],,-1))
/
(_xlfn.XLOOKUP(C237,[1]!PM_10[BLO],[1]!PM_10[BHI],,-1) - _xlfn.XLOOKUP(C237,[1]!PM_10[BLO],[1]!PM_10[BLO],,-1)))
*
( C237 - _xlfn.XLOOKUP(C237,[1]!PM_10[BLO],[1]!PM_10[BLO],,-1))
+
_xlfn.XLOOKUP(C237,[1]!PM_10[BLO],[1]!PM_10[ILO],,-1),2)</f>
        <v>56</v>
      </c>
      <c r="J237">
        <f>ROUND((( _xlfn.XLOOKUP(D237,[1]!NO_2[BLO],[1]!NO_2[IHI],,-1) - _xlfn.XLOOKUP(D237,[1]!NO_2[BLO],[1]!NO_2[ILO],,-1))
/
( _xlfn.XLOOKUP(D237,[1]!NO_2[BLO],[1]!NO_2[BHI],,-1) - _xlfn.XLOOKUP(D237,[1]!NO_2[BLO],[1]!NO_2[BLO],,-1) ))
*
( D237 - _xlfn.XLOOKUP(D237,[1]!NO_2[BLO],[1]!NO_2[BLO],,-1))
+
_xlfn.XLOOKUP(D237,[1]!NO_2[BLO],[1]!NO_2[ILO],,-1),2)</f>
        <v>21.25</v>
      </c>
      <c r="K237">
        <f>ROUND(( ( _xlfn.XLOOKUP(E237,[1]!SO_2[BLO],[1]!SO_2[IHI],,-1)  - _xlfn.XLOOKUP(E237,[1]!SO_2[BLO],[1]!SO_2[ILO],,-1) )
/
( _xlfn.XLOOKUP(E237,[1]!SO_2[BLO],[1]!SO_2[BHI],,-1)- _xlfn.XLOOKUP(E237,[1]!SO_2[BLO],[1]!SO_2[BLO],,-1) ))
*
( E237 - _xlfn.XLOOKUP(E237,[1]!SO_2[BLO],[1]!SO_2[BLO],,-1) )
+
_xlfn.XLOOKUP(E237,[1]!SO_2[BLO],[1]!SO_2[ILO],,-1),2)</f>
        <v>11.25</v>
      </c>
      <c r="L237">
        <f>( ( _xlfn.XLOOKUP(F237,[1]!CO[BLO],[1]!CO[IHI],,-1)
- _xlfn.XLOOKUP(F237,[1]!CO[BLO],[1]!CO[ILO],,-1) )
/
( _xlfn.XLOOKUP(F237,[1]!CO[BLO],[1]!CO[BHI],,-1) - _xlfn.XLOOKUP(F237,[1]!CO[BLO],[1]!CO[BLO],,-1)))
*
( F237 - _xlfn.XLOOKUP(F237,[1]!CO[BLO],[1]!CO[BLO],,-1) )
+
_xlfn.XLOOKUP(F237,[1]!CO[BLO],[1]!CO[ILO],,-1)</f>
        <v>31.5</v>
      </c>
      <c r="M237">
        <f>(( _xlfn.XLOOKUP(G237,[1]!O_3[BLO],[1]!O_3[IHI],,-1) - _xlfn.XLOOKUP(G237,[1]!O_3[BLO],[1]!O_3[ILO],,-1))
/
( _xlfn.XLOOKUP(G237,[1]!O_3[BLO],[1]!O_3[BHI],,-1) - _xlfn.XLOOKUP(G237,[1]!O_3[BLO],[1]!O_3[BLO],,-1)))
*
( G237 - _xlfn.XLOOKUP(G237,[1]!O_3[BLO],[1]!O_3[BLO],,-1))
+
_xlfn.XLOOKUP(G237,[1]!O_3[BLO],[1]!O_3[ILO],,-1)</f>
        <v>27</v>
      </c>
      <c r="N237">
        <f>MAX(DAILY_DATA[[#This Row],[AQI_PM2.5]:[AQI_O3]])</f>
        <v>56</v>
      </c>
      <c r="O237" t="str">
        <f>_xlfn.XLOOKUP(DAILY_DATA[[#This Row],[OVERALL_AQI]],[1]!CATEGORY[AQI_LO],[1]!CATEGORY[CATEGORY],,-1)</f>
        <v>Satisfactory</v>
      </c>
      <c r="P237" t="str" cm="1">
        <f t="array" ref="P237">INDEX(
{"PM2.5","PM10","NO2","SO2","CO","O3"},
MATCH(N237,H237:M237,0)
)</f>
        <v>PM10</v>
      </c>
    </row>
    <row r="238" spans="1:16" x14ac:dyDescent="0.25">
      <c r="A238" s="4">
        <v>45528</v>
      </c>
      <c r="B238">
        <f>ROUND(AVERAGEIFS([1]HOURLY_DATA!B238:B9021,[1]HOURLY_DATA!H238:H9021,Daily_AQI!A238),0)</f>
        <v>20</v>
      </c>
      <c r="C238">
        <f>ROUND(AVERAGEIFS([1]HOURLY_DATA!C238:C9021,[1]HOURLY_DATA!H238:H9021,Daily_AQI!A238),0)</f>
        <v>56</v>
      </c>
      <c r="D238">
        <f>ROUND(AVERAGEIFS([1]HOURLY_DATA!D238:D9021,[1]HOURLY_DATA!H238:H9021,Daily_AQI!A238),0)</f>
        <v>17</v>
      </c>
      <c r="E238">
        <f>ROUND(AVERAGEIFS([1]HOURLY_DATA!E238:E9021,[1]HOURLY_DATA!H238:H9021,Daily_AQI!A238),0)</f>
        <v>10</v>
      </c>
      <c r="F238">
        <f>ROUND(AVERAGEIFS([1]HOURLY_DATA!I238:I9021,[1]HOURLY_DATA!H238:H9021,Daily_AQI!A238),2)</f>
        <v>0.55000000000000004</v>
      </c>
      <c r="G238">
        <f>ROUND(AVERAGEIFS([1]HOURLY_DATA!J238:J9021,[1]HOURLY_DATA!H238:H9021,Daily_AQI!A238),0)</f>
        <v>27</v>
      </c>
      <c r="H238">
        <f>ROUND(((_xlfn.XLOOKUP(B238,[1]!PM2.5[BLO],[1]!PM2.5[IHI],,-1) - _xlfn.XLOOKUP(B238,[1]!PM2.5[BLO],[1]!PM2.5[ILO],,-1))
/
(_xlfn.XLOOKUP(B238,[1]!PM2.5[BLO],[1]!PM2.5[BHI],,-1) - _xlfn.XLOOKUP(B238,[1]!PM2.5[BLO],[1]!PM2.5[BLO],,-1)))
*
(B238 - _xlfn.XLOOKUP(B238,[1]!PM2.5[BLO],[1]!PM2.5[BLO],,-1))
+
_xlfn.XLOOKUP(B238,[1]!PM2.5[BLO],[1]!PM2.5[ILO],,-1),2)</f>
        <v>33.33</v>
      </c>
      <c r="I238">
        <f>ROUND(((_xlfn.XLOOKUP(C238,[1]!PM_10[BLO],[1]!PM_10[IHI],,-1) - _xlfn.XLOOKUP(C238,[1]!PM_10[BLO],[1]!PM_10[ILO],,-1))
/
(_xlfn.XLOOKUP(C238,[1]!PM_10[BLO],[1]!PM_10[BHI],,-1) - _xlfn.XLOOKUP(C238,[1]!PM_10[BLO],[1]!PM_10[BLO],,-1)))
*
( C238 - _xlfn.XLOOKUP(C238,[1]!PM_10[BLO],[1]!PM_10[BLO],,-1))
+
_xlfn.XLOOKUP(C238,[1]!PM_10[BLO],[1]!PM_10[ILO],,-1),2)</f>
        <v>56</v>
      </c>
      <c r="J238">
        <f>ROUND((( _xlfn.XLOOKUP(D238,[1]!NO_2[BLO],[1]!NO_2[IHI],,-1) - _xlfn.XLOOKUP(D238,[1]!NO_2[BLO],[1]!NO_2[ILO],,-1))
/
( _xlfn.XLOOKUP(D238,[1]!NO_2[BLO],[1]!NO_2[BHI],,-1) - _xlfn.XLOOKUP(D238,[1]!NO_2[BLO],[1]!NO_2[BLO],,-1) ))
*
( D238 - _xlfn.XLOOKUP(D238,[1]!NO_2[BLO],[1]!NO_2[BLO],,-1))
+
_xlfn.XLOOKUP(D238,[1]!NO_2[BLO],[1]!NO_2[ILO],,-1),2)</f>
        <v>21.25</v>
      </c>
      <c r="K238">
        <f>ROUND(( ( _xlfn.XLOOKUP(E238,[1]!SO_2[BLO],[1]!SO_2[IHI],,-1)  - _xlfn.XLOOKUP(E238,[1]!SO_2[BLO],[1]!SO_2[ILO],,-1) )
/
( _xlfn.XLOOKUP(E238,[1]!SO_2[BLO],[1]!SO_2[BHI],,-1)- _xlfn.XLOOKUP(E238,[1]!SO_2[BLO],[1]!SO_2[BLO],,-1) ))
*
( E238 - _xlfn.XLOOKUP(E238,[1]!SO_2[BLO],[1]!SO_2[BLO],,-1) )
+
_xlfn.XLOOKUP(E238,[1]!SO_2[BLO],[1]!SO_2[ILO],,-1),2)</f>
        <v>12.5</v>
      </c>
      <c r="L238">
        <f>( ( _xlfn.XLOOKUP(F238,[1]!CO[BLO],[1]!CO[IHI],,-1)
- _xlfn.XLOOKUP(F238,[1]!CO[BLO],[1]!CO[ILO],,-1) )
/
( _xlfn.XLOOKUP(F238,[1]!CO[BLO],[1]!CO[BHI],,-1) - _xlfn.XLOOKUP(F238,[1]!CO[BLO],[1]!CO[BLO],,-1)))
*
( F238 - _xlfn.XLOOKUP(F238,[1]!CO[BLO],[1]!CO[BLO],,-1) )
+
_xlfn.XLOOKUP(F238,[1]!CO[BLO],[1]!CO[ILO],,-1)</f>
        <v>27.500000000000004</v>
      </c>
      <c r="M238">
        <f>(( _xlfn.XLOOKUP(G238,[1]!O_3[BLO],[1]!O_3[IHI],,-1) - _xlfn.XLOOKUP(G238,[1]!O_3[BLO],[1]!O_3[ILO],,-1))
/
( _xlfn.XLOOKUP(G238,[1]!O_3[BLO],[1]!O_3[BHI],,-1) - _xlfn.XLOOKUP(G238,[1]!O_3[BLO],[1]!O_3[BLO],,-1)))
*
( G238 - _xlfn.XLOOKUP(G238,[1]!O_3[BLO],[1]!O_3[BLO],,-1))
+
_xlfn.XLOOKUP(G238,[1]!O_3[BLO],[1]!O_3[ILO],,-1)</f>
        <v>27</v>
      </c>
      <c r="N238">
        <f>MAX(DAILY_DATA[[#This Row],[AQI_PM2.5]:[AQI_O3]])</f>
        <v>56</v>
      </c>
      <c r="O238" t="str">
        <f>_xlfn.XLOOKUP(DAILY_DATA[[#This Row],[OVERALL_AQI]],[1]!CATEGORY[AQI_LO],[1]!CATEGORY[CATEGORY],,-1)</f>
        <v>Satisfactory</v>
      </c>
      <c r="P238" t="str" cm="1">
        <f t="array" ref="P238">INDEX(
{"PM2.5","PM10","NO2","SO2","CO","O3"},
MATCH(N238,H238:M238,0)
)</f>
        <v>PM10</v>
      </c>
    </row>
    <row r="239" spans="1:16" x14ac:dyDescent="0.25">
      <c r="A239" s="4">
        <v>45529</v>
      </c>
      <c r="B239">
        <f>ROUND(AVERAGEIFS([1]HOURLY_DATA!B239:B9022,[1]HOURLY_DATA!H239:H9022,Daily_AQI!A239),0)</f>
        <v>19</v>
      </c>
      <c r="C239">
        <f>ROUND(AVERAGEIFS([1]HOURLY_DATA!C239:C9022,[1]HOURLY_DATA!H239:H9022,Daily_AQI!A239),0)</f>
        <v>53</v>
      </c>
      <c r="D239">
        <f>ROUND(AVERAGEIFS([1]HOURLY_DATA!D239:D9022,[1]HOURLY_DATA!H239:H9022,Daily_AQI!A239),0)</f>
        <v>17</v>
      </c>
      <c r="E239">
        <f>ROUND(AVERAGEIFS([1]HOURLY_DATA!E239:E9022,[1]HOURLY_DATA!H239:H9022,Daily_AQI!A239),0)</f>
        <v>10</v>
      </c>
      <c r="F239">
        <f>ROUND(AVERAGEIFS([1]HOURLY_DATA!I239:I9022,[1]HOURLY_DATA!H239:H9022,Daily_AQI!A239),2)</f>
        <v>0.56999999999999995</v>
      </c>
      <c r="G239">
        <f>ROUND(AVERAGEIFS([1]HOURLY_DATA!J239:J9022,[1]HOURLY_DATA!H239:H9022,Daily_AQI!A239),0)</f>
        <v>28</v>
      </c>
      <c r="H239">
        <f>ROUND(((_xlfn.XLOOKUP(B239,[1]!PM2.5[BLO],[1]!PM2.5[IHI],,-1) - _xlfn.XLOOKUP(B239,[1]!PM2.5[BLO],[1]!PM2.5[ILO],,-1))
/
(_xlfn.XLOOKUP(B239,[1]!PM2.5[BLO],[1]!PM2.5[BHI],,-1) - _xlfn.XLOOKUP(B239,[1]!PM2.5[BLO],[1]!PM2.5[BLO],,-1)))
*
(B239 - _xlfn.XLOOKUP(B239,[1]!PM2.5[BLO],[1]!PM2.5[BLO],,-1))
+
_xlfn.XLOOKUP(B239,[1]!PM2.5[BLO],[1]!PM2.5[ILO],,-1),2)</f>
        <v>31.67</v>
      </c>
      <c r="I239">
        <f>ROUND(((_xlfn.XLOOKUP(C239,[1]!PM_10[BLO],[1]!PM_10[IHI],,-1) - _xlfn.XLOOKUP(C239,[1]!PM_10[BLO],[1]!PM_10[ILO],,-1))
/
(_xlfn.XLOOKUP(C239,[1]!PM_10[BLO],[1]!PM_10[BHI],,-1) - _xlfn.XLOOKUP(C239,[1]!PM_10[BLO],[1]!PM_10[BLO],,-1)))
*
( C239 - _xlfn.XLOOKUP(C239,[1]!PM_10[BLO],[1]!PM_10[BLO],,-1))
+
_xlfn.XLOOKUP(C239,[1]!PM_10[BLO],[1]!PM_10[ILO],,-1),2)</f>
        <v>53</v>
      </c>
      <c r="J239">
        <f>ROUND((( _xlfn.XLOOKUP(D239,[1]!NO_2[BLO],[1]!NO_2[IHI],,-1) - _xlfn.XLOOKUP(D239,[1]!NO_2[BLO],[1]!NO_2[ILO],,-1))
/
( _xlfn.XLOOKUP(D239,[1]!NO_2[BLO],[1]!NO_2[BHI],,-1) - _xlfn.XLOOKUP(D239,[1]!NO_2[BLO],[1]!NO_2[BLO],,-1) ))
*
( D239 - _xlfn.XLOOKUP(D239,[1]!NO_2[BLO],[1]!NO_2[BLO],,-1))
+
_xlfn.XLOOKUP(D239,[1]!NO_2[BLO],[1]!NO_2[ILO],,-1),2)</f>
        <v>21.25</v>
      </c>
      <c r="K239">
        <f>ROUND(( ( _xlfn.XLOOKUP(E239,[1]!SO_2[BLO],[1]!SO_2[IHI],,-1)  - _xlfn.XLOOKUP(E239,[1]!SO_2[BLO],[1]!SO_2[ILO],,-1) )
/
( _xlfn.XLOOKUP(E239,[1]!SO_2[BLO],[1]!SO_2[BHI],,-1)- _xlfn.XLOOKUP(E239,[1]!SO_2[BLO],[1]!SO_2[BLO],,-1) ))
*
( E239 - _xlfn.XLOOKUP(E239,[1]!SO_2[BLO],[1]!SO_2[BLO],,-1) )
+
_xlfn.XLOOKUP(E239,[1]!SO_2[BLO],[1]!SO_2[ILO],,-1),2)</f>
        <v>12.5</v>
      </c>
      <c r="L239">
        <f>( ( _xlfn.XLOOKUP(F239,[1]!CO[BLO],[1]!CO[IHI],,-1)
- _xlfn.XLOOKUP(F239,[1]!CO[BLO],[1]!CO[ILO],,-1) )
/
( _xlfn.XLOOKUP(F239,[1]!CO[BLO],[1]!CO[BHI],,-1) - _xlfn.XLOOKUP(F239,[1]!CO[BLO],[1]!CO[BLO],,-1)))
*
( F239 - _xlfn.XLOOKUP(F239,[1]!CO[BLO],[1]!CO[BLO],,-1) )
+
_xlfn.XLOOKUP(F239,[1]!CO[BLO],[1]!CO[ILO],,-1)</f>
        <v>28.499999999999996</v>
      </c>
      <c r="M239">
        <f>(( _xlfn.XLOOKUP(G239,[1]!O_3[BLO],[1]!O_3[IHI],,-1) - _xlfn.XLOOKUP(G239,[1]!O_3[BLO],[1]!O_3[ILO],,-1))
/
( _xlfn.XLOOKUP(G239,[1]!O_3[BLO],[1]!O_3[BHI],,-1) - _xlfn.XLOOKUP(G239,[1]!O_3[BLO],[1]!O_3[BLO],,-1)))
*
( G239 - _xlfn.XLOOKUP(G239,[1]!O_3[BLO],[1]!O_3[BLO],,-1))
+
_xlfn.XLOOKUP(G239,[1]!O_3[BLO],[1]!O_3[ILO],,-1)</f>
        <v>28</v>
      </c>
      <c r="N239">
        <f>MAX(DAILY_DATA[[#This Row],[AQI_PM2.5]:[AQI_O3]])</f>
        <v>53</v>
      </c>
      <c r="O239" t="str">
        <f>_xlfn.XLOOKUP(DAILY_DATA[[#This Row],[OVERALL_AQI]],[1]!CATEGORY[AQI_LO],[1]!CATEGORY[CATEGORY],,-1)</f>
        <v>Satisfactory</v>
      </c>
      <c r="P239" t="str" cm="1">
        <f t="array" ref="P239">INDEX(
{"PM2.5","PM10","NO2","SO2","CO","O3"},
MATCH(N239,H239:M239,0)
)</f>
        <v>PM10</v>
      </c>
    </row>
    <row r="240" spans="1:16" x14ac:dyDescent="0.25">
      <c r="A240" s="4">
        <v>45530</v>
      </c>
      <c r="B240">
        <f>ROUND(AVERAGEIFS([1]HOURLY_DATA!B240:B9023,[1]HOURLY_DATA!H240:H9023,Daily_AQI!A240),0)</f>
        <v>17</v>
      </c>
      <c r="C240">
        <f>ROUND(AVERAGEIFS([1]HOURLY_DATA!C240:C9023,[1]HOURLY_DATA!H240:H9023,Daily_AQI!A240),0)</f>
        <v>49</v>
      </c>
      <c r="D240">
        <f>ROUND(AVERAGEIFS([1]HOURLY_DATA!D240:D9023,[1]HOURLY_DATA!H240:H9023,Daily_AQI!A240),0)</f>
        <v>17</v>
      </c>
      <c r="E240">
        <f>ROUND(AVERAGEIFS([1]HOURLY_DATA!E240:E9023,[1]HOURLY_DATA!H240:H9023,Daily_AQI!A240),0)</f>
        <v>10</v>
      </c>
      <c r="F240">
        <f>ROUND(AVERAGEIFS([1]HOURLY_DATA!I240:I9023,[1]HOURLY_DATA!H240:H9023,Daily_AQI!A240),2)</f>
        <v>0.6</v>
      </c>
      <c r="G240">
        <f>ROUND(AVERAGEIFS([1]HOURLY_DATA!J240:J9023,[1]HOURLY_DATA!H240:H9023,Daily_AQI!A240),0)</f>
        <v>28</v>
      </c>
      <c r="H240">
        <f>ROUND(((_xlfn.XLOOKUP(B240,[1]!PM2.5[BLO],[1]!PM2.5[IHI],,-1) - _xlfn.XLOOKUP(B240,[1]!PM2.5[BLO],[1]!PM2.5[ILO],,-1))
/
(_xlfn.XLOOKUP(B240,[1]!PM2.5[BLO],[1]!PM2.5[BHI],,-1) - _xlfn.XLOOKUP(B240,[1]!PM2.5[BLO],[1]!PM2.5[BLO],,-1)))
*
(B240 - _xlfn.XLOOKUP(B240,[1]!PM2.5[BLO],[1]!PM2.5[BLO],,-1))
+
_xlfn.XLOOKUP(B240,[1]!PM2.5[BLO],[1]!PM2.5[ILO],,-1),2)</f>
        <v>28.33</v>
      </c>
      <c r="I240">
        <f>ROUND(((_xlfn.XLOOKUP(C240,[1]!PM_10[BLO],[1]!PM_10[IHI],,-1) - _xlfn.XLOOKUP(C240,[1]!PM_10[BLO],[1]!PM_10[ILO],,-1))
/
(_xlfn.XLOOKUP(C240,[1]!PM_10[BLO],[1]!PM_10[BHI],,-1) - _xlfn.XLOOKUP(C240,[1]!PM_10[BLO],[1]!PM_10[BLO],,-1)))
*
( C240 - _xlfn.XLOOKUP(C240,[1]!PM_10[BLO],[1]!PM_10[BLO],,-1))
+
_xlfn.XLOOKUP(C240,[1]!PM_10[BLO],[1]!PM_10[ILO],,-1),2)</f>
        <v>49</v>
      </c>
      <c r="J240">
        <f>ROUND((( _xlfn.XLOOKUP(D240,[1]!NO_2[BLO],[1]!NO_2[IHI],,-1) - _xlfn.XLOOKUP(D240,[1]!NO_2[BLO],[1]!NO_2[ILO],,-1))
/
( _xlfn.XLOOKUP(D240,[1]!NO_2[BLO],[1]!NO_2[BHI],,-1) - _xlfn.XLOOKUP(D240,[1]!NO_2[BLO],[1]!NO_2[BLO],,-1) ))
*
( D240 - _xlfn.XLOOKUP(D240,[1]!NO_2[BLO],[1]!NO_2[BLO],,-1))
+
_xlfn.XLOOKUP(D240,[1]!NO_2[BLO],[1]!NO_2[ILO],,-1),2)</f>
        <v>21.25</v>
      </c>
      <c r="K240">
        <f>ROUND(( ( _xlfn.XLOOKUP(E240,[1]!SO_2[BLO],[1]!SO_2[IHI],,-1)  - _xlfn.XLOOKUP(E240,[1]!SO_2[BLO],[1]!SO_2[ILO],,-1) )
/
( _xlfn.XLOOKUP(E240,[1]!SO_2[BLO],[1]!SO_2[BHI],,-1)- _xlfn.XLOOKUP(E240,[1]!SO_2[BLO],[1]!SO_2[BLO],,-1) ))
*
( E240 - _xlfn.XLOOKUP(E240,[1]!SO_2[BLO],[1]!SO_2[BLO],,-1) )
+
_xlfn.XLOOKUP(E240,[1]!SO_2[BLO],[1]!SO_2[ILO],,-1),2)</f>
        <v>12.5</v>
      </c>
      <c r="L240">
        <f>( ( _xlfn.XLOOKUP(F240,[1]!CO[BLO],[1]!CO[IHI],,-1)
- _xlfn.XLOOKUP(F240,[1]!CO[BLO],[1]!CO[ILO],,-1) )
/
( _xlfn.XLOOKUP(F240,[1]!CO[BLO],[1]!CO[BHI],,-1) - _xlfn.XLOOKUP(F240,[1]!CO[BLO],[1]!CO[BLO],,-1)))
*
( F240 - _xlfn.XLOOKUP(F240,[1]!CO[BLO],[1]!CO[BLO],,-1) )
+
_xlfn.XLOOKUP(F240,[1]!CO[BLO],[1]!CO[ILO],,-1)</f>
        <v>30</v>
      </c>
      <c r="M240">
        <f>(( _xlfn.XLOOKUP(G240,[1]!O_3[BLO],[1]!O_3[IHI],,-1) - _xlfn.XLOOKUP(G240,[1]!O_3[BLO],[1]!O_3[ILO],,-1))
/
( _xlfn.XLOOKUP(G240,[1]!O_3[BLO],[1]!O_3[BHI],,-1) - _xlfn.XLOOKUP(G240,[1]!O_3[BLO],[1]!O_3[BLO],,-1)))
*
( G240 - _xlfn.XLOOKUP(G240,[1]!O_3[BLO],[1]!O_3[BLO],,-1))
+
_xlfn.XLOOKUP(G240,[1]!O_3[BLO],[1]!O_3[ILO],,-1)</f>
        <v>28</v>
      </c>
      <c r="N240">
        <f>MAX(DAILY_DATA[[#This Row],[AQI_PM2.5]:[AQI_O3]])</f>
        <v>49</v>
      </c>
      <c r="O240" t="str">
        <f>_xlfn.XLOOKUP(DAILY_DATA[[#This Row],[OVERALL_AQI]],[1]!CATEGORY[AQI_LO],[1]!CATEGORY[CATEGORY],,-1)</f>
        <v>Good</v>
      </c>
      <c r="P240" t="str" cm="1">
        <f t="array" ref="P240">INDEX(
{"PM2.5","PM10","NO2","SO2","CO","O3"},
MATCH(N240,H240:M240,0)
)</f>
        <v>PM10</v>
      </c>
    </row>
    <row r="241" spans="1:16" x14ac:dyDescent="0.25">
      <c r="A241" s="4">
        <v>45531</v>
      </c>
      <c r="B241">
        <f>ROUND(AVERAGEIFS([1]HOURLY_DATA!B241:B9024,[1]HOURLY_DATA!H241:H9024,Daily_AQI!A241),0)</f>
        <v>17</v>
      </c>
      <c r="C241">
        <f>ROUND(AVERAGEIFS([1]HOURLY_DATA!C241:C9024,[1]HOURLY_DATA!H241:H9024,Daily_AQI!A241),0)</f>
        <v>45</v>
      </c>
      <c r="D241">
        <f>ROUND(AVERAGEIFS([1]HOURLY_DATA!D241:D9024,[1]HOURLY_DATA!H241:H9024,Daily_AQI!A241),0)</f>
        <v>17</v>
      </c>
      <c r="E241">
        <f>ROUND(AVERAGEIFS([1]HOURLY_DATA!E241:E9024,[1]HOURLY_DATA!H241:H9024,Daily_AQI!A241),0)</f>
        <v>10</v>
      </c>
      <c r="F241">
        <f>ROUND(AVERAGEIFS([1]HOURLY_DATA!I241:I9024,[1]HOURLY_DATA!H241:H9024,Daily_AQI!A241),2)</f>
        <v>0.59</v>
      </c>
      <c r="G241">
        <f>ROUND(AVERAGEIFS([1]HOURLY_DATA!J241:J9024,[1]HOURLY_DATA!H241:H9024,Daily_AQI!A241),0)</f>
        <v>26</v>
      </c>
      <c r="H241">
        <f>ROUND(((_xlfn.XLOOKUP(B241,[1]!PM2.5[BLO],[1]!PM2.5[IHI],,-1) - _xlfn.XLOOKUP(B241,[1]!PM2.5[BLO],[1]!PM2.5[ILO],,-1))
/
(_xlfn.XLOOKUP(B241,[1]!PM2.5[BLO],[1]!PM2.5[BHI],,-1) - _xlfn.XLOOKUP(B241,[1]!PM2.5[BLO],[1]!PM2.5[BLO],,-1)))
*
(B241 - _xlfn.XLOOKUP(B241,[1]!PM2.5[BLO],[1]!PM2.5[BLO],,-1))
+
_xlfn.XLOOKUP(B241,[1]!PM2.5[BLO],[1]!PM2.5[ILO],,-1),2)</f>
        <v>28.33</v>
      </c>
      <c r="I241">
        <f>ROUND(((_xlfn.XLOOKUP(C241,[1]!PM_10[BLO],[1]!PM_10[IHI],,-1) - _xlfn.XLOOKUP(C241,[1]!PM_10[BLO],[1]!PM_10[ILO],,-1))
/
(_xlfn.XLOOKUP(C241,[1]!PM_10[BLO],[1]!PM_10[BHI],,-1) - _xlfn.XLOOKUP(C241,[1]!PM_10[BLO],[1]!PM_10[BLO],,-1)))
*
( C241 - _xlfn.XLOOKUP(C241,[1]!PM_10[BLO],[1]!PM_10[BLO],,-1))
+
_xlfn.XLOOKUP(C241,[1]!PM_10[BLO],[1]!PM_10[ILO],,-1),2)</f>
        <v>45</v>
      </c>
      <c r="J241">
        <f>ROUND((( _xlfn.XLOOKUP(D241,[1]!NO_2[BLO],[1]!NO_2[IHI],,-1) - _xlfn.XLOOKUP(D241,[1]!NO_2[BLO],[1]!NO_2[ILO],,-1))
/
( _xlfn.XLOOKUP(D241,[1]!NO_2[BLO],[1]!NO_2[BHI],,-1) - _xlfn.XLOOKUP(D241,[1]!NO_2[BLO],[1]!NO_2[BLO],,-1) ))
*
( D241 - _xlfn.XLOOKUP(D241,[1]!NO_2[BLO],[1]!NO_2[BLO],,-1))
+
_xlfn.XLOOKUP(D241,[1]!NO_2[BLO],[1]!NO_2[ILO],,-1),2)</f>
        <v>21.25</v>
      </c>
      <c r="K241">
        <f>ROUND(( ( _xlfn.XLOOKUP(E241,[1]!SO_2[BLO],[1]!SO_2[IHI],,-1)  - _xlfn.XLOOKUP(E241,[1]!SO_2[BLO],[1]!SO_2[ILO],,-1) )
/
( _xlfn.XLOOKUP(E241,[1]!SO_2[BLO],[1]!SO_2[BHI],,-1)- _xlfn.XLOOKUP(E241,[1]!SO_2[BLO],[1]!SO_2[BLO],,-1) ))
*
( E241 - _xlfn.XLOOKUP(E241,[1]!SO_2[BLO],[1]!SO_2[BLO],,-1) )
+
_xlfn.XLOOKUP(E241,[1]!SO_2[BLO],[1]!SO_2[ILO],,-1),2)</f>
        <v>12.5</v>
      </c>
      <c r="L241">
        <f>( ( _xlfn.XLOOKUP(F241,[1]!CO[BLO],[1]!CO[IHI],,-1)
- _xlfn.XLOOKUP(F241,[1]!CO[BLO],[1]!CO[ILO],,-1) )
/
( _xlfn.XLOOKUP(F241,[1]!CO[BLO],[1]!CO[BHI],,-1) - _xlfn.XLOOKUP(F241,[1]!CO[BLO],[1]!CO[BLO],,-1)))
*
( F241 - _xlfn.XLOOKUP(F241,[1]!CO[BLO],[1]!CO[BLO],,-1) )
+
_xlfn.XLOOKUP(F241,[1]!CO[BLO],[1]!CO[ILO],,-1)</f>
        <v>29.5</v>
      </c>
      <c r="M241">
        <f>(( _xlfn.XLOOKUP(G241,[1]!O_3[BLO],[1]!O_3[IHI],,-1) - _xlfn.XLOOKUP(G241,[1]!O_3[BLO],[1]!O_3[ILO],,-1))
/
( _xlfn.XLOOKUP(G241,[1]!O_3[BLO],[1]!O_3[BHI],,-1) - _xlfn.XLOOKUP(G241,[1]!O_3[BLO],[1]!O_3[BLO],,-1)))
*
( G241 - _xlfn.XLOOKUP(G241,[1]!O_3[BLO],[1]!O_3[BLO],,-1))
+
_xlfn.XLOOKUP(G241,[1]!O_3[BLO],[1]!O_3[ILO],,-1)</f>
        <v>26</v>
      </c>
      <c r="N241">
        <f>MAX(DAILY_DATA[[#This Row],[AQI_PM2.5]:[AQI_O3]])</f>
        <v>45</v>
      </c>
      <c r="O241" t="str">
        <f>_xlfn.XLOOKUP(DAILY_DATA[[#This Row],[OVERALL_AQI]],[1]!CATEGORY[AQI_LO],[1]!CATEGORY[CATEGORY],,-1)</f>
        <v>Good</v>
      </c>
      <c r="P241" t="str" cm="1">
        <f t="array" ref="P241">INDEX(
{"PM2.5","PM10","NO2","SO2","CO","O3"},
MATCH(N241,H241:M241,0)
)</f>
        <v>PM10</v>
      </c>
    </row>
    <row r="242" spans="1:16" x14ac:dyDescent="0.25">
      <c r="A242" s="4">
        <v>45532</v>
      </c>
      <c r="B242">
        <f>ROUND(AVERAGEIFS([1]HOURLY_DATA!B242:B9025,[1]HOURLY_DATA!H242:H9025,Daily_AQI!A242),0)</f>
        <v>18</v>
      </c>
      <c r="C242">
        <f>ROUND(AVERAGEIFS([1]HOURLY_DATA!C242:C9025,[1]HOURLY_DATA!H242:H9025,Daily_AQI!A242),0)</f>
        <v>48</v>
      </c>
      <c r="D242">
        <f>ROUND(AVERAGEIFS([1]HOURLY_DATA!D242:D9025,[1]HOURLY_DATA!H242:H9025,Daily_AQI!A242),0)</f>
        <v>16</v>
      </c>
      <c r="E242">
        <f>ROUND(AVERAGEIFS([1]HOURLY_DATA!E242:E9025,[1]HOURLY_DATA!H242:H9025,Daily_AQI!A242),0)</f>
        <v>11</v>
      </c>
      <c r="F242">
        <f>ROUND(AVERAGEIFS([1]HOURLY_DATA!I242:I9025,[1]HOURLY_DATA!H242:H9025,Daily_AQI!A242),2)</f>
        <v>0.65</v>
      </c>
      <c r="G242">
        <f>ROUND(AVERAGEIFS([1]HOURLY_DATA!J242:J9025,[1]HOURLY_DATA!H242:H9025,Daily_AQI!A242),0)</f>
        <v>25</v>
      </c>
      <c r="H242">
        <f>ROUND(((_xlfn.XLOOKUP(B242,[1]!PM2.5[BLO],[1]!PM2.5[IHI],,-1) - _xlfn.XLOOKUP(B242,[1]!PM2.5[BLO],[1]!PM2.5[ILO],,-1))
/
(_xlfn.XLOOKUP(B242,[1]!PM2.5[BLO],[1]!PM2.5[BHI],,-1) - _xlfn.XLOOKUP(B242,[1]!PM2.5[BLO],[1]!PM2.5[BLO],,-1)))
*
(B242 - _xlfn.XLOOKUP(B242,[1]!PM2.5[BLO],[1]!PM2.5[BLO],,-1))
+
_xlfn.XLOOKUP(B242,[1]!PM2.5[BLO],[1]!PM2.5[ILO],,-1),2)</f>
        <v>30</v>
      </c>
      <c r="I242">
        <f>ROUND(((_xlfn.XLOOKUP(C242,[1]!PM_10[BLO],[1]!PM_10[IHI],,-1) - _xlfn.XLOOKUP(C242,[1]!PM_10[BLO],[1]!PM_10[ILO],,-1))
/
(_xlfn.XLOOKUP(C242,[1]!PM_10[BLO],[1]!PM_10[BHI],,-1) - _xlfn.XLOOKUP(C242,[1]!PM_10[BLO],[1]!PM_10[BLO],,-1)))
*
( C242 - _xlfn.XLOOKUP(C242,[1]!PM_10[BLO],[1]!PM_10[BLO],,-1))
+
_xlfn.XLOOKUP(C242,[1]!PM_10[BLO],[1]!PM_10[ILO],,-1),2)</f>
        <v>48</v>
      </c>
      <c r="J242">
        <f>ROUND((( _xlfn.XLOOKUP(D242,[1]!NO_2[BLO],[1]!NO_2[IHI],,-1) - _xlfn.XLOOKUP(D242,[1]!NO_2[BLO],[1]!NO_2[ILO],,-1))
/
( _xlfn.XLOOKUP(D242,[1]!NO_2[BLO],[1]!NO_2[BHI],,-1) - _xlfn.XLOOKUP(D242,[1]!NO_2[BLO],[1]!NO_2[BLO],,-1) ))
*
( D242 - _xlfn.XLOOKUP(D242,[1]!NO_2[BLO],[1]!NO_2[BLO],,-1))
+
_xlfn.XLOOKUP(D242,[1]!NO_2[BLO],[1]!NO_2[ILO],,-1),2)</f>
        <v>20</v>
      </c>
      <c r="K242">
        <f>ROUND(( ( _xlfn.XLOOKUP(E242,[1]!SO_2[BLO],[1]!SO_2[IHI],,-1)  - _xlfn.XLOOKUP(E242,[1]!SO_2[BLO],[1]!SO_2[ILO],,-1) )
/
( _xlfn.XLOOKUP(E242,[1]!SO_2[BLO],[1]!SO_2[BHI],,-1)- _xlfn.XLOOKUP(E242,[1]!SO_2[BLO],[1]!SO_2[BLO],,-1) ))
*
( E242 - _xlfn.XLOOKUP(E242,[1]!SO_2[BLO],[1]!SO_2[BLO],,-1) )
+
_xlfn.XLOOKUP(E242,[1]!SO_2[BLO],[1]!SO_2[ILO],,-1),2)</f>
        <v>13.75</v>
      </c>
      <c r="L242">
        <f>( ( _xlfn.XLOOKUP(F242,[1]!CO[BLO],[1]!CO[IHI],,-1)
- _xlfn.XLOOKUP(F242,[1]!CO[BLO],[1]!CO[ILO],,-1) )
/
( _xlfn.XLOOKUP(F242,[1]!CO[BLO],[1]!CO[BHI],,-1) - _xlfn.XLOOKUP(F242,[1]!CO[BLO],[1]!CO[BLO],,-1)))
*
( F242 - _xlfn.XLOOKUP(F242,[1]!CO[BLO],[1]!CO[BLO],,-1) )
+
_xlfn.XLOOKUP(F242,[1]!CO[BLO],[1]!CO[ILO],,-1)</f>
        <v>32.5</v>
      </c>
      <c r="M242">
        <f>(( _xlfn.XLOOKUP(G242,[1]!O_3[BLO],[1]!O_3[IHI],,-1) - _xlfn.XLOOKUP(G242,[1]!O_3[BLO],[1]!O_3[ILO],,-1))
/
( _xlfn.XLOOKUP(G242,[1]!O_3[BLO],[1]!O_3[BHI],,-1) - _xlfn.XLOOKUP(G242,[1]!O_3[BLO],[1]!O_3[BLO],,-1)))
*
( G242 - _xlfn.XLOOKUP(G242,[1]!O_3[BLO],[1]!O_3[BLO],,-1))
+
_xlfn.XLOOKUP(G242,[1]!O_3[BLO],[1]!O_3[ILO],,-1)</f>
        <v>25</v>
      </c>
      <c r="N242">
        <f>MAX(DAILY_DATA[[#This Row],[AQI_PM2.5]:[AQI_O3]])</f>
        <v>48</v>
      </c>
      <c r="O242" t="str">
        <f>_xlfn.XLOOKUP(DAILY_DATA[[#This Row],[OVERALL_AQI]],[1]!CATEGORY[AQI_LO],[1]!CATEGORY[CATEGORY],,-1)</f>
        <v>Good</v>
      </c>
      <c r="P242" t="str" cm="1">
        <f t="array" ref="P242">INDEX(
{"PM2.5","PM10","NO2","SO2","CO","O3"},
MATCH(N242,H242:M242,0)
)</f>
        <v>PM10</v>
      </c>
    </row>
    <row r="243" spans="1:16" x14ac:dyDescent="0.25">
      <c r="A243" s="4">
        <v>45533</v>
      </c>
      <c r="B243">
        <f>ROUND(AVERAGEIFS([1]HOURLY_DATA!B243:B9026,[1]HOURLY_DATA!H243:H9026,Daily_AQI!A243),0)</f>
        <v>20</v>
      </c>
      <c r="C243">
        <f>ROUND(AVERAGEIFS([1]HOURLY_DATA!C243:C9026,[1]HOURLY_DATA!H243:H9026,Daily_AQI!A243),0)</f>
        <v>44</v>
      </c>
      <c r="D243">
        <f>ROUND(AVERAGEIFS([1]HOURLY_DATA!D243:D9026,[1]HOURLY_DATA!H243:H9026,Daily_AQI!A243),0)</f>
        <v>17</v>
      </c>
      <c r="E243">
        <f>ROUND(AVERAGEIFS([1]HOURLY_DATA!E243:E9026,[1]HOURLY_DATA!H243:H9026,Daily_AQI!A243),0)</f>
        <v>9</v>
      </c>
      <c r="F243">
        <f>ROUND(AVERAGEIFS([1]HOURLY_DATA!I243:I9026,[1]HOURLY_DATA!H243:H9026,Daily_AQI!A243),2)</f>
        <v>0.7</v>
      </c>
      <c r="G243">
        <f>ROUND(AVERAGEIFS([1]HOURLY_DATA!J243:J9026,[1]HOURLY_DATA!H243:H9026,Daily_AQI!A243),0)</f>
        <v>25</v>
      </c>
      <c r="H243">
        <f>ROUND(((_xlfn.XLOOKUP(B243,[1]!PM2.5[BLO],[1]!PM2.5[IHI],,-1) - _xlfn.XLOOKUP(B243,[1]!PM2.5[BLO],[1]!PM2.5[ILO],,-1))
/
(_xlfn.XLOOKUP(B243,[1]!PM2.5[BLO],[1]!PM2.5[BHI],,-1) - _xlfn.XLOOKUP(B243,[1]!PM2.5[BLO],[1]!PM2.5[BLO],,-1)))
*
(B243 - _xlfn.XLOOKUP(B243,[1]!PM2.5[BLO],[1]!PM2.5[BLO],,-1))
+
_xlfn.XLOOKUP(B243,[1]!PM2.5[BLO],[1]!PM2.5[ILO],,-1),2)</f>
        <v>33.33</v>
      </c>
      <c r="I243">
        <f>ROUND(((_xlfn.XLOOKUP(C243,[1]!PM_10[BLO],[1]!PM_10[IHI],,-1) - _xlfn.XLOOKUP(C243,[1]!PM_10[BLO],[1]!PM_10[ILO],,-1))
/
(_xlfn.XLOOKUP(C243,[1]!PM_10[BLO],[1]!PM_10[BHI],,-1) - _xlfn.XLOOKUP(C243,[1]!PM_10[BLO],[1]!PM_10[BLO],,-1)))
*
( C243 - _xlfn.XLOOKUP(C243,[1]!PM_10[BLO],[1]!PM_10[BLO],,-1))
+
_xlfn.XLOOKUP(C243,[1]!PM_10[BLO],[1]!PM_10[ILO],,-1),2)</f>
        <v>44</v>
      </c>
      <c r="J243">
        <f>ROUND((( _xlfn.XLOOKUP(D243,[1]!NO_2[BLO],[1]!NO_2[IHI],,-1) - _xlfn.XLOOKUP(D243,[1]!NO_2[BLO],[1]!NO_2[ILO],,-1))
/
( _xlfn.XLOOKUP(D243,[1]!NO_2[BLO],[1]!NO_2[BHI],,-1) - _xlfn.XLOOKUP(D243,[1]!NO_2[BLO],[1]!NO_2[BLO],,-1) ))
*
( D243 - _xlfn.XLOOKUP(D243,[1]!NO_2[BLO],[1]!NO_2[BLO],,-1))
+
_xlfn.XLOOKUP(D243,[1]!NO_2[BLO],[1]!NO_2[ILO],,-1),2)</f>
        <v>21.25</v>
      </c>
      <c r="K243">
        <f>ROUND(( ( _xlfn.XLOOKUP(E243,[1]!SO_2[BLO],[1]!SO_2[IHI],,-1)  - _xlfn.XLOOKUP(E243,[1]!SO_2[BLO],[1]!SO_2[ILO],,-1) )
/
( _xlfn.XLOOKUP(E243,[1]!SO_2[BLO],[1]!SO_2[BHI],,-1)- _xlfn.XLOOKUP(E243,[1]!SO_2[BLO],[1]!SO_2[BLO],,-1) ))
*
( E243 - _xlfn.XLOOKUP(E243,[1]!SO_2[BLO],[1]!SO_2[BLO],,-1) )
+
_xlfn.XLOOKUP(E243,[1]!SO_2[BLO],[1]!SO_2[ILO],,-1),2)</f>
        <v>11.25</v>
      </c>
      <c r="L243">
        <f>( ( _xlfn.XLOOKUP(F243,[1]!CO[BLO],[1]!CO[IHI],,-1)
- _xlfn.XLOOKUP(F243,[1]!CO[BLO],[1]!CO[ILO],,-1) )
/
( _xlfn.XLOOKUP(F243,[1]!CO[BLO],[1]!CO[BHI],,-1) - _xlfn.XLOOKUP(F243,[1]!CO[BLO],[1]!CO[BLO],,-1)))
*
( F243 - _xlfn.XLOOKUP(F243,[1]!CO[BLO],[1]!CO[BLO],,-1) )
+
_xlfn.XLOOKUP(F243,[1]!CO[BLO],[1]!CO[ILO],,-1)</f>
        <v>35</v>
      </c>
      <c r="M243">
        <f>(( _xlfn.XLOOKUP(G243,[1]!O_3[BLO],[1]!O_3[IHI],,-1) - _xlfn.XLOOKUP(G243,[1]!O_3[BLO],[1]!O_3[ILO],,-1))
/
( _xlfn.XLOOKUP(G243,[1]!O_3[BLO],[1]!O_3[BHI],,-1) - _xlfn.XLOOKUP(G243,[1]!O_3[BLO],[1]!O_3[BLO],,-1)))
*
( G243 - _xlfn.XLOOKUP(G243,[1]!O_3[BLO],[1]!O_3[BLO],,-1))
+
_xlfn.XLOOKUP(G243,[1]!O_3[BLO],[1]!O_3[ILO],,-1)</f>
        <v>25</v>
      </c>
      <c r="N243">
        <f>MAX(DAILY_DATA[[#This Row],[AQI_PM2.5]:[AQI_O3]])</f>
        <v>44</v>
      </c>
      <c r="O243" t="str">
        <f>_xlfn.XLOOKUP(DAILY_DATA[[#This Row],[OVERALL_AQI]],[1]!CATEGORY[AQI_LO],[1]!CATEGORY[CATEGORY],,-1)</f>
        <v>Good</v>
      </c>
      <c r="P243" t="str" cm="1">
        <f t="array" ref="P243">INDEX(
{"PM2.5","PM10","NO2","SO2","CO","O3"},
MATCH(N243,H243:M243,0)
)</f>
        <v>PM10</v>
      </c>
    </row>
    <row r="244" spans="1:16" x14ac:dyDescent="0.25">
      <c r="A244" s="4">
        <v>45534</v>
      </c>
      <c r="B244">
        <f>ROUND(AVERAGEIFS([1]HOURLY_DATA!B244:B9027,[1]HOURLY_DATA!H244:H9027,Daily_AQI!A244),0)</f>
        <v>21</v>
      </c>
      <c r="C244">
        <f>ROUND(AVERAGEIFS([1]HOURLY_DATA!C244:C9027,[1]HOURLY_DATA!H244:H9027,Daily_AQI!A244),0)</f>
        <v>53</v>
      </c>
      <c r="D244">
        <f>ROUND(AVERAGEIFS([1]HOURLY_DATA!D244:D9027,[1]HOURLY_DATA!H244:H9027,Daily_AQI!A244),0)</f>
        <v>17</v>
      </c>
      <c r="E244">
        <f>ROUND(AVERAGEIFS([1]HOURLY_DATA!E244:E9027,[1]HOURLY_DATA!H244:H9027,Daily_AQI!A244),0)</f>
        <v>9</v>
      </c>
      <c r="F244">
        <f>ROUND(AVERAGEIFS([1]HOURLY_DATA!I244:I9027,[1]HOURLY_DATA!H244:H9027,Daily_AQI!A244),2)</f>
        <v>0.72</v>
      </c>
      <c r="G244">
        <f>ROUND(AVERAGEIFS([1]HOURLY_DATA!J244:J9027,[1]HOURLY_DATA!H244:H9027,Daily_AQI!A244),0)</f>
        <v>24</v>
      </c>
      <c r="H244">
        <f>ROUND(((_xlfn.XLOOKUP(B244,[1]!PM2.5[BLO],[1]!PM2.5[IHI],,-1) - _xlfn.XLOOKUP(B244,[1]!PM2.5[BLO],[1]!PM2.5[ILO],,-1))
/
(_xlfn.XLOOKUP(B244,[1]!PM2.5[BLO],[1]!PM2.5[BHI],,-1) - _xlfn.XLOOKUP(B244,[1]!PM2.5[BLO],[1]!PM2.5[BLO],,-1)))
*
(B244 - _xlfn.XLOOKUP(B244,[1]!PM2.5[BLO],[1]!PM2.5[BLO],,-1))
+
_xlfn.XLOOKUP(B244,[1]!PM2.5[BLO],[1]!PM2.5[ILO],,-1),2)</f>
        <v>35</v>
      </c>
      <c r="I244">
        <f>ROUND(((_xlfn.XLOOKUP(C244,[1]!PM_10[BLO],[1]!PM_10[IHI],,-1) - _xlfn.XLOOKUP(C244,[1]!PM_10[BLO],[1]!PM_10[ILO],,-1))
/
(_xlfn.XLOOKUP(C244,[1]!PM_10[BLO],[1]!PM_10[BHI],,-1) - _xlfn.XLOOKUP(C244,[1]!PM_10[BLO],[1]!PM_10[BLO],,-1)))
*
( C244 - _xlfn.XLOOKUP(C244,[1]!PM_10[BLO],[1]!PM_10[BLO],,-1))
+
_xlfn.XLOOKUP(C244,[1]!PM_10[BLO],[1]!PM_10[ILO],,-1),2)</f>
        <v>53</v>
      </c>
      <c r="J244">
        <f>ROUND((( _xlfn.XLOOKUP(D244,[1]!NO_2[BLO],[1]!NO_2[IHI],,-1) - _xlfn.XLOOKUP(D244,[1]!NO_2[BLO],[1]!NO_2[ILO],,-1))
/
( _xlfn.XLOOKUP(D244,[1]!NO_2[BLO],[1]!NO_2[BHI],,-1) - _xlfn.XLOOKUP(D244,[1]!NO_2[BLO],[1]!NO_2[BLO],,-1) ))
*
( D244 - _xlfn.XLOOKUP(D244,[1]!NO_2[BLO],[1]!NO_2[BLO],,-1))
+
_xlfn.XLOOKUP(D244,[1]!NO_2[BLO],[1]!NO_2[ILO],,-1),2)</f>
        <v>21.25</v>
      </c>
      <c r="K244">
        <f>ROUND(( ( _xlfn.XLOOKUP(E244,[1]!SO_2[BLO],[1]!SO_2[IHI],,-1)  - _xlfn.XLOOKUP(E244,[1]!SO_2[BLO],[1]!SO_2[ILO],,-1) )
/
( _xlfn.XLOOKUP(E244,[1]!SO_2[BLO],[1]!SO_2[BHI],,-1)- _xlfn.XLOOKUP(E244,[1]!SO_2[BLO],[1]!SO_2[BLO],,-1) ))
*
( E244 - _xlfn.XLOOKUP(E244,[1]!SO_2[BLO],[1]!SO_2[BLO],,-1) )
+
_xlfn.XLOOKUP(E244,[1]!SO_2[BLO],[1]!SO_2[ILO],,-1),2)</f>
        <v>11.25</v>
      </c>
      <c r="L244">
        <f>( ( _xlfn.XLOOKUP(F244,[1]!CO[BLO],[1]!CO[IHI],,-1)
- _xlfn.XLOOKUP(F244,[1]!CO[BLO],[1]!CO[ILO],,-1) )
/
( _xlfn.XLOOKUP(F244,[1]!CO[BLO],[1]!CO[BHI],,-1) - _xlfn.XLOOKUP(F244,[1]!CO[BLO],[1]!CO[BLO],,-1)))
*
( F244 - _xlfn.XLOOKUP(F244,[1]!CO[BLO],[1]!CO[BLO],,-1) )
+
_xlfn.XLOOKUP(F244,[1]!CO[BLO],[1]!CO[ILO],,-1)</f>
        <v>36</v>
      </c>
      <c r="M244">
        <f>(( _xlfn.XLOOKUP(G244,[1]!O_3[BLO],[1]!O_3[IHI],,-1) - _xlfn.XLOOKUP(G244,[1]!O_3[BLO],[1]!O_3[ILO],,-1))
/
( _xlfn.XLOOKUP(G244,[1]!O_3[BLO],[1]!O_3[BHI],,-1) - _xlfn.XLOOKUP(G244,[1]!O_3[BLO],[1]!O_3[BLO],,-1)))
*
( G244 - _xlfn.XLOOKUP(G244,[1]!O_3[BLO],[1]!O_3[BLO],,-1))
+
_xlfn.XLOOKUP(G244,[1]!O_3[BLO],[1]!O_3[ILO],,-1)</f>
        <v>24</v>
      </c>
      <c r="N244">
        <f>MAX(DAILY_DATA[[#This Row],[AQI_PM2.5]:[AQI_O3]])</f>
        <v>53</v>
      </c>
      <c r="O244" t="str">
        <f>_xlfn.XLOOKUP(DAILY_DATA[[#This Row],[OVERALL_AQI]],[1]!CATEGORY[AQI_LO],[1]!CATEGORY[CATEGORY],,-1)</f>
        <v>Satisfactory</v>
      </c>
      <c r="P244" t="str" cm="1">
        <f t="array" ref="P244">INDEX(
{"PM2.5","PM10","NO2","SO2","CO","O3"},
MATCH(N244,H244:M244,0)
)</f>
        <v>PM10</v>
      </c>
    </row>
    <row r="245" spans="1:16" x14ac:dyDescent="0.25">
      <c r="A245" s="4">
        <v>45535</v>
      </c>
      <c r="B245">
        <f>ROUND(AVERAGEIFS([1]HOURLY_DATA!B245:B9028,[1]HOURLY_DATA!H245:H9028,Daily_AQI!A245),0)</f>
        <v>19</v>
      </c>
      <c r="C245">
        <f>ROUND(AVERAGEIFS([1]HOURLY_DATA!C245:C9028,[1]HOURLY_DATA!H245:H9028,Daily_AQI!A245),0)</f>
        <v>51</v>
      </c>
      <c r="D245">
        <f>ROUND(AVERAGEIFS([1]HOURLY_DATA!D245:D9028,[1]HOURLY_DATA!H245:H9028,Daily_AQI!A245),0)</f>
        <v>16</v>
      </c>
      <c r="E245">
        <f>ROUND(AVERAGEIFS([1]HOURLY_DATA!E245:E9028,[1]HOURLY_DATA!H245:H9028,Daily_AQI!A245),0)</f>
        <v>9</v>
      </c>
      <c r="F245">
        <f>ROUND(AVERAGEIFS([1]HOURLY_DATA!I245:I9028,[1]HOURLY_DATA!H245:H9028,Daily_AQI!A245),2)</f>
        <v>0.74</v>
      </c>
      <c r="G245">
        <f>ROUND(AVERAGEIFS([1]HOURLY_DATA!J245:J9028,[1]HOURLY_DATA!H245:H9028,Daily_AQI!A245),0)</f>
        <v>24</v>
      </c>
      <c r="H245">
        <f>ROUND(((_xlfn.XLOOKUP(B245,[1]!PM2.5[BLO],[1]!PM2.5[IHI],,-1) - _xlfn.XLOOKUP(B245,[1]!PM2.5[BLO],[1]!PM2.5[ILO],,-1))
/
(_xlfn.XLOOKUP(B245,[1]!PM2.5[BLO],[1]!PM2.5[BHI],,-1) - _xlfn.XLOOKUP(B245,[1]!PM2.5[BLO],[1]!PM2.5[BLO],,-1)))
*
(B245 - _xlfn.XLOOKUP(B245,[1]!PM2.5[BLO],[1]!PM2.5[BLO],,-1))
+
_xlfn.XLOOKUP(B245,[1]!PM2.5[BLO],[1]!PM2.5[ILO],,-1),2)</f>
        <v>31.67</v>
      </c>
      <c r="I245">
        <f>ROUND(((_xlfn.XLOOKUP(C245,[1]!PM_10[BLO],[1]!PM_10[IHI],,-1) - _xlfn.XLOOKUP(C245,[1]!PM_10[BLO],[1]!PM_10[ILO],,-1))
/
(_xlfn.XLOOKUP(C245,[1]!PM_10[BLO],[1]!PM_10[BHI],,-1) - _xlfn.XLOOKUP(C245,[1]!PM_10[BLO],[1]!PM_10[BLO],,-1)))
*
( C245 - _xlfn.XLOOKUP(C245,[1]!PM_10[BLO],[1]!PM_10[BLO],,-1))
+
_xlfn.XLOOKUP(C245,[1]!PM_10[BLO],[1]!PM_10[ILO],,-1),2)</f>
        <v>51</v>
      </c>
      <c r="J245">
        <f>ROUND((( _xlfn.XLOOKUP(D245,[1]!NO_2[BLO],[1]!NO_2[IHI],,-1) - _xlfn.XLOOKUP(D245,[1]!NO_2[BLO],[1]!NO_2[ILO],,-1))
/
( _xlfn.XLOOKUP(D245,[1]!NO_2[BLO],[1]!NO_2[BHI],,-1) - _xlfn.XLOOKUP(D245,[1]!NO_2[BLO],[1]!NO_2[BLO],,-1) ))
*
( D245 - _xlfn.XLOOKUP(D245,[1]!NO_2[BLO],[1]!NO_2[BLO],,-1))
+
_xlfn.XLOOKUP(D245,[1]!NO_2[BLO],[1]!NO_2[ILO],,-1),2)</f>
        <v>20</v>
      </c>
      <c r="K245">
        <f>ROUND(( ( _xlfn.XLOOKUP(E245,[1]!SO_2[BLO],[1]!SO_2[IHI],,-1)  - _xlfn.XLOOKUP(E245,[1]!SO_2[BLO],[1]!SO_2[ILO],,-1) )
/
( _xlfn.XLOOKUP(E245,[1]!SO_2[BLO],[1]!SO_2[BHI],,-1)- _xlfn.XLOOKUP(E245,[1]!SO_2[BLO],[1]!SO_2[BLO],,-1) ))
*
( E245 - _xlfn.XLOOKUP(E245,[1]!SO_2[BLO],[1]!SO_2[BLO],,-1) )
+
_xlfn.XLOOKUP(E245,[1]!SO_2[BLO],[1]!SO_2[ILO],,-1),2)</f>
        <v>11.25</v>
      </c>
      <c r="L245">
        <f>( ( _xlfn.XLOOKUP(F245,[1]!CO[BLO],[1]!CO[IHI],,-1)
- _xlfn.XLOOKUP(F245,[1]!CO[BLO],[1]!CO[ILO],,-1) )
/
( _xlfn.XLOOKUP(F245,[1]!CO[BLO],[1]!CO[BHI],,-1) - _xlfn.XLOOKUP(F245,[1]!CO[BLO],[1]!CO[BLO],,-1)))
*
( F245 - _xlfn.XLOOKUP(F245,[1]!CO[BLO],[1]!CO[BLO],,-1) )
+
_xlfn.XLOOKUP(F245,[1]!CO[BLO],[1]!CO[ILO],,-1)</f>
        <v>37</v>
      </c>
      <c r="M245">
        <f>(( _xlfn.XLOOKUP(G245,[1]!O_3[BLO],[1]!O_3[IHI],,-1) - _xlfn.XLOOKUP(G245,[1]!O_3[BLO],[1]!O_3[ILO],,-1))
/
( _xlfn.XLOOKUP(G245,[1]!O_3[BLO],[1]!O_3[BHI],,-1) - _xlfn.XLOOKUP(G245,[1]!O_3[BLO],[1]!O_3[BLO],,-1)))
*
( G245 - _xlfn.XLOOKUP(G245,[1]!O_3[BLO],[1]!O_3[BLO],,-1))
+
_xlfn.XLOOKUP(G245,[1]!O_3[BLO],[1]!O_3[ILO],,-1)</f>
        <v>24</v>
      </c>
      <c r="N245">
        <f>MAX(DAILY_DATA[[#This Row],[AQI_PM2.5]:[AQI_O3]])</f>
        <v>51</v>
      </c>
      <c r="O245" t="str">
        <f>_xlfn.XLOOKUP(DAILY_DATA[[#This Row],[OVERALL_AQI]],[1]!CATEGORY[AQI_LO],[1]!CATEGORY[CATEGORY],,-1)</f>
        <v>Satisfactory</v>
      </c>
      <c r="P245" t="str" cm="1">
        <f t="array" ref="P245">INDEX(
{"PM2.5","PM10","NO2","SO2","CO","O3"},
MATCH(N245,H245:M245,0)
)</f>
        <v>PM10</v>
      </c>
    </row>
    <row r="246" spans="1:16" x14ac:dyDescent="0.25">
      <c r="A246" s="4">
        <v>45536</v>
      </c>
      <c r="B246">
        <f>ROUND(AVERAGEIFS([1]HOURLY_DATA!B246:B9029,[1]HOURLY_DATA!H246:H9029,Daily_AQI!A246),0)</f>
        <v>19</v>
      </c>
      <c r="C246">
        <f>ROUND(AVERAGEIFS([1]HOURLY_DATA!C246:C9029,[1]HOURLY_DATA!H246:H9029,Daily_AQI!A246),0)</f>
        <v>47</v>
      </c>
      <c r="D246">
        <f>ROUND(AVERAGEIFS([1]HOURLY_DATA!D246:D9029,[1]HOURLY_DATA!H246:H9029,Daily_AQI!A246),0)</f>
        <v>16</v>
      </c>
      <c r="E246">
        <f>ROUND(AVERAGEIFS([1]HOURLY_DATA!E246:E9029,[1]HOURLY_DATA!H246:H9029,Daily_AQI!A246),0)</f>
        <v>8</v>
      </c>
      <c r="F246">
        <f>ROUND(AVERAGEIFS([1]HOURLY_DATA!I246:I9029,[1]HOURLY_DATA!H246:H9029,Daily_AQI!A246),2)</f>
        <v>0.68</v>
      </c>
      <c r="G246">
        <f>ROUND(AVERAGEIFS([1]HOURLY_DATA!J246:J9029,[1]HOURLY_DATA!H246:H9029,Daily_AQI!A246),0)</f>
        <v>24</v>
      </c>
      <c r="H246">
        <f>ROUND(((_xlfn.XLOOKUP(B246,[1]!PM2.5[BLO],[1]!PM2.5[IHI],,-1) - _xlfn.XLOOKUP(B246,[1]!PM2.5[BLO],[1]!PM2.5[ILO],,-1))
/
(_xlfn.XLOOKUP(B246,[1]!PM2.5[BLO],[1]!PM2.5[BHI],,-1) - _xlfn.XLOOKUP(B246,[1]!PM2.5[BLO],[1]!PM2.5[BLO],,-1)))
*
(B246 - _xlfn.XLOOKUP(B246,[1]!PM2.5[BLO],[1]!PM2.5[BLO],,-1))
+
_xlfn.XLOOKUP(B246,[1]!PM2.5[BLO],[1]!PM2.5[ILO],,-1),2)</f>
        <v>31.67</v>
      </c>
      <c r="I246">
        <f>ROUND(((_xlfn.XLOOKUP(C246,[1]!PM_10[BLO],[1]!PM_10[IHI],,-1) - _xlfn.XLOOKUP(C246,[1]!PM_10[BLO],[1]!PM_10[ILO],,-1))
/
(_xlfn.XLOOKUP(C246,[1]!PM_10[BLO],[1]!PM_10[BHI],,-1) - _xlfn.XLOOKUP(C246,[1]!PM_10[BLO],[1]!PM_10[BLO],,-1)))
*
( C246 - _xlfn.XLOOKUP(C246,[1]!PM_10[BLO],[1]!PM_10[BLO],,-1))
+
_xlfn.XLOOKUP(C246,[1]!PM_10[BLO],[1]!PM_10[ILO],,-1),2)</f>
        <v>47</v>
      </c>
      <c r="J246">
        <f>ROUND((( _xlfn.XLOOKUP(D246,[1]!NO_2[BLO],[1]!NO_2[IHI],,-1) - _xlfn.XLOOKUP(D246,[1]!NO_2[BLO],[1]!NO_2[ILO],,-1))
/
( _xlfn.XLOOKUP(D246,[1]!NO_2[BLO],[1]!NO_2[BHI],,-1) - _xlfn.XLOOKUP(D246,[1]!NO_2[BLO],[1]!NO_2[BLO],,-1) ))
*
( D246 - _xlfn.XLOOKUP(D246,[1]!NO_2[BLO],[1]!NO_2[BLO],,-1))
+
_xlfn.XLOOKUP(D246,[1]!NO_2[BLO],[1]!NO_2[ILO],,-1),2)</f>
        <v>20</v>
      </c>
      <c r="K246">
        <f>ROUND(( ( _xlfn.XLOOKUP(E246,[1]!SO_2[BLO],[1]!SO_2[IHI],,-1)  - _xlfn.XLOOKUP(E246,[1]!SO_2[BLO],[1]!SO_2[ILO],,-1) )
/
( _xlfn.XLOOKUP(E246,[1]!SO_2[BLO],[1]!SO_2[BHI],,-1)- _xlfn.XLOOKUP(E246,[1]!SO_2[BLO],[1]!SO_2[BLO],,-1) ))
*
( E246 - _xlfn.XLOOKUP(E246,[1]!SO_2[BLO],[1]!SO_2[BLO],,-1) )
+
_xlfn.XLOOKUP(E246,[1]!SO_2[BLO],[1]!SO_2[ILO],,-1),2)</f>
        <v>10</v>
      </c>
      <c r="L246">
        <f>( ( _xlfn.XLOOKUP(F246,[1]!CO[BLO],[1]!CO[IHI],,-1)
- _xlfn.XLOOKUP(F246,[1]!CO[BLO],[1]!CO[ILO],,-1) )
/
( _xlfn.XLOOKUP(F246,[1]!CO[BLO],[1]!CO[BHI],,-1) - _xlfn.XLOOKUP(F246,[1]!CO[BLO],[1]!CO[BLO],,-1)))
*
( F246 - _xlfn.XLOOKUP(F246,[1]!CO[BLO],[1]!CO[BLO],,-1) )
+
_xlfn.XLOOKUP(F246,[1]!CO[BLO],[1]!CO[ILO],,-1)</f>
        <v>34</v>
      </c>
      <c r="M246">
        <f>(( _xlfn.XLOOKUP(G246,[1]!O_3[BLO],[1]!O_3[IHI],,-1) - _xlfn.XLOOKUP(G246,[1]!O_3[BLO],[1]!O_3[ILO],,-1))
/
( _xlfn.XLOOKUP(G246,[1]!O_3[BLO],[1]!O_3[BHI],,-1) - _xlfn.XLOOKUP(G246,[1]!O_3[BLO],[1]!O_3[BLO],,-1)))
*
( G246 - _xlfn.XLOOKUP(G246,[1]!O_3[BLO],[1]!O_3[BLO],,-1))
+
_xlfn.XLOOKUP(G246,[1]!O_3[BLO],[1]!O_3[ILO],,-1)</f>
        <v>24</v>
      </c>
      <c r="N246">
        <f>MAX(DAILY_DATA[[#This Row],[AQI_PM2.5]:[AQI_O3]])</f>
        <v>47</v>
      </c>
      <c r="O246" t="str">
        <f>_xlfn.XLOOKUP(DAILY_DATA[[#This Row],[OVERALL_AQI]],[1]!CATEGORY[AQI_LO],[1]!CATEGORY[CATEGORY],,-1)</f>
        <v>Good</v>
      </c>
      <c r="P246" t="str" cm="1">
        <f t="array" ref="P246">INDEX(
{"PM2.5","PM10","NO2","SO2","CO","O3"},
MATCH(N246,H246:M246,0)
)</f>
        <v>PM10</v>
      </c>
    </row>
    <row r="247" spans="1:16" x14ac:dyDescent="0.25">
      <c r="A247" s="4">
        <v>45537</v>
      </c>
      <c r="B247">
        <f>ROUND(AVERAGEIFS([1]HOURLY_DATA!B247:B9030,[1]HOURLY_DATA!H247:H9030,Daily_AQI!A247),0)</f>
        <v>22</v>
      </c>
      <c r="C247">
        <f>ROUND(AVERAGEIFS([1]HOURLY_DATA!C247:C9030,[1]HOURLY_DATA!H247:H9030,Daily_AQI!A247),0)</f>
        <v>50</v>
      </c>
      <c r="D247">
        <f>ROUND(AVERAGEIFS([1]HOURLY_DATA!D247:D9030,[1]HOURLY_DATA!H247:H9030,Daily_AQI!A247),0)</f>
        <v>17</v>
      </c>
      <c r="E247">
        <f>ROUND(AVERAGEIFS([1]HOURLY_DATA!E247:E9030,[1]HOURLY_DATA!H247:H9030,Daily_AQI!A247),0)</f>
        <v>8</v>
      </c>
      <c r="F247">
        <f>ROUND(AVERAGEIFS([1]HOURLY_DATA!I247:I9030,[1]HOURLY_DATA!H247:H9030,Daily_AQI!A247),2)</f>
        <v>0.69</v>
      </c>
      <c r="G247">
        <f>ROUND(AVERAGEIFS([1]HOURLY_DATA!J247:J9030,[1]HOURLY_DATA!H247:H9030,Daily_AQI!A247),0)</f>
        <v>24</v>
      </c>
      <c r="H247">
        <f>ROUND(((_xlfn.XLOOKUP(B247,[1]!PM2.5[BLO],[1]!PM2.5[IHI],,-1) - _xlfn.XLOOKUP(B247,[1]!PM2.5[BLO],[1]!PM2.5[ILO],,-1))
/
(_xlfn.XLOOKUP(B247,[1]!PM2.5[BLO],[1]!PM2.5[BHI],,-1) - _xlfn.XLOOKUP(B247,[1]!PM2.5[BLO],[1]!PM2.5[BLO],,-1)))
*
(B247 - _xlfn.XLOOKUP(B247,[1]!PM2.5[BLO],[1]!PM2.5[BLO],,-1))
+
_xlfn.XLOOKUP(B247,[1]!PM2.5[BLO],[1]!PM2.5[ILO],,-1),2)</f>
        <v>36.67</v>
      </c>
      <c r="I247">
        <f>ROUND(((_xlfn.XLOOKUP(C247,[1]!PM_10[BLO],[1]!PM_10[IHI],,-1) - _xlfn.XLOOKUP(C247,[1]!PM_10[BLO],[1]!PM_10[ILO],,-1))
/
(_xlfn.XLOOKUP(C247,[1]!PM_10[BLO],[1]!PM_10[BHI],,-1) - _xlfn.XLOOKUP(C247,[1]!PM_10[BLO],[1]!PM_10[BLO],,-1)))
*
( C247 - _xlfn.XLOOKUP(C247,[1]!PM_10[BLO],[1]!PM_10[BLO],,-1))
+
_xlfn.XLOOKUP(C247,[1]!PM_10[BLO],[1]!PM_10[ILO],,-1),2)</f>
        <v>50</v>
      </c>
      <c r="J247">
        <f>ROUND((( _xlfn.XLOOKUP(D247,[1]!NO_2[BLO],[1]!NO_2[IHI],,-1) - _xlfn.XLOOKUP(D247,[1]!NO_2[BLO],[1]!NO_2[ILO],,-1))
/
( _xlfn.XLOOKUP(D247,[1]!NO_2[BLO],[1]!NO_2[BHI],,-1) - _xlfn.XLOOKUP(D247,[1]!NO_2[BLO],[1]!NO_2[BLO],,-1) ))
*
( D247 - _xlfn.XLOOKUP(D247,[1]!NO_2[BLO],[1]!NO_2[BLO],,-1))
+
_xlfn.XLOOKUP(D247,[1]!NO_2[BLO],[1]!NO_2[ILO],,-1),2)</f>
        <v>21.25</v>
      </c>
      <c r="K247">
        <f>ROUND(( ( _xlfn.XLOOKUP(E247,[1]!SO_2[BLO],[1]!SO_2[IHI],,-1)  - _xlfn.XLOOKUP(E247,[1]!SO_2[BLO],[1]!SO_2[ILO],,-1) )
/
( _xlfn.XLOOKUP(E247,[1]!SO_2[BLO],[1]!SO_2[BHI],,-1)- _xlfn.XLOOKUP(E247,[1]!SO_2[BLO],[1]!SO_2[BLO],,-1) ))
*
( E247 - _xlfn.XLOOKUP(E247,[1]!SO_2[BLO],[1]!SO_2[BLO],,-1) )
+
_xlfn.XLOOKUP(E247,[1]!SO_2[BLO],[1]!SO_2[ILO],,-1),2)</f>
        <v>10</v>
      </c>
      <c r="L247">
        <f>( ( _xlfn.XLOOKUP(F247,[1]!CO[BLO],[1]!CO[IHI],,-1)
- _xlfn.XLOOKUP(F247,[1]!CO[BLO],[1]!CO[ILO],,-1) )
/
( _xlfn.XLOOKUP(F247,[1]!CO[BLO],[1]!CO[BHI],,-1) - _xlfn.XLOOKUP(F247,[1]!CO[BLO],[1]!CO[BLO],,-1)))
*
( F247 - _xlfn.XLOOKUP(F247,[1]!CO[BLO],[1]!CO[BLO],,-1) )
+
_xlfn.XLOOKUP(F247,[1]!CO[BLO],[1]!CO[ILO],,-1)</f>
        <v>34.5</v>
      </c>
      <c r="M247">
        <f>(( _xlfn.XLOOKUP(G247,[1]!O_3[BLO],[1]!O_3[IHI],,-1) - _xlfn.XLOOKUP(G247,[1]!O_3[BLO],[1]!O_3[ILO],,-1))
/
( _xlfn.XLOOKUP(G247,[1]!O_3[BLO],[1]!O_3[BHI],,-1) - _xlfn.XLOOKUP(G247,[1]!O_3[BLO],[1]!O_3[BLO],,-1)))
*
( G247 - _xlfn.XLOOKUP(G247,[1]!O_3[BLO],[1]!O_3[BLO],,-1))
+
_xlfn.XLOOKUP(G247,[1]!O_3[BLO],[1]!O_3[ILO],,-1)</f>
        <v>24</v>
      </c>
      <c r="N247">
        <f>MAX(DAILY_DATA[[#This Row],[AQI_PM2.5]:[AQI_O3]])</f>
        <v>50</v>
      </c>
      <c r="O247" t="str">
        <f>_xlfn.XLOOKUP(DAILY_DATA[[#This Row],[OVERALL_AQI]],[1]!CATEGORY[AQI_LO],[1]!CATEGORY[CATEGORY],,-1)</f>
        <v>Good</v>
      </c>
      <c r="P247" t="str" cm="1">
        <f t="array" ref="P247">INDEX(
{"PM2.5","PM10","NO2","SO2","CO","O3"},
MATCH(N247,H247:M247,0)
)</f>
        <v>PM10</v>
      </c>
    </row>
    <row r="248" spans="1:16" x14ac:dyDescent="0.25">
      <c r="A248" s="4">
        <v>45538</v>
      </c>
      <c r="B248">
        <f>ROUND(AVERAGEIFS([1]HOURLY_DATA!B248:B9031,[1]HOURLY_DATA!H248:H9031,Daily_AQI!A248),0)</f>
        <v>23</v>
      </c>
      <c r="C248">
        <f>ROUND(AVERAGEIFS([1]HOURLY_DATA!C248:C9031,[1]HOURLY_DATA!H248:H9031,Daily_AQI!A248),0)</f>
        <v>57</v>
      </c>
      <c r="D248">
        <f>ROUND(AVERAGEIFS([1]HOURLY_DATA!D248:D9031,[1]HOURLY_DATA!H248:H9031,Daily_AQI!A248),0)</f>
        <v>16</v>
      </c>
      <c r="E248">
        <f>ROUND(AVERAGEIFS([1]HOURLY_DATA!E248:E9031,[1]HOURLY_DATA!H248:H9031,Daily_AQI!A248),0)</f>
        <v>9</v>
      </c>
      <c r="F248">
        <f>ROUND(AVERAGEIFS([1]HOURLY_DATA!I248:I9031,[1]HOURLY_DATA!H248:H9031,Daily_AQI!A248),2)</f>
        <v>0.76</v>
      </c>
      <c r="G248">
        <f>ROUND(AVERAGEIFS([1]HOURLY_DATA!J248:J9031,[1]HOURLY_DATA!H248:H9031,Daily_AQI!A248),0)</f>
        <v>23</v>
      </c>
      <c r="H248">
        <f>ROUND(((_xlfn.XLOOKUP(B248,[1]!PM2.5[BLO],[1]!PM2.5[IHI],,-1) - _xlfn.XLOOKUP(B248,[1]!PM2.5[BLO],[1]!PM2.5[ILO],,-1))
/
(_xlfn.XLOOKUP(B248,[1]!PM2.5[BLO],[1]!PM2.5[BHI],,-1) - _xlfn.XLOOKUP(B248,[1]!PM2.5[BLO],[1]!PM2.5[BLO],,-1)))
*
(B248 - _xlfn.XLOOKUP(B248,[1]!PM2.5[BLO],[1]!PM2.5[BLO],,-1))
+
_xlfn.XLOOKUP(B248,[1]!PM2.5[BLO],[1]!PM2.5[ILO],,-1),2)</f>
        <v>38.33</v>
      </c>
      <c r="I248">
        <f>ROUND(((_xlfn.XLOOKUP(C248,[1]!PM_10[BLO],[1]!PM_10[IHI],,-1) - _xlfn.XLOOKUP(C248,[1]!PM_10[BLO],[1]!PM_10[ILO],,-1))
/
(_xlfn.XLOOKUP(C248,[1]!PM_10[BLO],[1]!PM_10[BHI],,-1) - _xlfn.XLOOKUP(C248,[1]!PM_10[BLO],[1]!PM_10[BLO],,-1)))
*
( C248 - _xlfn.XLOOKUP(C248,[1]!PM_10[BLO],[1]!PM_10[BLO],,-1))
+
_xlfn.XLOOKUP(C248,[1]!PM_10[BLO],[1]!PM_10[ILO],,-1),2)</f>
        <v>57</v>
      </c>
      <c r="J248">
        <f>ROUND((( _xlfn.XLOOKUP(D248,[1]!NO_2[BLO],[1]!NO_2[IHI],,-1) - _xlfn.XLOOKUP(D248,[1]!NO_2[BLO],[1]!NO_2[ILO],,-1))
/
( _xlfn.XLOOKUP(D248,[1]!NO_2[BLO],[1]!NO_2[BHI],,-1) - _xlfn.XLOOKUP(D248,[1]!NO_2[BLO],[1]!NO_2[BLO],,-1) ))
*
( D248 - _xlfn.XLOOKUP(D248,[1]!NO_2[BLO],[1]!NO_2[BLO],,-1))
+
_xlfn.XLOOKUP(D248,[1]!NO_2[BLO],[1]!NO_2[ILO],,-1),2)</f>
        <v>20</v>
      </c>
      <c r="K248">
        <f>ROUND(( ( _xlfn.XLOOKUP(E248,[1]!SO_2[BLO],[1]!SO_2[IHI],,-1)  - _xlfn.XLOOKUP(E248,[1]!SO_2[BLO],[1]!SO_2[ILO],,-1) )
/
( _xlfn.XLOOKUP(E248,[1]!SO_2[BLO],[1]!SO_2[BHI],,-1)- _xlfn.XLOOKUP(E248,[1]!SO_2[BLO],[1]!SO_2[BLO],,-1) ))
*
( E248 - _xlfn.XLOOKUP(E248,[1]!SO_2[BLO],[1]!SO_2[BLO],,-1) )
+
_xlfn.XLOOKUP(E248,[1]!SO_2[BLO],[1]!SO_2[ILO],,-1),2)</f>
        <v>11.25</v>
      </c>
      <c r="L248">
        <f>( ( _xlfn.XLOOKUP(F248,[1]!CO[BLO],[1]!CO[IHI],,-1)
- _xlfn.XLOOKUP(F248,[1]!CO[BLO],[1]!CO[ILO],,-1) )
/
( _xlfn.XLOOKUP(F248,[1]!CO[BLO],[1]!CO[BHI],,-1) - _xlfn.XLOOKUP(F248,[1]!CO[BLO],[1]!CO[BLO],,-1)))
*
( F248 - _xlfn.XLOOKUP(F248,[1]!CO[BLO],[1]!CO[BLO],,-1) )
+
_xlfn.XLOOKUP(F248,[1]!CO[BLO],[1]!CO[ILO],,-1)</f>
        <v>38</v>
      </c>
      <c r="M248">
        <f>(( _xlfn.XLOOKUP(G248,[1]!O_3[BLO],[1]!O_3[IHI],,-1) - _xlfn.XLOOKUP(G248,[1]!O_3[BLO],[1]!O_3[ILO],,-1))
/
( _xlfn.XLOOKUP(G248,[1]!O_3[BLO],[1]!O_3[BHI],,-1) - _xlfn.XLOOKUP(G248,[1]!O_3[BLO],[1]!O_3[BLO],,-1)))
*
( G248 - _xlfn.XLOOKUP(G248,[1]!O_3[BLO],[1]!O_3[BLO],,-1))
+
_xlfn.XLOOKUP(G248,[1]!O_3[BLO],[1]!O_3[ILO],,-1)</f>
        <v>23</v>
      </c>
      <c r="N248">
        <f>MAX(DAILY_DATA[[#This Row],[AQI_PM2.5]:[AQI_O3]])</f>
        <v>57</v>
      </c>
      <c r="O248" t="str">
        <f>_xlfn.XLOOKUP(DAILY_DATA[[#This Row],[OVERALL_AQI]],[1]!CATEGORY[AQI_LO],[1]!CATEGORY[CATEGORY],,-1)</f>
        <v>Satisfactory</v>
      </c>
      <c r="P248" t="str" cm="1">
        <f t="array" ref="P248">INDEX(
{"PM2.5","PM10","NO2","SO2","CO","O3"},
MATCH(N248,H248:M248,0)
)</f>
        <v>PM10</v>
      </c>
    </row>
    <row r="249" spans="1:16" x14ac:dyDescent="0.25">
      <c r="A249" s="4">
        <v>45539</v>
      </c>
      <c r="B249">
        <f>ROUND(AVERAGEIFS([1]HOURLY_DATA!B249:B9032,[1]HOURLY_DATA!H249:H9032,Daily_AQI!A249),0)</f>
        <v>26</v>
      </c>
      <c r="C249">
        <f>ROUND(AVERAGEIFS([1]HOURLY_DATA!C249:C9032,[1]HOURLY_DATA!H249:H9032,Daily_AQI!A249),0)</f>
        <v>61</v>
      </c>
      <c r="D249">
        <f>ROUND(AVERAGEIFS([1]HOURLY_DATA!D249:D9032,[1]HOURLY_DATA!H249:H9032,Daily_AQI!A249),0)</f>
        <v>16</v>
      </c>
      <c r="E249">
        <f>ROUND(AVERAGEIFS([1]HOURLY_DATA!E249:E9032,[1]HOURLY_DATA!H249:H9032,Daily_AQI!A249),0)</f>
        <v>9</v>
      </c>
      <c r="F249">
        <f>ROUND(AVERAGEIFS([1]HOURLY_DATA!I249:I9032,[1]HOURLY_DATA!H249:H9032,Daily_AQI!A249),2)</f>
        <v>0.75</v>
      </c>
      <c r="G249">
        <f>ROUND(AVERAGEIFS([1]HOURLY_DATA!J249:J9032,[1]HOURLY_DATA!H249:H9032,Daily_AQI!A249),0)</f>
        <v>23</v>
      </c>
      <c r="H249">
        <f>ROUND(((_xlfn.XLOOKUP(B249,[1]!PM2.5[BLO],[1]!PM2.5[IHI],,-1) - _xlfn.XLOOKUP(B249,[1]!PM2.5[BLO],[1]!PM2.5[ILO],,-1))
/
(_xlfn.XLOOKUP(B249,[1]!PM2.5[BLO],[1]!PM2.5[BHI],,-1) - _xlfn.XLOOKUP(B249,[1]!PM2.5[BLO],[1]!PM2.5[BLO],,-1)))
*
(B249 - _xlfn.XLOOKUP(B249,[1]!PM2.5[BLO],[1]!PM2.5[BLO],,-1))
+
_xlfn.XLOOKUP(B249,[1]!PM2.5[BLO],[1]!PM2.5[ILO],,-1),2)</f>
        <v>43.33</v>
      </c>
      <c r="I249">
        <f>ROUND(((_xlfn.XLOOKUP(C249,[1]!PM_10[BLO],[1]!PM_10[IHI],,-1) - _xlfn.XLOOKUP(C249,[1]!PM_10[BLO],[1]!PM_10[ILO],,-1))
/
(_xlfn.XLOOKUP(C249,[1]!PM_10[BLO],[1]!PM_10[BHI],,-1) - _xlfn.XLOOKUP(C249,[1]!PM_10[BLO],[1]!PM_10[BLO],,-1)))
*
( C249 - _xlfn.XLOOKUP(C249,[1]!PM_10[BLO],[1]!PM_10[BLO],,-1))
+
_xlfn.XLOOKUP(C249,[1]!PM_10[BLO],[1]!PM_10[ILO],,-1),2)</f>
        <v>61</v>
      </c>
      <c r="J249">
        <f>ROUND((( _xlfn.XLOOKUP(D249,[1]!NO_2[BLO],[1]!NO_2[IHI],,-1) - _xlfn.XLOOKUP(D249,[1]!NO_2[BLO],[1]!NO_2[ILO],,-1))
/
( _xlfn.XLOOKUP(D249,[1]!NO_2[BLO],[1]!NO_2[BHI],,-1) - _xlfn.XLOOKUP(D249,[1]!NO_2[BLO],[1]!NO_2[BLO],,-1) ))
*
( D249 - _xlfn.XLOOKUP(D249,[1]!NO_2[BLO],[1]!NO_2[BLO],,-1))
+
_xlfn.XLOOKUP(D249,[1]!NO_2[BLO],[1]!NO_2[ILO],,-1),2)</f>
        <v>20</v>
      </c>
      <c r="K249">
        <f>ROUND(( ( _xlfn.XLOOKUP(E249,[1]!SO_2[BLO],[1]!SO_2[IHI],,-1)  - _xlfn.XLOOKUP(E249,[1]!SO_2[BLO],[1]!SO_2[ILO],,-1) )
/
( _xlfn.XLOOKUP(E249,[1]!SO_2[BLO],[1]!SO_2[BHI],,-1)- _xlfn.XLOOKUP(E249,[1]!SO_2[BLO],[1]!SO_2[BLO],,-1) ))
*
( E249 - _xlfn.XLOOKUP(E249,[1]!SO_2[BLO],[1]!SO_2[BLO],,-1) )
+
_xlfn.XLOOKUP(E249,[1]!SO_2[BLO],[1]!SO_2[ILO],,-1),2)</f>
        <v>11.25</v>
      </c>
      <c r="L249">
        <f>( ( _xlfn.XLOOKUP(F249,[1]!CO[BLO],[1]!CO[IHI],,-1)
- _xlfn.XLOOKUP(F249,[1]!CO[BLO],[1]!CO[ILO],,-1) )
/
( _xlfn.XLOOKUP(F249,[1]!CO[BLO],[1]!CO[BHI],,-1) - _xlfn.XLOOKUP(F249,[1]!CO[BLO],[1]!CO[BLO],,-1)))
*
( F249 - _xlfn.XLOOKUP(F249,[1]!CO[BLO],[1]!CO[BLO],,-1) )
+
_xlfn.XLOOKUP(F249,[1]!CO[BLO],[1]!CO[ILO],,-1)</f>
        <v>37.5</v>
      </c>
      <c r="M249">
        <f>(( _xlfn.XLOOKUP(G249,[1]!O_3[BLO],[1]!O_3[IHI],,-1) - _xlfn.XLOOKUP(G249,[1]!O_3[BLO],[1]!O_3[ILO],,-1))
/
( _xlfn.XLOOKUP(G249,[1]!O_3[BLO],[1]!O_3[BHI],,-1) - _xlfn.XLOOKUP(G249,[1]!O_3[BLO],[1]!O_3[BLO],,-1)))
*
( G249 - _xlfn.XLOOKUP(G249,[1]!O_3[BLO],[1]!O_3[BLO],,-1))
+
_xlfn.XLOOKUP(G249,[1]!O_3[BLO],[1]!O_3[ILO],,-1)</f>
        <v>23</v>
      </c>
      <c r="N249">
        <f>MAX(DAILY_DATA[[#This Row],[AQI_PM2.5]:[AQI_O3]])</f>
        <v>61</v>
      </c>
      <c r="O249" t="str">
        <f>_xlfn.XLOOKUP(DAILY_DATA[[#This Row],[OVERALL_AQI]],[1]!CATEGORY[AQI_LO],[1]!CATEGORY[CATEGORY],,-1)</f>
        <v>Satisfactory</v>
      </c>
      <c r="P249" t="str" cm="1">
        <f t="array" ref="P249">INDEX(
{"PM2.5","PM10","NO2","SO2","CO","O3"},
MATCH(N249,H249:M249,0)
)</f>
        <v>PM10</v>
      </c>
    </row>
    <row r="250" spans="1:16" x14ac:dyDescent="0.25">
      <c r="A250" s="4">
        <v>45540</v>
      </c>
      <c r="B250">
        <f>ROUND(AVERAGEIFS([1]HOURLY_DATA!B250:B9033,[1]HOURLY_DATA!H250:H9033,Daily_AQI!A250),0)</f>
        <v>23</v>
      </c>
      <c r="C250">
        <f>ROUND(AVERAGEIFS([1]HOURLY_DATA!C250:C9033,[1]HOURLY_DATA!H250:H9033,Daily_AQI!A250),0)</f>
        <v>57</v>
      </c>
      <c r="D250">
        <f>ROUND(AVERAGEIFS([1]HOURLY_DATA!D250:D9033,[1]HOURLY_DATA!H250:H9033,Daily_AQI!A250),0)</f>
        <v>17</v>
      </c>
      <c r="E250">
        <f>ROUND(AVERAGEIFS([1]HOURLY_DATA!E250:E9033,[1]HOURLY_DATA!H250:H9033,Daily_AQI!A250),0)</f>
        <v>9</v>
      </c>
      <c r="F250">
        <f>ROUND(AVERAGEIFS([1]HOURLY_DATA!I250:I9033,[1]HOURLY_DATA!H250:H9033,Daily_AQI!A250),2)</f>
        <v>0.69</v>
      </c>
      <c r="G250">
        <f>ROUND(AVERAGEIFS([1]HOURLY_DATA!J250:J9033,[1]HOURLY_DATA!H250:H9033,Daily_AQI!A250),0)</f>
        <v>22</v>
      </c>
      <c r="H250">
        <f>ROUND(((_xlfn.XLOOKUP(B250,[1]!PM2.5[BLO],[1]!PM2.5[IHI],,-1) - _xlfn.XLOOKUP(B250,[1]!PM2.5[BLO],[1]!PM2.5[ILO],,-1))
/
(_xlfn.XLOOKUP(B250,[1]!PM2.5[BLO],[1]!PM2.5[BHI],,-1) - _xlfn.XLOOKUP(B250,[1]!PM2.5[BLO],[1]!PM2.5[BLO],,-1)))
*
(B250 - _xlfn.XLOOKUP(B250,[1]!PM2.5[BLO],[1]!PM2.5[BLO],,-1))
+
_xlfn.XLOOKUP(B250,[1]!PM2.5[BLO],[1]!PM2.5[ILO],,-1),2)</f>
        <v>38.33</v>
      </c>
      <c r="I250">
        <f>ROUND(((_xlfn.XLOOKUP(C250,[1]!PM_10[BLO],[1]!PM_10[IHI],,-1) - _xlfn.XLOOKUP(C250,[1]!PM_10[BLO],[1]!PM_10[ILO],,-1))
/
(_xlfn.XLOOKUP(C250,[1]!PM_10[BLO],[1]!PM_10[BHI],,-1) - _xlfn.XLOOKUP(C250,[1]!PM_10[BLO],[1]!PM_10[BLO],,-1)))
*
( C250 - _xlfn.XLOOKUP(C250,[1]!PM_10[BLO],[1]!PM_10[BLO],,-1))
+
_xlfn.XLOOKUP(C250,[1]!PM_10[BLO],[1]!PM_10[ILO],,-1),2)</f>
        <v>57</v>
      </c>
      <c r="J250">
        <f>ROUND((( _xlfn.XLOOKUP(D250,[1]!NO_2[BLO],[1]!NO_2[IHI],,-1) - _xlfn.XLOOKUP(D250,[1]!NO_2[BLO],[1]!NO_2[ILO],,-1))
/
( _xlfn.XLOOKUP(D250,[1]!NO_2[BLO],[1]!NO_2[BHI],,-1) - _xlfn.XLOOKUP(D250,[1]!NO_2[BLO],[1]!NO_2[BLO],,-1) ))
*
( D250 - _xlfn.XLOOKUP(D250,[1]!NO_2[BLO],[1]!NO_2[BLO],,-1))
+
_xlfn.XLOOKUP(D250,[1]!NO_2[BLO],[1]!NO_2[ILO],,-1),2)</f>
        <v>21.25</v>
      </c>
      <c r="K250">
        <f>ROUND(( ( _xlfn.XLOOKUP(E250,[1]!SO_2[BLO],[1]!SO_2[IHI],,-1)  - _xlfn.XLOOKUP(E250,[1]!SO_2[BLO],[1]!SO_2[ILO],,-1) )
/
( _xlfn.XLOOKUP(E250,[1]!SO_2[BLO],[1]!SO_2[BHI],,-1)- _xlfn.XLOOKUP(E250,[1]!SO_2[BLO],[1]!SO_2[BLO],,-1) ))
*
( E250 - _xlfn.XLOOKUP(E250,[1]!SO_2[BLO],[1]!SO_2[BLO],,-1) )
+
_xlfn.XLOOKUP(E250,[1]!SO_2[BLO],[1]!SO_2[ILO],,-1),2)</f>
        <v>11.25</v>
      </c>
      <c r="L250">
        <f>( ( _xlfn.XLOOKUP(F250,[1]!CO[BLO],[1]!CO[IHI],,-1)
- _xlfn.XLOOKUP(F250,[1]!CO[BLO],[1]!CO[ILO],,-1) )
/
( _xlfn.XLOOKUP(F250,[1]!CO[BLO],[1]!CO[BHI],,-1) - _xlfn.XLOOKUP(F250,[1]!CO[BLO],[1]!CO[BLO],,-1)))
*
( F250 - _xlfn.XLOOKUP(F250,[1]!CO[BLO],[1]!CO[BLO],,-1) )
+
_xlfn.XLOOKUP(F250,[1]!CO[BLO],[1]!CO[ILO],,-1)</f>
        <v>34.5</v>
      </c>
      <c r="M250">
        <f>(( _xlfn.XLOOKUP(G250,[1]!O_3[BLO],[1]!O_3[IHI],,-1) - _xlfn.XLOOKUP(G250,[1]!O_3[BLO],[1]!O_3[ILO],,-1))
/
( _xlfn.XLOOKUP(G250,[1]!O_3[BLO],[1]!O_3[BHI],,-1) - _xlfn.XLOOKUP(G250,[1]!O_3[BLO],[1]!O_3[BLO],,-1)))
*
( G250 - _xlfn.XLOOKUP(G250,[1]!O_3[BLO],[1]!O_3[BLO],,-1))
+
_xlfn.XLOOKUP(G250,[1]!O_3[BLO],[1]!O_3[ILO],,-1)</f>
        <v>22</v>
      </c>
      <c r="N250">
        <f>MAX(DAILY_DATA[[#This Row],[AQI_PM2.5]:[AQI_O3]])</f>
        <v>57</v>
      </c>
      <c r="O250" t="str">
        <f>_xlfn.XLOOKUP(DAILY_DATA[[#This Row],[OVERALL_AQI]],[1]!CATEGORY[AQI_LO],[1]!CATEGORY[CATEGORY],,-1)</f>
        <v>Satisfactory</v>
      </c>
      <c r="P250" t="str" cm="1">
        <f t="array" ref="P250">INDEX(
{"PM2.5","PM10","NO2","SO2","CO","O3"},
MATCH(N250,H250:M250,0)
)</f>
        <v>PM10</v>
      </c>
    </row>
    <row r="251" spans="1:16" x14ac:dyDescent="0.25">
      <c r="A251" s="4">
        <v>45541</v>
      </c>
      <c r="B251">
        <f>ROUND(AVERAGEIFS([1]HOURLY_DATA!B251:B9034,[1]HOURLY_DATA!H251:H9034,Daily_AQI!A251),0)</f>
        <v>23</v>
      </c>
      <c r="C251">
        <f>ROUND(AVERAGEIFS([1]HOURLY_DATA!C251:C9034,[1]HOURLY_DATA!H251:H9034,Daily_AQI!A251),0)</f>
        <v>60</v>
      </c>
      <c r="D251">
        <f>ROUND(AVERAGEIFS([1]HOURLY_DATA!D251:D9034,[1]HOURLY_DATA!H251:H9034,Daily_AQI!A251),0)</f>
        <v>15</v>
      </c>
      <c r="E251">
        <f>ROUND(AVERAGEIFS([1]HOURLY_DATA!E251:E9034,[1]HOURLY_DATA!H251:H9034,Daily_AQI!A251),0)</f>
        <v>8</v>
      </c>
      <c r="F251">
        <f>ROUND(AVERAGEIFS([1]HOURLY_DATA!I251:I9034,[1]HOURLY_DATA!H251:H9034,Daily_AQI!A251),2)</f>
        <v>0.64</v>
      </c>
      <c r="G251">
        <f>ROUND(AVERAGEIFS([1]HOURLY_DATA!J251:J9034,[1]HOURLY_DATA!H251:H9034,Daily_AQI!A251),0)</f>
        <v>20</v>
      </c>
      <c r="H251">
        <f>ROUND(((_xlfn.XLOOKUP(B251,[1]!PM2.5[BLO],[1]!PM2.5[IHI],,-1) - _xlfn.XLOOKUP(B251,[1]!PM2.5[BLO],[1]!PM2.5[ILO],,-1))
/
(_xlfn.XLOOKUP(B251,[1]!PM2.5[BLO],[1]!PM2.5[BHI],,-1) - _xlfn.XLOOKUP(B251,[1]!PM2.5[BLO],[1]!PM2.5[BLO],,-1)))
*
(B251 - _xlfn.XLOOKUP(B251,[1]!PM2.5[BLO],[1]!PM2.5[BLO],,-1))
+
_xlfn.XLOOKUP(B251,[1]!PM2.5[BLO],[1]!PM2.5[ILO],,-1),2)</f>
        <v>38.33</v>
      </c>
      <c r="I251">
        <f>ROUND(((_xlfn.XLOOKUP(C251,[1]!PM_10[BLO],[1]!PM_10[IHI],,-1) - _xlfn.XLOOKUP(C251,[1]!PM_10[BLO],[1]!PM_10[ILO],,-1))
/
(_xlfn.XLOOKUP(C251,[1]!PM_10[BLO],[1]!PM_10[BHI],,-1) - _xlfn.XLOOKUP(C251,[1]!PM_10[BLO],[1]!PM_10[BLO],,-1)))
*
( C251 - _xlfn.XLOOKUP(C251,[1]!PM_10[BLO],[1]!PM_10[BLO],,-1))
+
_xlfn.XLOOKUP(C251,[1]!PM_10[BLO],[1]!PM_10[ILO],,-1),2)</f>
        <v>60</v>
      </c>
      <c r="J251">
        <f>ROUND((( _xlfn.XLOOKUP(D251,[1]!NO_2[BLO],[1]!NO_2[IHI],,-1) - _xlfn.XLOOKUP(D251,[1]!NO_2[BLO],[1]!NO_2[ILO],,-1))
/
( _xlfn.XLOOKUP(D251,[1]!NO_2[BLO],[1]!NO_2[BHI],,-1) - _xlfn.XLOOKUP(D251,[1]!NO_2[BLO],[1]!NO_2[BLO],,-1) ))
*
( D251 - _xlfn.XLOOKUP(D251,[1]!NO_2[BLO],[1]!NO_2[BLO],,-1))
+
_xlfn.XLOOKUP(D251,[1]!NO_2[BLO],[1]!NO_2[ILO],,-1),2)</f>
        <v>18.75</v>
      </c>
      <c r="K251">
        <f>ROUND(( ( _xlfn.XLOOKUP(E251,[1]!SO_2[BLO],[1]!SO_2[IHI],,-1)  - _xlfn.XLOOKUP(E251,[1]!SO_2[BLO],[1]!SO_2[ILO],,-1) )
/
( _xlfn.XLOOKUP(E251,[1]!SO_2[BLO],[1]!SO_2[BHI],,-1)- _xlfn.XLOOKUP(E251,[1]!SO_2[BLO],[1]!SO_2[BLO],,-1) ))
*
( E251 - _xlfn.XLOOKUP(E251,[1]!SO_2[BLO],[1]!SO_2[BLO],,-1) )
+
_xlfn.XLOOKUP(E251,[1]!SO_2[BLO],[1]!SO_2[ILO],,-1),2)</f>
        <v>10</v>
      </c>
      <c r="L251">
        <f>( ( _xlfn.XLOOKUP(F251,[1]!CO[BLO],[1]!CO[IHI],,-1)
- _xlfn.XLOOKUP(F251,[1]!CO[BLO],[1]!CO[ILO],,-1) )
/
( _xlfn.XLOOKUP(F251,[1]!CO[BLO],[1]!CO[BHI],,-1) - _xlfn.XLOOKUP(F251,[1]!CO[BLO],[1]!CO[BLO],,-1)))
*
( F251 - _xlfn.XLOOKUP(F251,[1]!CO[BLO],[1]!CO[BLO],,-1) )
+
_xlfn.XLOOKUP(F251,[1]!CO[BLO],[1]!CO[ILO],,-1)</f>
        <v>32</v>
      </c>
      <c r="M251">
        <f>(( _xlfn.XLOOKUP(G251,[1]!O_3[BLO],[1]!O_3[IHI],,-1) - _xlfn.XLOOKUP(G251,[1]!O_3[BLO],[1]!O_3[ILO],,-1))
/
( _xlfn.XLOOKUP(G251,[1]!O_3[BLO],[1]!O_3[BHI],,-1) - _xlfn.XLOOKUP(G251,[1]!O_3[BLO],[1]!O_3[BLO],,-1)))
*
( G251 - _xlfn.XLOOKUP(G251,[1]!O_3[BLO],[1]!O_3[BLO],,-1))
+
_xlfn.XLOOKUP(G251,[1]!O_3[BLO],[1]!O_3[ILO],,-1)</f>
        <v>20</v>
      </c>
      <c r="N251">
        <f>MAX(DAILY_DATA[[#This Row],[AQI_PM2.5]:[AQI_O3]])</f>
        <v>60</v>
      </c>
      <c r="O251" t="str">
        <f>_xlfn.XLOOKUP(DAILY_DATA[[#This Row],[OVERALL_AQI]],[1]!CATEGORY[AQI_LO],[1]!CATEGORY[CATEGORY],,-1)</f>
        <v>Satisfactory</v>
      </c>
      <c r="P251" t="str" cm="1">
        <f t="array" ref="P251">INDEX(
{"PM2.5","PM10","NO2","SO2","CO","O3"},
MATCH(N251,H251:M251,0)
)</f>
        <v>PM10</v>
      </c>
    </row>
    <row r="252" spans="1:16" x14ac:dyDescent="0.25">
      <c r="A252" s="4">
        <v>45542</v>
      </c>
      <c r="B252">
        <f>ROUND(AVERAGEIFS([1]HOURLY_DATA!B252:B9035,[1]HOURLY_DATA!H252:H9035,Daily_AQI!A252),0)</f>
        <v>21</v>
      </c>
      <c r="C252">
        <f>ROUND(AVERAGEIFS([1]HOURLY_DATA!C252:C9035,[1]HOURLY_DATA!H252:H9035,Daily_AQI!A252),0)</f>
        <v>50</v>
      </c>
      <c r="D252">
        <f>ROUND(AVERAGEIFS([1]HOURLY_DATA!D252:D9035,[1]HOURLY_DATA!H252:H9035,Daily_AQI!A252),0)</f>
        <v>15</v>
      </c>
      <c r="E252">
        <f>ROUND(AVERAGEIFS([1]HOURLY_DATA!E252:E9035,[1]HOURLY_DATA!H252:H9035,Daily_AQI!A252),0)</f>
        <v>8</v>
      </c>
      <c r="F252">
        <f>ROUND(AVERAGEIFS([1]HOURLY_DATA!I252:I9035,[1]HOURLY_DATA!H252:H9035,Daily_AQI!A252),2)</f>
        <v>0.59</v>
      </c>
      <c r="G252">
        <f>ROUND(AVERAGEIFS([1]HOURLY_DATA!J252:J9035,[1]HOURLY_DATA!H252:H9035,Daily_AQI!A252),0)</f>
        <v>20</v>
      </c>
      <c r="H252">
        <f>ROUND(((_xlfn.XLOOKUP(B252,[1]!PM2.5[BLO],[1]!PM2.5[IHI],,-1) - _xlfn.XLOOKUP(B252,[1]!PM2.5[BLO],[1]!PM2.5[ILO],,-1))
/
(_xlfn.XLOOKUP(B252,[1]!PM2.5[BLO],[1]!PM2.5[BHI],,-1) - _xlfn.XLOOKUP(B252,[1]!PM2.5[BLO],[1]!PM2.5[BLO],,-1)))
*
(B252 - _xlfn.XLOOKUP(B252,[1]!PM2.5[BLO],[1]!PM2.5[BLO],,-1))
+
_xlfn.XLOOKUP(B252,[1]!PM2.5[BLO],[1]!PM2.5[ILO],,-1),2)</f>
        <v>35</v>
      </c>
      <c r="I252">
        <f>ROUND(((_xlfn.XLOOKUP(C252,[1]!PM_10[BLO],[1]!PM_10[IHI],,-1) - _xlfn.XLOOKUP(C252,[1]!PM_10[BLO],[1]!PM_10[ILO],,-1))
/
(_xlfn.XLOOKUP(C252,[1]!PM_10[BLO],[1]!PM_10[BHI],,-1) - _xlfn.XLOOKUP(C252,[1]!PM_10[BLO],[1]!PM_10[BLO],,-1)))
*
( C252 - _xlfn.XLOOKUP(C252,[1]!PM_10[BLO],[1]!PM_10[BLO],,-1))
+
_xlfn.XLOOKUP(C252,[1]!PM_10[BLO],[1]!PM_10[ILO],,-1),2)</f>
        <v>50</v>
      </c>
      <c r="J252">
        <f>ROUND((( _xlfn.XLOOKUP(D252,[1]!NO_2[BLO],[1]!NO_2[IHI],,-1) - _xlfn.XLOOKUP(D252,[1]!NO_2[BLO],[1]!NO_2[ILO],,-1))
/
( _xlfn.XLOOKUP(D252,[1]!NO_2[BLO],[1]!NO_2[BHI],,-1) - _xlfn.XLOOKUP(D252,[1]!NO_2[BLO],[1]!NO_2[BLO],,-1) ))
*
( D252 - _xlfn.XLOOKUP(D252,[1]!NO_2[BLO],[1]!NO_2[BLO],,-1))
+
_xlfn.XLOOKUP(D252,[1]!NO_2[BLO],[1]!NO_2[ILO],,-1),2)</f>
        <v>18.75</v>
      </c>
      <c r="K252">
        <f>ROUND(( ( _xlfn.XLOOKUP(E252,[1]!SO_2[BLO],[1]!SO_2[IHI],,-1)  - _xlfn.XLOOKUP(E252,[1]!SO_2[BLO],[1]!SO_2[ILO],,-1) )
/
( _xlfn.XLOOKUP(E252,[1]!SO_2[BLO],[1]!SO_2[BHI],,-1)- _xlfn.XLOOKUP(E252,[1]!SO_2[BLO],[1]!SO_2[BLO],,-1) ))
*
( E252 - _xlfn.XLOOKUP(E252,[1]!SO_2[BLO],[1]!SO_2[BLO],,-1) )
+
_xlfn.XLOOKUP(E252,[1]!SO_2[BLO],[1]!SO_2[ILO],,-1),2)</f>
        <v>10</v>
      </c>
      <c r="L252">
        <f>( ( _xlfn.XLOOKUP(F252,[1]!CO[BLO],[1]!CO[IHI],,-1)
- _xlfn.XLOOKUP(F252,[1]!CO[BLO],[1]!CO[ILO],,-1) )
/
( _xlfn.XLOOKUP(F252,[1]!CO[BLO],[1]!CO[BHI],,-1) - _xlfn.XLOOKUP(F252,[1]!CO[BLO],[1]!CO[BLO],,-1)))
*
( F252 - _xlfn.XLOOKUP(F252,[1]!CO[BLO],[1]!CO[BLO],,-1) )
+
_xlfn.XLOOKUP(F252,[1]!CO[BLO],[1]!CO[ILO],,-1)</f>
        <v>29.5</v>
      </c>
      <c r="M252">
        <f>(( _xlfn.XLOOKUP(G252,[1]!O_3[BLO],[1]!O_3[IHI],,-1) - _xlfn.XLOOKUP(G252,[1]!O_3[BLO],[1]!O_3[ILO],,-1))
/
( _xlfn.XLOOKUP(G252,[1]!O_3[BLO],[1]!O_3[BHI],,-1) - _xlfn.XLOOKUP(G252,[1]!O_3[BLO],[1]!O_3[BLO],,-1)))
*
( G252 - _xlfn.XLOOKUP(G252,[1]!O_3[BLO],[1]!O_3[BLO],,-1))
+
_xlfn.XLOOKUP(G252,[1]!O_3[BLO],[1]!O_3[ILO],,-1)</f>
        <v>20</v>
      </c>
      <c r="N252">
        <f>MAX(DAILY_DATA[[#This Row],[AQI_PM2.5]:[AQI_O3]])</f>
        <v>50</v>
      </c>
      <c r="O252" t="str">
        <f>_xlfn.XLOOKUP(DAILY_DATA[[#This Row],[OVERALL_AQI]],[1]!CATEGORY[AQI_LO],[1]!CATEGORY[CATEGORY],,-1)</f>
        <v>Good</v>
      </c>
      <c r="P252" t="str" cm="1">
        <f t="array" ref="P252">INDEX(
{"PM2.5","PM10","NO2","SO2","CO","O3"},
MATCH(N252,H252:M252,0)
)</f>
        <v>PM10</v>
      </c>
    </row>
    <row r="253" spans="1:16" x14ac:dyDescent="0.25">
      <c r="A253" s="4">
        <v>45543</v>
      </c>
      <c r="B253">
        <f>ROUND(AVERAGEIFS([1]HOURLY_DATA!B253:B9036,[1]HOURLY_DATA!H253:H9036,Daily_AQI!A253),0)</f>
        <v>17</v>
      </c>
      <c r="C253">
        <f>ROUND(AVERAGEIFS([1]HOURLY_DATA!C253:C9036,[1]HOURLY_DATA!H253:H9036,Daily_AQI!A253),0)</f>
        <v>42</v>
      </c>
      <c r="D253">
        <f>ROUND(AVERAGEIFS([1]HOURLY_DATA!D253:D9036,[1]HOURLY_DATA!H253:H9036,Daily_AQI!A253),0)</f>
        <v>15</v>
      </c>
      <c r="E253">
        <f>ROUND(AVERAGEIFS([1]HOURLY_DATA!E253:E9036,[1]HOURLY_DATA!H253:H9036,Daily_AQI!A253),0)</f>
        <v>8</v>
      </c>
      <c r="F253">
        <f>ROUND(AVERAGEIFS([1]HOURLY_DATA!I253:I9036,[1]HOURLY_DATA!H253:H9036,Daily_AQI!A253),2)</f>
        <v>0.56000000000000005</v>
      </c>
      <c r="G253">
        <f>ROUND(AVERAGEIFS([1]HOURLY_DATA!J253:J9036,[1]HOURLY_DATA!H253:H9036,Daily_AQI!A253),0)</f>
        <v>20</v>
      </c>
      <c r="H253">
        <f>ROUND(((_xlfn.XLOOKUP(B253,[1]!PM2.5[BLO],[1]!PM2.5[IHI],,-1) - _xlfn.XLOOKUP(B253,[1]!PM2.5[BLO],[1]!PM2.5[ILO],,-1))
/
(_xlfn.XLOOKUP(B253,[1]!PM2.5[BLO],[1]!PM2.5[BHI],,-1) - _xlfn.XLOOKUP(B253,[1]!PM2.5[BLO],[1]!PM2.5[BLO],,-1)))
*
(B253 - _xlfn.XLOOKUP(B253,[1]!PM2.5[BLO],[1]!PM2.5[BLO],,-1))
+
_xlfn.XLOOKUP(B253,[1]!PM2.5[BLO],[1]!PM2.5[ILO],,-1),2)</f>
        <v>28.33</v>
      </c>
      <c r="I253">
        <f>ROUND(((_xlfn.XLOOKUP(C253,[1]!PM_10[BLO],[1]!PM_10[IHI],,-1) - _xlfn.XLOOKUP(C253,[1]!PM_10[BLO],[1]!PM_10[ILO],,-1))
/
(_xlfn.XLOOKUP(C253,[1]!PM_10[BLO],[1]!PM_10[BHI],,-1) - _xlfn.XLOOKUP(C253,[1]!PM_10[BLO],[1]!PM_10[BLO],,-1)))
*
( C253 - _xlfn.XLOOKUP(C253,[1]!PM_10[BLO],[1]!PM_10[BLO],,-1))
+
_xlfn.XLOOKUP(C253,[1]!PM_10[BLO],[1]!PM_10[ILO],,-1),2)</f>
        <v>42</v>
      </c>
      <c r="J253">
        <f>ROUND((( _xlfn.XLOOKUP(D253,[1]!NO_2[BLO],[1]!NO_2[IHI],,-1) - _xlfn.XLOOKUP(D253,[1]!NO_2[BLO],[1]!NO_2[ILO],,-1))
/
( _xlfn.XLOOKUP(D253,[1]!NO_2[BLO],[1]!NO_2[BHI],,-1) - _xlfn.XLOOKUP(D253,[1]!NO_2[BLO],[1]!NO_2[BLO],,-1) ))
*
( D253 - _xlfn.XLOOKUP(D253,[1]!NO_2[BLO],[1]!NO_2[BLO],,-1))
+
_xlfn.XLOOKUP(D253,[1]!NO_2[BLO],[1]!NO_2[ILO],,-1),2)</f>
        <v>18.75</v>
      </c>
      <c r="K253">
        <f>ROUND(( ( _xlfn.XLOOKUP(E253,[1]!SO_2[BLO],[1]!SO_2[IHI],,-1)  - _xlfn.XLOOKUP(E253,[1]!SO_2[BLO],[1]!SO_2[ILO],,-1) )
/
( _xlfn.XLOOKUP(E253,[1]!SO_2[BLO],[1]!SO_2[BHI],,-1)- _xlfn.XLOOKUP(E253,[1]!SO_2[BLO],[1]!SO_2[BLO],,-1) ))
*
( E253 - _xlfn.XLOOKUP(E253,[1]!SO_2[BLO],[1]!SO_2[BLO],,-1) )
+
_xlfn.XLOOKUP(E253,[1]!SO_2[BLO],[1]!SO_2[ILO],,-1),2)</f>
        <v>10</v>
      </c>
      <c r="L253">
        <f>( ( _xlfn.XLOOKUP(F253,[1]!CO[BLO],[1]!CO[IHI],,-1)
- _xlfn.XLOOKUP(F253,[1]!CO[BLO],[1]!CO[ILO],,-1) )
/
( _xlfn.XLOOKUP(F253,[1]!CO[BLO],[1]!CO[BHI],,-1) - _xlfn.XLOOKUP(F253,[1]!CO[BLO],[1]!CO[BLO],,-1)))
*
( F253 - _xlfn.XLOOKUP(F253,[1]!CO[BLO],[1]!CO[BLO],,-1) )
+
_xlfn.XLOOKUP(F253,[1]!CO[BLO],[1]!CO[ILO],,-1)</f>
        <v>28.000000000000004</v>
      </c>
      <c r="M253">
        <f>(( _xlfn.XLOOKUP(G253,[1]!O_3[BLO],[1]!O_3[IHI],,-1) - _xlfn.XLOOKUP(G253,[1]!O_3[BLO],[1]!O_3[ILO],,-1))
/
( _xlfn.XLOOKUP(G253,[1]!O_3[BLO],[1]!O_3[BHI],,-1) - _xlfn.XLOOKUP(G253,[1]!O_3[BLO],[1]!O_3[BLO],,-1)))
*
( G253 - _xlfn.XLOOKUP(G253,[1]!O_3[BLO],[1]!O_3[BLO],,-1))
+
_xlfn.XLOOKUP(G253,[1]!O_3[BLO],[1]!O_3[ILO],,-1)</f>
        <v>20</v>
      </c>
      <c r="N253">
        <f>MAX(DAILY_DATA[[#This Row],[AQI_PM2.5]:[AQI_O3]])</f>
        <v>42</v>
      </c>
      <c r="O253" t="str">
        <f>_xlfn.XLOOKUP(DAILY_DATA[[#This Row],[OVERALL_AQI]],[1]!CATEGORY[AQI_LO],[1]!CATEGORY[CATEGORY],,-1)</f>
        <v>Good</v>
      </c>
      <c r="P253" t="str" cm="1">
        <f t="array" ref="P253">INDEX(
{"PM2.5","PM10","NO2","SO2","CO","O3"},
MATCH(N253,H253:M253,0)
)</f>
        <v>PM10</v>
      </c>
    </row>
    <row r="254" spans="1:16" x14ac:dyDescent="0.25">
      <c r="A254" s="4">
        <v>45544</v>
      </c>
      <c r="B254">
        <f>ROUND(AVERAGEIFS([1]HOURLY_DATA!B254:B9037,[1]HOURLY_DATA!H254:H9037,Daily_AQI!A254),0)</f>
        <v>19</v>
      </c>
      <c r="C254">
        <f>ROUND(AVERAGEIFS([1]HOURLY_DATA!C254:C9037,[1]HOURLY_DATA!H254:H9037,Daily_AQI!A254),0)</f>
        <v>50</v>
      </c>
      <c r="D254">
        <f>ROUND(AVERAGEIFS([1]HOURLY_DATA!D254:D9037,[1]HOURLY_DATA!H254:H9037,Daily_AQI!A254),0)</f>
        <v>15</v>
      </c>
      <c r="E254">
        <f>ROUND(AVERAGEIFS([1]HOURLY_DATA!E254:E9037,[1]HOURLY_DATA!H254:H9037,Daily_AQI!A254),0)</f>
        <v>8</v>
      </c>
      <c r="F254">
        <f>ROUND(AVERAGEIFS([1]HOURLY_DATA!I254:I9037,[1]HOURLY_DATA!H254:H9037,Daily_AQI!A254),2)</f>
        <v>0.59</v>
      </c>
      <c r="G254">
        <f>ROUND(AVERAGEIFS([1]HOURLY_DATA!J254:J9037,[1]HOURLY_DATA!H254:H9037,Daily_AQI!A254),0)</f>
        <v>20</v>
      </c>
      <c r="H254">
        <f>ROUND(((_xlfn.XLOOKUP(B254,[1]!PM2.5[BLO],[1]!PM2.5[IHI],,-1) - _xlfn.XLOOKUP(B254,[1]!PM2.5[BLO],[1]!PM2.5[ILO],,-1))
/
(_xlfn.XLOOKUP(B254,[1]!PM2.5[BLO],[1]!PM2.5[BHI],,-1) - _xlfn.XLOOKUP(B254,[1]!PM2.5[BLO],[1]!PM2.5[BLO],,-1)))
*
(B254 - _xlfn.XLOOKUP(B254,[1]!PM2.5[BLO],[1]!PM2.5[BLO],,-1))
+
_xlfn.XLOOKUP(B254,[1]!PM2.5[BLO],[1]!PM2.5[ILO],,-1),2)</f>
        <v>31.67</v>
      </c>
      <c r="I254">
        <f>ROUND(((_xlfn.XLOOKUP(C254,[1]!PM_10[BLO],[1]!PM_10[IHI],,-1) - _xlfn.XLOOKUP(C254,[1]!PM_10[BLO],[1]!PM_10[ILO],,-1))
/
(_xlfn.XLOOKUP(C254,[1]!PM_10[BLO],[1]!PM_10[BHI],,-1) - _xlfn.XLOOKUP(C254,[1]!PM_10[BLO],[1]!PM_10[BLO],,-1)))
*
( C254 - _xlfn.XLOOKUP(C254,[1]!PM_10[BLO],[1]!PM_10[BLO],,-1))
+
_xlfn.XLOOKUP(C254,[1]!PM_10[BLO],[1]!PM_10[ILO],,-1),2)</f>
        <v>50</v>
      </c>
      <c r="J254">
        <f>ROUND((( _xlfn.XLOOKUP(D254,[1]!NO_2[BLO],[1]!NO_2[IHI],,-1) - _xlfn.XLOOKUP(D254,[1]!NO_2[BLO],[1]!NO_2[ILO],,-1))
/
( _xlfn.XLOOKUP(D254,[1]!NO_2[BLO],[1]!NO_2[BHI],,-1) - _xlfn.XLOOKUP(D254,[1]!NO_2[BLO],[1]!NO_2[BLO],,-1) ))
*
( D254 - _xlfn.XLOOKUP(D254,[1]!NO_2[BLO],[1]!NO_2[BLO],,-1))
+
_xlfn.XLOOKUP(D254,[1]!NO_2[BLO],[1]!NO_2[ILO],,-1),2)</f>
        <v>18.75</v>
      </c>
      <c r="K254">
        <f>ROUND(( ( _xlfn.XLOOKUP(E254,[1]!SO_2[BLO],[1]!SO_2[IHI],,-1)  - _xlfn.XLOOKUP(E254,[1]!SO_2[BLO],[1]!SO_2[ILO],,-1) )
/
( _xlfn.XLOOKUP(E254,[1]!SO_2[BLO],[1]!SO_2[BHI],,-1)- _xlfn.XLOOKUP(E254,[1]!SO_2[BLO],[1]!SO_2[BLO],,-1) ))
*
( E254 - _xlfn.XLOOKUP(E254,[1]!SO_2[BLO],[1]!SO_2[BLO],,-1) )
+
_xlfn.XLOOKUP(E254,[1]!SO_2[BLO],[1]!SO_2[ILO],,-1),2)</f>
        <v>10</v>
      </c>
      <c r="L254">
        <f>( ( _xlfn.XLOOKUP(F254,[1]!CO[BLO],[1]!CO[IHI],,-1)
- _xlfn.XLOOKUP(F254,[1]!CO[BLO],[1]!CO[ILO],,-1) )
/
( _xlfn.XLOOKUP(F254,[1]!CO[BLO],[1]!CO[BHI],,-1) - _xlfn.XLOOKUP(F254,[1]!CO[BLO],[1]!CO[BLO],,-1)))
*
( F254 - _xlfn.XLOOKUP(F254,[1]!CO[BLO],[1]!CO[BLO],,-1) )
+
_xlfn.XLOOKUP(F254,[1]!CO[BLO],[1]!CO[ILO],,-1)</f>
        <v>29.5</v>
      </c>
      <c r="M254">
        <f>(( _xlfn.XLOOKUP(G254,[1]!O_3[BLO],[1]!O_3[IHI],,-1) - _xlfn.XLOOKUP(G254,[1]!O_3[BLO],[1]!O_3[ILO],,-1))
/
( _xlfn.XLOOKUP(G254,[1]!O_3[BLO],[1]!O_3[BHI],,-1) - _xlfn.XLOOKUP(G254,[1]!O_3[BLO],[1]!O_3[BLO],,-1)))
*
( G254 - _xlfn.XLOOKUP(G254,[1]!O_3[BLO],[1]!O_3[BLO],,-1))
+
_xlfn.XLOOKUP(G254,[1]!O_3[BLO],[1]!O_3[ILO],,-1)</f>
        <v>20</v>
      </c>
      <c r="N254">
        <f>MAX(DAILY_DATA[[#This Row],[AQI_PM2.5]:[AQI_O3]])</f>
        <v>50</v>
      </c>
      <c r="O254" t="str">
        <f>_xlfn.XLOOKUP(DAILY_DATA[[#This Row],[OVERALL_AQI]],[1]!CATEGORY[AQI_LO],[1]!CATEGORY[CATEGORY],,-1)</f>
        <v>Good</v>
      </c>
      <c r="P254" t="str" cm="1">
        <f t="array" ref="P254">INDEX(
{"PM2.5","PM10","NO2","SO2","CO","O3"},
MATCH(N254,H254:M254,0)
)</f>
        <v>PM10</v>
      </c>
    </row>
    <row r="255" spans="1:16" x14ac:dyDescent="0.25">
      <c r="A255" s="4">
        <v>45545</v>
      </c>
      <c r="B255">
        <f>ROUND(AVERAGEIFS([1]HOURLY_DATA!B255:B9038,[1]HOURLY_DATA!H255:H9038,Daily_AQI!A255),0)</f>
        <v>18</v>
      </c>
      <c r="C255">
        <f>ROUND(AVERAGEIFS([1]HOURLY_DATA!C255:C9038,[1]HOURLY_DATA!H255:H9038,Daily_AQI!A255),0)</f>
        <v>51</v>
      </c>
      <c r="D255">
        <f>ROUND(AVERAGEIFS([1]HOURLY_DATA!D255:D9038,[1]HOURLY_DATA!H255:H9038,Daily_AQI!A255),0)</f>
        <v>15</v>
      </c>
      <c r="E255">
        <f>ROUND(AVERAGEIFS([1]HOURLY_DATA!E255:E9038,[1]HOURLY_DATA!H255:H9038,Daily_AQI!A255),0)</f>
        <v>8</v>
      </c>
      <c r="F255">
        <f>ROUND(AVERAGEIFS([1]HOURLY_DATA!I255:I9038,[1]HOURLY_DATA!H255:H9038,Daily_AQI!A255),2)</f>
        <v>0.64</v>
      </c>
      <c r="G255">
        <f>ROUND(AVERAGEIFS([1]HOURLY_DATA!J255:J9038,[1]HOURLY_DATA!H255:H9038,Daily_AQI!A255),0)</f>
        <v>20</v>
      </c>
      <c r="H255">
        <f>ROUND(((_xlfn.XLOOKUP(B255,[1]!PM2.5[BLO],[1]!PM2.5[IHI],,-1) - _xlfn.XLOOKUP(B255,[1]!PM2.5[BLO],[1]!PM2.5[ILO],,-1))
/
(_xlfn.XLOOKUP(B255,[1]!PM2.5[BLO],[1]!PM2.5[BHI],,-1) - _xlfn.XLOOKUP(B255,[1]!PM2.5[BLO],[1]!PM2.5[BLO],,-1)))
*
(B255 - _xlfn.XLOOKUP(B255,[1]!PM2.5[BLO],[1]!PM2.5[BLO],,-1))
+
_xlfn.XLOOKUP(B255,[1]!PM2.5[BLO],[1]!PM2.5[ILO],,-1),2)</f>
        <v>30</v>
      </c>
      <c r="I255">
        <f>ROUND(((_xlfn.XLOOKUP(C255,[1]!PM_10[BLO],[1]!PM_10[IHI],,-1) - _xlfn.XLOOKUP(C255,[1]!PM_10[BLO],[1]!PM_10[ILO],,-1))
/
(_xlfn.XLOOKUP(C255,[1]!PM_10[BLO],[1]!PM_10[BHI],,-1) - _xlfn.XLOOKUP(C255,[1]!PM_10[BLO],[1]!PM_10[BLO],,-1)))
*
( C255 - _xlfn.XLOOKUP(C255,[1]!PM_10[BLO],[1]!PM_10[BLO],,-1))
+
_xlfn.XLOOKUP(C255,[1]!PM_10[BLO],[1]!PM_10[ILO],,-1),2)</f>
        <v>51</v>
      </c>
      <c r="J255">
        <f>ROUND((( _xlfn.XLOOKUP(D255,[1]!NO_2[BLO],[1]!NO_2[IHI],,-1) - _xlfn.XLOOKUP(D255,[1]!NO_2[BLO],[1]!NO_2[ILO],,-1))
/
( _xlfn.XLOOKUP(D255,[1]!NO_2[BLO],[1]!NO_2[BHI],,-1) - _xlfn.XLOOKUP(D255,[1]!NO_2[BLO],[1]!NO_2[BLO],,-1) ))
*
( D255 - _xlfn.XLOOKUP(D255,[1]!NO_2[BLO],[1]!NO_2[BLO],,-1))
+
_xlfn.XLOOKUP(D255,[1]!NO_2[BLO],[1]!NO_2[ILO],,-1),2)</f>
        <v>18.75</v>
      </c>
      <c r="K255">
        <f>ROUND(( ( _xlfn.XLOOKUP(E255,[1]!SO_2[BLO],[1]!SO_2[IHI],,-1)  - _xlfn.XLOOKUP(E255,[1]!SO_2[BLO],[1]!SO_2[ILO],,-1) )
/
( _xlfn.XLOOKUP(E255,[1]!SO_2[BLO],[1]!SO_2[BHI],,-1)- _xlfn.XLOOKUP(E255,[1]!SO_2[BLO],[1]!SO_2[BLO],,-1) ))
*
( E255 - _xlfn.XLOOKUP(E255,[1]!SO_2[BLO],[1]!SO_2[BLO],,-1) )
+
_xlfn.XLOOKUP(E255,[1]!SO_2[BLO],[1]!SO_2[ILO],,-1),2)</f>
        <v>10</v>
      </c>
      <c r="L255">
        <f>( ( _xlfn.XLOOKUP(F255,[1]!CO[BLO],[1]!CO[IHI],,-1)
- _xlfn.XLOOKUP(F255,[1]!CO[BLO],[1]!CO[ILO],,-1) )
/
( _xlfn.XLOOKUP(F255,[1]!CO[BLO],[1]!CO[BHI],,-1) - _xlfn.XLOOKUP(F255,[1]!CO[BLO],[1]!CO[BLO],,-1)))
*
( F255 - _xlfn.XLOOKUP(F255,[1]!CO[BLO],[1]!CO[BLO],,-1) )
+
_xlfn.XLOOKUP(F255,[1]!CO[BLO],[1]!CO[ILO],,-1)</f>
        <v>32</v>
      </c>
      <c r="M255">
        <f>(( _xlfn.XLOOKUP(G255,[1]!O_3[BLO],[1]!O_3[IHI],,-1) - _xlfn.XLOOKUP(G255,[1]!O_3[BLO],[1]!O_3[ILO],,-1))
/
( _xlfn.XLOOKUP(G255,[1]!O_3[BLO],[1]!O_3[BHI],,-1) - _xlfn.XLOOKUP(G255,[1]!O_3[BLO],[1]!O_3[BLO],,-1)))
*
( G255 - _xlfn.XLOOKUP(G255,[1]!O_3[BLO],[1]!O_3[BLO],,-1))
+
_xlfn.XLOOKUP(G255,[1]!O_3[BLO],[1]!O_3[ILO],,-1)</f>
        <v>20</v>
      </c>
      <c r="N255">
        <f>MAX(DAILY_DATA[[#This Row],[AQI_PM2.5]:[AQI_O3]])</f>
        <v>51</v>
      </c>
      <c r="O255" t="str">
        <f>_xlfn.XLOOKUP(DAILY_DATA[[#This Row],[OVERALL_AQI]],[1]!CATEGORY[AQI_LO],[1]!CATEGORY[CATEGORY],,-1)</f>
        <v>Satisfactory</v>
      </c>
      <c r="P255" t="str" cm="1">
        <f t="array" ref="P255">INDEX(
{"PM2.5","PM10","NO2","SO2","CO","O3"},
MATCH(N255,H255:M255,0)
)</f>
        <v>PM10</v>
      </c>
    </row>
    <row r="256" spans="1:16" x14ac:dyDescent="0.25">
      <c r="A256" s="4">
        <v>45546</v>
      </c>
      <c r="B256">
        <f>ROUND(AVERAGEIFS([1]HOURLY_DATA!B256:B9039,[1]HOURLY_DATA!H256:H9039,Daily_AQI!A256),0)</f>
        <v>22</v>
      </c>
      <c r="C256">
        <f>ROUND(AVERAGEIFS([1]HOURLY_DATA!C256:C9039,[1]HOURLY_DATA!H256:H9039,Daily_AQI!A256),0)</f>
        <v>53</v>
      </c>
      <c r="D256">
        <f>ROUND(AVERAGEIFS([1]HOURLY_DATA!D256:D9039,[1]HOURLY_DATA!H256:H9039,Daily_AQI!A256),0)</f>
        <v>15</v>
      </c>
      <c r="E256">
        <f>ROUND(AVERAGEIFS([1]HOURLY_DATA!E256:E9039,[1]HOURLY_DATA!H256:H9039,Daily_AQI!A256),0)</f>
        <v>8</v>
      </c>
      <c r="F256">
        <f>ROUND(AVERAGEIFS([1]HOURLY_DATA!I256:I9039,[1]HOURLY_DATA!H256:H9039,Daily_AQI!A256),2)</f>
        <v>0.71</v>
      </c>
      <c r="G256">
        <f>ROUND(AVERAGEIFS([1]HOURLY_DATA!J256:J9039,[1]HOURLY_DATA!H256:H9039,Daily_AQI!A256),0)</f>
        <v>19</v>
      </c>
      <c r="H256">
        <f>ROUND(((_xlfn.XLOOKUP(B256,[1]!PM2.5[BLO],[1]!PM2.5[IHI],,-1) - _xlfn.XLOOKUP(B256,[1]!PM2.5[BLO],[1]!PM2.5[ILO],,-1))
/
(_xlfn.XLOOKUP(B256,[1]!PM2.5[BLO],[1]!PM2.5[BHI],,-1) - _xlfn.XLOOKUP(B256,[1]!PM2.5[BLO],[1]!PM2.5[BLO],,-1)))
*
(B256 - _xlfn.XLOOKUP(B256,[1]!PM2.5[BLO],[1]!PM2.5[BLO],,-1))
+
_xlfn.XLOOKUP(B256,[1]!PM2.5[BLO],[1]!PM2.5[ILO],,-1),2)</f>
        <v>36.67</v>
      </c>
      <c r="I256">
        <f>ROUND(((_xlfn.XLOOKUP(C256,[1]!PM_10[BLO],[1]!PM_10[IHI],,-1) - _xlfn.XLOOKUP(C256,[1]!PM_10[BLO],[1]!PM_10[ILO],,-1))
/
(_xlfn.XLOOKUP(C256,[1]!PM_10[BLO],[1]!PM_10[BHI],,-1) - _xlfn.XLOOKUP(C256,[1]!PM_10[BLO],[1]!PM_10[BLO],,-1)))
*
( C256 - _xlfn.XLOOKUP(C256,[1]!PM_10[BLO],[1]!PM_10[BLO],,-1))
+
_xlfn.XLOOKUP(C256,[1]!PM_10[BLO],[1]!PM_10[ILO],,-1),2)</f>
        <v>53</v>
      </c>
      <c r="J256">
        <f>ROUND((( _xlfn.XLOOKUP(D256,[1]!NO_2[BLO],[1]!NO_2[IHI],,-1) - _xlfn.XLOOKUP(D256,[1]!NO_2[BLO],[1]!NO_2[ILO],,-1))
/
( _xlfn.XLOOKUP(D256,[1]!NO_2[BLO],[1]!NO_2[BHI],,-1) - _xlfn.XLOOKUP(D256,[1]!NO_2[BLO],[1]!NO_2[BLO],,-1) ))
*
( D256 - _xlfn.XLOOKUP(D256,[1]!NO_2[BLO],[1]!NO_2[BLO],,-1))
+
_xlfn.XLOOKUP(D256,[1]!NO_2[BLO],[1]!NO_2[ILO],,-1),2)</f>
        <v>18.75</v>
      </c>
      <c r="K256">
        <f>ROUND(( ( _xlfn.XLOOKUP(E256,[1]!SO_2[BLO],[1]!SO_2[IHI],,-1)  - _xlfn.XLOOKUP(E256,[1]!SO_2[BLO],[1]!SO_2[ILO],,-1) )
/
( _xlfn.XLOOKUP(E256,[1]!SO_2[BLO],[1]!SO_2[BHI],,-1)- _xlfn.XLOOKUP(E256,[1]!SO_2[BLO],[1]!SO_2[BLO],,-1) ))
*
( E256 - _xlfn.XLOOKUP(E256,[1]!SO_2[BLO],[1]!SO_2[BLO],,-1) )
+
_xlfn.XLOOKUP(E256,[1]!SO_2[BLO],[1]!SO_2[ILO],,-1),2)</f>
        <v>10</v>
      </c>
      <c r="L256">
        <f>( ( _xlfn.XLOOKUP(F256,[1]!CO[BLO],[1]!CO[IHI],,-1)
- _xlfn.XLOOKUP(F256,[1]!CO[BLO],[1]!CO[ILO],,-1) )
/
( _xlfn.XLOOKUP(F256,[1]!CO[BLO],[1]!CO[BHI],,-1) - _xlfn.XLOOKUP(F256,[1]!CO[BLO],[1]!CO[BLO],,-1)))
*
( F256 - _xlfn.XLOOKUP(F256,[1]!CO[BLO],[1]!CO[BLO],,-1) )
+
_xlfn.XLOOKUP(F256,[1]!CO[BLO],[1]!CO[ILO],,-1)</f>
        <v>35.5</v>
      </c>
      <c r="M256">
        <f>(( _xlfn.XLOOKUP(G256,[1]!O_3[BLO],[1]!O_3[IHI],,-1) - _xlfn.XLOOKUP(G256,[1]!O_3[BLO],[1]!O_3[ILO],,-1))
/
( _xlfn.XLOOKUP(G256,[1]!O_3[BLO],[1]!O_3[BHI],,-1) - _xlfn.XLOOKUP(G256,[1]!O_3[BLO],[1]!O_3[BLO],,-1)))
*
( G256 - _xlfn.XLOOKUP(G256,[1]!O_3[BLO],[1]!O_3[BLO],,-1))
+
_xlfn.XLOOKUP(G256,[1]!O_3[BLO],[1]!O_3[ILO],,-1)</f>
        <v>19</v>
      </c>
      <c r="N256">
        <f>MAX(DAILY_DATA[[#This Row],[AQI_PM2.5]:[AQI_O3]])</f>
        <v>53</v>
      </c>
      <c r="O256" t="str">
        <f>_xlfn.XLOOKUP(DAILY_DATA[[#This Row],[OVERALL_AQI]],[1]!CATEGORY[AQI_LO],[1]!CATEGORY[CATEGORY],,-1)</f>
        <v>Satisfactory</v>
      </c>
      <c r="P256" t="str" cm="1">
        <f t="array" ref="P256">INDEX(
{"PM2.5","PM10","NO2","SO2","CO","O3"},
MATCH(N256,H256:M256,0)
)</f>
        <v>PM10</v>
      </c>
    </row>
    <row r="257" spans="1:16" x14ac:dyDescent="0.25">
      <c r="A257" s="4">
        <v>45547</v>
      </c>
      <c r="B257">
        <f>ROUND(AVERAGEIFS([1]HOURLY_DATA!B257:B9040,[1]HOURLY_DATA!H257:H9040,Daily_AQI!A257),0)</f>
        <v>23</v>
      </c>
      <c r="C257">
        <f>ROUND(AVERAGEIFS([1]HOURLY_DATA!C257:C9040,[1]HOURLY_DATA!H257:H9040,Daily_AQI!A257),0)</f>
        <v>55</v>
      </c>
      <c r="D257">
        <f>ROUND(AVERAGEIFS([1]HOURLY_DATA!D257:D9040,[1]HOURLY_DATA!H257:H9040,Daily_AQI!A257),0)</f>
        <v>16</v>
      </c>
      <c r="E257">
        <f>ROUND(AVERAGEIFS([1]HOURLY_DATA!E257:E9040,[1]HOURLY_DATA!H257:H9040,Daily_AQI!A257),0)</f>
        <v>8</v>
      </c>
      <c r="F257">
        <f>ROUND(AVERAGEIFS([1]HOURLY_DATA!I257:I9040,[1]HOURLY_DATA!H257:H9040,Daily_AQI!A257),2)</f>
        <v>0.72</v>
      </c>
      <c r="G257">
        <f>ROUND(AVERAGEIFS([1]HOURLY_DATA!J257:J9040,[1]HOURLY_DATA!H257:H9040,Daily_AQI!A257),0)</f>
        <v>21</v>
      </c>
      <c r="H257">
        <f>ROUND(((_xlfn.XLOOKUP(B257,[1]!PM2.5[BLO],[1]!PM2.5[IHI],,-1) - _xlfn.XLOOKUP(B257,[1]!PM2.5[BLO],[1]!PM2.5[ILO],,-1))
/
(_xlfn.XLOOKUP(B257,[1]!PM2.5[BLO],[1]!PM2.5[BHI],,-1) - _xlfn.XLOOKUP(B257,[1]!PM2.5[BLO],[1]!PM2.5[BLO],,-1)))
*
(B257 - _xlfn.XLOOKUP(B257,[1]!PM2.5[BLO],[1]!PM2.5[BLO],,-1))
+
_xlfn.XLOOKUP(B257,[1]!PM2.5[BLO],[1]!PM2.5[ILO],,-1),2)</f>
        <v>38.33</v>
      </c>
      <c r="I257">
        <f>ROUND(((_xlfn.XLOOKUP(C257,[1]!PM_10[BLO],[1]!PM_10[IHI],,-1) - _xlfn.XLOOKUP(C257,[1]!PM_10[BLO],[1]!PM_10[ILO],,-1))
/
(_xlfn.XLOOKUP(C257,[1]!PM_10[BLO],[1]!PM_10[BHI],,-1) - _xlfn.XLOOKUP(C257,[1]!PM_10[BLO],[1]!PM_10[BLO],,-1)))
*
( C257 - _xlfn.XLOOKUP(C257,[1]!PM_10[BLO],[1]!PM_10[BLO],,-1))
+
_xlfn.XLOOKUP(C257,[1]!PM_10[BLO],[1]!PM_10[ILO],,-1),2)</f>
        <v>55</v>
      </c>
      <c r="J257">
        <f>ROUND((( _xlfn.XLOOKUP(D257,[1]!NO_2[BLO],[1]!NO_2[IHI],,-1) - _xlfn.XLOOKUP(D257,[1]!NO_2[BLO],[1]!NO_2[ILO],,-1))
/
( _xlfn.XLOOKUP(D257,[1]!NO_2[BLO],[1]!NO_2[BHI],,-1) - _xlfn.XLOOKUP(D257,[1]!NO_2[BLO],[1]!NO_2[BLO],,-1) ))
*
( D257 - _xlfn.XLOOKUP(D257,[1]!NO_2[BLO],[1]!NO_2[BLO],,-1))
+
_xlfn.XLOOKUP(D257,[1]!NO_2[BLO],[1]!NO_2[ILO],,-1),2)</f>
        <v>20</v>
      </c>
      <c r="K257">
        <f>ROUND(( ( _xlfn.XLOOKUP(E257,[1]!SO_2[BLO],[1]!SO_2[IHI],,-1)  - _xlfn.XLOOKUP(E257,[1]!SO_2[BLO],[1]!SO_2[ILO],,-1) )
/
( _xlfn.XLOOKUP(E257,[1]!SO_2[BLO],[1]!SO_2[BHI],,-1)- _xlfn.XLOOKUP(E257,[1]!SO_2[BLO],[1]!SO_2[BLO],,-1) ))
*
( E257 - _xlfn.XLOOKUP(E257,[1]!SO_2[BLO],[1]!SO_2[BLO],,-1) )
+
_xlfn.XLOOKUP(E257,[1]!SO_2[BLO],[1]!SO_2[ILO],,-1),2)</f>
        <v>10</v>
      </c>
      <c r="L257">
        <f>( ( _xlfn.XLOOKUP(F257,[1]!CO[BLO],[1]!CO[IHI],,-1)
- _xlfn.XLOOKUP(F257,[1]!CO[BLO],[1]!CO[ILO],,-1) )
/
( _xlfn.XLOOKUP(F257,[1]!CO[BLO],[1]!CO[BHI],,-1) - _xlfn.XLOOKUP(F257,[1]!CO[BLO],[1]!CO[BLO],,-1)))
*
( F257 - _xlfn.XLOOKUP(F257,[1]!CO[BLO],[1]!CO[BLO],,-1) )
+
_xlfn.XLOOKUP(F257,[1]!CO[BLO],[1]!CO[ILO],,-1)</f>
        <v>36</v>
      </c>
      <c r="M257">
        <f>(( _xlfn.XLOOKUP(G257,[1]!O_3[BLO],[1]!O_3[IHI],,-1) - _xlfn.XLOOKUP(G257,[1]!O_3[BLO],[1]!O_3[ILO],,-1))
/
( _xlfn.XLOOKUP(G257,[1]!O_3[BLO],[1]!O_3[BHI],,-1) - _xlfn.XLOOKUP(G257,[1]!O_3[BLO],[1]!O_3[BLO],,-1)))
*
( G257 - _xlfn.XLOOKUP(G257,[1]!O_3[BLO],[1]!O_3[BLO],,-1))
+
_xlfn.XLOOKUP(G257,[1]!O_3[BLO],[1]!O_3[ILO],,-1)</f>
        <v>21</v>
      </c>
      <c r="N257">
        <f>MAX(DAILY_DATA[[#This Row],[AQI_PM2.5]:[AQI_O3]])</f>
        <v>55</v>
      </c>
      <c r="O257" t="str">
        <f>_xlfn.XLOOKUP(DAILY_DATA[[#This Row],[OVERALL_AQI]],[1]!CATEGORY[AQI_LO],[1]!CATEGORY[CATEGORY],,-1)</f>
        <v>Satisfactory</v>
      </c>
      <c r="P257" t="str" cm="1">
        <f t="array" ref="P257">INDEX(
{"PM2.5","PM10","NO2","SO2","CO","O3"},
MATCH(N257,H257:M257,0)
)</f>
        <v>PM10</v>
      </c>
    </row>
    <row r="258" spans="1:16" x14ac:dyDescent="0.25">
      <c r="A258" s="4">
        <v>45548</v>
      </c>
      <c r="B258">
        <f>ROUND(AVERAGEIFS([1]HOURLY_DATA!B258:B9041,[1]HOURLY_DATA!H258:H9041,Daily_AQI!A258),0)</f>
        <v>25</v>
      </c>
      <c r="C258">
        <f>ROUND(AVERAGEIFS([1]HOURLY_DATA!C258:C9041,[1]HOURLY_DATA!H258:H9041,Daily_AQI!A258),0)</f>
        <v>59</v>
      </c>
      <c r="D258">
        <f>ROUND(AVERAGEIFS([1]HOURLY_DATA!D258:D9041,[1]HOURLY_DATA!H258:H9041,Daily_AQI!A258),0)</f>
        <v>16</v>
      </c>
      <c r="E258">
        <f>ROUND(AVERAGEIFS([1]HOURLY_DATA!E258:E9041,[1]HOURLY_DATA!H258:H9041,Daily_AQI!A258),0)</f>
        <v>8</v>
      </c>
      <c r="F258">
        <f>ROUND(AVERAGEIFS([1]HOURLY_DATA!I258:I9041,[1]HOURLY_DATA!H258:H9041,Daily_AQI!A258),2)</f>
        <v>0.71</v>
      </c>
      <c r="G258">
        <f>ROUND(AVERAGEIFS([1]HOURLY_DATA!J258:J9041,[1]HOURLY_DATA!H258:H9041,Daily_AQI!A258),0)</f>
        <v>22</v>
      </c>
      <c r="H258">
        <f>ROUND(((_xlfn.XLOOKUP(B258,[1]!PM2.5[BLO],[1]!PM2.5[IHI],,-1) - _xlfn.XLOOKUP(B258,[1]!PM2.5[BLO],[1]!PM2.5[ILO],,-1))
/
(_xlfn.XLOOKUP(B258,[1]!PM2.5[BLO],[1]!PM2.5[BHI],,-1) - _xlfn.XLOOKUP(B258,[1]!PM2.5[BLO],[1]!PM2.5[BLO],,-1)))
*
(B258 - _xlfn.XLOOKUP(B258,[1]!PM2.5[BLO],[1]!PM2.5[BLO],,-1))
+
_xlfn.XLOOKUP(B258,[1]!PM2.5[BLO],[1]!PM2.5[ILO],,-1),2)</f>
        <v>41.67</v>
      </c>
      <c r="I258">
        <f>ROUND(((_xlfn.XLOOKUP(C258,[1]!PM_10[BLO],[1]!PM_10[IHI],,-1) - _xlfn.XLOOKUP(C258,[1]!PM_10[BLO],[1]!PM_10[ILO],,-1))
/
(_xlfn.XLOOKUP(C258,[1]!PM_10[BLO],[1]!PM_10[BHI],,-1) - _xlfn.XLOOKUP(C258,[1]!PM_10[BLO],[1]!PM_10[BLO],,-1)))
*
( C258 - _xlfn.XLOOKUP(C258,[1]!PM_10[BLO],[1]!PM_10[BLO],,-1))
+
_xlfn.XLOOKUP(C258,[1]!PM_10[BLO],[1]!PM_10[ILO],,-1),2)</f>
        <v>59</v>
      </c>
      <c r="J258">
        <f>ROUND((( _xlfn.XLOOKUP(D258,[1]!NO_2[BLO],[1]!NO_2[IHI],,-1) - _xlfn.XLOOKUP(D258,[1]!NO_2[BLO],[1]!NO_2[ILO],,-1))
/
( _xlfn.XLOOKUP(D258,[1]!NO_2[BLO],[1]!NO_2[BHI],,-1) - _xlfn.XLOOKUP(D258,[1]!NO_2[BLO],[1]!NO_2[BLO],,-1) ))
*
( D258 - _xlfn.XLOOKUP(D258,[1]!NO_2[BLO],[1]!NO_2[BLO],,-1))
+
_xlfn.XLOOKUP(D258,[1]!NO_2[BLO],[1]!NO_2[ILO],,-1),2)</f>
        <v>20</v>
      </c>
      <c r="K258">
        <f>ROUND(( ( _xlfn.XLOOKUP(E258,[1]!SO_2[BLO],[1]!SO_2[IHI],,-1)  - _xlfn.XLOOKUP(E258,[1]!SO_2[BLO],[1]!SO_2[ILO],,-1) )
/
( _xlfn.XLOOKUP(E258,[1]!SO_2[BLO],[1]!SO_2[BHI],,-1)- _xlfn.XLOOKUP(E258,[1]!SO_2[BLO],[1]!SO_2[BLO],,-1) ))
*
( E258 - _xlfn.XLOOKUP(E258,[1]!SO_2[BLO],[1]!SO_2[BLO],,-1) )
+
_xlfn.XLOOKUP(E258,[1]!SO_2[BLO],[1]!SO_2[ILO],,-1),2)</f>
        <v>10</v>
      </c>
      <c r="L258">
        <f>( ( _xlfn.XLOOKUP(F258,[1]!CO[BLO],[1]!CO[IHI],,-1)
- _xlfn.XLOOKUP(F258,[1]!CO[BLO],[1]!CO[ILO],,-1) )
/
( _xlfn.XLOOKUP(F258,[1]!CO[BLO],[1]!CO[BHI],,-1) - _xlfn.XLOOKUP(F258,[1]!CO[BLO],[1]!CO[BLO],,-1)))
*
( F258 - _xlfn.XLOOKUP(F258,[1]!CO[BLO],[1]!CO[BLO],,-1) )
+
_xlfn.XLOOKUP(F258,[1]!CO[BLO],[1]!CO[ILO],,-1)</f>
        <v>35.5</v>
      </c>
      <c r="M258">
        <f>(( _xlfn.XLOOKUP(G258,[1]!O_3[BLO],[1]!O_3[IHI],,-1) - _xlfn.XLOOKUP(G258,[1]!O_3[BLO],[1]!O_3[ILO],,-1))
/
( _xlfn.XLOOKUP(G258,[1]!O_3[BLO],[1]!O_3[BHI],,-1) - _xlfn.XLOOKUP(G258,[1]!O_3[BLO],[1]!O_3[BLO],,-1)))
*
( G258 - _xlfn.XLOOKUP(G258,[1]!O_3[BLO],[1]!O_3[BLO],,-1))
+
_xlfn.XLOOKUP(G258,[1]!O_3[BLO],[1]!O_3[ILO],,-1)</f>
        <v>22</v>
      </c>
      <c r="N258">
        <f>MAX(DAILY_DATA[[#This Row],[AQI_PM2.5]:[AQI_O3]])</f>
        <v>59</v>
      </c>
      <c r="O258" t="str">
        <f>_xlfn.XLOOKUP(DAILY_DATA[[#This Row],[OVERALL_AQI]],[1]!CATEGORY[AQI_LO],[1]!CATEGORY[CATEGORY],,-1)</f>
        <v>Satisfactory</v>
      </c>
      <c r="P258" t="str" cm="1">
        <f t="array" ref="P258">INDEX(
{"PM2.5","PM10","NO2","SO2","CO","O3"},
MATCH(N258,H258:M258,0)
)</f>
        <v>PM10</v>
      </c>
    </row>
    <row r="259" spans="1:16" x14ac:dyDescent="0.25">
      <c r="A259" s="4">
        <v>45549</v>
      </c>
      <c r="B259">
        <f>ROUND(AVERAGEIFS([1]HOURLY_DATA!B259:B9042,[1]HOURLY_DATA!H259:H9042,Daily_AQI!A259),0)</f>
        <v>26</v>
      </c>
      <c r="C259">
        <f>ROUND(AVERAGEIFS([1]HOURLY_DATA!C259:C9042,[1]HOURLY_DATA!H259:H9042,Daily_AQI!A259),0)</f>
        <v>56</v>
      </c>
      <c r="D259">
        <f>ROUND(AVERAGEIFS([1]HOURLY_DATA!D259:D9042,[1]HOURLY_DATA!H259:H9042,Daily_AQI!A259),0)</f>
        <v>15</v>
      </c>
      <c r="E259">
        <f>ROUND(AVERAGEIFS([1]HOURLY_DATA!E259:E9042,[1]HOURLY_DATA!H259:H9042,Daily_AQI!A259),0)</f>
        <v>8</v>
      </c>
      <c r="F259">
        <f>ROUND(AVERAGEIFS([1]HOURLY_DATA!I259:I9042,[1]HOURLY_DATA!H259:H9042,Daily_AQI!A259),2)</f>
        <v>0.68</v>
      </c>
      <c r="G259">
        <f>ROUND(AVERAGEIFS([1]HOURLY_DATA!J259:J9042,[1]HOURLY_DATA!H259:H9042,Daily_AQI!A259),0)</f>
        <v>21</v>
      </c>
      <c r="H259">
        <f>ROUND(((_xlfn.XLOOKUP(B259,[1]!PM2.5[BLO],[1]!PM2.5[IHI],,-1) - _xlfn.XLOOKUP(B259,[1]!PM2.5[BLO],[1]!PM2.5[ILO],,-1))
/
(_xlfn.XLOOKUP(B259,[1]!PM2.5[BLO],[1]!PM2.5[BHI],,-1) - _xlfn.XLOOKUP(B259,[1]!PM2.5[BLO],[1]!PM2.5[BLO],,-1)))
*
(B259 - _xlfn.XLOOKUP(B259,[1]!PM2.5[BLO],[1]!PM2.5[BLO],,-1))
+
_xlfn.XLOOKUP(B259,[1]!PM2.5[BLO],[1]!PM2.5[ILO],,-1),2)</f>
        <v>43.33</v>
      </c>
      <c r="I259">
        <f>ROUND(((_xlfn.XLOOKUP(C259,[1]!PM_10[BLO],[1]!PM_10[IHI],,-1) - _xlfn.XLOOKUP(C259,[1]!PM_10[BLO],[1]!PM_10[ILO],,-1))
/
(_xlfn.XLOOKUP(C259,[1]!PM_10[BLO],[1]!PM_10[BHI],,-1) - _xlfn.XLOOKUP(C259,[1]!PM_10[BLO],[1]!PM_10[BLO],,-1)))
*
( C259 - _xlfn.XLOOKUP(C259,[1]!PM_10[BLO],[1]!PM_10[BLO],,-1))
+
_xlfn.XLOOKUP(C259,[1]!PM_10[BLO],[1]!PM_10[ILO],,-1),2)</f>
        <v>56</v>
      </c>
      <c r="J259">
        <f>ROUND((( _xlfn.XLOOKUP(D259,[1]!NO_2[BLO],[1]!NO_2[IHI],,-1) - _xlfn.XLOOKUP(D259,[1]!NO_2[BLO],[1]!NO_2[ILO],,-1))
/
( _xlfn.XLOOKUP(D259,[1]!NO_2[BLO],[1]!NO_2[BHI],,-1) - _xlfn.XLOOKUP(D259,[1]!NO_2[BLO],[1]!NO_2[BLO],,-1) ))
*
( D259 - _xlfn.XLOOKUP(D259,[1]!NO_2[BLO],[1]!NO_2[BLO],,-1))
+
_xlfn.XLOOKUP(D259,[1]!NO_2[BLO],[1]!NO_2[ILO],,-1),2)</f>
        <v>18.75</v>
      </c>
      <c r="K259">
        <f>ROUND(( ( _xlfn.XLOOKUP(E259,[1]!SO_2[BLO],[1]!SO_2[IHI],,-1)  - _xlfn.XLOOKUP(E259,[1]!SO_2[BLO],[1]!SO_2[ILO],,-1) )
/
( _xlfn.XLOOKUP(E259,[1]!SO_2[BLO],[1]!SO_2[BHI],,-1)- _xlfn.XLOOKUP(E259,[1]!SO_2[BLO],[1]!SO_2[BLO],,-1) ))
*
( E259 - _xlfn.XLOOKUP(E259,[1]!SO_2[BLO],[1]!SO_2[BLO],,-1) )
+
_xlfn.XLOOKUP(E259,[1]!SO_2[BLO],[1]!SO_2[ILO],,-1),2)</f>
        <v>10</v>
      </c>
      <c r="L259">
        <f>( ( _xlfn.XLOOKUP(F259,[1]!CO[BLO],[1]!CO[IHI],,-1)
- _xlfn.XLOOKUP(F259,[1]!CO[BLO],[1]!CO[ILO],,-1) )
/
( _xlfn.XLOOKUP(F259,[1]!CO[BLO],[1]!CO[BHI],,-1) - _xlfn.XLOOKUP(F259,[1]!CO[BLO],[1]!CO[BLO],,-1)))
*
( F259 - _xlfn.XLOOKUP(F259,[1]!CO[BLO],[1]!CO[BLO],,-1) )
+
_xlfn.XLOOKUP(F259,[1]!CO[BLO],[1]!CO[ILO],,-1)</f>
        <v>34</v>
      </c>
      <c r="M259">
        <f>(( _xlfn.XLOOKUP(G259,[1]!O_3[BLO],[1]!O_3[IHI],,-1) - _xlfn.XLOOKUP(G259,[1]!O_3[BLO],[1]!O_3[ILO],,-1))
/
( _xlfn.XLOOKUP(G259,[1]!O_3[BLO],[1]!O_3[BHI],,-1) - _xlfn.XLOOKUP(G259,[1]!O_3[BLO],[1]!O_3[BLO],,-1)))
*
( G259 - _xlfn.XLOOKUP(G259,[1]!O_3[BLO],[1]!O_3[BLO],,-1))
+
_xlfn.XLOOKUP(G259,[1]!O_3[BLO],[1]!O_3[ILO],,-1)</f>
        <v>21</v>
      </c>
      <c r="N259">
        <f>MAX(DAILY_DATA[[#This Row],[AQI_PM2.5]:[AQI_O3]])</f>
        <v>56</v>
      </c>
      <c r="O259" t="str">
        <f>_xlfn.XLOOKUP(DAILY_DATA[[#This Row],[OVERALL_AQI]],[1]!CATEGORY[AQI_LO],[1]!CATEGORY[CATEGORY],,-1)</f>
        <v>Satisfactory</v>
      </c>
      <c r="P259" t="str" cm="1">
        <f t="array" ref="P259">INDEX(
{"PM2.5","PM10","NO2","SO2","CO","O3"},
MATCH(N259,H259:M259,0)
)</f>
        <v>PM10</v>
      </c>
    </row>
    <row r="260" spans="1:16" x14ac:dyDescent="0.25">
      <c r="A260" s="4">
        <v>45550</v>
      </c>
      <c r="B260">
        <f>ROUND(AVERAGEIFS([1]HOURLY_DATA!B260:B9043,[1]HOURLY_DATA!H260:H9043,Daily_AQI!A260),0)</f>
        <v>24</v>
      </c>
      <c r="C260">
        <f>ROUND(AVERAGEIFS([1]HOURLY_DATA!C260:C9043,[1]HOURLY_DATA!H260:H9043,Daily_AQI!A260),0)</f>
        <v>50</v>
      </c>
      <c r="D260">
        <f>ROUND(AVERAGEIFS([1]HOURLY_DATA!D260:D9043,[1]HOURLY_DATA!H260:H9043,Daily_AQI!A260),0)</f>
        <v>15</v>
      </c>
      <c r="E260">
        <f>ROUND(AVERAGEIFS([1]HOURLY_DATA!E260:E9043,[1]HOURLY_DATA!H260:H9043,Daily_AQI!A260),0)</f>
        <v>8</v>
      </c>
      <c r="F260">
        <f>ROUND(AVERAGEIFS([1]HOURLY_DATA!I260:I9043,[1]HOURLY_DATA!H260:H9043,Daily_AQI!A260),2)</f>
        <v>0.68</v>
      </c>
      <c r="G260">
        <f>ROUND(AVERAGEIFS([1]HOURLY_DATA!J260:J9043,[1]HOURLY_DATA!H260:H9043,Daily_AQI!A260),0)</f>
        <v>22</v>
      </c>
      <c r="H260">
        <f>ROUND(((_xlfn.XLOOKUP(B260,[1]!PM2.5[BLO],[1]!PM2.5[IHI],,-1) - _xlfn.XLOOKUP(B260,[1]!PM2.5[BLO],[1]!PM2.5[ILO],,-1))
/
(_xlfn.XLOOKUP(B260,[1]!PM2.5[BLO],[1]!PM2.5[BHI],,-1) - _xlfn.XLOOKUP(B260,[1]!PM2.5[BLO],[1]!PM2.5[BLO],,-1)))
*
(B260 - _xlfn.XLOOKUP(B260,[1]!PM2.5[BLO],[1]!PM2.5[BLO],,-1))
+
_xlfn.XLOOKUP(B260,[1]!PM2.5[BLO],[1]!PM2.5[ILO],,-1),2)</f>
        <v>40</v>
      </c>
      <c r="I260">
        <f>ROUND(((_xlfn.XLOOKUP(C260,[1]!PM_10[BLO],[1]!PM_10[IHI],,-1) - _xlfn.XLOOKUP(C260,[1]!PM_10[BLO],[1]!PM_10[ILO],,-1))
/
(_xlfn.XLOOKUP(C260,[1]!PM_10[BLO],[1]!PM_10[BHI],,-1) - _xlfn.XLOOKUP(C260,[1]!PM_10[BLO],[1]!PM_10[BLO],,-1)))
*
( C260 - _xlfn.XLOOKUP(C260,[1]!PM_10[BLO],[1]!PM_10[BLO],,-1))
+
_xlfn.XLOOKUP(C260,[1]!PM_10[BLO],[1]!PM_10[ILO],,-1),2)</f>
        <v>50</v>
      </c>
      <c r="J260">
        <f>ROUND((( _xlfn.XLOOKUP(D260,[1]!NO_2[BLO],[1]!NO_2[IHI],,-1) - _xlfn.XLOOKUP(D260,[1]!NO_2[BLO],[1]!NO_2[ILO],,-1))
/
( _xlfn.XLOOKUP(D260,[1]!NO_2[BLO],[1]!NO_2[BHI],,-1) - _xlfn.XLOOKUP(D260,[1]!NO_2[BLO],[1]!NO_2[BLO],,-1) ))
*
( D260 - _xlfn.XLOOKUP(D260,[1]!NO_2[BLO],[1]!NO_2[BLO],,-1))
+
_xlfn.XLOOKUP(D260,[1]!NO_2[BLO],[1]!NO_2[ILO],,-1),2)</f>
        <v>18.75</v>
      </c>
      <c r="K260">
        <f>ROUND(( ( _xlfn.XLOOKUP(E260,[1]!SO_2[BLO],[1]!SO_2[IHI],,-1)  - _xlfn.XLOOKUP(E260,[1]!SO_2[BLO],[1]!SO_2[ILO],,-1) )
/
( _xlfn.XLOOKUP(E260,[1]!SO_2[BLO],[1]!SO_2[BHI],,-1)- _xlfn.XLOOKUP(E260,[1]!SO_2[BLO],[1]!SO_2[BLO],,-1) ))
*
( E260 - _xlfn.XLOOKUP(E260,[1]!SO_2[BLO],[1]!SO_2[BLO],,-1) )
+
_xlfn.XLOOKUP(E260,[1]!SO_2[BLO],[1]!SO_2[ILO],,-1),2)</f>
        <v>10</v>
      </c>
      <c r="L260">
        <f>( ( _xlfn.XLOOKUP(F260,[1]!CO[BLO],[1]!CO[IHI],,-1)
- _xlfn.XLOOKUP(F260,[1]!CO[BLO],[1]!CO[ILO],,-1) )
/
( _xlfn.XLOOKUP(F260,[1]!CO[BLO],[1]!CO[BHI],,-1) - _xlfn.XLOOKUP(F260,[1]!CO[BLO],[1]!CO[BLO],,-1)))
*
( F260 - _xlfn.XLOOKUP(F260,[1]!CO[BLO],[1]!CO[BLO],,-1) )
+
_xlfn.XLOOKUP(F260,[1]!CO[BLO],[1]!CO[ILO],,-1)</f>
        <v>34</v>
      </c>
      <c r="M260">
        <f>(( _xlfn.XLOOKUP(G260,[1]!O_3[BLO],[1]!O_3[IHI],,-1) - _xlfn.XLOOKUP(G260,[1]!O_3[BLO],[1]!O_3[ILO],,-1))
/
( _xlfn.XLOOKUP(G260,[1]!O_3[BLO],[1]!O_3[BHI],,-1) - _xlfn.XLOOKUP(G260,[1]!O_3[BLO],[1]!O_3[BLO],,-1)))
*
( G260 - _xlfn.XLOOKUP(G260,[1]!O_3[BLO],[1]!O_3[BLO],,-1))
+
_xlfn.XLOOKUP(G260,[1]!O_3[BLO],[1]!O_3[ILO],,-1)</f>
        <v>22</v>
      </c>
      <c r="N260">
        <f>MAX(DAILY_DATA[[#This Row],[AQI_PM2.5]:[AQI_O3]])</f>
        <v>50</v>
      </c>
      <c r="O260" t="str">
        <f>_xlfn.XLOOKUP(DAILY_DATA[[#This Row],[OVERALL_AQI]],[1]!CATEGORY[AQI_LO],[1]!CATEGORY[CATEGORY],,-1)</f>
        <v>Good</v>
      </c>
      <c r="P260" t="str" cm="1">
        <f t="array" ref="P260">INDEX(
{"PM2.5","PM10","NO2","SO2","CO","O3"},
MATCH(N260,H260:M260,0)
)</f>
        <v>PM10</v>
      </c>
    </row>
    <row r="261" spans="1:16" x14ac:dyDescent="0.25">
      <c r="A261" s="4">
        <v>45551</v>
      </c>
      <c r="B261">
        <f>ROUND(AVERAGEIFS([1]HOURLY_DATA!B261:B9044,[1]HOURLY_DATA!H261:H9044,Daily_AQI!A261),0)</f>
        <v>23</v>
      </c>
      <c r="C261">
        <f>ROUND(AVERAGEIFS([1]HOURLY_DATA!C261:C9044,[1]HOURLY_DATA!H261:H9044,Daily_AQI!A261),0)</f>
        <v>49</v>
      </c>
      <c r="D261">
        <f>ROUND(AVERAGEIFS([1]HOURLY_DATA!D261:D9044,[1]HOURLY_DATA!H261:H9044,Daily_AQI!A261),0)</f>
        <v>15</v>
      </c>
      <c r="E261">
        <f>ROUND(AVERAGEIFS([1]HOURLY_DATA!E261:E9044,[1]HOURLY_DATA!H261:H9044,Daily_AQI!A261),0)</f>
        <v>8</v>
      </c>
      <c r="F261">
        <f>ROUND(AVERAGEIFS([1]HOURLY_DATA!I261:I9044,[1]HOURLY_DATA!H261:H9044,Daily_AQI!A261),2)</f>
        <v>0.68</v>
      </c>
      <c r="G261">
        <f>ROUND(AVERAGEIFS([1]HOURLY_DATA!J261:J9044,[1]HOURLY_DATA!H261:H9044,Daily_AQI!A261),0)</f>
        <v>21</v>
      </c>
      <c r="H261">
        <f>ROUND(((_xlfn.XLOOKUP(B261,[1]!PM2.5[BLO],[1]!PM2.5[IHI],,-1) - _xlfn.XLOOKUP(B261,[1]!PM2.5[BLO],[1]!PM2.5[ILO],,-1))
/
(_xlfn.XLOOKUP(B261,[1]!PM2.5[BLO],[1]!PM2.5[BHI],,-1) - _xlfn.XLOOKUP(B261,[1]!PM2.5[BLO],[1]!PM2.5[BLO],,-1)))
*
(B261 - _xlfn.XLOOKUP(B261,[1]!PM2.5[BLO],[1]!PM2.5[BLO],,-1))
+
_xlfn.XLOOKUP(B261,[1]!PM2.5[BLO],[1]!PM2.5[ILO],,-1),2)</f>
        <v>38.33</v>
      </c>
      <c r="I261">
        <f>ROUND(((_xlfn.XLOOKUP(C261,[1]!PM_10[BLO],[1]!PM_10[IHI],,-1) - _xlfn.XLOOKUP(C261,[1]!PM_10[BLO],[1]!PM_10[ILO],,-1))
/
(_xlfn.XLOOKUP(C261,[1]!PM_10[BLO],[1]!PM_10[BHI],,-1) - _xlfn.XLOOKUP(C261,[1]!PM_10[BLO],[1]!PM_10[BLO],,-1)))
*
( C261 - _xlfn.XLOOKUP(C261,[1]!PM_10[BLO],[1]!PM_10[BLO],,-1))
+
_xlfn.XLOOKUP(C261,[1]!PM_10[BLO],[1]!PM_10[ILO],,-1),2)</f>
        <v>49</v>
      </c>
      <c r="J261">
        <f>ROUND((( _xlfn.XLOOKUP(D261,[1]!NO_2[BLO],[1]!NO_2[IHI],,-1) - _xlfn.XLOOKUP(D261,[1]!NO_2[BLO],[1]!NO_2[ILO],,-1))
/
( _xlfn.XLOOKUP(D261,[1]!NO_2[BLO],[1]!NO_2[BHI],,-1) - _xlfn.XLOOKUP(D261,[1]!NO_2[BLO],[1]!NO_2[BLO],,-1) ))
*
( D261 - _xlfn.XLOOKUP(D261,[1]!NO_2[BLO],[1]!NO_2[BLO],,-1))
+
_xlfn.XLOOKUP(D261,[1]!NO_2[BLO],[1]!NO_2[ILO],,-1),2)</f>
        <v>18.75</v>
      </c>
      <c r="K261">
        <f>ROUND(( ( _xlfn.XLOOKUP(E261,[1]!SO_2[BLO],[1]!SO_2[IHI],,-1)  - _xlfn.XLOOKUP(E261,[1]!SO_2[BLO],[1]!SO_2[ILO],,-1) )
/
( _xlfn.XLOOKUP(E261,[1]!SO_2[BLO],[1]!SO_2[BHI],,-1)- _xlfn.XLOOKUP(E261,[1]!SO_2[BLO],[1]!SO_2[BLO],,-1) ))
*
( E261 - _xlfn.XLOOKUP(E261,[1]!SO_2[BLO],[1]!SO_2[BLO],,-1) )
+
_xlfn.XLOOKUP(E261,[1]!SO_2[BLO],[1]!SO_2[ILO],,-1),2)</f>
        <v>10</v>
      </c>
      <c r="L261">
        <f>( ( _xlfn.XLOOKUP(F261,[1]!CO[BLO],[1]!CO[IHI],,-1)
- _xlfn.XLOOKUP(F261,[1]!CO[BLO],[1]!CO[ILO],,-1) )
/
( _xlfn.XLOOKUP(F261,[1]!CO[BLO],[1]!CO[BHI],,-1) - _xlfn.XLOOKUP(F261,[1]!CO[BLO],[1]!CO[BLO],,-1)))
*
( F261 - _xlfn.XLOOKUP(F261,[1]!CO[BLO],[1]!CO[BLO],,-1) )
+
_xlfn.XLOOKUP(F261,[1]!CO[BLO],[1]!CO[ILO],,-1)</f>
        <v>34</v>
      </c>
      <c r="M261">
        <f>(( _xlfn.XLOOKUP(G261,[1]!O_3[BLO],[1]!O_3[IHI],,-1) - _xlfn.XLOOKUP(G261,[1]!O_3[BLO],[1]!O_3[ILO],,-1))
/
( _xlfn.XLOOKUP(G261,[1]!O_3[BLO],[1]!O_3[BHI],,-1) - _xlfn.XLOOKUP(G261,[1]!O_3[BLO],[1]!O_3[BLO],,-1)))
*
( G261 - _xlfn.XLOOKUP(G261,[1]!O_3[BLO],[1]!O_3[BLO],,-1))
+
_xlfn.XLOOKUP(G261,[1]!O_3[BLO],[1]!O_3[ILO],,-1)</f>
        <v>21</v>
      </c>
      <c r="N261">
        <f>MAX(DAILY_DATA[[#This Row],[AQI_PM2.5]:[AQI_O3]])</f>
        <v>49</v>
      </c>
      <c r="O261" t="str">
        <f>_xlfn.XLOOKUP(DAILY_DATA[[#This Row],[OVERALL_AQI]],[1]!CATEGORY[AQI_LO],[1]!CATEGORY[CATEGORY],,-1)</f>
        <v>Good</v>
      </c>
      <c r="P261" t="str" cm="1">
        <f t="array" ref="P261">INDEX(
{"PM2.5","PM10","NO2","SO2","CO","O3"},
MATCH(N261,H261:M261,0)
)</f>
        <v>PM10</v>
      </c>
    </row>
    <row r="262" spans="1:16" x14ac:dyDescent="0.25">
      <c r="A262" s="4">
        <v>45552</v>
      </c>
      <c r="B262">
        <f>ROUND(AVERAGEIFS([1]HOURLY_DATA!B262:B9045,[1]HOURLY_DATA!H262:H9045,Daily_AQI!A262),0)</f>
        <v>22</v>
      </c>
      <c r="C262">
        <f>ROUND(AVERAGEIFS([1]HOURLY_DATA!C262:C9045,[1]HOURLY_DATA!H262:H9045,Daily_AQI!A262),0)</f>
        <v>46</v>
      </c>
      <c r="D262">
        <f>ROUND(AVERAGEIFS([1]HOURLY_DATA!D262:D9045,[1]HOURLY_DATA!H262:H9045,Daily_AQI!A262),0)</f>
        <v>16</v>
      </c>
      <c r="E262">
        <f>ROUND(AVERAGEIFS([1]HOURLY_DATA!E262:E9045,[1]HOURLY_DATA!H262:H9045,Daily_AQI!A262),0)</f>
        <v>9</v>
      </c>
      <c r="F262">
        <f>ROUND(AVERAGEIFS([1]HOURLY_DATA!I262:I9045,[1]HOURLY_DATA!H262:H9045,Daily_AQI!A262),2)</f>
        <v>0.68</v>
      </c>
      <c r="G262">
        <f>ROUND(AVERAGEIFS([1]HOURLY_DATA!J262:J9045,[1]HOURLY_DATA!H262:H9045,Daily_AQI!A262),0)</f>
        <v>21</v>
      </c>
      <c r="H262">
        <f>ROUND(((_xlfn.XLOOKUP(B262,[1]!PM2.5[BLO],[1]!PM2.5[IHI],,-1) - _xlfn.XLOOKUP(B262,[1]!PM2.5[BLO],[1]!PM2.5[ILO],,-1))
/
(_xlfn.XLOOKUP(B262,[1]!PM2.5[BLO],[1]!PM2.5[BHI],,-1) - _xlfn.XLOOKUP(B262,[1]!PM2.5[BLO],[1]!PM2.5[BLO],,-1)))
*
(B262 - _xlfn.XLOOKUP(B262,[1]!PM2.5[BLO],[1]!PM2.5[BLO],,-1))
+
_xlfn.XLOOKUP(B262,[1]!PM2.5[BLO],[1]!PM2.5[ILO],,-1),2)</f>
        <v>36.67</v>
      </c>
      <c r="I262">
        <f>ROUND(((_xlfn.XLOOKUP(C262,[1]!PM_10[BLO],[1]!PM_10[IHI],,-1) - _xlfn.XLOOKUP(C262,[1]!PM_10[BLO],[1]!PM_10[ILO],,-1))
/
(_xlfn.XLOOKUP(C262,[1]!PM_10[BLO],[1]!PM_10[BHI],,-1) - _xlfn.XLOOKUP(C262,[1]!PM_10[BLO],[1]!PM_10[BLO],,-1)))
*
( C262 - _xlfn.XLOOKUP(C262,[1]!PM_10[BLO],[1]!PM_10[BLO],,-1))
+
_xlfn.XLOOKUP(C262,[1]!PM_10[BLO],[1]!PM_10[ILO],,-1),2)</f>
        <v>46</v>
      </c>
      <c r="J262">
        <f>ROUND((( _xlfn.XLOOKUP(D262,[1]!NO_2[BLO],[1]!NO_2[IHI],,-1) - _xlfn.XLOOKUP(D262,[1]!NO_2[BLO],[1]!NO_2[ILO],,-1))
/
( _xlfn.XLOOKUP(D262,[1]!NO_2[BLO],[1]!NO_2[BHI],,-1) - _xlfn.XLOOKUP(D262,[1]!NO_2[BLO],[1]!NO_2[BLO],,-1) ))
*
( D262 - _xlfn.XLOOKUP(D262,[1]!NO_2[BLO],[1]!NO_2[BLO],,-1))
+
_xlfn.XLOOKUP(D262,[1]!NO_2[BLO],[1]!NO_2[ILO],,-1),2)</f>
        <v>20</v>
      </c>
      <c r="K262">
        <f>ROUND(( ( _xlfn.XLOOKUP(E262,[1]!SO_2[BLO],[1]!SO_2[IHI],,-1)  - _xlfn.XLOOKUP(E262,[1]!SO_2[BLO],[1]!SO_2[ILO],,-1) )
/
( _xlfn.XLOOKUP(E262,[1]!SO_2[BLO],[1]!SO_2[BHI],,-1)- _xlfn.XLOOKUP(E262,[1]!SO_2[BLO],[1]!SO_2[BLO],,-1) ))
*
( E262 - _xlfn.XLOOKUP(E262,[1]!SO_2[BLO],[1]!SO_2[BLO],,-1) )
+
_xlfn.XLOOKUP(E262,[1]!SO_2[BLO],[1]!SO_2[ILO],,-1),2)</f>
        <v>11.25</v>
      </c>
      <c r="L262">
        <f>( ( _xlfn.XLOOKUP(F262,[1]!CO[BLO],[1]!CO[IHI],,-1)
- _xlfn.XLOOKUP(F262,[1]!CO[BLO],[1]!CO[ILO],,-1) )
/
( _xlfn.XLOOKUP(F262,[1]!CO[BLO],[1]!CO[BHI],,-1) - _xlfn.XLOOKUP(F262,[1]!CO[BLO],[1]!CO[BLO],,-1)))
*
( F262 - _xlfn.XLOOKUP(F262,[1]!CO[BLO],[1]!CO[BLO],,-1) )
+
_xlfn.XLOOKUP(F262,[1]!CO[BLO],[1]!CO[ILO],,-1)</f>
        <v>34</v>
      </c>
      <c r="M262">
        <f>(( _xlfn.XLOOKUP(G262,[1]!O_3[BLO],[1]!O_3[IHI],,-1) - _xlfn.XLOOKUP(G262,[1]!O_3[BLO],[1]!O_3[ILO],,-1))
/
( _xlfn.XLOOKUP(G262,[1]!O_3[BLO],[1]!O_3[BHI],,-1) - _xlfn.XLOOKUP(G262,[1]!O_3[BLO],[1]!O_3[BLO],,-1)))
*
( G262 - _xlfn.XLOOKUP(G262,[1]!O_3[BLO],[1]!O_3[BLO],,-1))
+
_xlfn.XLOOKUP(G262,[1]!O_3[BLO],[1]!O_3[ILO],,-1)</f>
        <v>21</v>
      </c>
      <c r="N262">
        <f>MAX(DAILY_DATA[[#This Row],[AQI_PM2.5]:[AQI_O3]])</f>
        <v>46</v>
      </c>
      <c r="O262" t="str">
        <f>_xlfn.XLOOKUP(DAILY_DATA[[#This Row],[OVERALL_AQI]],[1]!CATEGORY[AQI_LO],[1]!CATEGORY[CATEGORY],,-1)</f>
        <v>Good</v>
      </c>
      <c r="P262" t="str" cm="1">
        <f t="array" ref="P262">INDEX(
{"PM2.5","PM10","NO2","SO2","CO","O3"},
MATCH(N262,H262:M262,0)
)</f>
        <v>PM10</v>
      </c>
    </row>
    <row r="263" spans="1:16" x14ac:dyDescent="0.25">
      <c r="A263" s="4">
        <v>45553</v>
      </c>
      <c r="B263">
        <f>ROUND(AVERAGEIFS([1]HOURLY_DATA!B263:B9046,[1]HOURLY_DATA!H263:H9046,Daily_AQI!A263),0)</f>
        <v>27</v>
      </c>
      <c r="C263">
        <f>ROUND(AVERAGEIFS([1]HOURLY_DATA!C263:C9046,[1]HOURLY_DATA!H263:H9046,Daily_AQI!A263),0)</f>
        <v>66</v>
      </c>
      <c r="D263">
        <f>ROUND(AVERAGEIFS([1]HOURLY_DATA!D263:D9046,[1]HOURLY_DATA!H263:H9046,Daily_AQI!A263),0)</f>
        <v>16</v>
      </c>
      <c r="E263">
        <f>ROUND(AVERAGEIFS([1]HOURLY_DATA!E263:E9046,[1]HOURLY_DATA!H263:H9046,Daily_AQI!A263),0)</f>
        <v>9</v>
      </c>
      <c r="F263">
        <f>ROUND(AVERAGEIFS([1]HOURLY_DATA!I263:I9046,[1]HOURLY_DATA!H263:H9046,Daily_AQI!A263),2)</f>
        <v>0.7</v>
      </c>
      <c r="G263">
        <f>ROUND(AVERAGEIFS([1]HOURLY_DATA!J263:J9046,[1]HOURLY_DATA!H263:H9046,Daily_AQI!A263),0)</f>
        <v>23</v>
      </c>
      <c r="H263">
        <f>ROUND(((_xlfn.XLOOKUP(B263,[1]!PM2.5[BLO],[1]!PM2.5[IHI],,-1) - _xlfn.XLOOKUP(B263,[1]!PM2.5[BLO],[1]!PM2.5[ILO],,-1))
/
(_xlfn.XLOOKUP(B263,[1]!PM2.5[BLO],[1]!PM2.5[BHI],,-1) - _xlfn.XLOOKUP(B263,[1]!PM2.5[BLO],[1]!PM2.5[BLO],,-1)))
*
(B263 - _xlfn.XLOOKUP(B263,[1]!PM2.5[BLO],[1]!PM2.5[BLO],,-1))
+
_xlfn.XLOOKUP(B263,[1]!PM2.5[BLO],[1]!PM2.5[ILO],,-1),2)</f>
        <v>45</v>
      </c>
      <c r="I263">
        <f>ROUND(((_xlfn.XLOOKUP(C263,[1]!PM_10[BLO],[1]!PM_10[IHI],,-1) - _xlfn.XLOOKUP(C263,[1]!PM_10[BLO],[1]!PM_10[ILO],,-1))
/
(_xlfn.XLOOKUP(C263,[1]!PM_10[BLO],[1]!PM_10[BHI],,-1) - _xlfn.XLOOKUP(C263,[1]!PM_10[BLO],[1]!PM_10[BLO],,-1)))
*
( C263 - _xlfn.XLOOKUP(C263,[1]!PM_10[BLO],[1]!PM_10[BLO],,-1))
+
_xlfn.XLOOKUP(C263,[1]!PM_10[BLO],[1]!PM_10[ILO],,-1),2)</f>
        <v>66</v>
      </c>
      <c r="J263">
        <f>ROUND((( _xlfn.XLOOKUP(D263,[1]!NO_2[BLO],[1]!NO_2[IHI],,-1) - _xlfn.XLOOKUP(D263,[1]!NO_2[BLO],[1]!NO_2[ILO],,-1))
/
( _xlfn.XLOOKUP(D263,[1]!NO_2[BLO],[1]!NO_2[BHI],,-1) - _xlfn.XLOOKUP(D263,[1]!NO_2[BLO],[1]!NO_2[BLO],,-1) ))
*
( D263 - _xlfn.XLOOKUP(D263,[1]!NO_2[BLO],[1]!NO_2[BLO],,-1))
+
_xlfn.XLOOKUP(D263,[1]!NO_2[BLO],[1]!NO_2[ILO],,-1),2)</f>
        <v>20</v>
      </c>
      <c r="K263">
        <f>ROUND(( ( _xlfn.XLOOKUP(E263,[1]!SO_2[BLO],[1]!SO_2[IHI],,-1)  - _xlfn.XLOOKUP(E263,[1]!SO_2[BLO],[1]!SO_2[ILO],,-1) )
/
( _xlfn.XLOOKUP(E263,[1]!SO_2[BLO],[1]!SO_2[BHI],,-1)- _xlfn.XLOOKUP(E263,[1]!SO_2[BLO],[1]!SO_2[BLO],,-1) ))
*
( E263 - _xlfn.XLOOKUP(E263,[1]!SO_2[BLO],[1]!SO_2[BLO],,-1) )
+
_xlfn.XLOOKUP(E263,[1]!SO_2[BLO],[1]!SO_2[ILO],,-1),2)</f>
        <v>11.25</v>
      </c>
      <c r="L263">
        <f>( ( _xlfn.XLOOKUP(F263,[1]!CO[BLO],[1]!CO[IHI],,-1)
- _xlfn.XLOOKUP(F263,[1]!CO[BLO],[1]!CO[ILO],,-1) )
/
( _xlfn.XLOOKUP(F263,[1]!CO[BLO],[1]!CO[BHI],,-1) - _xlfn.XLOOKUP(F263,[1]!CO[BLO],[1]!CO[BLO],,-1)))
*
( F263 - _xlfn.XLOOKUP(F263,[1]!CO[BLO],[1]!CO[BLO],,-1) )
+
_xlfn.XLOOKUP(F263,[1]!CO[BLO],[1]!CO[ILO],,-1)</f>
        <v>35</v>
      </c>
      <c r="M263">
        <f>(( _xlfn.XLOOKUP(G263,[1]!O_3[BLO],[1]!O_3[IHI],,-1) - _xlfn.XLOOKUP(G263,[1]!O_3[BLO],[1]!O_3[ILO],,-1))
/
( _xlfn.XLOOKUP(G263,[1]!O_3[BLO],[1]!O_3[BHI],,-1) - _xlfn.XLOOKUP(G263,[1]!O_3[BLO],[1]!O_3[BLO],,-1)))
*
( G263 - _xlfn.XLOOKUP(G263,[1]!O_3[BLO],[1]!O_3[BLO],,-1))
+
_xlfn.XLOOKUP(G263,[1]!O_3[BLO],[1]!O_3[ILO],,-1)</f>
        <v>23</v>
      </c>
      <c r="N263">
        <f>MAX(DAILY_DATA[[#This Row],[AQI_PM2.5]:[AQI_O3]])</f>
        <v>66</v>
      </c>
      <c r="O263" t="str">
        <f>_xlfn.XLOOKUP(DAILY_DATA[[#This Row],[OVERALL_AQI]],[1]!CATEGORY[AQI_LO],[1]!CATEGORY[CATEGORY],,-1)</f>
        <v>Satisfactory</v>
      </c>
      <c r="P263" t="str" cm="1">
        <f t="array" ref="P263">INDEX(
{"PM2.5","PM10","NO2","SO2","CO","O3"},
MATCH(N263,H263:M263,0)
)</f>
        <v>PM10</v>
      </c>
    </row>
    <row r="264" spans="1:16" x14ac:dyDescent="0.25">
      <c r="A264" s="4">
        <v>45554</v>
      </c>
      <c r="B264">
        <f>ROUND(AVERAGEIFS([1]HOURLY_DATA!B264:B9047,[1]HOURLY_DATA!H264:H9047,Daily_AQI!A264),0)</f>
        <v>29</v>
      </c>
      <c r="C264">
        <f>ROUND(AVERAGEIFS([1]HOURLY_DATA!C264:C9047,[1]HOURLY_DATA!H264:H9047,Daily_AQI!A264),0)</f>
        <v>69</v>
      </c>
      <c r="D264">
        <f>ROUND(AVERAGEIFS([1]HOURLY_DATA!D264:D9047,[1]HOURLY_DATA!H264:H9047,Daily_AQI!A264),0)</f>
        <v>16</v>
      </c>
      <c r="E264">
        <f>ROUND(AVERAGEIFS([1]HOURLY_DATA!E264:E9047,[1]HOURLY_DATA!H264:H9047,Daily_AQI!A264),0)</f>
        <v>7</v>
      </c>
      <c r="F264">
        <f>ROUND(AVERAGEIFS([1]HOURLY_DATA!I264:I9047,[1]HOURLY_DATA!H264:H9047,Daily_AQI!A264),2)</f>
        <v>0.74</v>
      </c>
      <c r="G264">
        <f>ROUND(AVERAGEIFS([1]HOURLY_DATA!J264:J9047,[1]HOURLY_DATA!H264:H9047,Daily_AQI!A264),0)</f>
        <v>23</v>
      </c>
      <c r="H264">
        <f>ROUND(((_xlfn.XLOOKUP(B264,[1]!PM2.5[BLO],[1]!PM2.5[IHI],,-1) - _xlfn.XLOOKUP(B264,[1]!PM2.5[BLO],[1]!PM2.5[ILO],,-1))
/
(_xlfn.XLOOKUP(B264,[1]!PM2.5[BLO],[1]!PM2.5[BHI],,-1) - _xlfn.XLOOKUP(B264,[1]!PM2.5[BLO],[1]!PM2.5[BLO],,-1)))
*
(B264 - _xlfn.XLOOKUP(B264,[1]!PM2.5[BLO],[1]!PM2.5[BLO],,-1))
+
_xlfn.XLOOKUP(B264,[1]!PM2.5[BLO],[1]!PM2.5[ILO],,-1),2)</f>
        <v>48.33</v>
      </c>
      <c r="I264">
        <f>ROUND(((_xlfn.XLOOKUP(C264,[1]!PM_10[BLO],[1]!PM_10[IHI],,-1) - _xlfn.XLOOKUP(C264,[1]!PM_10[BLO],[1]!PM_10[ILO],,-1))
/
(_xlfn.XLOOKUP(C264,[1]!PM_10[BLO],[1]!PM_10[BHI],,-1) - _xlfn.XLOOKUP(C264,[1]!PM_10[BLO],[1]!PM_10[BLO],,-1)))
*
( C264 - _xlfn.XLOOKUP(C264,[1]!PM_10[BLO],[1]!PM_10[BLO],,-1))
+
_xlfn.XLOOKUP(C264,[1]!PM_10[BLO],[1]!PM_10[ILO],,-1),2)</f>
        <v>69</v>
      </c>
      <c r="J264">
        <f>ROUND((( _xlfn.XLOOKUP(D264,[1]!NO_2[BLO],[1]!NO_2[IHI],,-1) - _xlfn.XLOOKUP(D264,[1]!NO_2[BLO],[1]!NO_2[ILO],,-1))
/
( _xlfn.XLOOKUP(D264,[1]!NO_2[BLO],[1]!NO_2[BHI],,-1) - _xlfn.XLOOKUP(D264,[1]!NO_2[BLO],[1]!NO_2[BLO],,-1) ))
*
( D264 - _xlfn.XLOOKUP(D264,[1]!NO_2[BLO],[1]!NO_2[BLO],,-1))
+
_xlfn.XLOOKUP(D264,[1]!NO_2[BLO],[1]!NO_2[ILO],,-1),2)</f>
        <v>20</v>
      </c>
      <c r="K264">
        <f>ROUND(( ( _xlfn.XLOOKUP(E264,[1]!SO_2[BLO],[1]!SO_2[IHI],,-1)  - _xlfn.XLOOKUP(E264,[1]!SO_2[BLO],[1]!SO_2[ILO],,-1) )
/
( _xlfn.XLOOKUP(E264,[1]!SO_2[BLO],[1]!SO_2[BHI],,-1)- _xlfn.XLOOKUP(E264,[1]!SO_2[BLO],[1]!SO_2[BLO],,-1) ))
*
( E264 - _xlfn.XLOOKUP(E264,[1]!SO_2[BLO],[1]!SO_2[BLO],,-1) )
+
_xlfn.XLOOKUP(E264,[1]!SO_2[BLO],[1]!SO_2[ILO],,-1),2)</f>
        <v>8.75</v>
      </c>
      <c r="L264">
        <f>( ( _xlfn.XLOOKUP(F264,[1]!CO[BLO],[1]!CO[IHI],,-1)
- _xlfn.XLOOKUP(F264,[1]!CO[BLO],[1]!CO[ILO],,-1) )
/
( _xlfn.XLOOKUP(F264,[1]!CO[BLO],[1]!CO[BHI],,-1) - _xlfn.XLOOKUP(F264,[1]!CO[BLO],[1]!CO[BLO],,-1)))
*
( F264 - _xlfn.XLOOKUP(F264,[1]!CO[BLO],[1]!CO[BLO],,-1) )
+
_xlfn.XLOOKUP(F264,[1]!CO[BLO],[1]!CO[ILO],,-1)</f>
        <v>37</v>
      </c>
      <c r="M264">
        <f>(( _xlfn.XLOOKUP(G264,[1]!O_3[BLO],[1]!O_3[IHI],,-1) - _xlfn.XLOOKUP(G264,[1]!O_3[BLO],[1]!O_3[ILO],,-1))
/
( _xlfn.XLOOKUP(G264,[1]!O_3[BLO],[1]!O_3[BHI],,-1) - _xlfn.XLOOKUP(G264,[1]!O_3[BLO],[1]!O_3[BLO],,-1)))
*
( G264 - _xlfn.XLOOKUP(G264,[1]!O_3[BLO],[1]!O_3[BLO],,-1))
+
_xlfn.XLOOKUP(G264,[1]!O_3[BLO],[1]!O_3[ILO],,-1)</f>
        <v>23</v>
      </c>
      <c r="N264">
        <f>MAX(DAILY_DATA[[#This Row],[AQI_PM2.5]:[AQI_O3]])</f>
        <v>69</v>
      </c>
      <c r="O264" t="str">
        <f>_xlfn.XLOOKUP(DAILY_DATA[[#This Row],[OVERALL_AQI]],[1]!CATEGORY[AQI_LO],[1]!CATEGORY[CATEGORY],,-1)</f>
        <v>Satisfactory</v>
      </c>
      <c r="P264" t="str" cm="1">
        <f t="array" ref="P264">INDEX(
{"PM2.5","PM10","NO2","SO2","CO","O3"},
MATCH(N264,H264:M264,0)
)</f>
        <v>PM10</v>
      </c>
    </row>
    <row r="265" spans="1:16" x14ac:dyDescent="0.25">
      <c r="A265" s="4">
        <v>45555</v>
      </c>
      <c r="B265">
        <f>ROUND(AVERAGEIFS([1]HOURLY_DATA!B265:B9048,[1]HOURLY_DATA!H265:H9048,Daily_AQI!A265),0)</f>
        <v>29</v>
      </c>
      <c r="C265">
        <f>ROUND(AVERAGEIFS([1]HOURLY_DATA!C265:C9048,[1]HOURLY_DATA!H265:H9048,Daily_AQI!A265),0)</f>
        <v>61</v>
      </c>
      <c r="D265">
        <f>ROUND(AVERAGEIFS([1]HOURLY_DATA!D265:D9048,[1]HOURLY_DATA!H265:H9048,Daily_AQI!A265),0)</f>
        <v>17</v>
      </c>
      <c r="E265">
        <f>ROUND(AVERAGEIFS([1]HOURLY_DATA!E265:E9048,[1]HOURLY_DATA!H265:H9048,Daily_AQI!A265),0)</f>
        <v>9</v>
      </c>
      <c r="F265">
        <f>ROUND(AVERAGEIFS([1]HOURLY_DATA!I265:I9048,[1]HOURLY_DATA!H265:H9048,Daily_AQI!A265),2)</f>
        <v>0.69</v>
      </c>
      <c r="G265">
        <f>ROUND(AVERAGEIFS([1]HOURLY_DATA!J265:J9048,[1]HOURLY_DATA!H265:H9048,Daily_AQI!A265),0)</f>
        <v>23</v>
      </c>
      <c r="H265">
        <f>ROUND(((_xlfn.XLOOKUP(B265,[1]!PM2.5[BLO],[1]!PM2.5[IHI],,-1) - _xlfn.XLOOKUP(B265,[1]!PM2.5[BLO],[1]!PM2.5[ILO],,-1))
/
(_xlfn.XLOOKUP(B265,[1]!PM2.5[BLO],[1]!PM2.5[BHI],,-1) - _xlfn.XLOOKUP(B265,[1]!PM2.5[BLO],[1]!PM2.5[BLO],,-1)))
*
(B265 - _xlfn.XLOOKUP(B265,[1]!PM2.5[BLO],[1]!PM2.5[BLO],,-1))
+
_xlfn.XLOOKUP(B265,[1]!PM2.5[BLO],[1]!PM2.5[ILO],,-1),2)</f>
        <v>48.33</v>
      </c>
      <c r="I265">
        <f>ROUND(((_xlfn.XLOOKUP(C265,[1]!PM_10[BLO],[1]!PM_10[IHI],,-1) - _xlfn.XLOOKUP(C265,[1]!PM_10[BLO],[1]!PM_10[ILO],,-1))
/
(_xlfn.XLOOKUP(C265,[1]!PM_10[BLO],[1]!PM_10[BHI],,-1) - _xlfn.XLOOKUP(C265,[1]!PM_10[BLO],[1]!PM_10[BLO],,-1)))
*
( C265 - _xlfn.XLOOKUP(C265,[1]!PM_10[BLO],[1]!PM_10[BLO],,-1))
+
_xlfn.XLOOKUP(C265,[1]!PM_10[BLO],[1]!PM_10[ILO],,-1),2)</f>
        <v>61</v>
      </c>
      <c r="J265">
        <f>ROUND((( _xlfn.XLOOKUP(D265,[1]!NO_2[BLO],[1]!NO_2[IHI],,-1) - _xlfn.XLOOKUP(D265,[1]!NO_2[BLO],[1]!NO_2[ILO],,-1))
/
( _xlfn.XLOOKUP(D265,[1]!NO_2[BLO],[1]!NO_2[BHI],,-1) - _xlfn.XLOOKUP(D265,[1]!NO_2[BLO],[1]!NO_2[BLO],,-1) ))
*
( D265 - _xlfn.XLOOKUP(D265,[1]!NO_2[BLO],[1]!NO_2[BLO],,-1))
+
_xlfn.XLOOKUP(D265,[1]!NO_2[BLO],[1]!NO_2[ILO],,-1),2)</f>
        <v>21.25</v>
      </c>
      <c r="K265">
        <f>ROUND(( ( _xlfn.XLOOKUP(E265,[1]!SO_2[BLO],[1]!SO_2[IHI],,-1)  - _xlfn.XLOOKUP(E265,[1]!SO_2[BLO],[1]!SO_2[ILO],,-1) )
/
( _xlfn.XLOOKUP(E265,[1]!SO_2[BLO],[1]!SO_2[BHI],,-1)- _xlfn.XLOOKUP(E265,[1]!SO_2[BLO],[1]!SO_2[BLO],,-1) ))
*
( E265 - _xlfn.XLOOKUP(E265,[1]!SO_2[BLO],[1]!SO_2[BLO],,-1) )
+
_xlfn.XLOOKUP(E265,[1]!SO_2[BLO],[1]!SO_2[ILO],,-1),2)</f>
        <v>11.25</v>
      </c>
      <c r="L265">
        <f>( ( _xlfn.XLOOKUP(F265,[1]!CO[BLO],[1]!CO[IHI],,-1)
- _xlfn.XLOOKUP(F265,[1]!CO[BLO],[1]!CO[ILO],,-1) )
/
( _xlfn.XLOOKUP(F265,[1]!CO[BLO],[1]!CO[BHI],,-1) - _xlfn.XLOOKUP(F265,[1]!CO[BLO],[1]!CO[BLO],,-1)))
*
( F265 - _xlfn.XLOOKUP(F265,[1]!CO[BLO],[1]!CO[BLO],,-1) )
+
_xlfn.XLOOKUP(F265,[1]!CO[BLO],[1]!CO[ILO],,-1)</f>
        <v>34.5</v>
      </c>
      <c r="M265">
        <f>(( _xlfn.XLOOKUP(G265,[1]!O_3[BLO],[1]!O_3[IHI],,-1) - _xlfn.XLOOKUP(G265,[1]!O_3[BLO],[1]!O_3[ILO],,-1))
/
( _xlfn.XLOOKUP(G265,[1]!O_3[BLO],[1]!O_3[BHI],,-1) - _xlfn.XLOOKUP(G265,[1]!O_3[BLO],[1]!O_3[BLO],,-1)))
*
( G265 - _xlfn.XLOOKUP(G265,[1]!O_3[BLO],[1]!O_3[BLO],,-1))
+
_xlfn.XLOOKUP(G265,[1]!O_3[BLO],[1]!O_3[ILO],,-1)</f>
        <v>23</v>
      </c>
      <c r="N265">
        <f>MAX(DAILY_DATA[[#This Row],[AQI_PM2.5]:[AQI_O3]])</f>
        <v>61</v>
      </c>
      <c r="O265" t="str">
        <f>_xlfn.XLOOKUP(DAILY_DATA[[#This Row],[OVERALL_AQI]],[1]!CATEGORY[AQI_LO],[1]!CATEGORY[CATEGORY],,-1)</f>
        <v>Satisfactory</v>
      </c>
      <c r="P265" t="str" cm="1">
        <f t="array" ref="P265">INDEX(
{"PM2.5","PM10","NO2","SO2","CO","O3"},
MATCH(N265,H265:M265,0)
)</f>
        <v>PM10</v>
      </c>
    </row>
    <row r="266" spans="1:16" x14ac:dyDescent="0.25">
      <c r="A266" s="4">
        <v>45556</v>
      </c>
      <c r="B266">
        <f>ROUND(AVERAGEIFS([1]HOURLY_DATA!B266:B9049,[1]HOURLY_DATA!H266:H9049,Daily_AQI!A266),0)</f>
        <v>29</v>
      </c>
      <c r="C266">
        <f>ROUND(AVERAGEIFS([1]HOURLY_DATA!C266:C9049,[1]HOURLY_DATA!H266:H9049,Daily_AQI!A266),0)</f>
        <v>57</v>
      </c>
      <c r="D266">
        <f>ROUND(AVERAGEIFS([1]HOURLY_DATA!D266:D9049,[1]HOURLY_DATA!H266:H9049,Daily_AQI!A266),0)</f>
        <v>16</v>
      </c>
      <c r="E266">
        <f>ROUND(AVERAGEIFS([1]HOURLY_DATA!E266:E9049,[1]HOURLY_DATA!H266:H9049,Daily_AQI!A266),0)</f>
        <v>8</v>
      </c>
      <c r="F266">
        <f>ROUND(AVERAGEIFS([1]HOURLY_DATA!I266:I9049,[1]HOURLY_DATA!H266:H9049,Daily_AQI!A266),2)</f>
        <v>0.71</v>
      </c>
      <c r="G266">
        <f>ROUND(AVERAGEIFS([1]HOURLY_DATA!J266:J9049,[1]HOURLY_DATA!H266:H9049,Daily_AQI!A266),0)</f>
        <v>23</v>
      </c>
      <c r="H266">
        <f>ROUND(((_xlfn.XLOOKUP(B266,[1]!PM2.5[BLO],[1]!PM2.5[IHI],,-1) - _xlfn.XLOOKUP(B266,[1]!PM2.5[BLO],[1]!PM2.5[ILO],,-1))
/
(_xlfn.XLOOKUP(B266,[1]!PM2.5[BLO],[1]!PM2.5[BHI],,-1) - _xlfn.XLOOKUP(B266,[1]!PM2.5[BLO],[1]!PM2.5[BLO],,-1)))
*
(B266 - _xlfn.XLOOKUP(B266,[1]!PM2.5[BLO],[1]!PM2.5[BLO],,-1))
+
_xlfn.XLOOKUP(B266,[1]!PM2.5[BLO],[1]!PM2.5[ILO],,-1),2)</f>
        <v>48.33</v>
      </c>
      <c r="I266">
        <f>ROUND(((_xlfn.XLOOKUP(C266,[1]!PM_10[BLO],[1]!PM_10[IHI],,-1) - _xlfn.XLOOKUP(C266,[1]!PM_10[BLO],[1]!PM_10[ILO],,-1))
/
(_xlfn.XLOOKUP(C266,[1]!PM_10[BLO],[1]!PM_10[BHI],,-1) - _xlfn.XLOOKUP(C266,[1]!PM_10[BLO],[1]!PM_10[BLO],,-1)))
*
( C266 - _xlfn.XLOOKUP(C266,[1]!PM_10[BLO],[1]!PM_10[BLO],,-1))
+
_xlfn.XLOOKUP(C266,[1]!PM_10[BLO],[1]!PM_10[ILO],,-1),2)</f>
        <v>57</v>
      </c>
      <c r="J266">
        <f>ROUND((( _xlfn.XLOOKUP(D266,[1]!NO_2[BLO],[1]!NO_2[IHI],,-1) - _xlfn.XLOOKUP(D266,[1]!NO_2[BLO],[1]!NO_2[ILO],,-1))
/
( _xlfn.XLOOKUP(D266,[1]!NO_2[BLO],[1]!NO_2[BHI],,-1) - _xlfn.XLOOKUP(D266,[1]!NO_2[BLO],[1]!NO_2[BLO],,-1) ))
*
( D266 - _xlfn.XLOOKUP(D266,[1]!NO_2[BLO],[1]!NO_2[BLO],,-1))
+
_xlfn.XLOOKUP(D266,[1]!NO_2[BLO],[1]!NO_2[ILO],,-1),2)</f>
        <v>20</v>
      </c>
      <c r="K266">
        <f>ROUND(( ( _xlfn.XLOOKUP(E266,[1]!SO_2[BLO],[1]!SO_2[IHI],,-1)  - _xlfn.XLOOKUP(E266,[1]!SO_2[BLO],[1]!SO_2[ILO],,-1) )
/
( _xlfn.XLOOKUP(E266,[1]!SO_2[BLO],[1]!SO_2[BHI],,-1)- _xlfn.XLOOKUP(E266,[1]!SO_2[BLO],[1]!SO_2[BLO],,-1) ))
*
( E266 - _xlfn.XLOOKUP(E266,[1]!SO_2[BLO],[1]!SO_2[BLO],,-1) )
+
_xlfn.XLOOKUP(E266,[1]!SO_2[BLO],[1]!SO_2[ILO],,-1),2)</f>
        <v>10</v>
      </c>
      <c r="L266">
        <f>( ( _xlfn.XLOOKUP(F266,[1]!CO[BLO],[1]!CO[IHI],,-1)
- _xlfn.XLOOKUP(F266,[1]!CO[BLO],[1]!CO[ILO],,-1) )
/
( _xlfn.XLOOKUP(F266,[1]!CO[BLO],[1]!CO[BHI],,-1) - _xlfn.XLOOKUP(F266,[1]!CO[BLO],[1]!CO[BLO],,-1)))
*
( F266 - _xlfn.XLOOKUP(F266,[1]!CO[BLO],[1]!CO[BLO],,-1) )
+
_xlfn.XLOOKUP(F266,[1]!CO[BLO],[1]!CO[ILO],,-1)</f>
        <v>35.5</v>
      </c>
      <c r="M266">
        <f>(( _xlfn.XLOOKUP(G266,[1]!O_3[BLO],[1]!O_3[IHI],,-1) - _xlfn.XLOOKUP(G266,[1]!O_3[BLO],[1]!O_3[ILO],,-1))
/
( _xlfn.XLOOKUP(G266,[1]!O_3[BLO],[1]!O_3[BHI],,-1) - _xlfn.XLOOKUP(G266,[1]!O_3[BLO],[1]!O_3[BLO],,-1)))
*
( G266 - _xlfn.XLOOKUP(G266,[1]!O_3[BLO],[1]!O_3[BLO],,-1))
+
_xlfn.XLOOKUP(G266,[1]!O_3[BLO],[1]!O_3[ILO],,-1)</f>
        <v>23</v>
      </c>
      <c r="N266">
        <f>MAX(DAILY_DATA[[#This Row],[AQI_PM2.5]:[AQI_O3]])</f>
        <v>57</v>
      </c>
      <c r="O266" t="str">
        <f>_xlfn.XLOOKUP(DAILY_DATA[[#This Row],[OVERALL_AQI]],[1]!CATEGORY[AQI_LO],[1]!CATEGORY[CATEGORY],,-1)</f>
        <v>Satisfactory</v>
      </c>
      <c r="P266" t="str" cm="1">
        <f t="array" ref="P266">INDEX(
{"PM2.5","PM10","NO2","SO2","CO","O3"},
MATCH(N266,H266:M266,0)
)</f>
        <v>PM10</v>
      </c>
    </row>
    <row r="267" spans="1:16" x14ac:dyDescent="0.25">
      <c r="A267" s="4">
        <v>45557</v>
      </c>
      <c r="B267">
        <f>ROUND(AVERAGEIFS([1]HOURLY_DATA!B267:B9050,[1]HOURLY_DATA!H267:H9050,Daily_AQI!A267),0)</f>
        <v>24</v>
      </c>
      <c r="C267">
        <f>ROUND(AVERAGEIFS([1]HOURLY_DATA!C267:C9050,[1]HOURLY_DATA!H267:H9050,Daily_AQI!A267),0)</f>
        <v>43</v>
      </c>
      <c r="D267">
        <f>ROUND(AVERAGEIFS([1]HOURLY_DATA!D267:D9050,[1]HOURLY_DATA!H267:H9050,Daily_AQI!A267),0)</f>
        <v>15</v>
      </c>
      <c r="E267">
        <f>ROUND(AVERAGEIFS([1]HOURLY_DATA!E267:E9050,[1]HOURLY_DATA!H267:H9050,Daily_AQI!A267),0)</f>
        <v>8</v>
      </c>
      <c r="F267">
        <f>ROUND(AVERAGEIFS([1]HOURLY_DATA!I267:I9050,[1]HOURLY_DATA!H267:H9050,Daily_AQI!A267),2)</f>
        <v>0.69</v>
      </c>
      <c r="G267">
        <f>ROUND(AVERAGEIFS([1]HOURLY_DATA!J267:J9050,[1]HOURLY_DATA!H267:H9050,Daily_AQI!A267),0)</f>
        <v>23</v>
      </c>
      <c r="H267">
        <f>ROUND(((_xlfn.XLOOKUP(B267,[1]!PM2.5[BLO],[1]!PM2.5[IHI],,-1) - _xlfn.XLOOKUP(B267,[1]!PM2.5[BLO],[1]!PM2.5[ILO],,-1))
/
(_xlfn.XLOOKUP(B267,[1]!PM2.5[BLO],[1]!PM2.5[BHI],,-1) - _xlfn.XLOOKUP(B267,[1]!PM2.5[BLO],[1]!PM2.5[BLO],,-1)))
*
(B267 - _xlfn.XLOOKUP(B267,[1]!PM2.5[BLO],[1]!PM2.5[BLO],,-1))
+
_xlfn.XLOOKUP(B267,[1]!PM2.5[BLO],[1]!PM2.5[ILO],,-1),2)</f>
        <v>40</v>
      </c>
      <c r="I267">
        <f>ROUND(((_xlfn.XLOOKUP(C267,[1]!PM_10[BLO],[1]!PM_10[IHI],,-1) - _xlfn.XLOOKUP(C267,[1]!PM_10[BLO],[1]!PM_10[ILO],,-1))
/
(_xlfn.XLOOKUP(C267,[1]!PM_10[BLO],[1]!PM_10[BHI],,-1) - _xlfn.XLOOKUP(C267,[1]!PM_10[BLO],[1]!PM_10[BLO],,-1)))
*
( C267 - _xlfn.XLOOKUP(C267,[1]!PM_10[BLO],[1]!PM_10[BLO],,-1))
+
_xlfn.XLOOKUP(C267,[1]!PM_10[BLO],[1]!PM_10[ILO],,-1),2)</f>
        <v>43</v>
      </c>
      <c r="J267">
        <f>ROUND((( _xlfn.XLOOKUP(D267,[1]!NO_2[BLO],[1]!NO_2[IHI],,-1) - _xlfn.XLOOKUP(D267,[1]!NO_2[BLO],[1]!NO_2[ILO],,-1))
/
( _xlfn.XLOOKUP(D267,[1]!NO_2[BLO],[1]!NO_2[BHI],,-1) - _xlfn.XLOOKUP(D267,[1]!NO_2[BLO],[1]!NO_2[BLO],,-1) ))
*
( D267 - _xlfn.XLOOKUP(D267,[1]!NO_2[BLO],[1]!NO_2[BLO],,-1))
+
_xlfn.XLOOKUP(D267,[1]!NO_2[BLO],[1]!NO_2[ILO],,-1),2)</f>
        <v>18.75</v>
      </c>
      <c r="K267">
        <f>ROUND(( ( _xlfn.XLOOKUP(E267,[1]!SO_2[BLO],[1]!SO_2[IHI],,-1)  - _xlfn.XLOOKUP(E267,[1]!SO_2[BLO],[1]!SO_2[ILO],,-1) )
/
( _xlfn.XLOOKUP(E267,[1]!SO_2[BLO],[1]!SO_2[BHI],,-1)- _xlfn.XLOOKUP(E267,[1]!SO_2[BLO],[1]!SO_2[BLO],,-1) ))
*
( E267 - _xlfn.XLOOKUP(E267,[1]!SO_2[BLO],[1]!SO_2[BLO],,-1) )
+
_xlfn.XLOOKUP(E267,[1]!SO_2[BLO],[1]!SO_2[ILO],,-1),2)</f>
        <v>10</v>
      </c>
      <c r="L267">
        <f>( ( _xlfn.XLOOKUP(F267,[1]!CO[BLO],[1]!CO[IHI],,-1)
- _xlfn.XLOOKUP(F267,[1]!CO[BLO],[1]!CO[ILO],,-1) )
/
( _xlfn.XLOOKUP(F267,[1]!CO[BLO],[1]!CO[BHI],,-1) - _xlfn.XLOOKUP(F267,[1]!CO[BLO],[1]!CO[BLO],,-1)))
*
( F267 - _xlfn.XLOOKUP(F267,[1]!CO[BLO],[1]!CO[BLO],,-1) )
+
_xlfn.XLOOKUP(F267,[1]!CO[BLO],[1]!CO[ILO],,-1)</f>
        <v>34.5</v>
      </c>
      <c r="M267">
        <f>(( _xlfn.XLOOKUP(G267,[1]!O_3[BLO],[1]!O_3[IHI],,-1) - _xlfn.XLOOKUP(G267,[1]!O_3[BLO],[1]!O_3[ILO],,-1))
/
( _xlfn.XLOOKUP(G267,[1]!O_3[BLO],[1]!O_3[BHI],,-1) - _xlfn.XLOOKUP(G267,[1]!O_3[BLO],[1]!O_3[BLO],,-1)))
*
( G267 - _xlfn.XLOOKUP(G267,[1]!O_3[BLO],[1]!O_3[BLO],,-1))
+
_xlfn.XLOOKUP(G267,[1]!O_3[BLO],[1]!O_3[ILO],,-1)</f>
        <v>23</v>
      </c>
      <c r="N267">
        <f>MAX(DAILY_DATA[[#This Row],[AQI_PM2.5]:[AQI_O3]])</f>
        <v>43</v>
      </c>
      <c r="O267" t="str">
        <f>_xlfn.XLOOKUP(DAILY_DATA[[#This Row],[OVERALL_AQI]],[1]!CATEGORY[AQI_LO],[1]!CATEGORY[CATEGORY],,-1)</f>
        <v>Good</v>
      </c>
      <c r="P267" t="str" cm="1">
        <f t="array" ref="P267">INDEX(
{"PM2.5","PM10","NO2","SO2","CO","O3"},
MATCH(N267,H267:M267,0)
)</f>
        <v>PM10</v>
      </c>
    </row>
    <row r="268" spans="1:16" x14ac:dyDescent="0.25">
      <c r="A268" s="4">
        <v>45558</v>
      </c>
      <c r="B268">
        <f>ROUND(AVERAGEIFS([1]HOURLY_DATA!B268:B9051,[1]HOURLY_DATA!H268:H9051,Daily_AQI!A268),0)</f>
        <v>23</v>
      </c>
      <c r="C268">
        <f>ROUND(AVERAGEIFS([1]HOURLY_DATA!C268:C9051,[1]HOURLY_DATA!H268:H9051,Daily_AQI!A268),0)</f>
        <v>46</v>
      </c>
      <c r="D268">
        <f>ROUND(AVERAGEIFS([1]HOURLY_DATA!D268:D9051,[1]HOURLY_DATA!H268:H9051,Daily_AQI!A268),0)</f>
        <v>16</v>
      </c>
      <c r="E268">
        <f>ROUND(AVERAGEIFS([1]HOURLY_DATA!E268:E9051,[1]HOURLY_DATA!H268:H9051,Daily_AQI!A268),0)</f>
        <v>9</v>
      </c>
      <c r="F268">
        <f>ROUND(AVERAGEIFS([1]HOURLY_DATA!I268:I9051,[1]HOURLY_DATA!H268:H9051,Daily_AQI!A268),2)</f>
        <v>0.7</v>
      </c>
      <c r="G268">
        <f>ROUND(AVERAGEIFS([1]HOURLY_DATA!J268:J9051,[1]HOURLY_DATA!H268:H9051,Daily_AQI!A268),0)</f>
        <v>22</v>
      </c>
      <c r="H268">
        <f>ROUND(((_xlfn.XLOOKUP(B268,[1]!PM2.5[BLO],[1]!PM2.5[IHI],,-1) - _xlfn.XLOOKUP(B268,[1]!PM2.5[BLO],[1]!PM2.5[ILO],,-1))
/
(_xlfn.XLOOKUP(B268,[1]!PM2.5[BLO],[1]!PM2.5[BHI],,-1) - _xlfn.XLOOKUP(B268,[1]!PM2.5[BLO],[1]!PM2.5[BLO],,-1)))
*
(B268 - _xlfn.XLOOKUP(B268,[1]!PM2.5[BLO],[1]!PM2.5[BLO],,-1))
+
_xlfn.XLOOKUP(B268,[1]!PM2.5[BLO],[1]!PM2.5[ILO],,-1),2)</f>
        <v>38.33</v>
      </c>
      <c r="I268">
        <f>ROUND(((_xlfn.XLOOKUP(C268,[1]!PM_10[BLO],[1]!PM_10[IHI],,-1) - _xlfn.XLOOKUP(C268,[1]!PM_10[BLO],[1]!PM_10[ILO],,-1))
/
(_xlfn.XLOOKUP(C268,[1]!PM_10[BLO],[1]!PM_10[BHI],,-1) - _xlfn.XLOOKUP(C268,[1]!PM_10[BLO],[1]!PM_10[BLO],,-1)))
*
( C268 - _xlfn.XLOOKUP(C268,[1]!PM_10[BLO],[1]!PM_10[BLO],,-1))
+
_xlfn.XLOOKUP(C268,[1]!PM_10[BLO],[1]!PM_10[ILO],,-1),2)</f>
        <v>46</v>
      </c>
      <c r="J268">
        <f>ROUND((( _xlfn.XLOOKUP(D268,[1]!NO_2[BLO],[1]!NO_2[IHI],,-1) - _xlfn.XLOOKUP(D268,[1]!NO_2[BLO],[1]!NO_2[ILO],,-1))
/
( _xlfn.XLOOKUP(D268,[1]!NO_2[BLO],[1]!NO_2[BHI],,-1) - _xlfn.XLOOKUP(D268,[1]!NO_2[BLO],[1]!NO_2[BLO],,-1) ))
*
( D268 - _xlfn.XLOOKUP(D268,[1]!NO_2[BLO],[1]!NO_2[BLO],,-1))
+
_xlfn.XLOOKUP(D268,[1]!NO_2[BLO],[1]!NO_2[ILO],,-1),2)</f>
        <v>20</v>
      </c>
      <c r="K268">
        <f>ROUND(( ( _xlfn.XLOOKUP(E268,[1]!SO_2[BLO],[1]!SO_2[IHI],,-1)  - _xlfn.XLOOKUP(E268,[1]!SO_2[BLO],[1]!SO_2[ILO],,-1) )
/
( _xlfn.XLOOKUP(E268,[1]!SO_2[BLO],[1]!SO_2[BHI],,-1)- _xlfn.XLOOKUP(E268,[1]!SO_2[BLO],[1]!SO_2[BLO],,-1) ))
*
( E268 - _xlfn.XLOOKUP(E268,[1]!SO_2[BLO],[1]!SO_2[BLO],,-1) )
+
_xlfn.XLOOKUP(E268,[1]!SO_2[BLO],[1]!SO_2[ILO],,-1),2)</f>
        <v>11.25</v>
      </c>
      <c r="L268">
        <f>( ( _xlfn.XLOOKUP(F268,[1]!CO[BLO],[1]!CO[IHI],,-1)
- _xlfn.XLOOKUP(F268,[1]!CO[BLO],[1]!CO[ILO],,-1) )
/
( _xlfn.XLOOKUP(F268,[1]!CO[BLO],[1]!CO[BHI],,-1) - _xlfn.XLOOKUP(F268,[1]!CO[BLO],[1]!CO[BLO],,-1)))
*
( F268 - _xlfn.XLOOKUP(F268,[1]!CO[BLO],[1]!CO[BLO],,-1) )
+
_xlfn.XLOOKUP(F268,[1]!CO[BLO],[1]!CO[ILO],,-1)</f>
        <v>35</v>
      </c>
      <c r="M268">
        <f>(( _xlfn.XLOOKUP(G268,[1]!O_3[BLO],[1]!O_3[IHI],,-1) - _xlfn.XLOOKUP(G268,[1]!O_3[BLO],[1]!O_3[ILO],,-1))
/
( _xlfn.XLOOKUP(G268,[1]!O_3[BLO],[1]!O_3[BHI],,-1) - _xlfn.XLOOKUP(G268,[1]!O_3[BLO],[1]!O_3[BLO],,-1)))
*
( G268 - _xlfn.XLOOKUP(G268,[1]!O_3[BLO],[1]!O_3[BLO],,-1))
+
_xlfn.XLOOKUP(G268,[1]!O_3[BLO],[1]!O_3[ILO],,-1)</f>
        <v>22</v>
      </c>
      <c r="N268">
        <f>MAX(DAILY_DATA[[#This Row],[AQI_PM2.5]:[AQI_O3]])</f>
        <v>46</v>
      </c>
      <c r="O268" t="str">
        <f>_xlfn.XLOOKUP(DAILY_DATA[[#This Row],[OVERALL_AQI]],[1]!CATEGORY[AQI_LO],[1]!CATEGORY[CATEGORY],,-1)</f>
        <v>Good</v>
      </c>
      <c r="P268" t="str" cm="1">
        <f t="array" ref="P268">INDEX(
{"PM2.5","PM10","NO2","SO2","CO","O3"},
MATCH(N268,H268:M268,0)
)</f>
        <v>PM10</v>
      </c>
    </row>
    <row r="269" spans="1:16" x14ac:dyDescent="0.25">
      <c r="A269" s="4">
        <v>45559</v>
      </c>
      <c r="B269">
        <f>ROUND(AVERAGEIFS([1]HOURLY_DATA!B269:B9052,[1]HOURLY_DATA!H269:H9052,Daily_AQI!A269),0)</f>
        <v>22</v>
      </c>
      <c r="C269">
        <f>ROUND(AVERAGEIFS([1]HOURLY_DATA!C269:C9052,[1]HOURLY_DATA!H269:H9052,Daily_AQI!A269),0)</f>
        <v>46</v>
      </c>
      <c r="D269">
        <f>ROUND(AVERAGEIFS([1]HOURLY_DATA!D269:D9052,[1]HOURLY_DATA!H269:H9052,Daily_AQI!A269),0)</f>
        <v>15</v>
      </c>
      <c r="E269">
        <f>ROUND(AVERAGEIFS([1]HOURLY_DATA!E269:E9052,[1]HOURLY_DATA!H269:H9052,Daily_AQI!A269),0)</f>
        <v>9</v>
      </c>
      <c r="F269">
        <f>ROUND(AVERAGEIFS([1]HOURLY_DATA!I269:I9052,[1]HOURLY_DATA!H269:H9052,Daily_AQI!A269),2)</f>
        <v>0.71</v>
      </c>
      <c r="G269">
        <f>ROUND(AVERAGEIFS([1]HOURLY_DATA!J269:J9052,[1]HOURLY_DATA!H269:H9052,Daily_AQI!A269),0)</f>
        <v>20</v>
      </c>
      <c r="H269">
        <f>ROUND(((_xlfn.XLOOKUP(B269,[1]!PM2.5[BLO],[1]!PM2.5[IHI],,-1) - _xlfn.XLOOKUP(B269,[1]!PM2.5[BLO],[1]!PM2.5[ILO],,-1))
/
(_xlfn.XLOOKUP(B269,[1]!PM2.5[BLO],[1]!PM2.5[BHI],,-1) - _xlfn.XLOOKUP(B269,[1]!PM2.5[BLO],[1]!PM2.5[BLO],,-1)))
*
(B269 - _xlfn.XLOOKUP(B269,[1]!PM2.5[BLO],[1]!PM2.5[BLO],,-1))
+
_xlfn.XLOOKUP(B269,[1]!PM2.5[BLO],[1]!PM2.5[ILO],,-1),2)</f>
        <v>36.67</v>
      </c>
      <c r="I269">
        <f>ROUND(((_xlfn.XLOOKUP(C269,[1]!PM_10[BLO],[1]!PM_10[IHI],,-1) - _xlfn.XLOOKUP(C269,[1]!PM_10[BLO],[1]!PM_10[ILO],,-1))
/
(_xlfn.XLOOKUP(C269,[1]!PM_10[BLO],[1]!PM_10[BHI],,-1) - _xlfn.XLOOKUP(C269,[1]!PM_10[BLO],[1]!PM_10[BLO],,-1)))
*
( C269 - _xlfn.XLOOKUP(C269,[1]!PM_10[BLO],[1]!PM_10[BLO],,-1))
+
_xlfn.XLOOKUP(C269,[1]!PM_10[BLO],[1]!PM_10[ILO],,-1),2)</f>
        <v>46</v>
      </c>
      <c r="J269">
        <f>ROUND((( _xlfn.XLOOKUP(D269,[1]!NO_2[BLO],[1]!NO_2[IHI],,-1) - _xlfn.XLOOKUP(D269,[1]!NO_2[BLO],[1]!NO_2[ILO],,-1))
/
( _xlfn.XLOOKUP(D269,[1]!NO_2[BLO],[1]!NO_2[BHI],,-1) - _xlfn.XLOOKUP(D269,[1]!NO_2[BLO],[1]!NO_2[BLO],,-1) ))
*
( D269 - _xlfn.XLOOKUP(D269,[1]!NO_2[BLO],[1]!NO_2[BLO],,-1))
+
_xlfn.XLOOKUP(D269,[1]!NO_2[BLO],[1]!NO_2[ILO],,-1),2)</f>
        <v>18.75</v>
      </c>
      <c r="K269">
        <f>ROUND(( ( _xlfn.XLOOKUP(E269,[1]!SO_2[BLO],[1]!SO_2[IHI],,-1)  - _xlfn.XLOOKUP(E269,[1]!SO_2[BLO],[1]!SO_2[ILO],,-1) )
/
( _xlfn.XLOOKUP(E269,[1]!SO_2[BLO],[1]!SO_2[BHI],,-1)- _xlfn.XLOOKUP(E269,[1]!SO_2[BLO],[1]!SO_2[BLO],,-1) ))
*
( E269 - _xlfn.XLOOKUP(E269,[1]!SO_2[BLO],[1]!SO_2[BLO],,-1) )
+
_xlfn.XLOOKUP(E269,[1]!SO_2[BLO],[1]!SO_2[ILO],,-1),2)</f>
        <v>11.25</v>
      </c>
      <c r="L269">
        <f>( ( _xlfn.XLOOKUP(F269,[1]!CO[BLO],[1]!CO[IHI],,-1)
- _xlfn.XLOOKUP(F269,[1]!CO[BLO],[1]!CO[ILO],,-1) )
/
( _xlfn.XLOOKUP(F269,[1]!CO[BLO],[1]!CO[BHI],,-1) - _xlfn.XLOOKUP(F269,[1]!CO[BLO],[1]!CO[BLO],,-1)))
*
( F269 - _xlfn.XLOOKUP(F269,[1]!CO[BLO],[1]!CO[BLO],,-1) )
+
_xlfn.XLOOKUP(F269,[1]!CO[BLO],[1]!CO[ILO],,-1)</f>
        <v>35.5</v>
      </c>
      <c r="M269">
        <f>(( _xlfn.XLOOKUP(G269,[1]!O_3[BLO],[1]!O_3[IHI],,-1) - _xlfn.XLOOKUP(G269,[1]!O_3[BLO],[1]!O_3[ILO],,-1))
/
( _xlfn.XLOOKUP(G269,[1]!O_3[BLO],[1]!O_3[BHI],,-1) - _xlfn.XLOOKUP(G269,[1]!O_3[BLO],[1]!O_3[BLO],,-1)))
*
( G269 - _xlfn.XLOOKUP(G269,[1]!O_3[BLO],[1]!O_3[BLO],,-1))
+
_xlfn.XLOOKUP(G269,[1]!O_3[BLO],[1]!O_3[ILO],,-1)</f>
        <v>20</v>
      </c>
      <c r="N269">
        <f>MAX(DAILY_DATA[[#This Row],[AQI_PM2.5]:[AQI_O3]])</f>
        <v>46</v>
      </c>
      <c r="O269" t="str">
        <f>_xlfn.XLOOKUP(DAILY_DATA[[#This Row],[OVERALL_AQI]],[1]!CATEGORY[AQI_LO],[1]!CATEGORY[CATEGORY],,-1)</f>
        <v>Good</v>
      </c>
      <c r="P269" t="str" cm="1">
        <f t="array" ref="P269">INDEX(
{"PM2.5","PM10","NO2","SO2","CO","O3"},
MATCH(N269,H269:M269,0)
)</f>
        <v>PM10</v>
      </c>
    </row>
    <row r="270" spans="1:16" x14ac:dyDescent="0.25">
      <c r="A270" s="4">
        <v>45560</v>
      </c>
      <c r="B270">
        <f>ROUND(AVERAGEIFS([1]HOURLY_DATA!B270:B9053,[1]HOURLY_DATA!H270:H9053,Daily_AQI!A270),0)</f>
        <v>22</v>
      </c>
      <c r="C270">
        <f>ROUND(AVERAGEIFS([1]HOURLY_DATA!C270:C9053,[1]HOURLY_DATA!H270:H9053,Daily_AQI!A270),0)</f>
        <v>47</v>
      </c>
      <c r="D270">
        <f>ROUND(AVERAGEIFS([1]HOURLY_DATA!D270:D9053,[1]HOURLY_DATA!H270:H9053,Daily_AQI!A270),0)</f>
        <v>15</v>
      </c>
      <c r="E270">
        <f>ROUND(AVERAGEIFS([1]HOURLY_DATA!E270:E9053,[1]HOURLY_DATA!H270:H9053,Daily_AQI!A270),0)</f>
        <v>9</v>
      </c>
      <c r="F270">
        <f>ROUND(AVERAGEIFS([1]HOURLY_DATA!I270:I9053,[1]HOURLY_DATA!H270:H9053,Daily_AQI!A270),2)</f>
        <v>0.71</v>
      </c>
      <c r="G270">
        <f>ROUND(AVERAGEIFS([1]HOURLY_DATA!J270:J9053,[1]HOURLY_DATA!H270:H9053,Daily_AQI!A270),0)</f>
        <v>19</v>
      </c>
      <c r="H270">
        <f>ROUND(((_xlfn.XLOOKUP(B270,[1]!PM2.5[BLO],[1]!PM2.5[IHI],,-1) - _xlfn.XLOOKUP(B270,[1]!PM2.5[BLO],[1]!PM2.5[ILO],,-1))
/
(_xlfn.XLOOKUP(B270,[1]!PM2.5[BLO],[1]!PM2.5[BHI],,-1) - _xlfn.XLOOKUP(B270,[1]!PM2.5[BLO],[1]!PM2.5[BLO],,-1)))
*
(B270 - _xlfn.XLOOKUP(B270,[1]!PM2.5[BLO],[1]!PM2.5[BLO],,-1))
+
_xlfn.XLOOKUP(B270,[1]!PM2.5[BLO],[1]!PM2.5[ILO],,-1),2)</f>
        <v>36.67</v>
      </c>
      <c r="I270">
        <f>ROUND(((_xlfn.XLOOKUP(C270,[1]!PM_10[BLO],[1]!PM_10[IHI],,-1) - _xlfn.XLOOKUP(C270,[1]!PM_10[BLO],[1]!PM_10[ILO],,-1))
/
(_xlfn.XLOOKUP(C270,[1]!PM_10[BLO],[1]!PM_10[BHI],,-1) - _xlfn.XLOOKUP(C270,[1]!PM_10[BLO],[1]!PM_10[BLO],,-1)))
*
( C270 - _xlfn.XLOOKUP(C270,[1]!PM_10[BLO],[1]!PM_10[BLO],,-1))
+
_xlfn.XLOOKUP(C270,[1]!PM_10[BLO],[1]!PM_10[ILO],,-1),2)</f>
        <v>47</v>
      </c>
      <c r="J270">
        <f>ROUND((( _xlfn.XLOOKUP(D270,[1]!NO_2[BLO],[1]!NO_2[IHI],,-1) - _xlfn.XLOOKUP(D270,[1]!NO_2[BLO],[1]!NO_2[ILO],,-1))
/
( _xlfn.XLOOKUP(D270,[1]!NO_2[BLO],[1]!NO_2[BHI],,-1) - _xlfn.XLOOKUP(D270,[1]!NO_2[BLO],[1]!NO_2[BLO],,-1) ))
*
( D270 - _xlfn.XLOOKUP(D270,[1]!NO_2[BLO],[1]!NO_2[BLO],,-1))
+
_xlfn.XLOOKUP(D270,[1]!NO_2[BLO],[1]!NO_2[ILO],,-1),2)</f>
        <v>18.75</v>
      </c>
      <c r="K270">
        <f>ROUND(( ( _xlfn.XLOOKUP(E270,[1]!SO_2[BLO],[1]!SO_2[IHI],,-1)  - _xlfn.XLOOKUP(E270,[1]!SO_2[BLO],[1]!SO_2[ILO],,-1) )
/
( _xlfn.XLOOKUP(E270,[1]!SO_2[BLO],[1]!SO_2[BHI],,-1)- _xlfn.XLOOKUP(E270,[1]!SO_2[BLO],[1]!SO_2[BLO],,-1) ))
*
( E270 - _xlfn.XLOOKUP(E270,[1]!SO_2[BLO],[1]!SO_2[BLO],,-1) )
+
_xlfn.XLOOKUP(E270,[1]!SO_2[BLO],[1]!SO_2[ILO],,-1),2)</f>
        <v>11.25</v>
      </c>
      <c r="L270">
        <f>( ( _xlfn.XLOOKUP(F270,[1]!CO[BLO],[1]!CO[IHI],,-1)
- _xlfn.XLOOKUP(F270,[1]!CO[BLO],[1]!CO[ILO],,-1) )
/
( _xlfn.XLOOKUP(F270,[1]!CO[BLO],[1]!CO[BHI],,-1) - _xlfn.XLOOKUP(F270,[1]!CO[BLO],[1]!CO[BLO],,-1)))
*
( F270 - _xlfn.XLOOKUP(F270,[1]!CO[BLO],[1]!CO[BLO],,-1) )
+
_xlfn.XLOOKUP(F270,[1]!CO[BLO],[1]!CO[ILO],,-1)</f>
        <v>35.5</v>
      </c>
      <c r="M270">
        <f>(( _xlfn.XLOOKUP(G270,[1]!O_3[BLO],[1]!O_3[IHI],,-1) - _xlfn.XLOOKUP(G270,[1]!O_3[BLO],[1]!O_3[ILO],,-1))
/
( _xlfn.XLOOKUP(G270,[1]!O_3[BLO],[1]!O_3[BHI],,-1) - _xlfn.XLOOKUP(G270,[1]!O_3[BLO],[1]!O_3[BLO],,-1)))
*
( G270 - _xlfn.XLOOKUP(G270,[1]!O_3[BLO],[1]!O_3[BLO],,-1))
+
_xlfn.XLOOKUP(G270,[1]!O_3[BLO],[1]!O_3[ILO],,-1)</f>
        <v>19</v>
      </c>
      <c r="N270">
        <f>MAX(DAILY_DATA[[#This Row],[AQI_PM2.5]:[AQI_O3]])</f>
        <v>47</v>
      </c>
      <c r="O270" t="str">
        <f>_xlfn.XLOOKUP(DAILY_DATA[[#This Row],[OVERALL_AQI]],[1]!CATEGORY[AQI_LO],[1]!CATEGORY[CATEGORY],,-1)</f>
        <v>Good</v>
      </c>
      <c r="P270" t="str" cm="1">
        <f t="array" ref="P270">INDEX(
{"PM2.5","PM10","NO2","SO2","CO","O3"},
MATCH(N270,H270:M270,0)
)</f>
        <v>PM10</v>
      </c>
    </row>
    <row r="271" spans="1:16" x14ac:dyDescent="0.25">
      <c r="A271" s="4">
        <v>45561</v>
      </c>
      <c r="B271">
        <f>ROUND(AVERAGEIFS([1]HOURLY_DATA!B271:B9054,[1]HOURLY_DATA!H271:H9054,Daily_AQI!A271),0)</f>
        <v>24</v>
      </c>
      <c r="C271">
        <f>ROUND(AVERAGEIFS([1]HOURLY_DATA!C271:C9054,[1]HOURLY_DATA!H271:H9054,Daily_AQI!A271),0)</f>
        <v>49</v>
      </c>
      <c r="D271">
        <f>ROUND(AVERAGEIFS([1]HOURLY_DATA!D271:D9054,[1]HOURLY_DATA!H271:H9054,Daily_AQI!A271),0)</f>
        <v>16</v>
      </c>
      <c r="E271">
        <f>ROUND(AVERAGEIFS([1]HOURLY_DATA!E271:E9054,[1]HOURLY_DATA!H271:H9054,Daily_AQI!A271),0)</f>
        <v>9</v>
      </c>
      <c r="F271">
        <f>ROUND(AVERAGEIFS([1]HOURLY_DATA!I271:I9054,[1]HOURLY_DATA!H271:H9054,Daily_AQI!A271),2)</f>
        <v>0.69</v>
      </c>
      <c r="G271">
        <f>ROUND(AVERAGEIFS([1]HOURLY_DATA!J271:J9054,[1]HOURLY_DATA!H271:H9054,Daily_AQI!A271),0)</f>
        <v>20</v>
      </c>
      <c r="H271">
        <f>ROUND(((_xlfn.XLOOKUP(B271,[1]!PM2.5[BLO],[1]!PM2.5[IHI],,-1) - _xlfn.XLOOKUP(B271,[1]!PM2.5[BLO],[1]!PM2.5[ILO],,-1))
/
(_xlfn.XLOOKUP(B271,[1]!PM2.5[BLO],[1]!PM2.5[BHI],,-1) - _xlfn.XLOOKUP(B271,[1]!PM2.5[BLO],[1]!PM2.5[BLO],,-1)))
*
(B271 - _xlfn.XLOOKUP(B271,[1]!PM2.5[BLO],[1]!PM2.5[BLO],,-1))
+
_xlfn.XLOOKUP(B271,[1]!PM2.5[BLO],[1]!PM2.5[ILO],,-1),2)</f>
        <v>40</v>
      </c>
      <c r="I271">
        <f>ROUND(((_xlfn.XLOOKUP(C271,[1]!PM_10[BLO],[1]!PM_10[IHI],,-1) - _xlfn.XLOOKUP(C271,[1]!PM_10[BLO],[1]!PM_10[ILO],,-1))
/
(_xlfn.XLOOKUP(C271,[1]!PM_10[BLO],[1]!PM_10[BHI],,-1) - _xlfn.XLOOKUP(C271,[1]!PM_10[BLO],[1]!PM_10[BLO],,-1)))
*
( C271 - _xlfn.XLOOKUP(C271,[1]!PM_10[BLO],[1]!PM_10[BLO],,-1))
+
_xlfn.XLOOKUP(C271,[1]!PM_10[BLO],[1]!PM_10[ILO],,-1),2)</f>
        <v>49</v>
      </c>
      <c r="J271">
        <f>ROUND((( _xlfn.XLOOKUP(D271,[1]!NO_2[BLO],[1]!NO_2[IHI],,-1) - _xlfn.XLOOKUP(D271,[1]!NO_2[BLO],[1]!NO_2[ILO],,-1))
/
( _xlfn.XLOOKUP(D271,[1]!NO_2[BLO],[1]!NO_2[BHI],,-1) - _xlfn.XLOOKUP(D271,[1]!NO_2[BLO],[1]!NO_2[BLO],,-1) ))
*
( D271 - _xlfn.XLOOKUP(D271,[1]!NO_2[BLO],[1]!NO_2[BLO],,-1))
+
_xlfn.XLOOKUP(D271,[1]!NO_2[BLO],[1]!NO_2[ILO],,-1),2)</f>
        <v>20</v>
      </c>
      <c r="K271">
        <f>ROUND(( ( _xlfn.XLOOKUP(E271,[1]!SO_2[BLO],[1]!SO_2[IHI],,-1)  - _xlfn.XLOOKUP(E271,[1]!SO_2[BLO],[1]!SO_2[ILO],,-1) )
/
( _xlfn.XLOOKUP(E271,[1]!SO_2[BLO],[1]!SO_2[BHI],,-1)- _xlfn.XLOOKUP(E271,[1]!SO_2[BLO],[1]!SO_2[BLO],,-1) ))
*
( E271 - _xlfn.XLOOKUP(E271,[1]!SO_2[BLO],[1]!SO_2[BLO],,-1) )
+
_xlfn.XLOOKUP(E271,[1]!SO_2[BLO],[1]!SO_2[ILO],,-1),2)</f>
        <v>11.25</v>
      </c>
      <c r="L271">
        <f>( ( _xlfn.XLOOKUP(F271,[1]!CO[BLO],[1]!CO[IHI],,-1)
- _xlfn.XLOOKUP(F271,[1]!CO[BLO],[1]!CO[ILO],,-1) )
/
( _xlfn.XLOOKUP(F271,[1]!CO[BLO],[1]!CO[BHI],,-1) - _xlfn.XLOOKUP(F271,[1]!CO[BLO],[1]!CO[BLO],,-1)))
*
( F271 - _xlfn.XLOOKUP(F271,[1]!CO[BLO],[1]!CO[BLO],,-1) )
+
_xlfn.XLOOKUP(F271,[1]!CO[BLO],[1]!CO[ILO],,-1)</f>
        <v>34.5</v>
      </c>
      <c r="M271">
        <f>(( _xlfn.XLOOKUP(G271,[1]!O_3[BLO],[1]!O_3[IHI],,-1) - _xlfn.XLOOKUP(G271,[1]!O_3[BLO],[1]!O_3[ILO],,-1))
/
( _xlfn.XLOOKUP(G271,[1]!O_3[BLO],[1]!O_3[BHI],,-1) - _xlfn.XLOOKUP(G271,[1]!O_3[BLO],[1]!O_3[BLO],,-1)))
*
( G271 - _xlfn.XLOOKUP(G271,[1]!O_3[BLO],[1]!O_3[BLO],,-1))
+
_xlfn.XLOOKUP(G271,[1]!O_3[BLO],[1]!O_3[ILO],,-1)</f>
        <v>20</v>
      </c>
      <c r="N271">
        <f>MAX(DAILY_DATA[[#This Row],[AQI_PM2.5]:[AQI_O3]])</f>
        <v>49</v>
      </c>
      <c r="O271" t="str">
        <f>_xlfn.XLOOKUP(DAILY_DATA[[#This Row],[OVERALL_AQI]],[1]!CATEGORY[AQI_LO],[1]!CATEGORY[CATEGORY],,-1)</f>
        <v>Good</v>
      </c>
      <c r="P271" t="str" cm="1">
        <f t="array" ref="P271">INDEX(
{"PM2.5","PM10","NO2","SO2","CO","O3"},
MATCH(N271,H271:M271,0)
)</f>
        <v>PM10</v>
      </c>
    </row>
    <row r="272" spans="1:16" x14ac:dyDescent="0.25">
      <c r="A272" s="4">
        <v>45562</v>
      </c>
      <c r="B272">
        <f>ROUND(AVERAGEIFS([1]HOURLY_DATA!B272:B9055,[1]HOURLY_DATA!H272:H9055,Daily_AQI!A272),0)</f>
        <v>24</v>
      </c>
      <c r="C272">
        <f>ROUND(AVERAGEIFS([1]HOURLY_DATA!C272:C9055,[1]HOURLY_DATA!H272:H9055,Daily_AQI!A272),0)</f>
        <v>58</v>
      </c>
      <c r="D272">
        <f>ROUND(AVERAGEIFS([1]HOURLY_DATA!D272:D9055,[1]HOURLY_DATA!H272:H9055,Daily_AQI!A272),0)</f>
        <v>16</v>
      </c>
      <c r="E272">
        <f>ROUND(AVERAGEIFS([1]HOURLY_DATA!E272:E9055,[1]HOURLY_DATA!H272:H9055,Daily_AQI!A272),0)</f>
        <v>10</v>
      </c>
      <c r="F272">
        <f>ROUND(AVERAGEIFS([1]HOURLY_DATA!I272:I9055,[1]HOURLY_DATA!H272:H9055,Daily_AQI!A272),2)</f>
        <v>0.68</v>
      </c>
      <c r="G272">
        <f>ROUND(AVERAGEIFS([1]HOURLY_DATA!J272:J9055,[1]HOURLY_DATA!H272:H9055,Daily_AQI!A272),0)</f>
        <v>22</v>
      </c>
      <c r="H272">
        <f>ROUND(((_xlfn.XLOOKUP(B272,[1]!PM2.5[BLO],[1]!PM2.5[IHI],,-1) - _xlfn.XLOOKUP(B272,[1]!PM2.5[BLO],[1]!PM2.5[ILO],,-1))
/
(_xlfn.XLOOKUP(B272,[1]!PM2.5[BLO],[1]!PM2.5[BHI],,-1) - _xlfn.XLOOKUP(B272,[1]!PM2.5[BLO],[1]!PM2.5[BLO],,-1)))
*
(B272 - _xlfn.XLOOKUP(B272,[1]!PM2.5[BLO],[1]!PM2.5[BLO],,-1))
+
_xlfn.XLOOKUP(B272,[1]!PM2.5[BLO],[1]!PM2.5[ILO],,-1),2)</f>
        <v>40</v>
      </c>
      <c r="I272">
        <f>ROUND(((_xlfn.XLOOKUP(C272,[1]!PM_10[BLO],[1]!PM_10[IHI],,-1) - _xlfn.XLOOKUP(C272,[1]!PM_10[BLO],[1]!PM_10[ILO],,-1))
/
(_xlfn.XLOOKUP(C272,[1]!PM_10[BLO],[1]!PM_10[BHI],,-1) - _xlfn.XLOOKUP(C272,[1]!PM_10[BLO],[1]!PM_10[BLO],,-1)))
*
( C272 - _xlfn.XLOOKUP(C272,[1]!PM_10[BLO],[1]!PM_10[BLO],,-1))
+
_xlfn.XLOOKUP(C272,[1]!PM_10[BLO],[1]!PM_10[ILO],,-1),2)</f>
        <v>58</v>
      </c>
      <c r="J272">
        <f>ROUND((( _xlfn.XLOOKUP(D272,[1]!NO_2[BLO],[1]!NO_2[IHI],,-1) - _xlfn.XLOOKUP(D272,[1]!NO_2[BLO],[1]!NO_2[ILO],,-1))
/
( _xlfn.XLOOKUP(D272,[1]!NO_2[BLO],[1]!NO_2[BHI],,-1) - _xlfn.XLOOKUP(D272,[1]!NO_2[BLO],[1]!NO_2[BLO],,-1) ))
*
( D272 - _xlfn.XLOOKUP(D272,[1]!NO_2[BLO],[1]!NO_2[BLO],,-1))
+
_xlfn.XLOOKUP(D272,[1]!NO_2[BLO],[1]!NO_2[ILO],,-1),2)</f>
        <v>20</v>
      </c>
      <c r="K272">
        <f>ROUND(( ( _xlfn.XLOOKUP(E272,[1]!SO_2[BLO],[1]!SO_2[IHI],,-1)  - _xlfn.XLOOKUP(E272,[1]!SO_2[BLO],[1]!SO_2[ILO],,-1) )
/
( _xlfn.XLOOKUP(E272,[1]!SO_2[BLO],[1]!SO_2[BHI],,-1)- _xlfn.XLOOKUP(E272,[1]!SO_2[BLO],[1]!SO_2[BLO],,-1) ))
*
( E272 - _xlfn.XLOOKUP(E272,[1]!SO_2[BLO],[1]!SO_2[BLO],,-1) )
+
_xlfn.XLOOKUP(E272,[1]!SO_2[BLO],[1]!SO_2[ILO],,-1),2)</f>
        <v>12.5</v>
      </c>
      <c r="L272">
        <f>( ( _xlfn.XLOOKUP(F272,[1]!CO[BLO],[1]!CO[IHI],,-1)
- _xlfn.XLOOKUP(F272,[1]!CO[BLO],[1]!CO[ILO],,-1) )
/
( _xlfn.XLOOKUP(F272,[1]!CO[BLO],[1]!CO[BHI],,-1) - _xlfn.XLOOKUP(F272,[1]!CO[BLO],[1]!CO[BLO],,-1)))
*
( F272 - _xlfn.XLOOKUP(F272,[1]!CO[BLO],[1]!CO[BLO],,-1) )
+
_xlfn.XLOOKUP(F272,[1]!CO[BLO],[1]!CO[ILO],,-1)</f>
        <v>34</v>
      </c>
      <c r="M272">
        <f>(( _xlfn.XLOOKUP(G272,[1]!O_3[BLO],[1]!O_3[IHI],,-1) - _xlfn.XLOOKUP(G272,[1]!O_3[BLO],[1]!O_3[ILO],,-1))
/
( _xlfn.XLOOKUP(G272,[1]!O_3[BLO],[1]!O_3[BHI],,-1) - _xlfn.XLOOKUP(G272,[1]!O_3[BLO],[1]!O_3[BLO],,-1)))
*
( G272 - _xlfn.XLOOKUP(G272,[1]!O_3[BLO],[1]!O_3[BLO],,-1))
+
_xlfn.XLOOKUP(G272,[1]!O_3[BLO],[1]!O_3[ILO],,-1)</f>
        <v>22</v>
      </c>
      <c r="N272">
        <f>MAX(DAILY_DATA[[#This Row],[AQI_PM2.5]:[AQI_O3]])</f>
        <v>58</v>
      </c>
      <c r="O272" t="str">
        <f>_xlfn.XLOOKUP(DAILY_DATA[[#This Row],[OVERALL_AQI]],[1]!CATEGORY[AQI_LO],[1]!CATEGORY[CATEGORY],,-1)</f>
        <v>Satisfactory</v>
      </c>
      <c r="P272" t="str" cm="1">
        <f t="array" ref="P272">INDEX(
{"PM2.5","PM10","NO2","SO2","CO","O3"},
MATCH(N272,H272:M272,0)
)</f>
        <v>PM10</v>
      </c>
    </row>
    <row r="273" spans="1:16" x14ac:dyDescent="0.25">
      <c r="A273" s="4">
        <v>45563</v>
      </c>
      <c r="B273">
        <f>ROUND(AVERAGEIFS([1]HOURLY_DATA!B273:B9056,[1]HOURLY_DATA!H273:H9056,Daily_AQI!A273),0)</f>
        <v>28</v>
      </c>
      <c r="C273">
        <f>ROUND(AVERAGEIFS([1]HOURLY_DATA!C273:C9056,[1]HOURLY_DATA!H273:H9056,Daily_AQI!A273),0)</f>
        <v>59</v>
      </c>
      <c r="D273">
        <f>ROUND(AVERAGEIFS([1]HOURLY_DATA!D273:D9056,[1]HOURLY_DATA!H273:H9056,Daily_AQI!A273),0)</f>
        <v>16</v>
      </c>
      <c r="E273">
        <f>ROUND(AVERAGEIFS([1]HOURLY_DATA!E273:E9056,[1]HOURLY_DATA!H273:H9056,Daily_AQI!A273),0)</f>
        <v>9</v>
      </c>
      <c r="F273">
        <f>ROUND(AVERAGEIFS([1]HOURLY_DATA!I273:I9056,[1]HOURLY_DATA!H273:H9056,Daily_AQI!A273),2)</f>
        <v>0.73</v>
      </c>
      <c r="G273">
        <f>ROUND(AVERAGEIFS([1]HOURLY_DATA!J273:J9056,[1]HOURLY_DATA!H273:H9056,Daily_AQI!A273),0)</f>
        <v>23</v>
      </c>
      <c r="H273">
        <f>ROUND(((_xlfn.XLOOKUP(B273,[1]!PM2.5[BLO],[1]!PM2.5[IHI],,-1) - _xlfn.XLOOKUP(B273,[1]!PM2.5[BLO],[1]!PM2.5[ILO],,-1))
/
(_xlfn.XLOOKUP(B273,[1]!PM2.5[BLO],[1]!PM2.5[BHI],,-1) - _xlfn.XLOOKUP(B273,[1]!PM2.5[BLO],[1]!PM2.5[BLO],,-1)))
*
(B273 - _xlfn.XLOOKUP(B273,[1]!PM2.5[BLO],[1]!PM2.5[BLO],,-1))
+
_xlfn.XLOOKUP(B273,[1]!PM2.5[BLO],[1]!PM2.5[ILO],,-1),2)</f>
        <v>46.67</v>
      </c>
      <c r="I273">
        <f>ROUND(((_xlfn.XLOOKUP(C273,[1]!PM_10[BLO],[1]!PM_10[IHI],,-1) - _xlfn.XLOOKUP(C273,[1]!PM_10[BLO],[1]!PM_10[ILO],,-1))
/
(_xlfn.XLOOKUP(C273,[1]!PM_10[BLO],[1]!PM_10[BHI],,-1) - _xlfn.XLOOKUP(C273,[1]!PM_10[BLO],[1]!PM_10[BLO],,-1)))
*
( C273 - _xlfn.XLOOKUP(C273,[1]!PM_10[BLO],[1]!PM_10[BLO],,-1))
+
_xlfn.XLOOKUP(C273,[1]!PM_10[BLO],[1]!PM_10[ILO],,-1),2)</f>
        <v>59</v>
      </c>
      <c r="J273">
        <f>ROUND((( _xlfn.XLOOKUP(D273,[1]!NO_2[BLO],[1]!NO_2[IHI],,-1) - _xlfn.XLOOKUP(D273,[1]!NO_2[BLO],[1]!NO_2[ILO],,-1))
/
( _xlfn.XLOOKUP(D273,[1]!NO_2[BLO],[1]!NO_2[BHI],,-1) - _xlfn.XLOOKUP(D273,[1]!NO_2[BLO],[1]!NO_2[BLO],,-1) ))
*
( D273 - _xlfn.XLOOKUP(D273,[1]!NO_2[BLO],[1]!NO_2[BLO],,-1))
+
_xlfn.XLOOKUP(D273,[1]!NO_2[BLO],[1]!NO_2[ILO],,-1),2)</f>
        <v>20</v>
      </c>
      <c r="K273">
        <f>ROUND(( ( _xlfn.XLOOKUP(E273,[1]!SO_2[BLO],[1]!SO_2[IHI],,-1)  - _xlfn.XLOOKUP(E273,[1]!SO_2[BLO],[1]!SO_2[ILO],,-1) )
/
( _xlfn.XLOOKUP(E273,[1]!SO_2[BLO],[1]!SO_2[BHI],,-1)- _xlfn.XLOOKUP(E273,[1]!SO_2[BLO],[1]!SO_2[BLO],,-1) ))
*
( E273 - _xlfn.XLOOKUP(E273,[1]!SO_2[BLO],[1]!SO_2[BLO],,-1) )
+
_xlfn.XLOOKUP(E273,[1]!SO_2[BLO],[1]!SO_2[ILO],,-1),2)</f>
        <v>11.25</v>
      </c>
      <c r="L273">
        <f>( ( _xlfn.XLOOKUP(F273,[1]!CO[BLO],[1]!CO[IHI],,-1)
- _xlfn.XLOOKUP(F273,[1]!CO[BLO],[1]!CO[ILO],,-1) )
/
( _xlfn.XLOOKUP(F273,[1]!CO[BLO],[1]!CO[BHI],,-1) - _xlfn.XLOOKUP(F273,[1]!CO[BLO],[1]!CO[BLO],,-1)))
*
( F273 - _xlfn.XLOOKUP(F273,[1]!CO[BLO],[1]!CO[BLO],,-1) )
+
_xlfn.XLOOKUP(F273,[1]!CO[BLO],[1]!CO[ILO],,-1)</f>
        <v>36.5</v>
      </c>
      <c r="M273">
        <f>(( _xlfn.XLOOKUP(G273,[1]!O_3[BLO],[1]!O_3[IHI],,-1) - _xlfn.XLOOKUP(G273,[1]!O_3[BLO],[1]!O_3[ILO],,-1))
/
( _xlfn.XLOOKUP(G273,[1]!O_3[BLO],[1]!O_3[BHI],,-1) - _xlfn.XLOOKUP(G273,[1]!O_3[BLO],[1]!O_3[BLO],,-1)))
*
( G273 - _xlfn.XLOOKUP(G273,[1]!O_3[BLO],[1]!O_3[BLO],,-1))
+
_xlfn.XLOOKUP(G273,[1]!O_3[BLO],[1]!O_3[ILO],,-1)</f>
        <v>23</v>
      </c>
      <c r="N273">
        <f>MAX(DAILY_DATA[[#This Row],[AQI_PM2.5]:[AQI_O3]])</f>
        <v>59</v>
      </c>
      <c r="O273" t="str">
        <f>_xlfn.XLOOKUP(DAILY_DATA[[#This Row],[OVERALL_AQI]],[1]!CATEGORY[AQI_LO],[1]!CATEGORY[CATEGORY],,-1)</f>
        <v>Satisfactory</v>
      </c>
      <c r="P273" t="str" cm="1">
        <f t="array" ref="P273">INDEX(
{"PM2.5","PM10","NO2","SO2","CO","O3"},
MATCH(N273,H273:M273,0)
)</f>
        <v>PM10</v>
      </c>
    </row>
    <row r="274" spans="1:16" x14ac:dyDescent="0.25">
      <c r="A274" s="4">
        <v>45564</v>
      </c>
      <c r="B274">
        <f>ROUND(AVERAGEIFS([1]HOURLY_DATA!B274:B9057,[1]HOURLY_DATA!H274:H9057,Daily_AQI!A274),0)</f>
        <v>26</v>
      </c>
      <c r="C274">
        <f>ROUND(AVERAGEIFS([1]HOURLY_DATA!C274:C9057,[1]HOURLY_DATA!H274:H9057,Daily_AQI!A274),0)</f>
        <v>51</v>
      </c>
      <c r="D274">
        <f>ROUND(AVERAGEIFS([1]HOURLY_DATA!D274:D9057,[1]HOURLY_DATA!H274:H9057,Daily_AQI!A274),0)</f>
        <v>16</v>
      </c>
      <c r="E274">
        <f>ROUND(AVERAGEIFS([1]HOURLY_DATA!E274:E9057,[1]HOURLY_DATA!H274:H9057,Daily_AQI!A274),0)</f>
        <v>9</v>
      </c>
      <c r="F274">
        <f>ROUND(AVERAGEIFS([1]HOURLY_DATA!I274:I9057,[1]HOURLY_DATA!H274:H9057,Daily_AQI!A274),2)</f>
        <v>0.76</v>
      </c>
      <c r="G274">
        <f>ROUND(AVERAGEIFS([1]HOURLY_DATA!J274:J9057,[1]HOURLY_DATA!H274:H9057,Daily_AQI!A274),0)</f>
        <v>23</v>
      </c>
      <c r="H274">
        <f>ROUND(((_xlfn.XLOOKUP(B274,[1]!PM2.5[BLO],[1]!PM2.5[IHI],,-1) - _xlfn.XLOOKUP(B274,[1]!PM2.5[BLO],[1]!PM2.5[ILO],,-1))
/
(_xlfn.XLOOKUP(B274,[1]!PM2.5[BLO],[1]!PM2.5[BHI],,-1) - _xlfn.XLOOKUP(B274,[1]!PM2.5[BLO],[1]!PM2.5[BLO],,-1)))
*
(B274 - _xlfn.XLOOKUP(B274,[1]!PM2.5[BLO],[1]!PM2.5[BLO],,-1))
+
_xlfn.XLOOKUP(B274,[1]!PM2.5[BLO],[1]!PM2.5[ILO],,-1),2)</f>
        <v>43.33</v>
      </c>
      <c r="I274">
        <f>ROUND(((_xlfn.XLOOKUP(C274,[1]!PM_10[BLO],[1]!PM_10[IHI],,-1) - _xlfn.XLOOKUP(C274,[1]!PM_10[BLO],[1]!PM_10[ILO],,-1))
/
(_xlfn.XLOOKUP(C274,[1]!PM_10[BLO],[1]!PM_10[BHI],,-1) - _xlfn.XLOOKUP(C274,[1]!PM_10[BLO],[1]!PM_10[BLO],,-1)))
*
( C274 - _xlfn.XLOOKUP(C274,[1]!PM_10[BLO],[1]!PM_10[BLO],,-1))
+
_xlfn.XLOOKUP(C274,[1]!PM_10[BLO],[1]!PM_10[ILO],,-1),2)</f>
        <v>51</v>
      </c>
      <c r="J274">
        <f>ROUND((( _xlfn.XLOOKUP(D274,[1]!NO_2[BLO],[1]!NO_2[IHI],,-1) - _xlfn.XLOOKUP(D274,[1]!NO_2[BLO],[1]!NO_2[ILO],,-1))
/
( _xlfn.XLOOKUP(D274,[1]!NO_2[BLO],[1]!NO_2[BHI],,-1) - _xlfn.XLOOKUP(D274,[1]!NO_2[BLO],[1]!NO_2[BLO],,-1) ))
*
( D274 - _xlfn.XLOOKUP(D274,[1]!NO_2[BLO],[1]!NO_2[BLO],,-1))
+
_xlfn.XLOOKUP(D274,[1]!NO_2[BLO],[1]!NO_2[ILO],,-1),2)</f>
        <v>20</v>
      </c>
      <c r="K274">
        <f>ROUND(( ( _xlfn.XLOOKUP(E274,[1]!SO_2[BLO],[1]!SO_2[IHI],,-1)  - _xlfn.XLOOKUP(E274,[1]!SO_2[BLO],[1]!SO_2[ILO],,-1) )
/
( _xlfn.XLOOKUP(E274,[1]!SO_2[BLO],[1]!SO_2[BHI],,-1)- _xlfn.XLOOKUP(E274,[1]!SO_2[BLO],[1]!SO_2[BLO],,-1) ))
*
( E274 - _xlfn.XLOOKUP(E274,[1]!SO_2[BLO],[1]!SO_2[BLO],,-1) )
+
_xlfn.XLOOKUP(E274,[1]!SO_2[BLO],[1]!SO_2[ILO],,-1),2)</f>
        <v>11.25</v>
      </c>
      <c r="L274">
        <f>( ( _xlfn.XLOOKUP(F274,[1]!CO[BLO],[1]!CO[IHI],,-1)
- _xlfn.XLOOKUP(F274,[1]!CO[BLO],[1]!CO[ILO],,-1) )
/
( _xlfn.XLOOKUP(F274,[1]!CO[BLO],[1]!CO[BHI],,-1) - _xlfn.XLOOKUP(F274,[1]!CO[BLO],[1]!CO[BLO],,-1)))
*
( F274 - _xlfn.XLOOKUP(F274,[1]!CO[BLO],[1]!CO[BLO],,-1) )
+
_xlfn.XLOOKUP(F274,[1]!CO[BLO],[1]!CO[ILO],,-1)</f>
        <v>38</v>
      </c>
      <c r="M274">
        <f>(( _xlfn.XLOOKUP(G274,[1]!O_3[BLO],[1]!O_3[IHI],,-1) - _xlfn.XLOOKUP(G274,[1]!O_3[BLO],[1]!O_3[ILO],,-1))
/
( _xlfn.XLOOKUP(G274,[1]!O_3[BLO],[1]!O_3[BHI],,-1) - _xlfn.XLOOKUP(G274,[1]!O_3[BLO],[1]!O_3[BLO],,-1)))
*
( G274 - _xlfn.XLOOKUP(G274,[1]!O_3[BLO],[1]!O_3[BLO],,-1))
+
_xlfn.XLOOKUP(G274,[1]!O_3[BLO],[1]!O_3[ILO],,-1)</f>
        <v>23</v>
      </c>
      <c r="N274">
        <f>MAX(DAILY_DATA[[#This Row],[AQI_PM2.5]:[AQI_O3]])</f>
        <v>51</v>
      </c>
      <c r="O274" t="str">
        <f>_xlfn.XLOOKUP(DAILY_DATA[[#This Row],[OVERALL_AQI]],[1]!CATEGORY[AQI_LO],[1]!CATEGORY[CATEGORY],,-1)</f>
        <v>Satisfactory</v>
      </c>
      <c r="P274" t="str" cm="1">
        <f t="array" ref="P274">INDEX(
{"PM2.5","PM10","NO2","SO2","CO","O3"},
MATCH(N274,H274:M274,0)
)</f>
        <v>PM10</v>
      </c>
    </row>
    <row r="275" spans="1:16" x14ac:dyDescent="0.25">
      <c r="A275" s="4">
        <v>45565</v>
      </c>
      <c r="B275">
        <f>ROUND(AVERAGEIFS([1]HOURLY_DATA!B275:B9058,[1]HOURLY_DATA!H275:H9058,Daily_AQI!A275),0)</f>
        <v>31</v>
      </c>
      <c r="C275">
        <f>ROUND(AVERAGEIFS([1]HOURLY_DATA!C275:C9058,[1]HOURLY_DATA!H275:H9058,Daily_AQI!A275),0)</f>
        <v>62</v>
      </c>
      <c r="D275">
        <f>ROUND(AVERAGEIFS([1]HOURLY_DATA!D275:D9058,[1]HOURLY_DATA!H275:H9058,Daily_AQI!A275),0)</f>
        <v>17</v>
      </c>
      <c r="E275">
        <f>ROUND(AVERAGEIFS([1]HOURLY_DATA!E275:E9058,[1]HOURLY_DATA!H275:H9058,Daily_AQI!A275),0)</f>
        <v>10</v>
      </c>
      <c r="F275">
        <f>ROUND(AVERAGEIFS([1]HOURLY_DATA!I275:I9058,[1]HOURLY_DATA!H275:H9058,Daily_AQI!A275),2)</f>
        <v>0.73</v>
      </c>
      <c r="G275">
        <f>ROUND(AVERAGEIFS([1]HOURLY_DATA!J275:J9058,[1]HOURLY_DATA!H275:H9058,Daily_AQI!A275),0)</f>
        <v>24</v>
      </c>
      <c r="H275">
        <f>ROUND(((_xlfn.XLOOKUP(B275,[1]!PM2.5[BLO],[1]!PM2.5[IHI],,-1) - _xlfn.XLOOKUP(B275,[1]!PM2.5[BLO],[1]!PM2.5[ILO],,-1))
/
(_xlfn.XLOOKUP(B275,[1]!PM2.5[BLO],[1]!PM2.5[BHI],,-1) - _xlfn.XLOOKUP(B275,[1]!PM2.5[BLO],[1]!PM2.5[BLO],,-1)))
*
(B275 - _xlfn.XLOOKUP(B275,[1]!PM2.5[BLO],[1]!PM2.5[BLO],,-1))
+
_xlfn.XLOOKUP(B275,[1]!PM2.5[BLO],[1]!PM2.5[ILO],,-1),2)</f>
        <v>51</v>
      </c>
      <c r="I275">
        <f>ROUND(((_xlfn.XLOOKUP(C275,[1]!PM_10[BLO],[1]!PM_10[IHI],,-1) - _xlfn.XLOOKUP(C275,[1]!PM_10[BLO],[1]!PM_10[ILO],,-1))
/
(_xlfn.XLOOKUP(C275,[1]!PM_10[BLO],[1]!PM_10[BHI],,-1) - _xlfn.XLOOKUP(C275,[1]!PM_10[BLO],[1]!PM_10[BLO],,-1)))
*
( C275 - _xlfn.XLOOKUP(C275,[1]!PM_10[BLO],[1]!PM_10[BLO],,-1))
+
_xlfn.XLOOKUP(C275,[1]!PM_10[BLO],[1]!PM_10[ILO],,-1),2)</f>
        <v>62</v>
      </c>
      <c r="J275">
        <f>ROUND((( _xlfn.XLOOKUP(D275,[1]!NO_2[BLO],[1]!NO_2[IHI],,-1) - _xlfn.XLOOKUP(D275,[1]!NO_2[BLO],[1]!NO_2[ILO],,-1))
/
( _xlfn.XLOOKUP(D275,[1]!NO_2[BLO],[1]!NO_2[BHI],,-1) - _xlfn.XLOOKUP(D275,[1]!NO_2[BLO],[1]!NO_2[BLO],,-1) ))
*
( D275 - _xlfn.XLOOKUP(D275,[1]!NO_2[BLO],[1]!NO_2[BLO],,-1))
+
_xlfn.XLOOKUP(D275,[1]!NO_2[BLO],[1]!NO_2[ILO],,-1),2)</f>
        <v>21.25</v>
      </c>
      <c r="K275">
        <f>ROUND(( ( _xlfn.XLOOKUP(E275,[1]!SO_2[BLO],[1]!SO_2[IHI],,-1)  - _xlfn.XLOOKUP(E275,[1]!SO_2[BLO],[1]!SO_2[ILO],,-1) )
/
( _xlfn.XLOOKUP(E275,[1]!SO_2[BLO],[1]!SO_2[BHI],,-1)- _xlfn.XLOOKUP(E275,[1]!SO_2[BLO],[1]!SO_2[BLO],,-1) ))
*
( E275 - _xlfn.XLOOKUP(E275,[1]!SO_2[BLO],[1]!SO_2[BLO],,-1) )
+
_xlfn.XLOOKUP(E275,[1]!SO_2[BLO],[1]!SO_2[ILO],,-1),2)</f>
        <v>12.5</v>
      </c>
      <c r="L275">
        <f>( ( _xlfn.XLOOKUP(F275,[1]!CO[BLO],[1]!CO[IHI],,-1)
- _xlfn.XLOOKUP(F275,[1]!CO[BLO],[1]!CO[ILO],,-1) )
/
( _xlfn.XLOOKUP(F275,[1]!CO[BLO],[1]!CO[BHI],,-1) - _xlfn.XLOOKUP(F275,[1]!CO[BLO],[1]!CO[BLO],,-1)))
*
( F275 - _xlfn.XLOOKUP(F275,[1]!CO[BLO],[1]!CO[BLO],,-1) )
+
_xlfn.XLOOKUP(F275,[1]!CO[BLO],[1]!CO[ILO],,-1)</f>
        <v>36.5</v>
      </c>
      <c r="M275">
        <f>(( _xlfn.XLOOKUP(G275,[1]!O_3[BLO],[1]!O_3[IHI],,-1) - _xlfn.XLOOKUP(G275,[1]!O_3[BLO],[1]!O_3[ILO],,-1))
/
( _xlfn.XLOOKUP(G275,[1]!O_3[BLO],[1]!O_3[BHI],,-1) - _xlfn.XLOOKUP(G275,[1]!O_3[BLO],[1]!O_3[BLO],,-1)))
*
( G275 - _xlfn.XLOOKUP(G275,[1]!O_3[BLO],[1]!O_3[BLO],,-1))
+
_xlfn.XLOOKUP(G275,[1]!O_3[BLO],[1]!O_3[ILO],,-1)</f>
        <v>24</v>
      </c>
      <c r="N275">
        <f>MAX(DAILY_DATA[[#This Row],[AQI_PM2.5]:[AQI_O3]])</f>
        <v>62</v>
      </c>
      <c r="O275" t="str">
        <f>_xlfn.XLOOKUP(DAILY_DATA[[#This Row],[OVERALL_AQI]],[1]!CATEGORY[AQI_LO],[1]!CATEGORY[CATEGORY],,-1)</f>
        <v>Satisfactory</v>
      </c>
      <c r="P275" t="str" cm="1">
        <f t="array" ref="P275">INDEX(
{"PM2.5","PM10","NO2","SO2","CO","O3"},
MATCH(N275,H275:M275,0)
)</f>
        <v>PM10</v>
      </c>
    </row>
    <row r="276" spans="1:16" x14ac:dyDescent="0.25">
      <c r="A276" s="4">
        <v>45566</v>
      </c>
      <c r="B276">
        <f>ROUND(AVERAGEIFS([1]HOURLY_DATA!B276:B9059,[1]HOURLY_DATA!H276:H9059,Daily_AQI!A276),0)</f>
        <v>34</v>
      </c>
      <c r="C276">
        <f>ROUND(AVERAGEIFS([1]HOURLY_DATA!C276:C9059,[1]HOURLY_DATA!H276:H9059,Daily_AQI!A276),0)</f>
        <v>66</v>
      </c>
      <c r="D276">
        <f>ROUND(AVERAGEIFS([1]HOURLY_DATA!D276:D9059,[1]HOURLY_DATA!H276:H9059,Daily_AQI!A276),0)</f>
        <v>18</v>
      </c>
      <c r="E276">
        <f>ROUND(AVERAGEIFS([1]HOURLY_DATA!E276:E9059,[1]HOURLY_DATA!H276:H9059,Daily_AQI!A276),0)</f>
        <v>8</v>
      </c>
      <c r="F276">
        <f>ROUND(AVERAGEIFS([1]HOURLY_DATA!I276:I9059,[1]HOURLY_DATA!H276:H9059,Daily_AQI!A276),2)</f>
        <v>0.82</v>
      </c>
      <c r="G276">
        <f>ROUND(AVERAGEIFS([1]HOURLY_DATA!J276:J9059,[1]HOURLY_DATA!H276:H9059,Daily_AQI!A276),0)</f>
        <v>24</v>
      </c>
      <c r="H276">
        <f>ROUND(((_xlfn.XLOOKUP(B276,[1]!PM2.5[BLO],[1]!PM2.5[IHI],,-1) - _xlfn.XLOOKUP(B276,[1]!PM2.5[BLO],[1]!PM2.5[ILO],,-1))
/
(_xlfn.XLOOKUP(B276,[1]!PM2.5[BLO],[1]!PM2.5[BHI],,-1) - _xlfn.XLOOKUP(B276,[1]!PM2.5[BLO],[1]!PM2.5[BLO],,-1)))
*
(B276 - _xlfn.XLOOKUP(B276,[1]!PM2.5[BLO],[1]!PM2.5[BLO],,-1))
+
_xlfn.XLOOKUP(B276,[1]!PM2.5[BLO],[1]!PM2.5[ILO],,-1),2)</f>
        <v>56.07</v>
      </c>
      <c r="I276">
        <f>ROUND(((_xlfn.XLOOKUP(C276,[1]!PM_10[BLO],[1]!PM_10[IHI],,-1) - _xlfn.XLOOKUP(C276,[1]!PM_10[BLO],[1]!PM_10[ILO],,-1))
/
(_xlfn.XLOOKUP(C276,[1]!PM_10[BLO],[1]!PM_10[BHI],,-1) - _xlfn.XLOOKUP(C276,[1]!PM_10[BLO],[1]!PM_10[BLO],,-1)))
*
( C276 - _xlfn.XLOOKUP(C276,[1]!PM_10[BLO],[1]!PM_10[BLO],,-1))
+
_xlfn.XLOOKUP(C276,[1]!PM_10[BLO],[1]!PM_10[ILO],,-1),2)</f>
        <v>66</v>
      </c>
      <c r="J276">
        <f>ROUND((( _xlfn.XLOOKUP(D276,[1]!NO_2[BLO],[1]!NO_2[IHI],,-1) - _xlfn.XLOOKUP(D276,[1]!NO_2[BLO],[1]!NO_2[ILO],,-1))
/
( _xlfn.XLOOKUP(D276,[1]!NO_2[BLO],[1]!NO_2[BHI],,-1) - _xlfn.XLOOKUP(D276,[1]!NO_2[BLO],[1]!NO_2[BLO],,-1) ))
*
( D276 - _xlfn.XLOOKUP(D276,[1]!NO_2[BLO],[1]!NO_2[BLO],,-1))
+
_xlfn.XLOOKUP(D276,[1]!NO_2[BLO],[1]!NO_2[ILO],,-1),2)</f>
        <v>22.5</v>
      </c>
      <c r="K276">
        <f>ROUND(( ( _xlfn.XLOOKUP(E276,[1]!SO_2[BLO],[1]!SO_2[IHI],,-1)  - _xlfn.XLOOKUP(E276,[1]!SO_2[BLO],[1]!SO_2[ILO],,-1) )
/
( _xlfn.XLOOKUP(E276,[1]!SO_2[BLO],[1]!SO_2[BHI],,-1)- _xlfn.XLOOKUP(E276,[1]!SO_2[BLO],[1]!SO_2[BLO],,-1) ))
*
( E276 - _xlfn.XLOOKUP(E276,[1]!SO_2[BLO],[1]!SO_2[BLO],,-1) )
+
_xlfn.XLOOKUP(E276,[1]!SO_2[BLO],[1]!SO_2[ILO],,-1),2)</f>
        <v>10</v>
      </c>
      <c r="L276">
        <f>( ( _xlfn.XLOOKUP(F276,[1]!CO[BLO],[1]!CO[IHI],,-1)
- _xlfn.XLOOKUP(F276,[1]!CO[BLO],[1]!CO[ILO],,-1) )
/
( _xlfn.XLOOKUP(F276,[1]!CO[BLO],[1]!CO[BHI],,-1) - _xlfn.XLOOKUP(F276,[1]!CO[BLO],[1]!CO[BLO],,-1)))
*
( F276 - _xlfn.XLOOKUP(F276,[1]!CO[BLO],[1]!CO[BLO],,-1) )
+
_xlfn.XLOOKUP(F276,[1]!CO[BLO],[1]!CO[ILO],,-1)</f>
        <v>41</v>
      </c>
      <c r="M276">
        <f>(( _xlfn.XLOOKUP(G276,[1]!O_3[BLO],[1]!O_3[IHI],,-1) - _xlfn.XLOOKUP(G276,[1]!O_3[BLO],[1]!O_3[ILO],,-1))
/
( _xlfn.XLOOKUP(G276,[1]!O_3[BLO],[1]!O_3[BHI],,-1) - _xlfn.XLOOKUP(G276,[1]!O_3[BLO],[1]!O_3[BLO],,-1)))
*
( G276 - _xlfn.XLOOKUP(G276,[1]!O_3[BLO],[1]!O_3[BLO],,-1))
+
_xlfn.XLOOKUP(G276,[1]!O_3[BLO],[1]!O_3[ILO],,-1)</f>
        <v>24</v>
      </c>
      <c r="N276">
        <f>MAX(DAILY_DATA[[#This Row],[AQI_PM2.5]:[AQI_O3]])</f>
        <v>66</v>
      </c>
      <c r="O276" t="str">
        <f>_xlfn.XLOOKUP(DAILY_DATA[[#This Row],[OVERALL_AQI]],[1]!CATEGORY[AQI_LO],[1]!CATEGORY[CATEGORY],,-1)</f>
        <v>Satisfactory</v>
      </c>
      <c r="P276" t="str" cm="1">
        <f t="array" ref="P276">INDEX(
{"PM2.5","PM10","NO2","SO2","CO","O3"},
MATCH(N276,H276:M276,0)
)</f>
        <v>PM10</v>
      </c>
    </row>
    <row r="277" spans="1:16" x14ac:dyDescent="0.25">
      <c r="A277" s="4">
        <v>45567</v>
      </c>
      <c r="B277">
        <f>ROUND(AVERAGEIFS([1]HOURLY_DATA!B277:B9060,[1]HOURLY_DATA!H277:H9060,Daily_AQI!A277),0)</f>
        <v>28</v>
      </c>
      <c r="C277">
        <f>ROUND(AVERAGEIFS([1]HOURLY_DATA!C277:C9060,[1]HOURLY_DATA!H277:H9060,Daily_AQI!A277),0)</f>
        <v>50</v>
      </c>
      <c r="D277">
        <f>ROUND(AVERAGEIFS([1]HOURLY_DATA!D277:D9060,[1]HOURLY_DATA!H277:H9060,Daily_AQI!A277),0)</f>
        <v>17</v>
      </c>
      <c r="E277">
        <f>ROUND(AVERAGEIFS([1]HOURLY_DATA!E277:E9060,[1]HOURLY_DATA!H277:H9060,Daily_AQI!A277),0)</f>
        <v>8</v>
      </c>
      <c r="F277">
        <f>ROUND(AVERAGEIFS([1]HOURLY_DATA!I277:I9060,[1]HOURLY_DATA!H277:H9060,Daily_AQI!A277),2)</f>
        <v>0.87</v>
      </c>
      <c r="G277">
        <f>ROUND(AVERAGEIFS([1]HOURLY_DATA!J277:J9060,[1]HOURLY_DATA!H277:H9060,Daily_AQI!A277),0)</f>
        <v>24</v>
      </c>
      <c r="H277">
        <f>ROUND(((_xlfn.XLOOKUP(B277,[1]!PM2.5[BLO],[1]!PM2.5[IHI],,-1) - _xlfn.XLOOKUP(B277,[1]!PM2.5[BLO],[1]!PM2.5[ILO],,-1))
/
(_xlfn.XLOOKUP(B277,[1]!PM2.5[BLO],[1]!PM2.5[BHI],,-1) - _xlfn.XLOOKUP(B277,[1]!PM2.5[BLO],[1]!PM2.5[BLO],,-1)))
*
(B277 - _xlfn.XLOOKUP(B277,[1]!PM2.5[BLO],[1]!PM2.5[BLO],,-1))
+
_xlfn.XLOOKUP(B277,[1]!PM2.5[BLO],[1]!PM2.5[ILO],,-1),2)</f>
        <v>46.67</v>
      </c>
      <c r="I277">
        <f>ROUND(((_xlfn.XLOOKUP(C277,[1]!PM_10[BLO],[1]!PM_10[IHI],,-1) - _xlfn.XLOOKUP(C277,[1]!PM_10[BLO],[1]!PM_10[ILO],,-1))
/
(_xlfn.XLOOKUP(C277,[1]!PM_10[BLO],[1]!PM_10[BHI],,-1) - _xlfn.XLOOKUP(C277,[1]!PM_10[BLO],[1]!PM_10[BLO],,-1)))
*
( C277 - _xlfn.XLOOKUP(C277,[1]!PM_10[BLO],[1]!PM_10[BLO],,-1))
+
_xlfn.XLOOKUP(C277,[1]!PM_10[BLO],[1]!PM_10[ILO],,-1),2)</f>
        <v>50</v>
      </c>
      <c r="J277">
        <f>ROUND((( _xlfn.XLOOKUP(D277,[1]!NO_2[BLO],[1]!NO_2[IHI],,-1) - _xlfn.XLOOKUP(D277,[1]!NO_2[BLO],[1]!NO_2[ILO],,-1))
/
( _xlfn.XLOOKUP(D277,[1]!NO_2[BLO],[1]!NO_2[BHI],,-1) - _xlfn.XLOOKUP(D277,[1]!NO_2[BLO],[1]!NO_2[BLO],,-1) ))
*
( D277 - _xlfn.XLOOKUP(D277,[1]!NO_2[BLO],[1]!NO_2[BLO],,-1))
+
_xlfn.XLOOKUP(D277,[1]!NO_2[BLO],[1]!NO_2[ILO],,-1),2)</f>
        <v>21.25</v>
      </c>
      <c r="K277">
        <f>ROUND(( ( _xlfn.XLOOKUP(E277,[1]!SO_2[BLO],[1]!SO_2[IHI],,-1)  - _xlfn.XLOOKUP(E277,[1]!SO_2[BLO],[1]!SO_2[ILO],,-1) )
/
( _xlfn.XLOOKUP(E277,[1]!SO_2[BLO],[1]!SO_2[BHI],,-1)- _xlfn.XLOOKUP(E277,[1]!SO_2[BLO],[1]!SO_2[BLO],,-1) ))
*
( E277 - _xlfn.XLOOKUP(E277,[1]!SO_2[BLO],[1]!SO_2[BLO],,-1) )
+
_xlfn.XLOOKUP(E277,[1]!SO_2[BLO],[1]!SO_2[ILO],,-1),2)</f>
        <v>10</v>
      </c>
      <c r="L277">
        <f>( ( _xlfn.XLOOKUP(F277,[1]!CO[BLO],[1]!CO[IHI],,-1)
- _xlfn.XLOOKUP(F277,[1]!CO[BLO],[1]!CO[ILO],,-1) )
/
( _xlfn.XLOOKUP(F277,[1]!CO[BLO],[1]!CO[BHI],,-1) - _xlfn.XLOOKUP(F277,[1]!CO[BLO],[1]!CO[BLO],,-1)))
*
( F277 - _xlfn.XLOOKUP(F277,[1]!CO[BLO],[1]!CO[BLO],,-1) )
+
_xlfn.XLOOKUP(F277,[1]!CO[BLO],[1]!CO[ILO],,-1)</f>
        <v>43.5</v>
      </c>
      <c r="M277">
        <f>(( _xlfn.XLOOKUP(G277,[1]!O_3[BLO],[1]!O_3[IHI],,-1) - _xlfn.XLOOKUP(G277,[1]!O_3[BLO],[1]!O_3[ILO],,-1))
/
( _xlfn.XLOOKUP(G277,[1]!O_3[BLO],[1]!O_3[BHI],,-1) - _xlfn.XLOOKUP(G277,[1]!O_3[BLO],[1]!O_3[BLO],,-1)))
*
( G277 - _xlfn.XLOOKUP(G277,[1]!O_3[BLO],[1]!O_3[BLO],,-1))
+
_xlfn.XLOOKUP(G277,[1]!O_3[BLO],[1]!O_3[ILO],,-1)</f>
        <v>24</v>
      </c>
      <c r="N277">
        <f>MAX(DAILY_DATA[[#This Row],[AQI_PM2.5]:[AQI_O3]])</f>
        <v>50</v>
      </c>
      <c r="O277" t="str">
        <f>_xlfn.XLOOKUP(DAILY_DATA[[#This Row],[OVERALL_AQI]],[1]!CATEGORY[AQI_LO],[1]!CATEGORY[CATEGORY],,-1)</f>
        <v>Good</v>
      </c>
      <c r="P277" t="str" cm="1">
        <f t="array" ref="P277">INDEX(
{"PM2.5","PM10","NO2","SO2","CO","O3"},
MATCH(N277,H277:M277,0)
)</f>
        <v>PM10</v>
      </c>
    </row>
    <row r="278" spans="1:16" x14ac:dyDescent="0.25">
      <c r="A278" s="4">
        <v>45568</v>
      </c>
      <c r="B278">
        <f>ROUND(AVERAGEIFS([1]HOURLY_DATA!B278:B9061,[1]HOURLY_DATA!H278:H9061,Daily_AQI!A278),0)</f>
        <v>20</v>
      </c>
      <c r="C278">
        <f>ROUND(AVERAGEIFS([1]HOURLY_DATA!C278:C9061,[1]HOURLY_DATA!H278:H9061,Daily_AQI!A278),0)</f>
        <v>42</v>
      </c>
      <c r="D278">
        <f>ROUND(AVERAGEIFS([1]HOURLY_DATA!D278:D9061,[1]HOURLY_DATA!H278:H9061,Daily_AQI!A278),0)</f>
        <v>18</v>
      </c>
      <c r="E278">
        <f>ROUND(AVERAGEIFS([1]HOURLY_DATA!E278:E9061,[1]HOURLY_DATA!H278:H9061,Daily_AQI!A278),0)</f>
        <v>8</v>
      </c>
      <c r="F278">
        <f>ROUND(AVERAGEIFS([1]HOURLY_DATA!I278:I9061,[1]HOURLY_DATA!H278:H9061,Daily_AQI!A278),2)</f>
        <v>0.82</v>
      </c>
      <c r="G278">
        <f>ROUND(AVERAGEIFS([1]HOURLY_DATA!J278:J9061,[1]HOURLY_DATA!H278:H9061,Daily_AQI!A278),0)</f>
        <v>21</v>
      </c>
      <c r="H278">
        <f>ROUND(((_xlfn.XLOOKUP(B278,[1]!PM2.5[BLO],[1]!PM2.5[IHI],,-1) - _xlfn.XLOOKUP(B278,[1]!PM2.5[BLO],[1]!PM2.5[ILO],,-1))
/
(_xlfn.XLOOKUP(B278,[1]!PM2.5[BLO],[1]!PM2.5[BHI],,-1) - _xlfn.XLOOKUP(B278,[1]!PM2.5[BLO],[1]!PM2.5[BLO],,-1)))
*
(B278 - _xlfn.XLOOKUP(B278,[1]!PM2.5[BLO],[1]!PM2.5[BLO],,-1))
+
_xlfn.XLOOKUP(B278,[1]!PM2.5[BLO],[1]!PM2.5[ILO],,-1),2)</f>
        <v>33.33</v>
      </c>
      <c r="I278">
        <f>ROUND(((_xlfn.XLOOKUP(C278,[1]!PM_10[BLO],[1]!PM_10[IHI],,-1) - _xlfn.XLOOKUP(C278,[1]!PM_10[BLO],[1]!PM_10[ILO],,-1))
/
(_xlfn.XLOOKUP(C278,[1]!PM_10[BLO],[1]!PM_10[BHI],,-1) - _xlfn.XLOOKUP(C278,[1]!PM_10[BLO],[1]!PM_10[BLO],,-1)))
*
( C278 - _xlfn.XLOOKUP(C278,[1]!PM_10[BLO],[1]!PM_10[BLO],,-1))
+
_xlfn.XLOOKUP(C278,[1]!PM_10[BLO],[1]!PM_10[ILO],,-1),2)</f>
        <v>42</v>
      </c>
      <c r="J278">
        <f>ROUND((( _xlfn.XLOOKUP(D278,[1]!NO_2[BLO],[1]!NO_2[IHI],,-1) - _xlfn.XLOOKUP(D278,[1]!NO_2[BLO],[1]!NO_2[ILO],,-1))
/
( _xlfn.XLOOKUP(D278,[1]!NO_2[BLO],[1]!NO_2[BHI],,-1) - _xlfn.XLOOKUP(D278,[1]!NO_2[BLO],[1]!NO_2[BLO],,-1) ))
*
( D278 - _xlfn.XLOOKUP(D278,[1]!NO_2[BLO],[1]!NO_2[BLO],,-1))
+
_xlfn.XLOOKUP(D278,[1]!NO_2[BLO],[1]!NO_2[ILO],,-1),2)</f>
        <v>22.5</v>
      </c>
      <c r="K278">
        <f>ROUND(( ( _xlfn.XLOOKUP(E278,[1]!SO_2[BLO],[1]!SO_2[IHI],,-1)  - _xlfn.XLOOKUP(E278,[1]!SO_2[BLO],[1]!SO_2[ILO],,-1) )
/
( _xlfn.XLOOKUP(E278,[1]!SO_2[BLO],[1]!SO_2[BHI],,-1)- _xlfn.XLOOKUP(E278,[1]!SO_2[BLO],[1]!SO_2[BLO],,-1) ))
*
( E278 - _xlfn.XLOOKUP(E278,[1]!SO_2[BLO],[1]!SO_2[BLO],,-1) )
+
_xlfn.XLOOKUP(E278,[1]!SO_2[BLO],[1]!SO_2[ILO],,-1),2)</f>
        <v>10</v>
      </c>
      <c r="L278">
        <f>( ( _xlfn.XLOOKUP(F278,[1]!CO[BLO],[1]!CO[IHI],,-1)
- _xlfn.XLOOKUP(F278,[1]!CO[BLO],[1]!CO[ILO],,-1) )
/
( _xlfn.XLOOKUP(F278,[1]!CO[BLO],[1]!CO[BHI],,-1) - _xlfn.XLOOKUP(F278,[1]!CO[BLO],[1]!CO[BLO],,-1)))
*
( F278 - _xlfn.XLOOKUP(F278,[1]!CO[BLO],[1]!CO[BLO],,-1) )
+
_xlfn.XLOOKUP(F278,[1]!CO[BLO],[1]!CO[ILO],,-1)</f>
        <v>41</v>
      </c>
      <c r="M278">
        <f>(( _xlfn.XLOOKUP(G278,[1]!O_3[BLO],[1]!O_3[IHI],,-1) - _xlfn.XLOOKUP(G278,[1]!O_3[BLO],[1]!O_3[ILO],,-1))
/
( _xlfn.XLOOKUP(G278,[1]!O_3[BLO],[1]!O_3[BHI],,-1) - _xlfn.XLOOKUP(G278,[1]!O_3[BLO],[1]!O_3[BLO],,-1)))
*
( G278 - _xlfn.XLOOKUP(G278,[1]!O_3[BLO],[1]!O_3[BLO],,-1))
+
_xlfn.XLOOKUP(G278,[1]!O_3[BLO],[1]!O_3[ILO],,-1)</f>
        <v>21</v>
      </c>
      <c r="N278">
        <f>MAX(DAILY_DATA[[#This Row],[AQI_PM2.5]:[AQI_O3]])</f>
        <v>42</v>
      </c>
      <c r="O278" t="str">
        <f>_xlfn.XLOOKUP(DAILY_DATA[[#This Row],[OVERALL_AQI]],[1]!CATEGORY[AQI_LO],[1]!CATEGORY[CATEGORY],,-1)</f>
        <v>Good</v>
      </c>
      <c r="P278" t="str" cm="1">
        <f t="array" ref="P278">INDEX(
{"PM2.5","PM10","NO2","SO2","CO","O3"},
MATCH(N278,H278:M278,0)
)</f>
        <v>PM10</v>
      </c>
    </row>
    <row r="279" spans="1:16" x14ac:dyDescent="0.25">
      <c r="A279" s="4">
        <v>45569</v>
      </c>
      <c r="B279">
        <f>ROUND(AVERAGEIFS([1]HOURLY_DATA!B279:B9062,[1]HOURLY_DATA!H279:H9062,Daily_AQI!A279),0)</f>
        <v>28</v>
      </c>
      <c r="C279">
        <f>ROUND(AVERAGEIFS([1]HOURLY_DATA!C279:C9062,[1]HOURLY_DATA!H279:H9062,Daily_AQI!A279),0)</f>
        <v>58</v>
      </c>
      <c r="D279">
        <f>ROUND(AVERAGEIFS([1]HOURLY_DATA!D279:D9062,[1]HOURLY_DATA!H279:H9062,Daily_AQI!A279),0)</f>
        <v>19</v>
      </c>
      <c r="E279">
        <f>ROUND(AVERAGEIFS([1]HOURLY_DATA!E279:E9062,[1]HOURLY_DATA!H279:H9062,Daily_AQI!A279),0)</f>
        <v>8</v>
      </c>
      <c r="F279">
        <f>ROUND(AVERAGEIFS([1]HOURLY_DATA!I279:I9062,[1]HOURLY_DATA!H279:H9062,Daily_AQI!A279),2)</f>
        <v>0.86</v>
      </c>
      <c r="G279">
        <f>ROUND(AVERAGEIFS([1]HOURLY_DATA!J279:J9062,[1]HOURLY_DATA!H279:H9062,Daily_AQI!A279),0)</f>
        <v>21</v>
      </c>
      <c r="H279">
        <f>ROUND(((_xlfn.XLOOKUP(B279,[1]!PM2.5[BLO],[1]!PM2.5[IHI],,-1) - _xlfn.XLOOKUP(B279,[1]!PM2.5[BLO],[1]!PM2.5[ILO],,-1))
/
(_xlfn.XLOOKUP(B279,[1]!PM2.5[BLO],[1]!PM2.5[BHI],,-1) - _xlfn.XLOOKUP(B279,[1]!PM2.5[BLO],[1]!PM2.5[BLO],,-1)))
*
(B279 - _xlfn.XLOOKUP(B279,[1]!PM2.5[BLO],[1]!PM2.5[BLO],,-1))
+
_xlfn.XLOOKUP(B279,[1]!PM2.5[BLO],[1]!PM2.5[ILO],,-1),2)</f>
        <v>46.67</v>
      </c>
      <c r="I279">
        <f>ROUND(((_xlfn.XLOOKUP(C279,[1]!PM_10[BLO],[1]!PM_10[IHI],,-1) - _xlfn.XLOOKUP(C279,[1]!PM_10[BLO],[1]!PM_10[ILO],,-1))
/
(_xlfn.XLOOKUP(C279,[1]!PM_10[BLO],[1]!PM_10[BHI],,-1) - _xlfn.XLOOKUP(C279,[1]!PM_10[BLO],[1]!PM_10[BLO],,-1)))
*
( C279 - _xlfn.XLOOKUP(C279,[1]!PM_10[BLO],[1]!PM_10[BLO],,-1))
+
_xlfn.XLOOKUP(C279,[1]!PM_10[BLO],[1]!PM_10[ILO],,-1),2)</f>
        <v>58</v>
      </c>
      <c r="J279">
        <f>ROUND((( _xlfn.XLOOKUP(D279,[1]!NO_2[BLO],[1]!NO_2[IHI],,-1) - _xlfn.XLOOKUP(D279,[1]!NO_2[BLO],[1]!NO_2[ILO],,-1))
/
( _xlfn.XLOOKUP(D279,[1]!NO_2[BLO],[1]!NO_2[BHI],,-1) - _xlfn.XLOOKUP(D279,[1]!NO_2[BLO],[1]!NO_2[BLO],,-1) ))
*
( D279 - _xlfn.XLOOKUP(D279,[1]!NO_2[BLO],[1]!NO_2[BLO],,-1))
+
_xlfn.XLOOKUP(D279,[1]!NO_2[BLO],[1]!NO_2[ILO],,-1),2)</f>
        <v>23.75</v>
      </c>
      <c r="K279">
        <f>ROUND(( ( _xlfn.XLOOKUP(E279,[1]!SO_2[BLO],[1]!SO_2[IHI],,-1)  - _xlfn.XLOOKUP(E279,[1]!SO_2[BLO],[1]!SO_2[ILO],,-1) )
/
( _xlfn.XLOOKUP(E279,[1]!SO_2[BLO],[1]!SO_2[BHI],,-1)- _xlfn.XLOOKUP(E279,[1]!SO_2[BLO],[1]!SO_2[BLO],,-1) ))
*
( E279 - _xlfn.XLOOKUP(E279,[1]!SO_2[BLO],[1]!SO_2[BLO],,-1) )
+
_xlfn.XLOOKUP(E279,[1]!SO_2[BLO],[1]!SO_2[ILO],,-1),2)</f>
        <v>10</v>
      </c>
      <c r="L279">
        <f>( ( _xlfn.XLOOKUP(F279,[1]!CO[BLO],[1]!CO[IHI],,-1)
- _xlfn.XLOOKUP(F279,[1]!CO[BLO],[1]!CO[ILO],,-1) )
/
( _xlfn.XLOOKUP(F279,[1]!CO[BLO],[1]!CO[BHI],,-1) - _xlfn.XLOOKUP(F279,[1]!CO[BLO],[1]!CO[BLO],,-1)))
*
( F279 - _xlfn.XLOOKUP(F279,[1]!CO[BLO],[1]!CO[BLO],,-1) )
+
_xlfn.XLOOKUP(F279,[1]!CO[BLO],[1]!CO[ILO],,-1)</f>
        <v>43</v>
      </c>
      <c r="M279">
        <f>(( _xlfn.XLOOKUP(G279,[1]!O_3[BLO],[1]!O_3[IHI],,-1) - _xlfn.XLOOKUP(G279,[1]!O_3[BLO],[1]!O_3[ILO],,-1))
/
( _xlfn.XLOOKUP(G279,[1]!O_3[BLO],[1]!O_3[BHI],,-1) - _xlfn.XLOOKUP(G279,[1]!O_3[BLO],[1]!O_3[BLO],,-1)))
*
( G279 - _xlfn.XLOOKUP(G279,[1]!O_3[BLO],[1]!O_3[BLO],,-1))
+
_xlfn.XLOOKUP(G279,[1]!O_3[BLO],[1]!O_3[ILO],,-1)</f>
        <v>21</v>
      </c>
      <c r="N279">
        <f>MAX(DAILY_DATA[[#This Row],[AQI_PM2.5]:[AQI_O3]])</f>
        <v>58</v>
      </c>
      <c r="O279" t="str">
        <f>_xlfn.XLOOKUP(DAILY_DATA[[#This Row],[OVERALL_AQI]],[1]!CATEGORY[AQI_LO],[1]!CATEGORY[CATEGORY],,-1)</f>
        <v>Satisfactory</v>
      </c>
      <c r="P279" t="str" cm="1">
        <f t="array" ref="P279">INDEX(
{"PM2.5","PM10","NO2","SO2","CO","O3"},
MATCH(N279,H279:M279,0)
)</f>
        <v>PM10</v>
      </c>
    </row>
    <row r="280" spans="1:16" x14ac:dyDescent="0.25">
      <c r="A280" s="4">
        <v>45570</v>
      </c>
      <c r="B280">
        <f>ROUND(AVERAGEIFS([1]HOURLY_DATA!B280:B9063,[1]HOURLY_DATA!H280:H9063,Daily_AQI!A280),0)</f>
        <v>20</v>
      </c>
      <c r="C280">
        <f>ROUND(AVERAGEIFS([1]HOURLY_DATA!C280:C9063,[1]HOURLY_DATA!H280:H9063,Daily_AQI!A280),0)</f>
        <v>42</v>
      </c>
      <c r="D280">
        <f>ROUND(AVERAGEIFS([1]HOURLY_DATA!D280:D9063,[1]HOURLY_DATA!H280:H9063,Daily_AQI!A280),0)</f>
        <v>18</v>
      </c>
      <c r="E280">
        <f>ROUND(AVERAGEIFS([1]HOURLY_DATA!E280:E9063,[1]HOURLY_DATA!H280:H9063,Daily_AQI!A280),0)</f>
        <v>9</v>
      </c>
      <c r="F280">
        <f>ROUND(AVERAGEIFS([1]HOURLY_DATA!I280:I9063,[1]HOURLY_DATA!H280:H9063,Daily_AQI!A280),2)</f>
        <v>0.77</v>
      </c>
      <c r="G280">
        <f>ROUND(AVERAGEIFS([1]HOURLY_DATA!J280:J9063,[1]HOURLY_DATA!H280:H9063,Daily_AQI!A280),0)</f>
        <v>24</v>
      </c>
      <c r="H280">
        <f>ROUND(((_xlfn.XLOOKUP(B280,[1]!PM2.5[BLO],[1]!PM2.5[IHI],,-1) - _xlfn.XLOOKUP(B280,[1]!PM2.5[BLO],[1]!PM2.5[ILO],,-1))
/
(_xlfn.XLOOKUP(B280,[1]!PM2.5[BLO],[1]!PM2.5[BHI],,-1) - _xlfn.XLOOKUP(B280,[1]!PM2.5[BLO],[1]!PM2.5[BLO],,-1)))
*
(B280 - _xlfn.XLOOKUP(B280,[1]!PM2.5[BLO],[1]!PM2.5[BLO],,-1))
+
_xlfn.XLOOKUP(B280,[1]!PM2.5[BLO],[1]!PM2.5[ILO],,-1),2)</f>
        <v>33.33</v>
      </c>
      <c r="I280">
        <f>ROUND(((_xlfn.XLOOKUP(C280,[1]!PM_10[BLO],[1]!PM_10[IHI],,-1) - _xlfn.XLOOKUP(C280,[1]!PM_10[BLO],[1]!PM_10[ILO],,-1))
/
(_xlfn.XLOOKUP(C280,[1]!PM_10[BLO],[1]!PM_10[BHI],,-1) - _xlfn.XLOOKUP(C280,[1]!PM_10[BLO],[1]!PM_10[BLO],,-1)))
*
( C280 - _xlfn.XLOOKUP(C280,[1]!PM_10[BLO],[1]!PM_10[BLO],,-1))
+
_xlfn.XLOOKUP(C280,[1]!PM_10[BLO],[1]!PM_10[ILO],,-1),2)</f>
        <v>42</v>
      </c>
      <c r="J280">
        <f>ROUND((( _xlfn.XLOOKUP(D280,[1]!NO_2[BLO],[1]!NO_2[IHI],,-1) - _xlfn.XLOOKUP(D280,[1]!NO_2[BLO],[1]!NO_2[ILO],,-1))
/
( _xlfn.XLOOKUP(D280,[1]!NO_2[BLO],[1]!NO_2[BHI],,-1) - _xlfn.XLOOKUP(D280,[1]!NO_2[BLO],[1]!NO_2[BLO],,-1) ))
*
( D280 - _xlfn.XLOOKUP(D280,[1]!NO_2[BLO],[1]!NO_2[BLO],,-1))
+
_xlfn.XLOOKUP(D280,[1]!NO_2[BLO],[1]!NO_2[ILO],,-1),2)</f>
        <v>22.5</v>
      </c>
      <c r="K280">
        <f>ROUND(( ( _xlfn.XLOOKUP(E280,[1]!SO_2[BLO],[1]!SO_2[IHI],,-1)  - _xlfn.XLOOKUP(E280,[1]!SO_2[BLO],[1]!SO_2[ILO],,-1) )
/
( _xlfn.XLOOKUP(E280,[1]!SO_2[BLO],[1]!SO_2[BHI],,-1)- _xlfn.XLOOKUP(E280,[1]!SO_2[BLO],[1]!SO_2[BLO],,-1) ))
*
( E280 - _xlfn.XLOOKUP(E280,[1]!SO_2[BLO],[1]!SO_2[BLO],,-1) )
+
_xlfn.XLOOKUP(E280,[1]!SO_2[BLO],[1]!SO_2[ILO],,-1),2)</f>
        <v>11.25</v>
      </c>
      <c r="L280">
        <f>( ( _xlfn.XLOOKUP(F280,[1]!CO[BLO],[1]!CO[IHI],,-1)
- _xlfn.XLOOKUP(F280,[1]!CO[BLO],[1]!CO[ILO],,-1) )
/
( _xlfn.XLOOKUP(F280,[1]!CO[BLO],[1]!CO[BHI],,-1) - _xlfn.XLOOKUP(F280,[1]!CO[BLO],[1]!CO[BLO],,-1)))
*
( F280 - _xlfn.XLOOKUP(F280,[1]!CO[BLO],[1]!CO[BLO],,-1) )
+
_xlfn.XLOOKUP(F280,[1]!CO[BLO],[1]!CO[ILO],,-1)</f>
        <v>38.5</v>
      </c>
      <c r="M280">
        <f>(( _xlfn.XLOOKUP(G280,[1]!O_3[BLO],[1]!O_3[IHI],,-1) - _xlfn.XLOOKUP(G280,[1]!O_3[BLO],[1]!O_3[ILO],,-1))
/
( _xlfn.XLOOKUP(G280,[1]!O_3[BLO],[1]!O_3[BHI],,-1) - _xlfn.XLOOKUP(G280,[1]!O_3[BLO],[1]!O_3[BLO],,-1)))
*
( G280 - _xlfn.XLOOKUP(G280,[1]!O_3[BLO],[1]!O_3[BLO],,-1))
+
_xlfn.XLOOKUP(G280,[1]!O_3[BLO],[1]!O_3[ILO],,-1)</f>
        <v>24</v>
      </c>
      <c r="N280">
        <f>MAX(DAILY_DATA[[#This Row],[AQI_PM2.5]:[AQI_O3]])</f>
        <v>42</v>
      </c>
      <c r="O280" t="str">
        <f>_xlfn.XLOOKUP(DAILY_DATA[[#This Row],[OVERALL_AQI]],[1]!CATEGORY[AQI_LO],[1]!CATEGORY[CATEGORY],,-1)</f>
        <v>Good</v>
      </c>
      <c r="P280" t="str" cm="1">
        <f t="array" ref="P280">INDEX(
{"PM2.5","PM10","NO2","SO2","CO","O3"},
MATCH(N280,H280:M280,0)
)</f>
        <v>PM10</v>
      </c>
    </row>
    <row r="281" spans="1:16" x14ac:dyDescent="0.25">
      <c r="A281" s="4">
        <v>45571</v>
      </c>
      <c r="B281">
        <f>ROUND(AVERAGEIFS([1]HOURLY_DATA!B281:B9064,[1]HOURLY_DATA!H281:H9064,Daily_AQI!A281),0)</f>
        <v>30</v>
      </c>
      <c r="C281">
        <f>ROUND(AVERAGEIFS([1]HOURLY_DATA!C281:C9064,[1]HOURLY_DATA!H281:H9064,Daily_AQI!A281),0)</f>
        <v>61</v>
      </c>
      <c r="D281">
        <f>ROUND(AVERAGEIFS([1]HOURLY_DATA!D281:D9064,[1]HOURLY_DATA!H281:H9064,Daily_AQI!A281),0)</f>
        <v>18</v>
      </c>
      <c r="E281">
        <f>ROUND(AVERAGEIFS([1]HOURLY_DATA!E281:E9064,[1]HOURLY_DATA!H281:H9064,Daily_AQI!A281),0)</f>
        <v>9</v>
      </c>
      <c r="F281">
        <f>ROUND(AVERAGEIFS([1]HOURLY_DATA!I281:I9064,[1]HOURLY_DATA!H281:H9064,Daily_AQI!A281),2)</f>
        <v>0.76</v>
      </c>
      <c r="G281">
        <f>ROUND(AVERAGEIFS([1]HOURLY_DATA!J281:J9064,[1]HOURLY_DATA!H281:H9064,Daily_AQI!A281),0)</f>
        <v>25</v>
      </c>
      <c r="H281">
        <f>ROUND(((_xlfn.XLOOKUP(B281,[1]!PM2.5[BLO],[1]!PM2.5[IHI],,-1) - _xlfn.XLOOKUP(B281,[1]!PM2.5[BLO],[1]!PM2.5[ILO],,-1))
/
(_xlfn.XLOOKUP(B281,[1]!PM2.5[BLO],[1]!PM2.5[BHI],,-1) - _xlfn.XLOOKUP(B281,[1]!PM2.5[BLO],[1]!PM2.5[BLO],,-1)))
*
(B281 - _xlfn.XLOOKUP(B281,[1]!PM2.5[BLO],[1]!PM2.5[BLO],,-1))
+
_xlfn.XLOOKUP(B281,[1]!PM2.5[BLO],[1]!PM2.5[ILO],,-1),2)</f>
        <v>50</v>
      </c>
      <c r="I281">
        <f>ROUND(((_xlfn.XLOOKUP(C281,[1]!PM_10[BLO],[1]!PM_10[IHI],,-1) - _xlfn.XLOOKUP(C281,[1]!PM_10[BLO],[1]!PM_10[ILO],,-1))
/
(_xlfn.XLOOKUP(C281,[1]!PM_10[BLO],[1]!PM_10[BHI],,-1) - _xlfn.XLOOKUP(C281,[1]!PM_10[BLO],[1]!PM_10[BLO],,-1)))
*
( C281 - _xlfn.XLOOKUP(C281,[1]!PM_10[BLO],[1]!PM_10[BLO],,-1))
+
_xlfn.XLOOKUP(C281,[1]!PM_10[BLO],[1]!PM_10[ILO],,-1),2)</f>
        <v>61</v>
      </c>
      <c r="J281">
        <f>ROUND((( _xlfn.XLOOKUP(D281,[1]!NO_2[BLO],[1]!NO_2[IHI],,-1) - _xlfn.XLOOKUP(D281,[1]!NO_2[BLO],[1]!NO_2[ILO],,-1))
/
( _xlfn.XLOOKUP(D281,[1]!NO_2[BLO],[1]!NO_2[BHI],,-1) - _xlfn.XLOOKUP(D281,[1]!NO_2[BLO],[1]!NO_2[BLO],,-1) ))
*
( D281 - _xlfn.XLOOKUP(D281,[1]!NO_2[BLO],[1]!NO_2[BLO],,-1))
+
_xlfn.XLOOKUP(D281,[1]!NO_2[BLO],[1]!NO_2[ILO],,-1),2)</f>
        <v>22.5</v>
      </c>
      <c r="K281">
        <f>ROUND(( ( _xlfn.XLOOKUP(E281,[1]!SO_2[BLO],[1]!SO_2[IHI],,-1)  - _xlfn.XLOOKUP(E281,[1]!SO_2[BLO],[1]!SO_2[ILO],,-1) )
/
( _xlfn.XLOOKUP(E281,[1]!SO_2[BLO],[1]!SO_2[BHI],,-1)- _xlfn.XLOOKUP(E281,[1]!SO_2[BLO],[1]!SO_2[BLO],,-1) ))
*
( E281 - _xlfn.XLOOKUP(E281,[1]!SO_2[BLO],[1]!SO_2[BLO],,-1) )
+
_xlfn.XLOOKUP(E281,[1]!SO_2[BLO],[1]!SO_2[ILO],,-1),2)</f>
        <v>11.25</v>
      </c>
      <c r="L281">
        <f>( ( _xlfn.XLOOKUP(F281,[1]!CO[BLO],[1]!CO[IHI],,-1)
- _xlfn.XLOOKUP(F281,[1]!CO[BLO],[1]!CO[ILO],,-1) )
/
( _xlfn.XLOOKUP(F281,[1]!CO[BLO],[1]!CO[BHI],,-1) - _xlfn.XLOOKUP(F281,[1]!CO[BLO],[1]!CO[BLO],,-1)))
*
( F281 - _xlfn.XLOOKUP(F281,[1]!CO[BLO],[1]!CO[BLO],,-1) )
+
_xlfn.XLOOKUP(F281,[1]!CO[BLO],[1]!CO[ILO],,-1)</f>
        <v>38</v>
      </c>
      <c r="M281">
        <f>(( _xlfn.XLOOKUP(G281,[1]!O_3[BLO],[1]!O_3[IHI],,-1) - _xlfn.XLOOKUP(G281,[1]!O_3[BLO],[1]!O_3[ILO],,-1))
/
( _xlfn.XLOOKUP(G281,[1]!O_3[BLO],[1]!O_3[BHI],,-1) - _xlfn.XLOOKUP(G281,[1]!O_3[BLO],[1]!O_3[BLO],,-1)))
*
( G281 - _xlfn.XLOOKUP(G281,[1]!O_3[BLO],[1]!O_3[BLO],,-1))
+
_xlfn.XLOOKUP(G281,[1]!O_3[BLO],[1]!O_3[ILO],,-1)</f>
        <v>25</v>
      </c>
      <c r="N281">
        <f>MAX(DAILY_DATA[[#This Row],[AQI_PM2.5]:[AQI_O3]])</f>
        <v>61</v>
      </c>
      <c r="O281" t="str">
        <f>_xlfn.XLOOKUP(DAILY_DATA[[#This Row],[OVERALL_AQI]],[1]!CATEGORY[AQI_LO],[1]!CATEGORY[CATEGORY],,-1)</f>
        <v>Satisfactory</v>
      </c>
      <c r="P281" t="str" cm="1">
        <f t="array" ref="P281">INDEX(
{"PM2.5","PM10","NO2","SO2","CO","O3"},
MATCH(N281,H281:M281,0)
)</f>
        <v>PM10</v>
      </c>
    </row>
    <row r="282" spans="1:16" x14ac:dyDescent="0.25">
      <c r="A282" s="4">
        <v>45572</v>
      </c>
      <c r="B282">
        <f>ROUND(AVERAGEIFS([1]HOURLY_DATA!B282:B9065,[1]HOURLY_DATA!H282:H9065,Daily_AQI!A282),0)</f>
        <v>48</v>
      </c>
      <c r="C282">
        <f>ROUND(AVERAGEIFS([1]HOURLY_DATA!C282:C9065,[1]HOURLY_DATA!H282:H9065,Daily_AQI!A282),0)</f>
        <v>93</v>
      </c>
      <c r="D282">
        <f>ROUND(AVERAGEIFS([1]HOURLY_DATA!D282:D9065,[1]HOURLY_DATA!H282:H9065,Daily_AQI!A282),0)</f>
        <v>19</v>
      </c>
      <c r="E282">
        <f>ROUND(AVERAGEIFS([1]HOURLY_DATA!E282:E9065,[1]HOURLY_DATA!H282:H9065,Daily_AQI!A282),0)</f>
        <v>8</v>
      </c>
      <c r="F282">
        <f>ROUND(AVERAGEIFS([1]HOURLY_DATA!I282:I9065,[1]HOURLY_DATA!H282:H9065,Daily_AQI!A282),2)</f>
        <v>0.79</v>
      </c>
      <c r="G282">
        <f>ROUND(AVERAGEIFS([1]HOURLY_DATA!J282:J9065,[1]HOURLY_DATA!H282:H9065,Daily_AQI!A282),0)</f>
        <v>26</v>
      </c>
      <c r="H282">
        <f>ROUND(((_xlfn.XLOOKUP(B282,[1]!PM2.5[BLO],[1]!PM2.5[IHI],,-1) - _xlfn.XLOOKUP(B282,[1]!PM2.5[BLO],[1]!PM2.5[ILO],,-1))
/
(_xlfn.XLOOKUP(B282,[1]!PM2.5[BLO],[1]!PM2.5[BHI],,-1) - _xlfn.XLOOKUP(B282,[1]!PM2.5[BLO],[1]!PM2.5[BLO],,-1)))
*
(B282 - _xlfn.XLOOKUP(B282,[1]!PM2.5[BLO],[1]!PM2.5[BLO],,-1))
+
_xlfn.XLOOKUP(B282,[1]!PM2.5[BLO],[1]!PM2.5[ILO],,-1),2)</f>
        <v>79.72</v>
      </c>
      <c r="I282">
        <f>ROUND(((_xlfn.XLOOKUP(C282,[1]!PM_10[BLO],[1]!PM_10[IHI],,-1) - _xlfn.XLOOKUP(C282,[1]!PM_10[BLO],[1]!PM_10[ILO],,-1))
/
(_xlfn.XLOOKUP(C282,[1]!PM_10[BLO],[1]!PM_10[BHI],,-1) - _xlfn.XLOOKUP(C282,[1]!PM_10[BLO],[1]!PM_10[BLO],,-1)))
*
( C282 - _xlfn.XLOOKUP(C282,[1]!PM_10[BLO],[1]!PM_10[BLO],,-1))
+
_xlfn.XLOOKUP(C282,[1]!PM_10[BLO],[1]!PM_10[ILO],,-1),2)</f>
        <v>93</v>
      </c>
      <c r="J282">
        <f>ROUND((( _xlfn.XLOOKUP(D282,[1]!NO_2[BLO],[1]!NO_2[IHI],,-1) - _xlfn.XLOOKUP(D282,[1]!NO_2[BLO],[1]!NO_2[ILO],,-1))
/
( _xlfn.XLOOKUP(D282,[1]!NO_2[BLO],[1]!NO_2[BHI],,-1) - _xlfn.XLOOKUP(D282,[1]!NO_2[BLO],[1]!NO_2[BLO],,-1) ))
*
( D282 - _xlfn.XLOOKUP(D282,[1]!NO_2[BLO],[1]!NO_2[BLO],,-1))
+
_xlfn.XLOOKUP(D282,[1]!NO_2[BLO],[1]!NO_2[ILO],,-1),2)</f>
        <v>23.75</v>
      </c>
      <c r="K282">
        <f>ROUND(( ( _xlfn.XLOOKUP(E282,[1]!SO_2[BLO],[1]!SO_2[IHI],,-1)  - _xlfn.XLOOKUP(E282,[1]!SO_2[BLO],[1]!SO_2[ILO],,-1) )
/
( _xlfn.XLOOKUP(E282,[1]!SO_2[BLO],[1]!SO_2[BHI],,-1)- _xlfn.XLOOKUP(E282,[1]!SO_2[BLO],[1]!SO_2[BLO],,-1) ))
*
( E282 - _xlfn.XLOOKUP(E282,[1]!SO_2[BLO],[1]!SO_2[BLO],,-1) )
+
_xlfn.XLOOKUP(E282,[1]!SO_2[BLO],[1]!SO_2[ILO],,-1),2)</f>
        <v>10</v>
      </c>
      <c r="L282">
        <f>( ( _xlfn.XLOOKUP(F282,[1]!CO[BLO],[1]!CO[IHI],,-1)
- _xlfn.XLOOKUP(F282,[1]!CO[BLO],[1]!CO[ILO],,-1) )
/
( _xlfn.XLOOKUP(F282,[1]!CO[BLO],[1]!CO[BHI],,-1) - _xlfn.XLOOKUP(F282,[1]!CO[BLO],[1]!CO[BLO],,-1)))
*
( F282 - _xlfn.XLOOKUP(F282,[1]!CO[BLO],[1]!CO[BLO],,-1) )
+
_xlfn.XLOOKUP(F282,[1]!CO[BLO],[1]!CO[ILO],,-1)</f>
        <v>39.5</v>
      </c>
      <c r="M282">
        <f>(( _xlfn.XLOOKUP(G282,[1]!O_3[BLO],[1]!O_3[IHI],,-1) - _xlfn.XLOOKUP(G282,[1]!O_3[BLO],[1]!O_3[ILO],,-1))
/
( _xlfn.XLOOKUP(G282,[1]!O_3[BLO],[1]!O_3[BHI],,-1) - _xlfn.XLOOKUP(G282,[1]!O_3[BLO],[1]!O_3[BLO],,-1)))
*
( G282 - _xlfn.XLOOKUP(G282,[1]!O_3[BLO],[1]!O_3[BLO],,-1))
+
_xlfn.XLOOKUP(G282,[1]!O_3[BLO],[1]!O_3[ILO],,-1)</f>
        <v>26</v>
      </c>
      <c r="N282">
        <f>MAX(DAILY_DATA[[#This Row],[AQI_PM2.5]:[AQI_O3]])</f>
        <v>93</v>
      </c>
      <c r="O282" t="str">
        <f>_xlfn.XLOOKUP(DAILY_DATA[[#This Row],[OVERALL_AQI]],[1]!CATEGORY[AQI_LO],[1]!CATEGORY[CATEGORY],,-1)</f>
        <v>Satisfactory</v>
      </c>
      <c r="P282" t="str" cm="1">
        <f t="array" ref="P282">INDEX(
{"PM2.5","PM10","NO2","SO2","CO","O3"},
MATCH(N282,H282:M282,0)
)</f>
        <v>PM10</v>
      </c>
    </row>
    <row r="283" spans="1:16" x14ac:dyDescent="0.25">
      <c r="A283" s="4">
        <v>45573</v>
      </c>
      <c r="B283">
        <f>ROUND(AVERAGEIFS([1]HOURLY_DATA!B283:B9066,[1]HOURLY_DATA!H283:H9066,Daily_AQI!A283),0)</f>
        <v>32</v>
      </c>
      <c r="C283">
        <f>ROUND(AVERAGEIFS([1]HOURLY_DATA!C283:C9066,[1]HOURLY_DATA!H283:H9066,Daily_AQI!A283),0)</f>
        <v>57</v>
      </c>
      <c r="D283">
        <f>ROUND(AVERAGEIFS([1]HOURLY_DATA!D283:D9066,[1]HOURLY_DATA!H283:H9066,Daily_AQI!A283),0)</f>
        <v>20</v>
      </c>
      <c r="E283">
        <f>ROUND(AVERAGEIFS([1]HOURLY_DATA!E283:E9066,[1]HOURLY_DATA!H283:H9066,Daily_AQI!A283),0)</f>
        <v>9</v>
      </c>
      <c r="F283">
        <f>ROUND(AVERAGEIFS([1]HOURLY_DATA!I283:I9066,[1]HOURLY_DATA!H283:H9066,Daily_AQI!A283),2)</f>
        <v>0.73</v>
      </c>
      <c r="G283">
        <f>ROUND(AVERAGEIFS([1]HOURLY_DATA!J283:J9066,[1]HOURLY_DATA!H283:H9066,Daily_AQI!A283),0)</f>
        <v>27</v>
      </c>
      <c r="H283">
        <f>ROUND(((_xlfn.XLOOKUP(B283,[1]!PM2.5[BLO],[1]!PM2.5[IHI],,-1) - _xlfn.XLOOKUP(B283,[1]!PM2.5[BLO],[1]!PM2.5[ILO],,-1))
/
(_xlfn.XLOOKUP(B283,[1]!PM2.5[BLO],[1]!PM2.5[BHI],,-1) - _xlfn.XLOOKUP(B283,[1]!PM2.5[BLO],[1]!PM2.5[BLO],,-1)))
*
(B283 - _xlfn.XLOOKUP(B283,[1]!PM2.5[BLO],[1]!PM2.5[BLO],,-1))
+
_xlfn.XLOOKUP(B283,[1]!PM2.5[BLO],[1]!PM2.5[ILO],,-1),2)</f>
        <v>52.69</v>
      </c>
      <c r="I283">
        <f>ROUND(((_xlfn.XLOOKUP(C283,[1]!PM_10[BLO],[1]!PM_10[IHI],,-1) - _xlfn.XLOOKUP(C283,[1]!PM_10[BLO],[1]!PM_10[ILO],,-1))
/
(_xlfn.XLOOKUP(C283,[1]!PM_10[BLO],[1]!PM_10[BHI],,-1) - _xlfn.XLOOKUP(C283,[1]!PM_10[BLO],[1]!PM_10[BLO],,-1)))
*
( C283 - _xlfn.XLOOKUP(C283,[1]!PM_10[BLO],[1]!PM_10[BLO],,-1))
+
_xlfn.XLOOKUP(C283,[1]!PM_10[BLO],[1]!PM_10[ILO],,-1),2)</f>
        <v>57</v>
      </c>
      <c r="J283">
        <f>ROUND((( _xlfn.XLOOKUP(D283,[1]!NO_2[BLO],[1]!NO_2[IHI],,-1) - _xlfn.XLOOKUP(D283,[1]!NO_2[BLO],[1]!NO_2[ILO],,-1))
/
( _xlfn.XLOOKUP(D283,[1]!NO_2[BLO],[1]!NO_2[BHI],,-1) - _xlfn.XLOOKUP(D283,[1]!NO_2[BLO],[1]!NO_2[BLO],,-1) ))
*
( D283 - _xlfn.XLOOKUP(D283,[1]!NO_2[BLO],[1]!NO_2[BLO],,-1))
+
_xlfn.XLOOKUP(D283,[1]!NO_2[BLO],[1]!NO_2[ILO],,-1),2)</f>
        <v>25</v>
      </c>
      <c r="K283">
        <f>ROUND(( ( _xlfn.XLOOKUP(E283,[1]!SO_2[BLO],[1]!SO_2[IHI],,-1)  - _xlfn.XLOOKUP(E283,[1]!SO_2[BLO],[1]!SO_2[ILO],,-1) )
/
( _xlfn.XLOOKUP(E283,[1]!SO_2[BLO],[1]!SO_2[BHI],,-1)- _xlfn.XLOOKUP(E283,[1]!SO_2[BLO],[1]!SO_2[BLO],,-1) ))
*
( E283 - _xlfn.XLOOKUP(E283,[1]!SO_2[BLO],[1]!SO_2[BLO],,-1) )
+
_xlfn.XLOOKUP(E283,[1]!SO_2[BLO],[1]!SO_2[ILO],,-1),2)</f>
        <v>11.25</v>
      </c>
      <c r="L283">
        <f>( ( _xlfn.XLOOKUP(F283,[1]!CO[BLO],[1]!CO[IHI],,-1)
- _xlfn.XLOOKUP(F283,[1]!CO[BLO],[1]!CO[ILO],,-1) )
/
( _xlfn.XLOOKUP(F283,[1]!CO[BLO],[1]!CO[BHI],,-1) - _xlfn.XLOOKUP(F283,[1]!CO[BLO],[1]!CO[BLO],,-1)))
*
( F283 - _xlfn.XLOOKUP(F283,[1]!CO[BLO],[1]!CO[BLO],,-1) )
+
_xlfn.XLOOKUP(F283,[1]!CO[BLO],[1]!CO[ILO],,-1)</f>
        <v>36.5</v>
      </c>
      <c r="M283">
        <f>(( _xlfn.XLOOKUP(G283,[1]!O_3[BLO],[1]!O_3[IHI],,-1) - _xlfn.XLOOKUP(G283,[1]!O_3[BLO],[1]!O_3[ILO],,-1))
/
( _xlfn.XLOOKUP(G283,[1]!O_3[BLO],[1]!O_3[BHI],,-1) - _xlfn.XLOOKUP(G283,[1]!O_3[BLO],[1]!O_3[BLO],,-1)))
*
( G283 - _xlfn.XLOOKUP(G283,[1]!O_3[BLO],[1]!O_3[BLO],,-1))
+
_xlfn.XLOOKUP(G283,[1]!O_3[BLO],[1]!O_3[ILO],,-1)</f>
        <v>27</v>
      </c>
      <c r="N283">
        <f>MAX(DAILY_DATA[[#This Row],[AQI_PM2.5]:[AQI_O3]])</f>
        <v>57</v>
      </c>
      <c r="O283" t="str">
        <f>_xlfn.XLOOKUP(DAILY_DATA[[#This Row],[OVERALL_AQI]],[1]!CATEGORY[AQI_LO],[1]!CATEGORY[CATEGORY],,-1)</f>
        <v>Satisfactory</v>
      </c>
      <c r="P283" t="str" cm="1">
        <f t="array" ref="P283">INDEX(
{"PM2.5","PM10","NO2","SO2","CO","O3"},
MATCH(N283,H283:M283,0)
)</f>
        <v>PM10</v>
      </c>
    </row>
    <row r="284" spans="1:16" x14ac:dyDescent="0.25">
      <c r="A284" s="4">
        <v>45574</v>
      </c>
      <c r="B284">
        <f>ROUND(AVERAGEIFS([1]HOURLY_DATA!B284:B9067,[1]HOURLY_DATA!H284:H9067,Daily_AQI!A284),0)</f>
        <v>27</v>
      </c>
      <c r="C284">
        <f>ROUND(AVERAGEIFS([1]HOURLY_DATA!C284:C9067,[1]HOURLY_DATA!H284:H9067,Daily_AQI!A284),0)</f>
        <v>58</v>
      </c>
      <c r="D284">
        <f>ROUND(AVERAGEIFS([1]HOURLY_DATA!D284:D9067,[1]HOURLY_DATA!H284:H9067,Daily_AQI!A284),0)</f>
        <v>19</v>
      </c>
      <c r="E284">
        <f>ROUND(AVERAGEIFS([1]HOURLY_DATA!E284:E9067,[1]HOURLY_DATA!H284:H9067,Daily_AQI!A284),0)</f>
        <v>9</v>
      </c>
      <c r="F284">
        <f>ROUND(AVERAGEIFS([1]HOURLY_DATA!I284:I9067,[1]HOURLY_DATA!H284:H9067,Daily_AQI!A284),2)</f>
        <v>0.71</v>
      </c>
      <c r="G284">
        <f>ROUND(AVERAGEIFS([1]HOURLY_DATA!J284:J9067,[1]HOURLY_DATA!H284:H9067,Daily_AQI!A284),0)</f>
        <v>25</v>
      </c>
      <c r="H284">
        <f>ROUND(((_xlfn.XLOOKUP(B284,[1]!PM2.5[BLO],[1]!PM2.5[IHI],,-1) - _xlfn.XLOOKUP(B284,[1]!PM2.5[BLO],[1]!PM2.5[ILO],,-1))
/
(_xlfn.XLOOKUP(B284,[1]!PM2.5[BLO],[1]!PM2.5[BHI],,-1) - _xlfn.XLOOKUP(B284,[1]!PM2.5[BLO],[1]!PM2.5[BLO],,-1)))
*
(B284 - _xlfn.XLOOKUP(B284,[1]!PM2.5[BLO],[1]!PM2.5[BLO],,-1))
+
_xlfn.XLOOKUP(B284,[1]!PM2.5[BLO],[1]!PM2.5[ILO],,-1),2)</f>
        <v>45</v>
      </c>
      <c r="I284">
        <f>ROUND(((_xlfn.XLOOKUP(C284,[1]!PM_10[BLO],[1]!PM_10[IHI],,-1) - _xlfn.XLOOKUP(C284,[1]!PM_10[BLO],[1]!PM_10[ILO],,-1))
/
(_xlfn.XLOOKUP(C284,[1]!PM_10[BLO],[1]!PM_10[BHI],,-1) - _xlfn.XLOOKUP(C284,[1]!PM_10[BLO],[1]!PM_10[BLO],,-1)))
*
( C284 - _xlfn.XLOOKUP(C284,[1]!PM_10[BLO],[1]!PM_10[BLO],,-1))
+
_xlfn.XLOOKUP(C284,[1]!PM_10[BLO],[1]!PM_10[ILO],,-1),2)</f>
        <v>58</v>
      </c>
      <c r="J284">
        <f>ROUND((( _xlfn.XLOOKUP(D284,[1]!NO_2[BLO],[1]!NO_2[IHI],,-1) - _xlfn.XLOOKUP(D284,[1]!NO_2[BLO],[1]!NO_2[ILO],,-1))
/
( _xlfn.XLOOKUP(D284,[1]!NO_2[BLO],[1]!NO_2[BHI],,-1) - _xlfn.XLOOKUP(D284,[1]!NO_2[BLO],[1]!NO_2[BLO],,-1) ))
*
( D284 - _xlfn.XLOOKUP(D284,[1]!NO_2[BLO],[1]!NO_2[BLO],,-1))
+
_xlfn.XLOOKUP(D284,[1]!NO_2[BLO],[1]!NO_2[ILO],,-1),2)</f>
        <v>23.75</v>
      </c>
      <c r="K284">
        <f>ROUND(( ( _xlfn.XLOOKUP(E284,[1]!SO_2[BLO],[1]!SO_2[IHI],,-1)  - _xlfn.XLOOKUP(E284,[1]!SO_2[BLO],[1]!SO_2[ILO],,-1) )
/
( _xlfn.XLOOKUP(E284,[1]!SO_2[BLO],[1]!SO_2[BHI],,-1)- _xlfn.XLOOKUP(E284,[1]!SO_2[BLO],[1]!SO_2[BLO],,-1) ))
*
( E284 - _xlfn.XLOOKUP(E284,[1]!SO_2[BLO],[1]!SO_2[BLO],,-1) )
+
_xlfn.XLOOKUP(E284,[1]!SO_2[BLO],[1]!SO_2[ILO],,-1),2)</f>
        <v>11.25</v>
      </c>
      <c r="L284">
        <f>( ( _xlfn.XLOOKUP(F284,[1]!CO[BLO],[1]!CO[IHI],,-1)
- _xlfn.XLOOKUP(F284,[1]!CO[BLO],[1]!CO[ILO],,-1) )
/
( _xlfn.XLOOKUP(F284,[1]!CO[BLO],[1]!CO[BHI],,-1) - _xlfn.XLOOKUP(F284,[1]!CO[BLO],[1]!CO[BLO],,-1)))
*
( F284 - _xlfn.XLOOKUP(F284,[1]!CO[BLO],[1]!CO[BLO],,-1) )
+
_xlfn.XLOOKUP(F284,[1]!CO[BLO],[1]!CO[ILO],,-1)</f>
        <v>35.5</v>
      </c>
      <c r="M284">
        <f>(( _xlfn.XLOOKUP(G284,[1]!O_3[BLO],[1]!O_3[IHI],,-1) - _xlfn.XLOOKUP(G284,[1]!O_3[BLO],[1]!O_3[ILO],,-1))
/
( _xlfn.XLOOKUP(G284,[1]!O_3[BLO],[1]!O_3[BHI],,-1) - _xlfn.XLOOKUP(G284,[1]!O_3[BLO],[1]!O_3[BLO],,-1)))
*
( G284 - _xlfn.XLOOKUP(G284,[1]!O_3[BLO],[1]!O_3[BLO],,-1))
+
_xlfn.XLOOKUP(G284,[1]!O_3[BLO],[1]!O_3[ILO],,-1)</f>
        <v>25</v>
      </c>
      <c r="N284">
        <f>MAX(DAILY_DATA[[#This Row],[AQI_PM2.5]:[AQI_O3]])</f>
        <v>58</v>
      </c>
      <c r="O284" t="str">
        <f>_xlfn.XLOOKUP(DAILY_DATA[[#This Row],[OVERALL_AQI]],[1]!CATEGORY[AQI_LO],[1]!CATEGORY[CATEGORY],,-1)</f>
        <v>Satisfactory</v>
      </c>
      <c r="P284" t="str" cm="1">
        <f t="array" ref="P284">INDEX(
{"PM2.5","PM10","NO2","SO2","CO","O3"},
MATCH(N284,H284:M284,0)
)</f>
        <v>PM10</v>
      </c>
    </row>
    <row r="285" spans="1:16" x14ac:dyDescent="0.25">
      <c r="A285" s="4">
        <v>45575</v>
      </c>
      <c r="B285">
        <f>ROUND(AVERAGEIFS([1]HOURLY_DATA!B285:B9068,[1]HOURLY_DATA!H285:H9068,Daily_AQI!A285),0)</f>
        <v>27</v>
      </c>
      <c r="C285">
        <f>ROUND(AVERAGEIFS([1]HOURLY_DATA!C285:C9068,[1]HOURLY_DATA!H285:H9068,Daily_AQI!A285),0)</f>
        <v>54</v>
      </c>
      <c r="D285">
        <f>ROUND(AVERAGEIFS([1]HOURLY_DATA!D285:D9068,[1]HOURLY_DATA!H285:H9068,Daily_AQI!A285),0)</f>
        <v>19</v>
      </c>
      <c r="E285">
        <f>ROUND(AVERAGEIFS([1]HOURLY_DATA!E285:E9068,[1]HOURLY_DATA!H285:H9068,Daily_AQI!A285),0)</f>
        <v>8</v>
      </c>
      <c r="F285">
        <f>ROUND(AVERAGEIFS([1]HOURLY_DATA!I285:I9068,[1]HOURLY_DATA!H285:H9068,Daily_AQI!A285),2)</f>
        <v>0.7</v>
      </c>
      <c r="G285">
        <f>ROUND(AVERAGEIFS([1]HOURLY_DATA!J285:J9068,[1]HOURLY_DATA!H285:H9068,Daily_AQI!A285),0)</f>
        <v>25</v>
      </c>
      <c r="H285">
        <f>ROUND(((_xlfn.XLOOKUP(B285,[1]!PM2.5[BLO],[1]!PM2.5[IHI],,-1) - _xlfn.XLOOKUP(B285,[1]!PM2.5[BLO],[1]!PM2.5[ILO],,-1))
/
(_xlfn.XLOOKUP(B285,[1]!PM2.5[BLO],[1]!PM2.5[BHI],,-1) - _xlfn.XLOOKUP(B285,[1]!PM2.5[BLO],[1]!PM2.5[BLO],,-1)))
*
(B285 - _xlfn.XLOOKUP(B285,[1]!PM2.5[BLO],[1]!PM2.5[BLO],,-1))
+
_xlfn.XLOOKUP(B285,[1]!PM2.5[BLO],[1]!PM2.5[ILO],,-1),2)</f>
        <v>45</v>
      </c>
      <c r="I285">
        <f>ROUND(((_xlfn.XLOOKUP(C285,[1]!PM_10[BLO],[1]!PM_10[IHI],,-1) - _xlfn.XLOOKUP(C285,[1]!PM_10[BLO],[1]!PM_10[ILO],,-1))
/
(_xlfn.XLOOKUP(C285,[1]!PM_10[BLO],[1]!PM_10[BHI],,-1) - _xlfn.XLOOKUP(C285,[1]!PM_10[BLO],[1]!PM_10[BLO],,-1)))
*
( C285 - _xlfn.XLOOKUP(C285,[1]!PM_10[BLO],[1]!PM_10[BLO],,-1))
+
_xlfn.XLOOKUP(C285,[1]!PM_10[BLO],[1]!PM_10[ILO],,-1),2)</f>
        <v>54</v>
      </c>
      <c r="J285">
        <f>ROUND((( _xlfn.XLOOKUP(D285,[1]!NO_2[BLO],[1]!NO_2[IHI],,-1) - _xlfn.XLOOKUP(D285,[1]!NO_2[BLO],[1]!NO_2[ILO],,-1))
/
( _xlfn.XLOOKUP(D285,[1]!NO_2[BLO],[1]!NO_2[BHI],,-1) - _xlfn.XLOOKUP(D285,[1]!NO_2[BLO],[1]!NO_2[BLO],,-1) ))
*
( D285 - _xlfn.XLOOKUP(D285,[1]!NO_2[BLO],[1]!NO_2[BLO],,-1))
+
_xlfn.XLOOKUP(D285,[1]!NO_2[BLO],[1]!NO_2[ILO],,-1),2)</f>
        <v>23.75</v>
      </c>
      <c r="K285">
        <f>ROUND(( ( _xlfn.XLOOKUP(E285,[1]!SO_2[BLO],[1]!SO_2[IHI],,-1)  - _xlfn.XLOOKUP(E285,[1]!SO_2[BLO],[1]!SO_2[ILO],,-1) )
/
( _xlfn.XLOOKUP(E285,[1]!SO_2[BLO],[1]!SO_2[BHI],,-1)- _xlfn.XLOOKUP(E285,[1]!SO_2[BLO],[1]!SO_2[BLO],,-1) ))
*
( E285 - _xlfn.XLOOKUP(E285,[1]!SO_2[BLO],[1]!SO_2[BLO],,-1) )
+
_xlfn.XLOOKUP(E285,[1]!SO_2[BLO],[1]!SO_2[ILO],,-1),2)</f>
        <v>10</v>
      </c>
      <c r="L285">
        <f>( ( _xlfn.XLOOKUP(F285,[1]!CO[BLO],[1]!CO[IHI],,-1)
- _xlfn.XLOOKUP(F285,[1]!CO[BLO],[1]!CO[ILO],,-1) )
/
( _xlfn.XLOOKUP(F285,[1]!CO[BLO],[1]!CO[BHI],,-1) - _xlfn.XLOOKUP(F285,[1]!CO[BLO],[1]!CO[BLO],,-1)))
*
( F285 - _xlfn.XLOOKUP(F285,[1]!CO[BLO],[1]!CO[BLO],,-1) )
+
_xlfn.XLOOKUP(F285,[1]!CO[BLO],[1]!CO[ILO],,-1)</f>
        <v>35</v>
      </c>
      <c r="M285">
        <f>(( _xlfn.XLOOKUP(G285,[1]!O_3[BLO],[1]!O_3[IHI],,-1) - _xlfn.XLOOKUP(G285,[1]!O_3[BLO],[1]!O_3[ILO],,-1))
/
( _xlfn.XLOOKUP(G285,[1]!O_3[BLO],[1]!O_3[BHI],,-1) - _xlfn.XLOOKUP(G285,[1]!O_3[BLO],[1]!O_3[BLO],,-1)))
*
( G285 - _xlfn.XLOOKUP(G285,[1]!O_3[BLO],[1]!O_3[BLO],,-1))
+
_xlfn.XLOOKUP(G285,[1]!O_3[BLO],[1]!O_3[ILO],,-1)</f>
        <v>25</v>
      </c>
      <c r="N285">
        <f>MAX(DAILY_DATA[[#This Row],[AQI_PM2.5]:[AQI_O3]])</f>
        <v>54</v>
      </c>
      <c r="O285" t="str">
        <f>_xlfn.XLOOKUP(DAILY_DATA[[#This Row],[OVERALL_AQI]],[1]!CATEGORY[AQI_LO],[1]!CATEGORY[CATEGORY],,-1)</f>
        <v>Satisfactory</v>
      </c>
      <c r="P285" t="str" cm="1">
        <f t="array" ref="P285">INDEX(
{"PM2.5","PM10","NO2","SO2","CO","O3"},
MATCH(N285,H285:M285,0)
)</f>
        <v>PM10</v>
      </c>
    </row>
    <row r="286" spans="1:16" x14ac:dyDescent="0.25">
      <c r="A286" s="4">
        <v>45576</v>
      </c>
      <c r="B286">
        <f>ROUND(AVERAGEIFS([1]HOURLY_DATA!B286:B9069,[1]HOURLY_DATA!H286:H9069,Daily_AQI!A286),0)</f>
        <v>25</v>
      </c>
      <c r="C286">
        <f>ROUND(AVERAGEIFS([1]HOURLY_DATA!C286:C9069,[1]HOURLY_DATA!H286:H9069,Daily_AQI!A286),0)</f>
        <v>46</v>
      </c>
      <c r="D286">
        <f>ROUND(AVERAGEIFS([1]HOURLY_DATA!D286:D9069,[1]HOURLY_DATA!H286:H9069,Daily_AQI!A286),0)</f>
        <v>18</v>
      </c>
      <c r="E286">
        <f>ROUND(AVERAGEIFS([1]HOURLY_DATA!E286:E9069,[1]HOURLY_DATA!H286:H9069,Daily_AQI!A286),0)</f>
        <v>7</v>
      </c>
      <c r="F286">
        <f>ROUND(AVERAGEIFS([1]HOURLY_DATA!I286:I9069,[1]HOURLY_DATA!H286:H9069,Daily_AQI!A286),2)</f>
        <v>0.71</v>
      </c>
      <c r="G286">
        <f>ROUND(AVERAGEIFS([1]HOURLY_DATA!J286:J9069,[1]HOURLY_DATA!H286:H9069,Daily_AQI!A286),0)</f>
        <v>24</v>
      </c>
      <c r="H286">
        <f>ROUND(((_xlfn.XLOOKUP(B286,[1]!PM2.5[BLO],[1]!PM2.5[IHI],,-1) - _xlfn.XLOOKUP(B286,[1]!PM2.5[BLO],[1]!PM2.5[ILO],,-1))
/
(_xlfn.XLOOKUP(B286,[1]!PM2.5[BLO],[1]!PM2.5[BHI],,-1) - _xlfn.XLOOKUP(B286,[1]!PM2.5[BLO],[1]!PM2.5[BLO],,-1)))
*
(B286 - _xlfn.XLOOKUP(B286,[1]!PM2.5[BLO],[1]!PM2.5[BLO],,-1))
+
_xlfn.XLOOKUP(B286,[1]!PM2.5[BLO],[1]!PM2.5[ILO],,-1),2)</f>
        <v>41.67</v>
      </c>
      <c r="I286">
        <f>ROUND(((_xlfn.XLOOKUP(C286,[1]!PM_10[BLO],[1]!PM_10[IHI],,-1) - _xlfn.XLOOKUP(C286,[1]!PM_10[BLO],[1]!PM_10[ILO],,-1))
/
(_xlfn.XLOOKUP(C286,[1]!PM_10[BLO],[1]!PM_10[BHI],,-1) - _xlfn.XLOOKUP(C286,[1]!PM_10[BLO],[1]!PM_10[BLO],,-1)))
*
( C286 - _xlfn.XLOOKUP(C286,[1]!PM_10[BLO],[1]!PM_10[BLO],,-1))
+
_xlfn.XLOOKUP(C286,[1]!PM_10[BLO],[1]!PM_10[ILO],,-1),2)</f>
        <v>46</v>
      </c>
      <c r="J286">
        <f>ROUND((( _xlfn.XLOOKUP(D286,[1]!NO_2[BLO],[1]!NO_2[IHI],,-1) - _xlfn.XLOOKUP(D286,[1]!NO_2[BLO],[1]!NO_2[ILO],,-1))
/
( _xlfn.XLOOKUP(D286,[1]!NO_2[BLO],[1]!NO_2[BHI],,-1) - _xlfn.XLOOKUP(D286,[1]!NO_2[BLO],[1]!NO_2[BLO],,-1) ))
*
( D286 - _xlfn.XLOOKUP(D286,[1]!NO_2[BLO],[1]!NO_2[BLO],,-1))
+
_xlfn.XLOOKUP(D286,[1]!NO_2[BLO],[1]!NO_2[ILO],,-1),2)</f>
        <v>22.5</v>
      </c>
      <c r="K286">
        <f>ROUND(( ( _xlfn.XLOOKUP(E286,[1]!SO_2[BLO],[1]!SO_2[IHI],,-1)  - _xlfn.XLOOKUP(E286,[1]!SO_2[BLO],[1]!SO_2[ILO],,-1) )
/
( _xlfn.XLOOKUP(E286,[1]!SO_2[BLO],[1]!SO_2[BHI],,-1)- _xlfn.XLOOKUP(E286,[1]!SO_2[BLO],[1]!SO_2[BLO],,-1) ))
*
( E286 - _xlfn.XLOOKUP(E286,[1]!SO_2[BLO],[1]!SO_2[BLO],,-1) )
+
_xlfn.XLOOKUP(E286,[1]!SO_2[BLO],[1]!SO_2[ILO],,-1),2)</f>
        <v>8.75</v>
      </c>
      <c r="L286">
        <f>( ( _xlfn.XLOOKUP(F286,[1]!CO[BLO],[1]!CO[IHI],,-1)
- _xlfn.XLOOKUP(F286,[1]!CO[BLO],[1]!CO[ILO],,-1) )
/
( _xlfn.XLOOKUP(F286,[1]!CO[BLO],[1]!CO[BHI],,-1) - _xlfn.XLOOKUP(F286,[1]!CO[BLO],[1]!CO[BLO],,-1)))
*
( F286 - _xlfn.XLOOKUP(F286,[1]!CO[BLO],[1]!CO[BLO],,-1) )
+
_xlfn.XLOOKUP(F286,[1]!CO[BLO],[1]!CO[ILO],,-1)</f>
        <v>35.5</v>
      </c>
      <c r="M286">
        <f>(( _xlfn.XLOOKUP(G286,[1]!O_3[BLO],[1]!O_3[IHI],,-1) - _xlfn.XLOOKUP(G286,[1]!O_3[BLO],[1]!O_3[ILO],,-1))
/
( _xlfn.XLOOKUP(G286,[1]!O_3[BLO],[1]!O_3[BHI],,-1) - _xlfn.XLOOKUP(G286,[1]!O_3[BLO],[1]!O_3[BLO],,-1)))
*
( G286 - _xlfn.XLOOKUP(G286,[1]!O_3[BLO],[1]!O_3[BLO],,-1))
+
_xlfn.XLOOKUP(G286,[1]!O_3[BLO],[1]!O_3[ILO],,-1)</f>
        <v>24</v>
      </c>
      <c r="N286">
        <f>MAX(DAILY_DATA[[#This Row],[AQI_PM2.5]:[AQI_O3]])</f>
        <v>46</v>
      </c>
      <c r="O286" t="str">
        <f>_xlfn.XLOOKUP(DAILY_DATA[[#This Row],[OVERALL_AQI]],[1]!CATEGORY[AQI_LO],[1]!CATEGORY[CATEGORY],,-1)</f>
        <v>Good</v>
      </c>
      <c r="P286" t="str" cm="1">
        <f t="array" ref="P286">INDEX(
{"PM2.5","PM10","NO2","SO2","CO","O3"},
MATCH(N286,H286:M286,0)
)</f>
        <v>PM10</v>
      </c>
    </row>
    <row r="287" spans="1:16" x14ac:dyDescent="0.25">
      <c r="A287" s="4">
        <v>45577</v>
      </c>
      <c r="B287">
        <f>ROUND(AVERAGEIFS([1]HOURLY_DATA!B287:B9070,[1]HOURLY_DATA!H287:H9070,Daily_AQI!A287),0)</f>
        <v>17</v>
      </c>
      <c r="C287">
        <f>ROUND(AVERAGEIFS([1]HOURLY_DATA!C287:C9070,[1]HOURLY_DATA!H287:H9070,Daily_AQI!A287),0)</f>
        <v>38</v>
      </c>
      <c r="D287">
        <f>ROUND(AVERAGEIFS([1]HOURLY_DATA!D287:D9070,[1]HOURLY_DATA!H287:H9070,Daily_AQI!A287),0)</f>
        <v>18</v>
      </c>
      <c r="E287">
        <f>ROUND(AVERAGEIFS([1]HOURLY_DATA!E287:E9070,[1]HOURLY_DATA!H287:H9070,Daily_AQI!A287),0)</f>
        <v>7</v>
      </c>
      <c r="F287">
        <f>ROUND(AVERAGEIFS([1]HOURLY_DATA!I287:I9070,[1]HOURLY_DATA!H287:H9070,Daily_AQI!A287),2)</f>
        <v>0.68</v>
      </c>
      <c r="G287">
        <f>ROUND(AVERAGEIFS([1]HOURLY_DATA!J287:J9070,[1]HOURLY_DATA!H287:H9070,Daily_AQI!A287),0)</f>
        <v>23</v>
      </c>
      <c r="H287">
        <f>ROUND(((_xlfn.XLOOKUP(B287,[1]!PM2.5[BLO],[1]!PM2.5[IHI],,-1) - _xlfn.XLOOKUP(B287,[1]!PM2.5[BLO],[1]!PM2.5[ILO],,-1))
/
(_xlfn.XLOOKUP(B287,[1]!PM2.5[BLO],[1]!PM2.5[BHI],,-1) - _xlfn.XLOOKUP(B287,[1]!PM2.5[BLO],[1]!PM2.5[BLO],,-1)))
*
(B287 - _xlfn.XLOOKUP(B287,[1]!PM2.5[BLO],[1]!PM2.5[BLO],,-1))
+
_xlfn.XLOOKUP(B287,[1]!PM2.5[BLO],[1]!PM2.5[ILO],,-1),2)</f>
        <v>28.33</v>
      </c>
      <c r="I287">
        <f>ROUND(((_xlfn.XLOOKUP(C287,[1]!PM_10[BLO],[1]!PM_10[IHI],,-1) - _xlfn.XLOOKUP(C287,[1]!PM_10[BLO],[1]!PM_10[ILO],,-1))
/
(_xlfn.XLOOKUP(C287,[1]!PM_10[BLO],[1]!PM_10[BHI],,-1) - _xlfn.XLOOKUP(C287,[1]!PM_10[BLO],[1]!PM_10[BLO],,-1)))
*
( C287 - _xlfn.XLOOKUP(C287,[1]!PM_10[BLO],[1]!PM_10[BLO],,-1))
+
_xlfn.XLOOKUP(C287,[1]!PM_10[BLO],[1]!PM_10[ILO],,-1),2)</f>
        <v>38</v>
      </c>
      <c r="J287">
        <f>ROUND((( _xlfn.XLOOKUP(D287,[1]!NO_2[BLO],[1]!NO_2[IHI],,-1) - _xlfn.XLOOKUP(D287,[1]!NO_2[BLO],[1]!NO_2[ILO],,-1))
/
( _xlfn.XLOOKUP(D287,[1]!NO_2[BLO],[1]!NO_2[BHI],,-1) - _xlfn.XLOOKUP(D287,[1]!NO_2[BLO],[1]!NO_2[BLO],,-1) ))
*
( D287 - _xlfn.XLOOKUP(D287,[1]!NO_2[BLO],[1]!NO_2[BLO],,-1))
+
_xlfn.XLOOKUP(D287,[1]!NO_2[BLO],[1]!NO_2[ILO],,-1),2)</f>
        <v>22.5</v>
      </c>
      <c r="K287">
        <f>ROUND(( ( _xlfn.XLOOKUP(E287,[1]!SO_2[BLO],[1]!SO_2[IHI],,-1)  - _xlfn.XLOOKUP(E287,[1]!SO_2[BLO],[1]!SO_2[ILO],,-1) )
/
( _xlfn.XLOOKUP(E287,[1]!SO_2[BLO],[1]!SO_2[BHI],,-1)- _xlfn.XLOOKUP(E287,[1]!SO_2[BLO],[1]!SO_2[BLO],,-1) ))
*
( E287 - _xlfn.XLOOKUP(E287,[1]!SO_2[BLO],[1]!SO_2[BLO],,-1) )
+
_xlfn.XLOOKUP(E287,[1]!SO_2[BLO],[1]!SO_2[ILO],,-1),2)</f>
        <v>8.75</v>
      </c>
      <c r="L287">
        <f>( ( _xlfn.XLOOKUP(F287,[1]!CO[BLO],[1]!CO[IHI],,-1)
- _xlfn.XLOOKUP(F287,[1]!CO[BLO],[1]!CO[ILO],,-1) )
/
( _xlfn.XLOOKUP(F287,[1]!CO[BLO],[1]!CO[BHI],,-1) - _xlfn.XLOOKUP(F287,[1]!CO[BLO],[1]!CO[BLO],,-1)))
*
( F287 - _xlfn.XLOOKUP(F287,[1]!CO[BLO],[1]!CO[BLO],,-1) )
+
_xlfn.XLOOKUP(F287,[1]!CO[BLO],[1]!CO[ILO],,-1)</f>
        <v>34</v>
      </c>
      <c r="M287">
        <f>(( _xlfn.XLOOKUP(G287,[1]!O_3[BLO],[1]!O_3[IHI],,-1) - _xlfn.XLOOKUP(G287,[1]!O_3[BLO],[1]!O_3[ILO],,-1))
/
( _xlfn.XLOOKUP(G287,[1]!O_3[BLO],[1]!O_3[BHI],,-1) - _xlfn.XLOOKUP(G287,[1]!O_3[BLO],[1]!O_3[BLO],,-1)))
*
( G287 - _xlfn.XLOOKUP(G287,[1]!O_3[BLO],[1]!O_3[BLO],,-1))
+
_xlfn.XLOOKUP(G287,[1]!O_3[BLO],[1]!O_3[ILO],,-1)</f>
        <v>23</v>
      </c>
      <c r="N287">
        <f>MAX(DAILY_DATA[[#This Row],[AQI_PM2.5]:[AQI_O3]])</f>
        <v>38</v>
      </c>
      <c r="O287" t="str">
        <f>_xlfn.XLOOKUP(DAILY_DATA[[#This Row],[OVERALL_AQI]],[1]!CATEGORY[AQI_LO],[1]!CATEGORY[CATEGORY],,-1)</f>
        <v>Good</v>
      </c>
      <c r="P287" t="str" cm="1">
        <f t="array" ref="P287">INDEX(
{"PM2.5","PM10","NO2","SO2","CO","O3"},
MATCH(N287,H287:M287,0)
)</f>
        <v>PM10</v>
      </c>
    </row>
    <row r="288" spans="1:16" x14ac:dyDescent="0.25">
      <c r="A288" s="4">
        <v>45578</v>
      </c>
      <c r="B288">
        <f>ROUND(AVERAGEIFS([1]HOURLY_DATA!B288:B9071,[1]HOURLY_DATA!H288:H9071,Daily_AQI!A288),0)</f>
        <v>15</v>
      </c>
      <c r="C288">
        <f>ROUND(AVERAGEIFS([1]HOURLY_DATA!C288:C9071,[1]HOURLY_DATA!H288:H9071,Daily_AQI!A288),0)</f>
        <v>31</v>
      </c>
      <c r="D288">
        <f>ROUND(AVERAGEIFS([1]HOURLY_DATA!D288:D9071,[1]HOURLY_DATA!H288:H9071,Daily_AQI!A288),0)</f>
        <v>17</v>
      </c>
      <c r="E288">
        <f>ROUND(AVERAGEIFS([1]HOURLY_DATA!E288:E9071,[1]HOURLY_DATA!H288:H9071,Daily_AQI!A288),0)</f>
        <v>7</v>
      </c>
      <c r="F288">
        <f>ROUND(AVERAGEIFS([1]HOURLY_DATA!I288:I9071,[1]HOURLY_DATA!H288:H9071,Daily_AQI!A288),2)</f>
        <v>0.68</v>
      </c>
      <c r="G288">
        <f>ROUND(AVERAGEIFS([1]HOURLY_DATA!J288:J9071,[1]HOURLY_DATA!H288:H9071,Daily_AQI!A288),0)</f>
        <v>23</v>
      </c>
      <c r="H288">
        <f>ROUND(((_xlfn.XLOOKUP(B288,[1]!PM2.5[BLO],[1]!PM2.5[IHI],,-1) - _xlfn.XLOOKUP(B288,[1]!PM2.5[BLO],[1]!PM2.5[ILO],,-1))
/
(_xlfn.XLOOKUP(B288,[1]!PM2.5[BLO],[1]!PM2.5[BHI],,-1) - _xlfn.XLOOKUP(B288,[1]!PM2.5[BLO],[1]!PM2.5[BLO],,-1)))
*
(B288 - _xlfn.XLOOKUP(B288,[1]!PM2.5[BLO],[1]!PM2.5[BLO],,-1))
+
_xlfn.XLOOKUP(B288,[1]!PM2.5[BLO],[1]!PM2.5[ILO],,-1),2)</f>
        <v>25</v>
      </c>
      <c r="I288">
        <f>ROUND(((_xlfn.XLOOKUP(C288,[1]!PM_10[BLO],[1]!PM_10[IHI],,-1) - _xlfn.XLOOKUP(C288,[1]!PM_10[BLO],[1]!PM_10[ILO],,-1))
/
(_xlfn.XLOOKUP(C288,[1]!PM_10[BLO],[1]!PM_10[BHI],,-1) - _xlfn.XLOOKUP(C288,[1]!PM_10[BLO],[1]!PM_10[BLO],,-1)))
*
( C288 - _xlfn.XLOOKUP(C288,[1]!PM_10[BLO],[1]!PM_10[BLO],,-1))
+
_xlfn.XLOOKUP(C288,[1]!PM_10[BLO],[1]!PM_10[ILO],,-1),2)</f>
        <v>31</v>
      </c>
      <c r="J288">
        <f>ROUND((( _xlfn.XLOOKUP(D288,[1]!NO_2[BLO],[1]!NO_2[IHI],,-1) - _xlfn.XLOOKUP(D288,[1]!NO_2[BLO],[1]!NO_2[ILO],,-1))
/
( _xlfn.XLOOKUP(D288,[1]!NO_2[BLO],[1]!NO_2[BHI],,-1) - _xlfn.XLOOKUP(D288,[1]!NO_2[BLO],[1]!NO_2[BLO],,-1) ))
*
( D288 - _xlfn.XLOOKUP(D288,[1]!NO_2[BLO],[1]!NO_2[BLO],,-1))
+
_xlfn.XLOOKUP(D288,[1]!NO_2[BLO],[1]!NO_2[ILO],,-1),2)</f>
        <v>21.25</v>
      </c>
      <c r="K288">
        <f>ROUND(( ( _xlfn.XLOOKUP(E288,[1]!SO_2[BLO],[1]!SO_2[IHI],,-1)  - _xlfn.XLOOKUP(E288,[1]!SO_2[BLO],[1]!SO_2[ILO],,-1) )
/
( _xlfn.XLOOKUP(E288,[1]!SO_2[BLO],[1]!SO_2[BHI],,-1)- _xlfn.XLOOKUP(E288,[1]!SO_2[BLO],[1]!SO_2[BLO],,-1) ))
*
( E288 - _xlfn.XLOOKUP(E288,[1]!SO_2[BLO],[1]!SO_2[BLO],,-1) )
+
_xlfn.XLOOKUP(E288,[1]!SO_2[BLO],[1]!SO_2[ILO],,-1),2)</f>
        <v>8.75</v>
      </c>
      <c r="L288">
        <f>( ( _xlfn.XLOOKUP(F288,[1]!CO[BLO],[1]!CO[IHI],,-1)
- _xlfn.XLOOKUP(F288,[1]!CO[BLO],[1]!CO[ILO],,-1) )
/
( _xlfn.XLOOKUP(F288,[1]!CO[BLO],[1]!CO[BHI],,-1) - _xlfn.XLOOKUP(F288,[1]!CO[BLO],[1]!CO[BLO],,-1)))
*
( F288 - _xlfn.XLOOKUP(F288,[1]!CO[BLO],[1]!CO[BLO],,-1) )
+
_xlfn.XLOOKUP(F288,[1]!CO[BLO],[1]!CO[ILO],,-1)</f>
        <v>34</v>
      </c>
      <c r="M288">
        <f>(( _xlfn.XLOOKUP(G288,[1]!O_3[BLO],[1]!O_3[IHI],,-1) - _xlfn.XLOOKUP(G288,[1]!O_3[BLO],[1]!O_3[ILO],,-1))
/
( _xlfn.XLOOKUP(G288,[1]!O_3[BLO],[1]!O_3[BHI],,-1) - _xlfn.XLOOKUP(G288,[1]!O_3[BLO],[1]!O_3[BLO],,-1)))
*
( G288 - _xlfn.XLOOKUP(G288,[1]!O_3[BLO],[1]!O_3[BLO],,-1))
+
_xlfn.XLOOKUP(G288,[1]!O_3[BLO],[1]!O_3[ILO],,-1)</f>
        <v>23</v>
      </c>
      <c r="N288">
        <f>MAX(DAILY_DATA[[#This Row],[AQI_PM2.5]:[AQI_O3]])</f>
        <v>34</v>
      </c>
      <c r="O288" t="str">
        <f>_xlfn.XLOOKUP(DAILY_DATA[[#This Row],[OVERALL_AQI]],[1]!CATEGORY[AQI_LO],[1]!CATEGORY[CATEGORY],,-1)</f>
        <v>Good</v>
      </c>
      <c r="P288" t="str" cm="1">
        <f t="array" ref="P288">INDEX(
{"PM2.5","PM10","NO2","SO2","CO","O3"},
MATCH(N288,H288:M288,0)
)</f>
        <v>CO</v>
      </c>
    </row>
    <row r="289" spans="1:16" x14ac:dyDescent="0.25">
      <c r="A289" s="4">
        <v>45579</v>
      </c>
      <c r="B289">
        <f>ROUND(AVERAGEIFS([1]HOURLY_DATA!B289:B9072,[1]HOURLY_DATA!H289:H9072,Daily_AQI!A289),0)</f>
        <v>17</v>
      </c>
      <c r="C289">
        <f>ROUND(AVERAGEIFS([1]HOURLY_DATA!C289:C9072,[1]HOURLY_DATA!H289:H9072,Daily_AQI!A289),0)</f>
        <v>35</v>
      </c>
      <c r="D289">
        <f>ROUND(AVERAGEIFS([1]HOURLY_DATA!D289:D9072,[1]HOURLY_DATA!H289:H9072,Daily_AQI!A289),0)</f>
        <v>17</v>
      </c>
      <c r="E289">
        <f>ROUND(AVERAGEIFS([1]HOURLY_DATA!E289:E9072,[1]HOURLY_DATA!H289:H9072,Daily_AQI!A289),0)</f>
        <v>7</v>
      </c>
      <c r="F289">
        <f>ROUND(AVERAGEIFS([1]HOURLY_DATA!I289:I9072,[1]HOURLY_DATA!H289:H9072,Daily_AQI!A289),2)</f>
        <v>0.74</v>
      </c>
      <c r="G289">
        <f>ROUND(AVERAGEIFS([1]HOURLY_DATA!J289:J9072,[1]HOURLY_DATA!H289:H9072,Daily_AQI!A289),0)</f>
        <v>23</v>
      </c>
      <c r="H289">
        <f>ROUND(((_xlfn.XLOOKUP(B289,[1]!PM2.5[BLO],[1]!PM2.5[IHI],,-1) - _xlfn.XLOOKUP(B289,[1]!PM2.5[BLO],[1]!PM2.5[ILO],,-1))
/
(_xlfn.XLOOKUP(B289,[1]!PM2.5[BLO],[1]!PM2.5[BHI],,-1) - _xlfn.XLOOKUP(B289,[1]!PM2.5[BLO],[1]!PM2.5[BLO],,-1)))
*
(B289 - _xlfn.XLOOKUP(B289,[1]!PM2.5[BLO],[1]!PM2.5[BLO],,-1))
+
_xlfn.XLOOKUP(B289,[1]!PM2.5[BLO],[1]!PM2.5[ILO],,-1),2)</f>
        <v>28.33</v>
      </c>
      <c r="I289">
        <f>ROUND(((_xlfn.XLOOKUP(C289,[1]!PM_10[BLO],[1]!PM_10[IHI],,-1) - _xlfn.XLOOKUP(C289,[1]!PM_10[BLO],[1]!PM_10[ILO],,-1))
/
(_xlfn.XLOOKUP(C289,[1]!PM_10[BLO],[1]!PM_10[BHI],,-1) - _xlfn.XLOOKUP(C289,[1]!PM_10[BLO],[1]!PM_10[BLO],,-1)))
*
( C289 - _xlfn.XLOOKUP(C289,[1]!PM_10[BLO],[1]!PM_10[BLO],,-1))
+
_xlfn.XLOOKUP(C289,[1]!PM_10[BLO],[1]!PM_10[ILO],,-1),2)</f>
        <v>35</v>
      </c>
      <c r="J289">
        <f>ROUND((( _xlfn.XLOOKUP(D289,[1]!NO_2[BLO],[1]!NO_2[IHI],,-1) - _xlfn.XLOOKUP(D289,[1]!NO_2[BLO],[1]!NO_2[ILO],,-1))
/
( _xlfn.XLOOKUP(D289,[1]!NO_2[BLO],[1]!NO_2[BHI],,-1) - _xlfn.XLOOKUP(D289,[1]!NO_2[BLO],[1]!NO_2[BLO],,-1) ))
*
( D289 - _xlfn.XLOOKUP(D289,[1]!NO_2[BLO],[1]!NO_2[BLO],,-1))
+
_xlfn.XLOOKUP(D289,[1]!NO_2[BLO],[1]!NO_2[ILO],,-1),2)</f>
        <v>21.25</v>
      </c>
      <c r="K289">
        <f>ROUND(( ( _xlfn.XLOOKUP(E289,[1]!SO_2[BLO],[1]!SO_2[IHI],,-1)  - _xlfn.XLOOKUP(E289,[1]!SO_2[BLO],[1]!SO_2[ILO],,-1) )
/
( _xlfn.XLOOKUP(E289,[1]!SO_2[BLO],[1]!SO_2[BHI],,-1)- _xlfn.XLOOKUP(E289,[1]!SO_2[BLO],[1]!SO_2[BLO],,-1) ))
*
( E289 - _xlfn.XLOOKUP(E289,[1]!SO_2[BLO],[1]!SO_2[BLO],,-1) )
+
_xlfn.XLOOKUP(E289,[1]!SO_2[BLO],[1]!SO_2[ILO],,-1),2)</f>
        <v>8.75</v>
      </c>
      <c r="L289">
        <f>( ( _xlfn.XLOOKUP(F289,[1]!CO[BLO],[1]!CO[IHI],,-1)
- _xlfn.XLOOKUP(F289,[1]!CO[BLO],[1]!CO[ILO],,-1) )
/
( _xlfn.XLOOKUP(F289,[1]!CO[BLO],[1]!CO[BHI],,-1) - _xlfn.XLOOKUP(F289,[1]!CO[BLO],[1]!CO[BLO],,-1)))
*
( F289 - _xlfn.XLOOKUP(F289,[1]!CO[BLO],[1]!CO[BLO],,-1) )
+
_xlfn.XLOOKUP(F289,[1]!CO[BLO],[1]!CO[ILO],,-1)</f>
        <v>37</v>
      </c>
      <c r="M289">
        <f>(( _xlfn.XLOOKUP(G289,[1]!O_3[BLO],[1]!O_3[IHI],,-1) - _xlfn.XLOOKUP(G289,[1]!O_3[BLO],[1]!O_3[ILO],,-1))
/
( _xlfn.XLOOKUP(G289,[1]!O_3[BLO],[1]!O_3[BHI],,-1) - _xlfn.XLOOKUP(G289,[1]!O_3[BLO],[1]!O_3[BLO],,-1)))
*
( G289 - _xlfn.XLOOKUP(G289,[1]!O_3[BLO],[1]!O_3[BLO],,-1))
+
_xlfn.XLOOKUP(G289,[1]!O_3[BLO],[1]!O_3[ILO],,-1)</f>
        <v>23</v>
      </c>
      <c r="N289">
        <f>MAX(DAILY_DATA[[#This Row],[AQI_PM2.5]:[AQI_O3]])</f>
        <v>37</v>
      </c>
      <c r="O289" t="str">
        <f>_xlfn.XLOOKUP(DAILY_DATA[[#This Row],[OVERALL_AQI]],[1]!CATEGORY[AQI_LO],[1]!CATEGORY[CATEGORY],,-1)</f>
        <v>Good</v>
      </c>
      <c r="P289" t="str" cm="1">
        <f t="array" ref="P289">INDEX(
{"PM2.5","PM10","NO2","SO2","CO","O3"},
MATCH(N289,H289:M289,0)
)</f>
        <v>CO</v>
      </c>
    </row>
    <row r="290" spans="1:16" x14ac:dyDescent="0.25">
      <c r="A290" s="4">
        <v>45580</v>
      </c>
      <c r="B290">
        <f>ROUND(AVERAGEIFS([1]HOURLY_DATA!B290:B9073,[1]HOURLY_DATA!H290:H9073,Daily_AQI!A290),0)</f>
        <v>16</v>
      </c>
      <c r="C290">
        <f>ROUND(AVERAGEIFS([1]HOURLY_DATA!C290:C9073,[1]HOURLY_DATA!H290:H9073,Daily_AQI!A290),0)</f>
        <v>31</v>
      </c>
      <c r="D290">
        <f>ROUND(AVERAGEIFS([1]HOURLY_DATA!D290:D9073,[1]HOURLY_DATA!H290:H9073,Daily_AQI!A290),0)</f>
        <v>19</v>
      </c>
      <c r="E290">
        <f>ROUND(AVERAGEIFS([1]HOURLY_DATA!E290:E9073,[1]HOURLY_DATA!H290:H9073,Daily_AQI!A290),0)</f>
        <v>7</v>
      </c>
      <c r="F290">
        <f>ROUND(AVERAGEIFS([1]HOURLY_DATA!I290:I9073,[1]HOURLY_DATA!H290:H9073,Daily_AQI!A290),2)</f>
        <v>0.76</v>
      </c>
      <c r="G290">
        <f>ROUND(AVERAGEIFS([1]HOURLY_DATA!J290:J9073,[1]HOURLY_DATA!H290:H9073,Daily_AQI!A290),0)</f>
        <v>21</v>
      </c>
      <c r="H290">
        <f>ROUND(((_xlfn.XLOOKUP(B290,[1]!PM2.5[BLO],[1]!PM2.5[IHI],,-1) - _xlfn.XLOOKUP(B290,[1]!PM2.5[BLO],[1]!PM2.5[ILO],,-1))
/
(_xlfn.XLOOKUP(B290,[1]!PM2.5[BLO],[1]!PM2.5[BHI],,-1) - _xlfn.XLOOKUP(B290,[1]!PM2.5[BLO],[1]!PM2.5[BLO],,-1)))
*
(B290 - _xlfn.XLOOKUP(B290,[1]!PM2.5[BLO],[1]!PM2.5[BLO],,-1))
+
_xlfn.XLOOKUP(B290,[1]!PM2.5[BLO],[1]!PM2.5[ILO],,-1),2)</f>
        <v>26.67</v>
      </c>
      <c r="I290">
        <f>ROUND(((_xlfn.XLOOKUP(C290,[1]!PM_10[BLO],[1]!PM_10[IHI],,-1) - _xlfn.XLOOKUP(C290,[1]!PM_10[BLO],[1]!PM_10[ILO],,-1))
/
(_xlfn.XLOOKUP(C290,[1]!PM_10[BLO],[1]!PM_10[BHI],,-1) - _xlfn.XLOOKUP(C290,[1]!PM_10[BLO],[1]!PM_10[BLO],,-1)))
*
( C290 - _xlfn.XLOOKUP(C290,[1]!PM_10[BLO],[1]!PM_10[BLO],,-1))
+
_xlfn.XLOOKUP(C290,[1]!PM_10[BLO],[1]!PM_10[ILO],,-1),2)</f>
        <v>31</v>
      </c>
      <c r="J290">
        <f>ROUND((( _xlfn.XLOOKUP(D290,[1]!NO_2[BLO],[1]!NO_2[IHI],,-1) - _xlfn.XLOOKUP(D290,[1]!NO_2[BLO],[1]!NO_2[ILO],,-1))
/
( _xlfn.XLOOKUP(D290,[1]!NO_2[BLO],[1]!NO_2[BHI],,-1) - _xlfn.XLOOKUP(D290,[1]!NO_2[BLO],[1]!NO_2[BLO],,-1) ))
*
( D290 - _xlfn.XLOOKUP(D290,[1]!NO_2[BLO],[1]!NO_2[BLO],,-1))
+
_xlfn.XLOOKUP(D290,[1]!NO_2[BLO],[1]!NO_2[ILO],,-1),2)</f>
        <v>23.75</v>
      </c>
      <c r="K290">
        <f>ROUND(( ( _xlfn.XLOOKUP(E290,[1]!SO_2[BLO],[1]!SO_2[IHI],,-1)  - _xlfn.XLOOKUP(E290,[1]!SO_2[BLO],[1]!SO_2[ILO],,-1) )
/
( _xlfn.XLOOKUP(E290,[1]!SO_2[BLO],[1]!SO_2[BHI],,-1)- _xlfn.XLOOKUP(E290,[1]!SO_2[BLO],[1]!SO_2[BLO],,-1) ))
*
( E290 - _xlfn.XLOOKUP(E290,[1]!SO_2[BLO],[1]!SO_2[BLO],,-1) )
+
_xlfn.XLOOKUP(E290,[1]!SO_2[BLO],[1]!SO_2[ILO],,-1),2)</f>
        <v>8.75</v>
      </c>
      <c r="L290">
        <f>( ( _xlfn.XLOOKUP(F290,[1]!CO[BLO],[1]!CO[IHI],,-1)
- _xlfn.XLOOKUP(F290,[1]!CO[BLO],[1]!CO[ILO],,-1) )
/
( _xlfn.XLOOKUP(F290,[1]!CO[BLO],[1]!CO[BHI],,-1) - _xlfn.XLOOKUP(F290,[1]!CO[BLO],[1]!CO[BLO],,-1)))
*
( F290 - _xlfn.XLOOKUP(F290,[1]!CO[BLO],[1]!CO[BLO],,-1) )
+
_xlfn.XLOOKUP(F290,[1]!CO[BLO],[1]!CO[ILO],,-1)</f>
        <v>38</v>
      </c>
      <c r="M290">
        <f>(( _xlfn.XLOOKUP(G290,[1]!O_3[BLO],[1]!O_3[IHI],,-1) - _xlfn.XLOOKUP(G290,[1]!O_3[BLO],[1]!O_3[ILO],,-1))
/
( _xlfn.XLOOKUP(G290,[1]!O_3[BLO],[1]!O_3[BHI],,-1) - _xlfn.XLOOKUP(G290,[1]!O_3[BLO],[1]!O_3[BLO],,-1)))
*
( G290 - _xlfn.XLOOKUP(G290,[1]!O_3[BLO],[1]!O_3[BLO],,-1))
+
_xlfn.XLOOKUP(G290,[1]!O_3[BLO],[1]!O_3[ILO],,-1)</f>
        <v>21</v>
      </c>
      <c r="N290">
        <f>MAX(DAILY_DATA[[#This Row],[AQI_PM2.5]:[AQI_O3]])</f>
        <v>38</v>
      </c>
      <c r="O290" t="str">
        <f>_xlfn.XLOOKUP(DAILY_DATA[[#This Row],[OVERALL_AQI]],[1]!CATEGORY[AQI_LO],[1]!CATEGORY[CATEGORY],,-1)</f>
        <v>Good</v>
      </c>
      <c r="P290" t="str" cm="1">
        <f t="array" ref="P290">INDEX(
{"PM2.5","PM10","NO2","SO2","CO","O3"},
MATCH(N290,H290:M290,0)
)</f>
        <v>CO</v>
      </c>
    </row>
    <row r="291" spans="1:16" x14ac:dyDescent="0.25">
      <c r="A291" s="4">
        <v>45581</v>
      </c>
      <c r="B291">
        <f>ROUND(AVERAGEIFS([1]HOURLY_DATA!B291:B9074,[1]HOURLY_DATA!H291:H9074,Daily_AQI!A291),0)</f>
        <v>17</v>
      </c>
      <c r="C291">
        <f>ROUND(AVERAGEIFS([1]HOURLY_DATA!C291:C9074,[1]HOURLY_DATA!H291:H9074,Daily_AQI!A291),0)</f>
        <v>34</v>
      </c>
      <c r="D291">
        <f>ROUND(AVERAGEIFS([1]HOURLY_DATA!D291:D9074,[1]HOURLY_DATA!H291:H9074,Daily_AQI!A291),0)</f>
        <v>19</v>
      </c>
      <c r="E291">
        <f>ROUND(AVERAGEIFS([1]HOURLY_DATA!E291:E9074,[1]HOURLY_DATA!H291:H9074,Daily_AQI!A291),0)</f>
        <v>7</v>
      </c>
      <c r="F291">
        <f>ROUND(AVERAGEIFS([1]HOURLY_DATA!I291:I9074,[1]HOURLY_DATA!H291:H9074,Daily_AQI!A291),2)</f>
        <v>0.86</v>
      </c>
      <c r="G291">
        <f>ROUND(AVERAGEIFS([1]HOURLY_DATA!J291:J9074,[1]HOURLY_DATA!H291:H9074,Daily_AQI!A291),0)</f>
        <v>18</v>
      </c>
      <c r="H291">
        <f>ROUND(((_xlfn.XLOOKUP(B291,[1]!PM2.5[BLO],[1]!PM2.5[IHI],,-1) - _xlfn.XLOOKUP(B291,[1]!PM2.5[BLO],[1]!PM2.5[ILO],,-1))
/
(_xlfn.XLOOKUP(B291,[1]!PM2.5[BLO],[1]!PM2.5[BHI],,-1) - _xlfn.XLOOKUP(B291,[1]!PM2.5[BLO],[1]!PM2.5[BLO],,-1)))
*
(B291 - _xlfn.XLOOKUP(B291,[1]!PM2.5[BLO],[1]!PM2.5[BLO],,-1))
+
_xlfn.XLOOKUP(B291,[1]!PM2.5[BLO],[1]!PM2.5[ILO],,-1),2)</f>
        <v>28.33</v>
      </c>
      <c r="I291">
        <f>ROUND(((_xlfn.XLOOKUP(C291,[1]!PM_10[BLO],[1]!PM_10[IHI],,-1) - _xlfn.XLOOKUP(C291,[1]!PM_10[BLO],[1]!PM_10[ILO],,-1))
/
(_xlfn.XLOOKUP(C291,[1]!PM_10[BLO],[1]!PM_10[BHI],,-1) - _xlfn.XLOOKUP(C291,[1]!PM_10[BLO],[1]!PM_10[BLO],,-1)))
*
( C291 - _xlfn.XLOOKUP(C291,[1]!PM_10[BLO],[1]!PM_10[BLO],,-1))
+
_xlfn.XLOOKUP(C291,[1]!PM_10[BLO],[1]!PM_10[ILO],,-1),2)</f>
        <v>34</v>
      </c>
      <c r="J291">
        <f>ROUND((( _xlfn.XLOOKUP(D291,[1]!NO_2[BLO],[1]!NO_2[IHI],,-1) - _xlfn.XLOOKUP(D291,[1]!NO_2[BLO],[1]!NO_2[ILO],,-1))
/
( _xlfn.XLOOKUP(D291,[1]!NO_2[BLO],[1]!NO_2[BHI],,-1) - _xlfn.XLOOKUP(D291,[1]!NO_2[BLO],[1]!NO_2[BLO],,-1) ))
*
( D291 - _xlfn.XLOOKUP(D291,[1]!NO_2[BLO],[1]!NO_2[BLO],,-1))
+
_xlfn.XLOOKUP(D291,[1]!NO_2[BLO],[1]!NO_2[ILO],,-1),2)</f>
        <v>23.75</v>
      </c>
      <c r="K291">
        <f>ROUND(( ( _xlfn.XLOOKUP(E291,[1]!SO_2[BLO],[1]!SO_2[IHI],,-1)  - _xlfn.XLOOKUP(E291,[1]!SO_2[BLO],[1]!SO_2[ILO],,-1) )
/
( _xlfn.XLOOKUP(E291,[1]!SO_2[BLO],[1]!SO_2[BHI],,-1)- _xlfn.XLOOKUP(E291,[1]!SO_2[BLO],[1]!SO_2[BLO],,-1) ))
*
( E291 - _xlfn.XLOOKUP(E291,[1]!SO_2[BLO],[1]!SO_2[BLO],,-1) )
+
_xlfn.XLOOKUP(E291,[1]!SO_2[BLO],[1]!SO_2[ILO],,-1),2)</f>
        <v>8.75</v>
      </c>
      <c r="L291">
        <f>( ( _xlfn.XLOOKUP(F291,[1]!CO[BLO],[1]!CO[IHI],,-1)
- _xlfn.XLOOKUP(F291,[1]!CO[BLO],[1]!CO[ILO],,-1) )
/
( _xlfn.XLOOKUP(F291,[1]!CO[BLO],[1]!CO[BHI],,-1) - _xlfn.XLOOKUP(F291,[1]!CO[BLO],[1]!CO[BLO],,-1)))
*
( F291 - _xlfn.XLOOKUP(F291,[1]!CO[BLO],[1]!CO[BLO],,-1) )
+
_xlfn.XLOOKUP(F291,[1]!CO[BLO],[1]!CO[ILO],,-1)</f>
        <v>43</v>
      </c>
      <c r="M291">
        <f>(( _xlfn.XLOOKUP(G291,[1]!O_3[BLO],[1]!O_3[IHI],,-1) - _xlfn.XLOOKUP(G291,[1]!O_3[BLO],[1]!O_3[ILO],,-1))
/
( _xlfn.XLOOKUP(G291,[1]!O_3[BLO],[1]!O_3[BHI],,-1) - _xlfn.XLOOKUP(G291,[1]!O_3[BLO],[1]!O_3[BLO],,-1)))
*
( G291 - _xlfn.XLOOKUP(G291,[1]!O_3[BLO],[1]!O_3[BLO],,-1))
+
_xlfn.XLOOKUP(G291,[1]!O_3[BLO],[1]!O_3[ILO],,-1)</f>
        <v>18</v>
      </c>
      <c r="N291">
        <f>MAX(DAILY_DATA[[#This Row],[AQI_PM2.5]:[AQI_O3]])</f>
        <v>43</v>
      </c>
      <c r="O291" t="str">
        <f>_xlfn.XLOOKUP(DAILY_DATA[[#This Row],[OVERALL_AQI]],[1]!CATEGORY[AQI_LO],[1]!CATEGORY[CATEGORY],,-1)</f>
        <v>Good</v>
      </c>
      <c r="P291" t="str" cm="1">
        <f t="array" ref="P291">INDEX(
{"PM2.5","PM10","NO2","SO2","CO","O3"},
MATCH(N291,H291:M291,0)
)</f>
        <v>CO</v>
      </c>
    </row>
    <row r="292" spans="1:16" x14ac:dyDescent="0.25">
      <c r="A292" s="4">
        <v>45582</v>
      </c>
      <c r="B292">
        <f>ROUND(AVERAGEIFS([1]HOURLY_DATA!B292:B9075,[1]HOURLY_DATA!H292:H9075,Daily_AQI!A292),0)</f>
        <v>16</v>
      </c>
      <c r="C292">
        <f>ROUND(AVERAGEIFS([1]HOURLY_DATA!C292:C9075,[1]HOURLY_DATA!H292:H9075,Daily_AQI!A292),0)</f>
        <v>37</v>
      </c>
      <c r="D292">
        <f>ROUND(AVERAGEIFS([1]HOURLY_DATA!D292:D9075,[1]HOURLY_DATA!H292:H9075,Daily_AQI!A292),0)</f>
        <v>19</v>
      </c>
      <c r="E292">
        <f>ROUND(AVERAGEIFS([1]HOURLY_DATA!E292:E9075,[1]HOURLY_DATA!H292:H9075,Daily_AQI!A292),0)</f>
        <v>6</v>
      </c>
      <c r="F292">
        <f>ROUND(AVERAGEIFS([1]HOURLY_DATA!I292:I9075,[1]HOURLY_DATA!H292:H9075,Daily_AQI!A292),2)</f>
        <v>0.7</v>
      </c>
      <c r="G292">
        <f>ROUND(AVERAGEIFS([1]HOURLY_DATA!J292:J9075,[1]HOURLY_DATA!H292:H9075,Daily_AQI!A292),0)</f>
        <v>22</v>
      </c>
      <c r="H292">
        <f>ROUND(((_xlfn.XLOOKUP(B292,[1]!PM2.5[BLO],[1]!PM2.5[IHI],,-1) - _xlfn.XLOOKUP(B292,[1]!PM2.5[BLO],[1]!PM2.5[ILO],,-1))
/
(_xlfn.XLOOKUP(B292,[1]!PM2.5[BLO],[1]!PM2.5[BHI],,-1) - _xlfn.XLOOKUP(B292,[1]!PM2.5[BLO],[1]!PM2.5[BLO],,-1)))
*
(B292 - _xlfn.XLOOKUP(B292,[1]!PM2.5[BLO],[1]!PM2.5[BLO],,-1))
+
_xlfn.XLOOKUP(B292,[1]!PM2.5[BLO],[1]!PM2.5[ILO],,-1),2)</f>
        <v>26.67</v>
      </c>
      <c r="I292">
        <f>ROUND(((_xlfn.XLOOKUP(C292,[1]!PM_10[BLO],[1]!PM_10[IHI],,-1) - _xlfn.XLOOKUP(C292,[1]!PM_10[BLO],[1]!PM_10[ILO],,-1))
/
(_xlfn.XLOOKUP(C292,[1]!PM_10[BLO],[1]!PM_10[BHI],,-1) - _xlfn.XLOOKUP(C292,[1]!PM_10[BLO],[1]!PM_10[BLO],,-1)))
*
( C292 - _xlfn.XLOOKUP(C292,[1]!PM_10[BLO],[1]!PM_10[BLO],,-1))
+
_xlfn.XLOOKUP(C292,[1]!PM_10[BLO],[1]!PM_10[ILO],,-1),2)</f>
        <v>37</v>
      </c>
      <c r="J292">
        <f>ROUND((( _xlfn.XLOOKUP(D292,[1]!NO_2[BLO],[1]!NO_2[IHI],,-1) - _xlfn.XLOOKUP(D292,[1]!NO_2[BLO],[1]!NO_2[ILO],,-1))
/
( _xlfn.XLOOKUP(D292,[1]!NO_2[BLO],[1]!NO_2[BHI],,-1) - _xlfn.XLOOKUP(D292,[1]!NO_2[BLO],[1]!NO_2[BLO],,-1) ))
*
( D292 - _xlfn.XLOOKUP(D292,[1]!NO_2[BLO],[1]!NO_2[BLO],,-1))
+
_xlfn.XLOOKUP(D292,[1]!NO_2[BLO],[1]!NO_2[ILO],,-1),2)</f>
        <v>23.75</v>
      </c>
      <c r="K292">
        <f>ROUND(( ( _xlfn.XLOOKUP(E292,[1]!SO_2[BLO],[1]!SO_2[IHI],,-1)  - _xlfn.XLOOKUP(E292,[1]!SO_2[BLO],[1]!SO_2[ILO],,-1) )
/
( _xlfn.XLOOKUP(E292,[1]!SO_2[BLO],[1]!SO_2[BHI],,-1)- _xlfn.XLOOKUP(E292,[1]!SO_2[BLO],[1]!SO_2[BLO],,-1) ))
*
( E292 - _xlfn.XLOOKUP(E292,[1]!SO_2[BLO],[1]!SO_2[BLO],,-1) )
+
_xlfn.XLOOKUP(E292,[1]!SO_2[BLO],[1]!SO_2[ILO],,-1),2)</f>
        <v>7.5</v>
      </c>
      <c r="L292">
        <f>( ( _xlfn.XLOOKUP(F292,[1]!CO[BLO],[1]!CO[IHI],,-1)
- _xlfn.XLOOKUP(F292,[1]!CO[BLO],[1]!CO[ILO],,-1) )
/
( _xlfn.XLOOKUP(F292,[1]!CO[BLO],[1]!CO[BHI],,-1) - _xlfn.XLOOKUP(F292,[1]!CO[BLO],[1]!CO[BLO],,-1)))
*
( F292 - _xlfn.XLOOKUP(F292,[1]!CO[BLO],[1]!CO[BLO],,-1) )
+
_xlfn.XLOOKUP(F292,[1]!CO[BLO],[1]!CO[ILO],,-1)</f>
        <v>35</v>
      </c>
      <c r="M292">
        <f>(( _xlfn.XLOOKUP(G292,[1]!O_3[BLO],[1]!O_3[IHI],,-1) - _xlfn.XLOOKUP(G292,[1]!O_3[BLO],[1]!O_3[ILO],,-1))
/
( _xlfn.XLOOKUP(G292,[1]!O_3[BLO],[1]!O_3[BHI],,-1) - _xlfn.XLOOKUP(G292,[1]!O_3[BLO],[1]!O_3[BLO],,-1)))
*
( G292 - _xlfn.XLOOKUP(G292,[1]!O_3[BLO],[1]!O_3[BLO],,-1))
+
_xlfn.XLOOKUP(G292,[1]!O_3[BLO],[1]!O_3[ILO],,-1)</f>
        <v>22</v>
      </c>
      <c r="N292">
        <f>MAX(DAILY_DATA[[#This Row],[AQI_PM2.5]:[AQI_O3]])</f>
        <v>37</v>
      </c>
      <c r="O292" t="str">
        <f>_xlfn.XLOOKUP(DAILY_DATA[[#This Row],[OVERALL_AQI]],[1]!CATEGORY[AQI_LO],[1]!CATEGORY[CATEGORY],,-1)</f>
        <v>Good</v>
      </c>
      <c r="P292" t="str" cm="1">
        <f t="array" ref="P292">INDEX(
{"PM2.5","PM10","NO2","SO2","CO","O3"},
MATCH(N292,H292:M292,0)
)</f>
        <v>PM10</v>
      </c>
    </row>
    <row r="293" spans="1:16" x14ac:dyDescent="0.25">
      <c r="A293" s="4">
        <v>45583</v>
      </c>
      <c r="B293">
        <f>ROUND(AVERAGEIFS([1]HOURLY_DATA!B293:B9076,[1]HOURLY_DATA!H293:H9076,Daily_AQI!A293),0)</f>
        <v>18</v>
      </c>
      <c r="C293">
        <f>ROUND(AVERAGEIFS([1]HOURLY_DATA!C293:C9076,[1]HOURLY_DATA!H293:H9076,Daily_AQI!A293),0)</f>
        <v>48</v>
      </c>
      <c r="D293">
        <f>ROUND(AVERAGEIFS([1]HOURLY_DATA!D293:D9076,[1]HOURLY_DATA!H293:H9076,Daily_AQI!A293),0)</f>
        <v>20</v>
      </c>
      <c r="E293">
        <f>ROUND(AVERAGEIFS([1]HOURLY_DATA!E293:E9076,[1]HOURLY_DATA!H293:H9076,Daily_AQI!A293),0)</f>
        <v>7</v>
      </c>
      <c r="F293">
        <f>ROUND(AVERAGEIFS([1]HOURLY_DATA!I293:I9076,[1]HOURLY_DATA!H293:H9076,Daily_AQI!A293),2)</f>
        <v>0.65</v>
      </c>
      <c r="G293">
        <f>ROUND(AVERAGEIFS([1]HOURLY_DATA!J293:J9076,[1]HOURLY_DATA!H293:H9076,Daily_AQI!A293),0)</f>
        <v>22</v>
      </c>
      <c r="H293">
        <f>ROUND(((_xlfn.XLOOKUP(B293,[1]!PM2.5[BLO],[1]!PM2.5[IHI],,-1) - _xlfn.XLOOKUP(B293,[1]!PM2.5[BLO],[1]!PM2.5[ILO],,-1))
/
(_xlfn.XLOOKUP(B293,[1]!PM2.5[BLO],[1]!PM2.5[BHI],,-1) - _xlfn.XLOOKUP(B293,[1]!PM2.5[BLO],[1]!PM2.5[BLO],,-1)))
*
(B293 - _xlfn.XLOOKUP(B293,[1]!PM2.5[BLO],[1]!PM2.5[BLO],,-1))
+
_xlfn.XLOOKUP(B293,[1]!PM2.5[BLO],[1]!PM2.5[ILO],,-1),2)</f>
        <v>30</v>
      </c>
      <c r="I293">
        <f>ROUND(((_xlfn.XLOOKUP(C293,[1]!PM_10[BLO],[1]!PM_10[IHI],,-1) - _xlfn.XLOOKUP(C293,[1]!PM_10[BLO],[1]!PM_10[ILO],,-1))
/
(_xlfn.XLOOKUP(C293,[1]!PM_10[BLO],[1]!PM_10[BHI],,-1) - _xlfn.XLOOKUP(C293,[1]!PM_10[BLO],[1]!PM_10[BLO],,-1)))
*
( C293 - _xlfn.XLOOKUP(C293,[1]!PM_10[BLO],[1]!PM_10[BLO],,-1))
+
_xlfn.XLOOKUP(C293,[1]!PM_10[BLO],[1]!PM_10[ILO],,-1),2)</f>
        <v>48</v>
      </c>
      <c r="J293">
        <f>ROUND((( _xlfn.XLOOKUP(D293,[1]!NO_2[BLO],[1]!NO_2[IHI],,-1) - _xlfn.XLOOKUP(D293,[1]!NO_2[BLO],[1]!NO_2[ILO],,-1))
/
( _xlfn.XLOOKUP(D293,[1]!NO_2[BLO],[1]!NO_2[BHI],,-1) - _xlfn.XLOOKUP(D293,[1]!NO_2[BLO],[1]!NO_2[BLO],,-1) ))
*
( D293 - _xlfn.XLOOKUP(D293,[1]!NO_2[BLO],[1]!NO_2[BLO],,-1))
+
_xlfn.XLOOKUP(D293,[1]!NO_2[BLO],[1]!NO_2[ILO],,-1),2)</f>
        <v>25</v>
      </c>
      <c r="K293">
        <f>ROUND(( ( _xlfn.XLOOKUP(E293,[1]!SO_2[BLO],[1]!SO_2[IHI],,-1)  - _xlfn.XLOOKUP(E293,[1]!SO_2[BLO],[1]!SO_2[ILO],,-1) )
/
( _xlfn.XLOOKUP(E293,[1]!SO_2[BLO],[1]!SO_2[BHI],,-1)- _xlfn.XLOOKUP(E293,[1]!SO_2[BLO],[1]!SO_2[BLO],,-1) ))
*
( E293 - _xlfn.XLOOKUP(E293,[1]!SO_2[BLO],[1]!SO_2[BLO],,-1) )
+
_xlfn.XLOOKUP(E293,[1]!SO_2[BLO],[1]!SO_2[ILO],,-1),2)</f>
        <v>8.75</v>
      </c>
      <c r="L293">
        <f>( ( _xlfn.XLOOKUP(F293,[1]!CO[BLO],[1]!CO[IHI],,-1)
- _xlfn.XLOOKUP(F293,[1]!CO[BLO],[1]!CO[ILO],,-1) )
/
( _xlfn.XLOOKUP(F293,[1]!CO[BLO],[1]!CO[BHI],,-1) - _xlfn.XLOOKUP(F293,[1]!CO[BLO],[1]!CO[BLO],,-1)))
*
( F293 - _xlfn.XLOOKUP(F293,[1]!CO[BLO],[1]!CO[BLO],,-1) )
+
_xlfn.XLOOKUP(F293,[1]!CO[BLO],[1]!CO[ILO],,-1)</f>
        <v>32.5</v>
      </c>
      <c r="M293">
        <f>(( _xlfn.XLOOKUP(G293,[1]!O_3[BLO],[1]!O_3[IHI],,-1) - _xlfn.XLOOKUP(G293,[1]!O_3[BLO],[1]!O_3[ILO],,-1))
/
( _xlfn.XLOOKUP(G293,[1]!O_3[BLO],[1]!O_3[BHI],,-1) - _xlfn.XLOOKUP(G293,[1]!O_3[BLO],[1]!O_3[BLO],,-1)))
*
( G293 - _xlfn.XLOOKUP(G293,[1]!O_3[BLO],[1]!O_3[BLO],,-1))
+
_xlfn.XLOOKUP(G293,[1]!O_3[BLO],[1]!O_3[ILO],,-1)</f>
        <v>22</v>
      </c>
      <c r="N293">
        <f>MAX(DAILY_DATA[[#This Row],[AQI_PM2.5]:[AQI_O3]])</f>
        <v>48</v>
      </c>
      <c r="O293" t="str">
        <f>_xlfn.XLOOKUP(DAILY_DATA[[#This Row],[OVERALL_AQI]],[1]!CATEGORY[AQI_LO],[1]!CATEGORY[CATEGORY],,-1)</f>
        <v>Good</v>
      </c>
      <c r="P293" t="str" cm="1">
        <f t="array" ref="P293">INDEX(
{"PM2.5","PM10","NO2","SO2","CO","O3"},
MATCH(N293,H293:M293,0)
)</f>
        <v>PM10</v>
      </c>
    </row>
    <row r="294" spans="1:16" x14ac:dyDescent="0.25">
      <c r="A294" s="4">
        <v>45584</v>
      </c>
      <c r="B294">
        <f>ROUND(AVERAGEIFS([1]HOURLY_DATA!B294:B9077,[1]HOURLY_DATA!H294:H9077,Daily_AQI!A294),0)</f>
        <v>21</v>
      </c>
      <c r="C294">
        <f>ROUND(AVERAGEIFS([1]HOURLY_DATA!C294:C9077,[1]HOURLY_DATA!H294:H9077,Daily_AQI!A294),0)</f>
        <v>43</v>
      </c>
      <c r="D294">
        <f>ROUND(AVERAGEIFS([1]HOURLY_DATA!D294:D9077,[1]HOURLY_DATA!H294:H9077,Daily_AQI!A294),0)</f>
        <v>22</v>
      </c>
      <c r="E294">
        <f>ROUND(AVERAGEIFS([1]HOURLY_DATA!E294:E9077,[1]HOURLY_DATA!H294:H9077,Daily_AQI!A294),0)</f>
        <v>7</v>
      </c>
      <c r="F294">
        <f>ROUND(AVERAGEIFS([1]HOURLY_DATA!I294:I9077,[1]HOURLY_DATA!H294:H9077,Daily_AQI!A294),2)</f>
        <v>0.75</v>
      </c>
      <c r="G294">
        <f>ROUND(AVERAGEIFS([1]HOURLY_DATA!J294:J9077,[1]HOURLY_DATA!H294:H9077,Daily_AQI!A294),0)</f>
        <v>23</v>
      </c>
      <c r="H294">
        <f>ROUND(((_xlfn.XLOOKUP(B294,[1]!PM2.5[BLO],[1]!PM2.5[IHI],,-1) - _xlfn.XLOOKUP(B294,[1]!PM2.5[BLO],[1]!PM2.5[ILO],,-1))
/
(_xlfn.XLOOKUP(B294,[1]!PM2.5[BLO],[1]!PM2.5[BHI],,-1) - _xlfn.XLOOKUP(B294,[1]!PM2.5[BLO],[1]!PM2.5[BLO],,-1)))
*
(B294 - _xlfn.XLOOKUP(B294,[1]!PM2.5[BLO],[1]!PM2.5[BLO],,-1))
+
_xlfn.XLOOKUP(B294,[1]!PM2.5[BLO],[1]!PM2.5[ILO],,-1),2)</f>
        <v>35</v>
      </c>
      <c r="I294">
        <f>ROUND(((_xlfn.XLOOKUP(C294,[1]!PM_10[BLO],[1]!PM_10[IHI],,-1) - _xlfn.XLOOKUP(C294,[1]!PM_10[BLO],[1]!PM_10[ILO],,-1))
/
(_xlfn.XLOOKUP(C294,[1]!PM_10[BLO],[1]!PM_10[BHI],,-1) - _xlfn.XLOOKUP(C294,[1]!PM_10[BLO],[1]!PM_10[BLO],,-1)))
*
( C294 - _xlfn.XLOOKUP(C294,[1]!PM_10[BLO],[1]!PM_10[BLO],,-1))
+
_xlfn.XLOOKUP(C294,[1]!PM_10[BLO],[1]!PM_10[ILO],,-1),2)</f>
        <v>43</v>
      </c>
      <c r="J294">
        <f>ROUND((( _xlfn.XLOOKUP(D294,[1]!NO_2[BLO],[1]!NO_2[IHI],,-1) - _xlfn.XLOOKUP(D294,[1]!NO_2[BLO],[1]!NO_2[ILO],,-1))
/
( _xlfn.XLOOKUP(D294,[1]!NO_2[BLO],[1]!NO_2[BHI],,-1) - _xlfn.XLOOKUP(D294,[1]!NO_2[BLO],[1]!NO_2[BLO],,-1) ))
*
( D294 - _xlfn.XLOOKUP(D294,[1]!NO_2[BLO],[1]!NO_2[BLO],,-1))
+
_xlfn.XLOOKUP(D294,[1]!NO_2[BLO],[1]!NO_2[ILO],,-1),2)</f>
        <v>27.5</v>
      </c>
      <c r="K294">
        <f>ROUND(( ( _xlfn.XLOOKUP(E294,[1]!SO_2[BLO],[1]!SO_2[IHI],,-1)  - _xlfn.XLOOKUP(E294,[1]!SO_2[BLO],[1]!SO_2[ILO],,-1) )
/
( _xlfn.XLOOKUP(E294,[1]!SO_2[BLO],[1]!SO_2[BHI],,-1)- _xlfn.XLOOKUP(E294,[1]!SO_2[BLO],[1]!SO_2[BLO],,-1) ))
*
( E294 - _xlfn.XLOOKUP(E294,[1]!SO_2[BLO],[1]!SO_2[BLO],,-1) )
+
_xlfn.XLOOKUP(E294,[1]!SO_2[BLO],[1]!SO_2[ILO],,-1),2)</f>
        <v>8.75</v>
      </c>
      <c r="L294">
        <f>( ( _xlfn.XLOOKUP(F294,[1]!CO[BLO],[1]!CO[IHI],,-1)
- _xlfn.XLOOKUP(F294,[1]!CO[BLO],[1]!CO[ILO],,-1) )
/
( _xlfn.XLOOKUP(F294,[1]!CO[BLO],[1]!CO[BHI],,-1) - _xlfn.XLOOKUP(F294,[1]!CO[BLO],[1]!CO[BLO],,-1)))
*
( F294 - _xlfn.XLOOKUP(F294,[1]!CO[BLO],[1]!CO[BLO],,-1) )
+
_xlfn.XLOOKUP(F294,[1]!CO[BLO],[1]!CO[ILO],,-1)</f>
        <v>37.5</v>
      </c>
      <c r="M294">
        <f>(( _xlfn.XLOOKUP(G294,[1]!O_3[BLO],[1]!O_3[IHI],,-1) - _xlfn.XLOOKUP(G294,[1]!O_3[BLO],[1]!O_3[ILO],,-1))
/
( _xlfn.XLOOKUP(G294,[1]!O_3[BLO],[1]!O_3[BHI],,-1) - _xlfn.XLOOKUP(G294,[1]!O_3[BLO],[1]!O_3[BLO],,-1)))
*
( G294 - _xlfn.XLOOKUP(G294,[1]!O_3[BLO],[1]!O_3[BLO],,-1))
+
_xlfn.XLOOKUP(G294,[1]!O_3[BLO],[1]!O_3[ILO],,-1)</f>
        <v>23</v>
      </c>
      <c r="N294">
        <f>MAX(DAILY_DATA[[#This Row],[AQI_PM2.5]:[AQI_O3]])</f>
        <v>43</v>
      </c>
      <c r="O294" t="str">
        <f>_xlfn.XLOOKUP(DAILY_DATA[[#This Row],[OVERALL_AQI]],[1]!CATEGORY[AQI_LO],[1]!CATEGORY[CATEGORY],,-1)</f>
        <v>Good</v>
      </c>
      <c r="P294" t="str" cm="1">
        <f t="array" ref="P294">INDEX(
{"PM2.5","PM10","NO2","SO2","CO","O3"},
MATCH(N294,H294:M294,0)
)</f>
        <v>PM10</v>
      </c>
    </row>
    <row r="295" spans="1:16" x14ac:dyDescent="0.25">
      <c r="A295" s="4">
        <v>45585</v>
      </c>
      <c r="B295">
        <f>ROUND(AVERAGEIFS([1]HOURLY_DATA!B295:B9078,[1]HOURLY_DATA!H295:H9078,Daily_AQI!A295),0)</f>
        <v>22</v>
      </c>
      <c r="C295">
        <f>ROUND(AVERAGEIFS([1]HOURLY_DATA!C295:C9078,[1]HOURLY_DATA!H295:H9078,Daily_AQI!A295),0)</f>
        <v>45</v>
      </c>
      <c r="D295">
        <f>ROUND(AVERAGEIFS([1]HOURLY_DATA!D295:D9078,[1]HOURLY_DATA!H295:H9078,Daily_AQI!A295),0)</f>
        <v>21</v>
      </c>
      <c r="E295">
        <f>ROUND(AVERAGEIFS([1]HOURLY_DATA!E295:E9078,[1]HOURLY_DATA!H295:H9078,Daily_AQI!A295),0)</f>
        <v>6</v>
      </c>
      <c r="F295">
        <f>ROUND(AVERAGEIFS([1]HOURLY_DATA!I295:I9078,[1]HOURLY_DATA!H295:H9078,Daily_AQI!A295),2)</f>
        <v>0.76</v>
      </c>
      <c r="G295">
        <f>ROUND(AVERAGEIFS([1]HOURLY_DATA!J295:J9078,[1]HOURLY_DATA!H295:H9078,Daily_AQI!A295),0)</f>
        <v>24</v>
      </c>
      <c r="H295">
        <f>ROUND(((_xlfn.XLOOKUP(B295,[1]!PM2.5[BLO],[1]!PM2.5[IHI],,-1) - _xlfn.XLOOKUP(B295,[1]!PM2.5[BLO],[1]!PM2.5[ILO],,-1))
/
(_xlfn.XLOOKUP(B295,[1]!PM2.5[BLO],[1]!PM2.5[BHI],,-1) - _xlfn.XLOOKUP(B295,[1]!PM2.5[BLO],[1]!PM2.5[BLO],,-1)))
*
(B295 - _xlfn.XLOOKUP(B295,[1]!PM2.5[BLO],[1]!PM2.5[BLO],,-1))
+
_xlfn.XLOOKUP(B295,[1]!PM2.5[BLO],[1]!PM2.5[ILO],,-1),2)</f>
        <v>36.67</v>
      </c>
      <c r="I295">
        <f>ROUND(((_xlfn.XLOOKUP(C295,[1]!PM_10[BLO],[1]!PM_10[IHI],,-1) - _xlfn.XLOOKUP(C295,[1]!PM_10[BLO],[1]!PM_10[ILO],,-1))
/
(_xlfn.XLOOKUP(C295,[1]!PM_10[BLO],[1]!PM_10[BHI],,-1) - _xlfn.XLOOKUP(C295,[1]!PM_10[BLO],[1]!PM_10[BLO],,-1)))
*
( C295 - _xlfn.XLOOKUP(C295,[1]!PM_10[BLO],[1]!PM_10[BLO],,-1))
+
_xlfn.XLOOKUP(C295,[1]!PM_10[BLO],[1]!PM_10[ILO],,-1),2)</f>
        <v>45</v>
      </c>
      <c r="J295">
        <f>ROUND((( _xlfn.XLOOKUP(D295,[1]!NO_2[BLO],[1]!NO_2[IHI],,-1) - _xlfn.XLOOKUP(D295,[1]!NO_2[BLO],[1]!NO_2[ILO],,-1))
/
( _xlfn.XLOOKUP(D295,[1]!NO_2[BLO],[1]!NO_2[BHI],,-1) - _xlfn.XLOOKUP(D295,[1]!NO_2[BLO],[1]!NO_2[BLO],,-1) ))
*
( D295 - _xlfn.XLOOKUP(D295,[1]!NO_2[BLO],[1]!NO_2[BLO],,-1))
+
_xlfn.XLOOKUP(D295,[1]!NO_2[BLO],[1]!NO_2[ILO],,-1),2)</f>
        <v>26.25</v>
      </c>
      <c r="K295">
        <f>ROUND(( ( _xlfn.XLOOKUP(E295,[1]!SO_2[BLO],[1]!SO_2[IHI],,-1)  - _xlfn.XLOOKUP(E295,[1]!SO_2[BLO],[1]!SO_2[ILO],,-1) )
/
( _xlfn.XLOOKUP(E295,[1]!SO_2[BLO],[1]!SO_2[BHI],,-1)- _xlfn.XLOOKUP(E295,[1]!SO_2[BLO],[1]!SO_2[BLO],,-1) ))
*
( E295 - _xlfn.XLOOKUP(E295,[1]!SO_2[BLO],[1]!SO_2[BLO],,-1) )
+
_xlfn.XLOOKUP(E295,[1]!SO_2[BLO],[1]!SO_2[ILO],,-1),2)</f>
        <v>7.5</v>
      </c>
      <c r="L295">
        <f>( ( _xlfn.XLOOKUP(F295,[1]!CO[BLO],[1]!CO[IHI],,-1)
- _xlfn.XLOOKUP(F295,[1]!CO[BLO],[1]!CO[ILO],,-1) )
/
( _xlfn.XLOOKUP(F295,[1]!CO[BLO],[1]!CO[BHI],,-1) - _xlfn.XLOOKUP(F295,[1]!CO[BLO],[1]!CO[BLO],,-1)))
*
( F295 - _xlfn.XLOOKUP(F295,[1]!CO[BLO],[1]!CO[BLO],,-1) )
+
_xlfn.XLOOKUP(F295,[1]!CO[BLO],[1]!CO[ILO],,-1)</f>
        <v>38</v>
      </c>
      <c r="M295">
        <f>(( _xlfn.XLOOKUP(G295,[1]!O_3[BLO],[1]!O_3[IHI],,-1) - _xlfn.XLOOKUP(G295,[1]!O_3[BLO],[1]!O_3[ILO],,-1))
/
( _xlfn.XLOOKUP(G295,[1]!O_3[BLO],[1]!O_3[BHI],,-1) - _xlfn.XLOOKUP(G295,[1]!O_3[BLO],[1]!O_3[BLO],,-1)))
*
( G295 - _xlfn.XLOOKUP(G295,[1]!O_3[BLO],[1]!O_3[BLO],,-1))
+
_xlfn.XLOOKUP(G295,[1]!O_3[BLO],[1]!O_3[ILO],,-1)</f>
        <v>24</v>
      </c>
      <c r="N295">
        <f>MAX(DAILY_DATA[[#This Row],[AQI_PM2.5]:[AQI_O3]])</f>
        <v>45</v>
      </c>
      <c r="O295" t="str">
        <f>_xlfn.XLOOKUP(DAILY_DATA[[#This Row],[OVERALL_AQI]],[1]!CATEGORY[AQI_LO],[1]!CATEGORY[CATEGORY],,-1)</f>
        <v>Good</v>
      </c>
      <c r="P295" t="str" cm="1">
        <f t="array" ref="P295">INDEX(
{"PM2.5","PM10","NO2","SO2","CO","O3"},
MATCH(N295,H295:M295,0)
)</f>
        <v>PM10</v>
      </c>
    </row>
    <row r="296" spans="1:16" x14ac:dyDescent="0.25">
      <c r="A296" s="4">
        <v>45586</v>
      </c>
      <c r="B296">
        <f>ROUND(AVERAGEIFS([1]HOURLY_DATA!B296:B9079,[1]HOURLY_DATA!H296:H9079,Daily_AQI!A296),0)</f>
        <v>25</v>
      </c>
      <c r="C296">
        <f>ROUND(AVERAGEIFS([1]HOURLY_DATA!C296:C9079,[1]HOURLY_DATA!H296:H9079,Daily_AQI!A296),0)</f>
        <v>47</v>
      </c>
      <c r="D296">
        <f>ROUND(AVERAGEIFS([1]HOURLY_DATA!D296:D9079,[1]HOURLY_DATA!H296:H9079,Daily_AQI!A296),0)</f>
        <v>18</v>
      </c>
      <c r="E296">
        <f>ROUND(AVERAGEIFS([1]HOURLY_DATA!E296:E9079,[1]HOURLY_DATA!H296:H9079,Daily_AQI!A296),0)</f>
        <v>7</v>
      </c>
      <c r="F296">
        <f>ROUND(AVERAGEIFS([1]HOURLY_DATA!I296:I9079,[1]HOURLY_DATA!H296:H9079,Daily_AQI!A296),2)</f>
        <v>0.69</v>
      </c>
      <c r="G296">
        <f>ROUND(AVERAGEIFS([1]HOURLY_DATA!J296:J9079,[1]HOURLY_DATA!H296:H9079,Daily_AQI!A296),0)</f>
        <v>24</v>
      </c>
      <c r="H296">
        <f>ROUND(((_xlfn.XLOOKUP(B296,[1]!PM2.5[BLO],[1]!PM2.5[IHI],,-1) - _xlfn.XLOOKUP(B296,[1]!PM2.5[BLO],[1]!PM2.5[ILO],,-1))
/
(_xlfn.XLOOKUP(B296,[1]!PM2.5[BLO],[1]!PM2.5[BHI],,-1) - _xlfn.XLOOKUP(B296,[1]!PM2.5[BLO],[1]!PM2.5[BLO],,-1)))
*
(B296 - _xlfn.XLOOKUP(B296,[1]!PM2.5[BLO],[1]!PM2.5[BLO],,-1))
+
_xlfn.XLOOKUP(B296,[1]!PM2.5[BLO],[1]!PM2.5[ILO],,-1),2)</f>
        <v>41.67</v>
      </c>
      <c r="I296">
        <f>ROUND(((_xlfn.XLOOKUP(C296,[1]!PM_10[BLO],[1]!PM_10[IHI],,-1) - _xlfn.XLOOKUP(C296,[1]!PM_10[BLO],[1]!PM_10[ILO],,-1))
/
(_xlfn.XLOOKUP(C296,[1]!PM_10[BLO],[1]!PM_10[BHI],,-1) - _xlfn.XLOOKUP(C296,[1]!PM_10[BLO],[1]!PM_10[BLO],,-1)))
*
( C296 - _xlfn.XLOOKUP(C296,[1]!PM_10[BLO],[1]!PM_10[BLO],,-1))
+
_xlfn.XLOOKUP(C296,[1]!PM_10[BLO],[1]!PM_10[ILO],,-1),2)</f>
        <v>47</v>
      </c>
      <c r="J296">
        <f>ROUND((( _xlfn.XLOOKUP(D296,[1]!NO_2[BLO],[1]!NO_2[IHI],,-1) - _xlfn.XLOOKUP(D296,[1]!NO_2[BLO],[1]!NO_2[ILO],,-1))
/
( _xlfn.XLOOKUP(D296,[1]!NO_2[BLO],[1]!NO_2[BHI],,-1) - _xlfn.XLOOKUP(D296,[1]!NO_2[BLO],[1]!NO_2[BLO],,-1) ))
*
( D296 - _xlfn.XLOOKUP(D296,[1]!NO_2[BLO],[1]!NO_2[BLO],,-1))
+
_xlfn.XLOOKUP(D296,[1]!NO_2[BLO],[1]!NO_2[ILO],,-1),2)</f>
        <v>22.5</v>
      </c>
      <c r="K296">
        <f>ROUND(( ( _xlfn.XLOOKUP(E296,[1]!SO_2[BLO],[1]!SO_2[IHI],,-1)  - _xlfn.XLOOKUP(E296,[1]!SO_2[BLO],[1]!SO_2[ILO],,-1) )
/
( _xlfn.XLOOKUP(E296,[1]!SO_2[BLO],[1]!SO_2[BHI],,-1)- _xlfn.XLOOKUP(E296,[1]!SO_2[BLO],[1]!SO_2[BLO],,-1) ))
*
( E296 - _xlfn.XLOOKUP(E296,[1]!SO_2[BLO],[1]!SO_2[BLO],,-1) )
+
_xlfn.XLOOKUP(E296,[1]!SO_2[BLO],[1]!SO_2[ILO],,-1),2)</f>
        <v>8.75</v>
      </c>
      <c r="L296">
        <f>( ( _xlfn.XLOOKUP(F296,[1]!CO[BLO],[1]!CO[IHI],,-1)
- _xlfn.XLOOKUP(F296,[1]!CO[BLO],[1]!CO[ILO],,-1) )
/
( _xlfn.XLOOKUP(F296,[1]!CO[BLO],[1]!CO[BHI],,-1) - _xlfn.XLOOKUP(F296,[1]!CO[BLO],[1]!CO[BLO],,-1)))
*
( F296 - _xlfn.XLOOKUP(F296,[1]!CO[BLO],[1]!CO[BLO],,-1) )
+
_xlfn.XLOOKUP(F296,[1]!CO[BLO],[1]!CO[ILO],,-1)</f>
        <v>34.5</v>
      </c>
      <c r="M296">
        <f>(( _xlfn.XLOOKUP(G296,[1]!O_3[BLO],[1]!O_3[IHI],,-1) - _xlfn.XLOOKUP(G296,[1]!O_3[BLO],[1]!O_3[ILO],,-1))
/
( _xlfn.XLOOKUP(G296,[1]!O_3[BLO],[1]!O_3[BHI],,-1) - _xlfn.XLOOKUP(G296,[1]!O_3[BLO],[1]!O_3[BLO],,-1)))
*
( G296 - _xlfn.XLOOKUP(G296,[1]!O_3[BLO],[1]!O_3[BLO],,-1))
+
_xlfn.XLOOKUP(G296,[1]!O_3[BLO],[1]!O_3[ILO],,-1)</f>
        <v>24</v>
      </c>
      <c r="N296">
        <f>MAX(DAILY_DATA[[#This Row],[AQI_PM2.5]:[AQI_O3]])</f>
        <v>47</v>
      </c>
      <c r="O296" t="str">
        <f>_xlfn.XLOOKUP(DAILY_DATA[[#This Row],[OVERALL_AQI]],[1]!CATEGORY[AQI_LO],[1]!CATEGORY[CATEGORY],,-1)</f>
        <v>Good</v>
      </c>
      <c r="P296" t="str" cm="1">
        <f t="array" ref="P296">INDEX(
{"PM2.5","PM10","NO2","SO2","CO","O3"},
MATCH(N296,H296:M296,0)
)</f>
        <v>PM10</v>
      </c>
    </row>
    <row r="297" spans="1:16" x14ac:dyDescent="0.25">
      <c r="A297" s="4">
        <v>45587</v>
      </c>
      <c r="B297">
        <f>ROUND(AVERAGEIFS([1]HOURLY_DATA!B297:B9080,[1]HOURLY_DATA!H297:H9080,Daily_AQI!A297),0)</f>
        <v>21</v>
      </c>
      <c r="C297">
        <f>ROUND(AVERAGEIFS([1]HOURLY_DATA!C297:C9080,[1]HOURLY_DATA!H297:H9080,Daily_AQI!A297),0)</f>
        <v>43</v>
      </c>
      <c r="D297">
        <f>ROUND(AVERAGEIFS([1]HOURLY_DATA!D297:D9080,[1]HOURLY_DATA!H297:H9080,Daily_AQI!A297),0)</f>
        <v>20</v>
      </c>
      <c r="E297">
        <f>ROUND(AVERAGEIFS([1]HOURLY_DATA!E297:E9080,[1]HOURLY_DATA!H297:H9080,Daily_AQI!A297),0)</f>
        <v>6</v>
      </c>
      <c r="F297">
        <f>ROUND(AVERAGEIFS([1]HOURLY_DATA!I297:I9080,[1]HOURLY_DATA!H297:H9080,Daily_AQI!A297),2)</f>
        <v>0.75</v>
      </c>
      <c r="G297">
        <f>ROUND(AVERAGEIFS([1]HOURLY_DATA!J297:J9080,[1]HOURLY_DATA!H297:H9080,Daily_AQI!A297),0)</f>
        <v>21</v>
      </c>
      <c r="H297">
        <f>ROUND(((_xlfn.XLOOKUP(B297,[1]!PM2.5[BLO],[1]!PM2.5[IHI],,-1) - _xlfn.XLOOKUP(B297,[1]!PM2.5[BLO],[1]!PM2.5[ILO],,-1))
/
(_xlfn.XLOOKUP(B297,[1]!PM2.5[BLO],[1]!PM2.5[BHI],,-1) - _xlfn.XLOOKUP(B297,[1]!PM2.5[BLO],[1]!PM2.5[BLO],,-1)))
*
(B297 - _xlfn.XLOOKUP(B297,[1]!PM2.5[BLO],[1]!PM2.5[BLO],,-1))
+
_xlfn.XLOOKUP(B297,[1]!PM2.5[BLO],[1]!PM2.5[ILO],,-1),2)</f>
        <v>35</v>
      </c>
      <c r="I297">
        <f>ROUND(((_xlfn.XLOOKUP(C297,[1]!PM_10[BLO],[1]!PM_10[IHI],,-1) - _xlfn.XLOOKUP(C297,[1]!PM_10[BLO],[1]!PM_10[ILO],,-1))
/
(_xlfn.XLOOKUP(C297,[1]!PM_10[BLO],[1]!PM_10[BHI],,-1) - _xlfn.XLOOKUP(C297,[1]!PM_10[BLO],[1]!PM_10[BLO],,-1)))
*
( C297 - _xlfn.XLOOKUP(C297,[1]!PM_10[BLO],[1]!PM_10[BLO],,-1))
+
_xlfn.XLOOKUP(C297,[1]!PM_10[BLO],[1]!PM_10[ILO],,-1),2)</f>
        <v>43</v>
      </c>
      <c r="J297">
        <f>ROUND((( _xlfn.XLOOKUP(D297,[1]!NO_2[BLO],[1]!NO_2[IHI],,-1) - _xlfn.XLOOKUP(D297,[1]!NO_2[BLO],[1]!NO_2[ILO],,-1))
/
( _xlfn.XLOOKUP(D297,[1]!NO_2[BLO],[1]!NO_2[BHI],,-1) - _xlfn.XLOOKUP(D297,[1]!NO_2[BLO],[1]!NO_2[BLO],,-1) ))
*
( D297 - _xlfn.XLOOKUP(D297,[1]!NO_2[BLO],[1]!NO_2[BLO],,-1))
+
_xlfn.XLOOKUP(D297,[1]!NO_2[BLO],[1]!NO_2[ILO],,-1),2)</f>
        <v>25</v>
      </c>
      <c r="K297">
        <f>ROUND(( ( _xlfn.XLOOKUP(E297,[1]!SO_2[BLO],[1]!SO_2[IHI],,-1)  - _xlfn.XLOOKUP(E297,[1]!SO_2[BLO],[1]!SO_2[ILO],,-1) )
/
( _xlfn.XLOOKUP(E297,[1]!SO_2[BLO],[1]!SO_2[BHI],,-1)- _xlfn.XLOOKUP(E297,[1]!SO_2[BLO],[1]!SO_2[BLO],,-1) ))
*
( E297 - _xlfn.XLOOKUP(E297,[1]!SO_2[BLO],[1]!SO_2[BLO],,-1) )
+
_xlfn.XLOOKUP(E297,[1]!SO_2[BLO],[1]!SO_2[ILO],,-1),2)</f>
        <v>7.5</v>
      </c>
      <c r="L297">
        <f>( ( _xlfn.XLOOKUP(F297,[1]!CO[BLO],[1]!CO[IHI],,-1)
- _xlfn.XLOOKUP(F297,[1]!CO[BLO],[1]!CO[ILO],,-1) )
/
( _xlfn.XLOOKUP(F297,[1]!CO[BLO],[1]!CO[BHI],,-1) - _xlfn.XLOOKUP(F297,[1]!CO[BLO],[1]!CO[BLO],,-1)))
*
( F297 - _xlfn.XLOOKUP(F297,[1]!CO[BLO],[1]!CO[BLO],,-1) )
+
_xlfn.XLOOKUP(F297,[1]!CO[BLO],[1]!CO[ILO],,-1)</f>
        <v>37.5</v>
      </c>
      <c r="M297">
        <f>(( _xlfn.XLOOKUP(G297,[1]!O_3[BLO],[1]!O_3[IHI],,-1) - _xlfn.XLOOKUP(G297,[1]!O_3[BLO],[1]!O_3[ILO],,-1))
/
( _xlfn.XLOOKUP(G297,[1]!O_3[BLO],[1]!O_3[BHI],,-1) - _xlfn.XLOOKUP(G297,[1]!O_3[BLO],[1]!O_3[BLO],,-1)))
*
( G297 - _xlfn.XLOOKUP(G297,[1]!O_3[BLO],[1]!O_3[BLO],,-1))
+
_xlfn.XLOOKUP(G297,[1]!O_3[BLO],[1]!O_3[ILO],,-1)</f>
        <v>21</v>
      </c>
      <c r="N297">
        <f>MAX(DAILY_DATA[[#This Row],[AQI_PM2.5]:[AQI_O3]])</f>
        <v>43</v>
      </c>
      <c r="O297" t="str">
        <f>_xlfn.XLOOKUP(DAILY_DATA[[#This Row],[OVERALL_AQI]],[1]!CATEGORY[AQI_LO],[1]!CATEGORY[CATEGORY],,-1)</f>
        <v>Good</v>
      </c>
      <c r="P297" t="str" cm="1">
        <f t="array" ref="P297">INDEX(
{"PM2.5","PM10","NO2","SO2","CO","O3"},
MATCH(N297,H297:M297,0)
)</f>
        <v>PM10</v>
      </c>
    </row>
    <row r="298" spans="1:16" x14ac:dyDescent="0.25">
      <c r="A298" s="4">
        <v>45588</v>
      </c>
      <c r="B298">
        <f>ROUND(AVERAGEIFS([1]HOURLY_DATA!B298:B9081,[1]HOURLY_DATA!H298:H9081,Daily_AQI!A298),0)</f>
        <v>30</v>
      </c>
      <c r="C298">
        <f>ROUND(AVERAGEIFS([1]HOURLY_DATA!C298:C9081,[1]HOURLY_DATA!H298:H9081,Daily_AQI!A298),0)</f>
        <v>56</v>
      </c>
      <c r="D298">
        <f>ROUND(AVERAGEIFS([1]HOURLY_DATA!D298:D9081,[1]HOURLY_DATA!H298:H9081,Daily_AQI!A298),0)</f>
        <v>20</v>
      </c>
      <c r="E298">
        <f>ROUND(AVERAGEIFS([1]HOURLY_DATA!E298:E9081,[1]HOURLY_DATA!H298:H9081,Daily_AQI!A298),0)</f>
        <v>5</v>
      </c>
      <c r="F298">
        <f>ROUND(AVERAGEIFS([1]HOURLY_DATA!I298:I9081,[1]HOURLY_DATA!H298:H9081,Daily_AQI!A298),2)</f>
        <v>0.84</v>
      </c>
      <c r="G298">
        <f>ROUND(AVERAGEIFS([1]HOURLY_DATA!J298:J9081,[1]HOURLY_DATA!H298:H9081,Daily_AQI!A298),0)</f>
        <v>24</v>
      </c>
      <c r="H298">
        <f>ROUND(((_xlfn.XLOOKUP(B298,[1]!PM2.5[BLO],[1]!PM2.5[IHI],,-1) - _xlfn.XLOOKUP(B298,[1]!PM2.5[BLO],[1]!PM2.5[ILO],,-1))
/
(_xlfn.XLOOKUP(B298,[1]!PM2.5[BLO],[1]!PM2.5[BHI],,-1) - _xlfn.XLOOKUP(B298,[1]!PM2.5[BLO],[1]!PM2.5[BLO],,-1)))
*
(B298 - _xlfn.XLOOKUP(B298,[1]!PM2.5[BLO],[1]!PM2.5[BLO],,-1))
+
_xlfn.XLOOKUP(B298,[1]!PM2.5[BLO],[1]!PM2.5[ILO],,-1),2)</f>
        <v>50</v>
      </c>
      <c r="I298">
        <f>ROUND(((_xlfn.XLOOKUP(C298,[1]!PM_10[BLO],[1]!PM_10[IHI],,-1) - _xlfn.XLOOKUP(C298,[1]!PM_10[BLO],[1]!PM_10[ILO],,-1))
/
(_xlfn.XLOOKUP(C298,[1]!PM_10[BLO],[1]!PM_10[BHI],,-1) - _xlfn.XLOOKUP(C298,[1]!PM_10[BLO],[1]!PM_10[BLO],,-1)))
*
( C298 - _xlfn.XLOOKUP(C298,[1]!PM_10[BLO],[1]!PM_10[BLO],,-1))
+
_xlfn.XLOOKUP(C298,[1]!PM_10[BLO],[1]!PM_10[ILO],,-1),2)</f>
        <v>56</v>
      </c>
      <c r="J298">
        <f>ROUND((( _xlfn.XLOOKUP(D298,[1]!NO_2[BLO],[1]!NO_2[IHI],,-1) - _xlfn.XLOOKUP(D298,[1]!NO_2[BLO],[1]!NO_2[ILO],,-1))
/
( _xlfn.XLOOKUP(D298,[1]!NO_2[BLO],[1]!NO_2[BHI],,-1) - _xlfn.XLOOKUP(D298,[1]!NO_2[BLO],[1]!NO_2[BLO],,-1) ))
*
( D298 - _xlfn.XLOOKUP(D298,[1]!NO_2[BLO],[1]!NO_2[BLO],,-1))
+
_xlfn.XLOOKUP(D298,[1]!NO_2[BLO],[1]!NO_2[ILO],,-1),2)</f>
        <v>25</v>
      </c>
      <c r="K298">
        <f>ROUND(( ( _xlfn.XLOOKUP(E298,[1]!SO_2[BLO],[1]!SO_2[IHI],,-1)  - _xlfn.XLOOKUP(E298,[1]!SO_2[BLO],[1]!SO_2[ILO],,-1) )
/
( _xlfn.XLOOKUP(E298,[1]!SO_2[BLO],[1]!SO_2[BHI],,-1)- _xlfn.XLOOKUP(E298,[1]!SO_2[BLO],[1]!SO_2[BLO],,-1) ))
*
( E298 - _xlfn.XLOOKUP(E298,[1]!SO_2[BLO],[1]!SO_2[BLO],,-1) )
+
_xlfn.XLOOKUP(E298,[1]!SO_2[BLO],[1]!SO_2[ILO],,-1),2)</f>
        <v>6.25</v>
      </c>
      <c r="L298">
        <f>( ( _xlfn.XLOOKUP(F298,[1]!CO[BLO],[1]!CO[IHI],,-1)
- _xlfn.XLOOKUP(F298,[1]!CO[BLO],[1]!CO[ILO],,-1) )
/
( _xlfn.XLOOKUP(F298,[1]!CO[BLO],[1]!CO[BHI],,-1) - _xlfn.XLOOKUP(F298,[1]!CO[BLO],[1]!CO[BLO],,-1)))
*
( F298 - _xlfn.XLOOKUP(F298,[1]!CO[BLO],[1]!CO[BLO],,-1) )
+
_xlfn.XLOOKUP(F298,[1]!CO[BLO],[1]!CO[ILO],,-1)</f>
        <v>42</v>
      </c>
      <c r="M298">
        <f>(( _xlfn.XLOOKUP(G298,[1]!O_3[BLO],[1]!O_3[IHI],,-1) - _xlfn.XLOOKUP(G298,[1]!O_3[BLO],[1]!O_3[ILO],,-1))
/
( _xlfn.XLOOKUP(G298,[1]!O_3[BLO],[1]!O_3[BHI],,-1) - _xlfn.XLOOKUP(G298,[1]!O_3[BLO],[1]!O_3[BLO],,-1)))
*
( G298 - _xlfn.XLOOKUP(G298,[1]!O_3[BLO],[1]!O_3[BLO],,-1))
+
_xlfn.XLOOKUP(G298,[1]!O_3[BLO],[1]!O_3[ILO],,-1)</f>
        <v>24</v>
      </c>
      <c r="N298">
        <f>MAX(DAILY_DATA[[#This Row],[AQI_PM2.5]:[AQI_O3]])</f>
        <v>56</v>
      </c>
      <c r="O298" t="str">
        <f>_xlfn.XLOOKUP(DAILY_DATA[[#This Row],[OVERALL_AQI]],[1]!CATEGORY[AQI_LO],[1]!CATEGORY[CATEGORY],,-1)</f>
        <v>Satisfactory</v>
      </c>
      <c r="P298" t="str" cm="1">
        <f t="array" ref="P298">INDEX(
{"PM2.5","PM10","NO2","SO2","CO","O3"},
MATCH(N298,H298:M298,0)
)</f>
        <v>PM10</v>
      </c>
    </row>
    <row r="299" spans="1:16" x14ac:dyDescent="0.25">
      <c r="A299" s="4">
        <v>45589</v>
      </c>
      <c r="B299">
        <f>ROUND(AVERAGEIFS([1]HOURLY_DATA!B299:B9082,[1]HOURLY_DATA!H299:H9082,Daily_AQI!A299),0)</f>
        <v>33</v>
      </c>
      <c r="C299">
        <f>ROUND(AVERAGEIFS([1]HOURLY_DATA!C299:C9082,[1]HOURLY_DATA!H299:H9082,Daily_AQI!A299),0)</f>
        <v>67</v>
      </c>
      <c r="D299">
        <f>ROUND(AVERAGEIFS([1]HOURLY_DATA!D299:D9082,[1]HOURLY_DATA!H299:H9082,Daily_AQI!A299),0)</f>
        <v>20</v>
      </c>
      <c r="E299">
        <f>ROUND(AVERAGEIFS([1]HOURLY_DATA!E299:E9082,[1]HOURLY_DATA!H299:H9082,Daily_AQI!A299),0)</f>
        <v>6</v>
      </c>
      <c r="F299">
        <f>ROUND(AVERAGEIFS([1]HOURLY_DATA!I299:I9082,[1]HOURLY_DATA!H299:H9082,Daily_AQI!A299),2)</f>
        <v>0.79</v>
      </c>
      <c r="G299">
        <f>ROUND(AVERAGEIFS([1]HOURLY_DATA!J299:J9082,[1]HOURLY_DATA!H299:H9082,Daily_AQI!A299),0)</f>
        <v>26</v>
      </c>
      <c r="H299">
        <f>ROUND(((_xlfn.XLOOKUP(B299,[1]!PM2.5[BLO],[1]!PM2.5[IHI],,-1) - _xlfn.XLOOKUP(B299,[1]!PM2.5[BLO],[1]!PM2.5[ILO],,-1))
/
(_xlfn.XLOOKUP(B299,[1]!PM2.5[BLO],[1]!PM2.5[BHI],,-1) - _xlfn.XLOOKUP(B299,[1]!PM2.5[BLO],[1]!PM2.5[BLO],,-1)))
*
(B299 - _xlfn.XLOOKUP(B299,[1]!PM2.5[BLO],[1]!PM2.5[BLO],,-1))
+
_xlfn.XLOOKUP(B299,[1]!PM2.5[BLO],[1]!PM2.5[ILO],,-1),2)</f>
        <v>54.38</v>
      </c>
      <c r="I299">
        <f>ROUND(((_xlfn.XLOOKUP(C299,[1]!PM_10[BLO],[1]!PM_10[IHI],,-1) - _xlfn.XLOOKUP(C299,[1]!PM_10[BLO],[1]!PM_10[ILO],,-1))
/
(_xlfn.XLOOKUP(C299,[1]!PM_10[BLO],[1]!PM_10[BHI],,-1) - _xlfn.XLOOKUP(C299,[1]!PM_10[BLO],[1]!PM_10[BLO],,-1)))
*
( C299 - _xlfn.XLOOKUP(C299,[1]!PM_10[BLO],[1]!PM_10[BLO],,-1))
+
_xlfn.XLOOKUP(C299,[1]!PM_10[BLO],[1]!PM_10[ILO],,-1),2)</f>
        <v>67</v>
      </c>
      <c r="J299">
        <f>ROUND((( _xlfn.XLOOKUP(D299,[1]!NO_2[BLO],[1]!NO_2[IHI],,-1) - _xlfn.XLOOKUP(D299,[1]!NO_2[BLO],[1]!NO_2[ILO],,-1))
/
( _xlfn.XLOOKUP(D299,[1]!NO_2[BLO],[1]!NO_2[BHI],,-1) - _xlfn.XLOOKUP(D299,[1]!NO_2[BLO],[1]!NO_2[BLO],,-1) ))
*
( D299 - _xlfn.XLOOKUP(D299,[1]!NO_2[BLO],[1]!NO_2[BLO],,-1))
+
_xlfn.XLOOKUP(D299,[1]!NO_2[BLO],[1]!NO_2[ILO],,-1),2)</f>
        <v>25</v>
      </c>
      <c r="K299">
        <f>ROUND(( ( _xlfn.XLOOKUP(E299,[1]!SO_2[BLO],[1]!SO_2[IHI],,-1)  - _xlfn.XLOOKUP(E299,[1]!SO_2[BLO],[1]!SO_2[ILO],,-1) )
/
( _xlfn.XLOOKUP(E299,[1]!SO_2[BLO],[1]!SO_2[BHI],,-1)- _xlfn.XLOOKUP(E299,[1]!SO_2[BLO],[1]!SO_2[BLO],,-1) ))
*
( E299 - _xlfn.XLOOKUP(E299,[1]!SO_2[BLO],[1]!SO_2[BLO],,-1) )
+
_xlfn.XLOOKUP(E299,[1]!SO_2[BLO],[1]!SO_2[ILO],,-1),2)</f>
        <v>7.5</v>
      </c>
      <c r="L299">
        <f>( ( _xlfn.XLOOKUP(F299,[1]!CO[BLO],[1]!CO[IHI],,-1)
- _xlfn.XLOOKUP(F299,[1]!CO[BLO],[1]!CO[ILO],,-1) )
/
( _xlfn.XLOOKUP(F299,[1]!CO[BLO],[1]!CO[BHI],,-1) - _xlfn.XLOOKUP(F299,[1]!CO[BLO],[1]!CO[BLO],,-1)))
*
( F299 - _xlfn.XLOOKUP(F299,[1]!CO[BLO],[1]!CO[BLO],,-1) )
+
_xlfn.XLOOKUP(F299,[1]!CO[BLO],[1]!CO[ILO],,-1)</f>
        <v>39.5</v>
      </c>
      <c r="M299">
        <f>(( _xlfn.XLOOKUP(G299,[1]!O_3[BLO],[1]!O_3[IHI],,-1) - _xlfn.XLOOKUP(G299,[1]!O_3[BLO],[1]!O_3[ILO],,-1))
/
( _xlfn.XLOOKUP(G299,[1]!O_3[BLO],[1]!O_3[BHI],,-1) - _xlfn.XLOOKUP(G299,[1]!O_3[BLO],[1]!O_3[BLO],,-1)))
*
( G299 - _xlfn.XLOOKUP(G299,[1]!O_3[BLO],[1]!O_3[BLO],,-1))
+
_xlfn.XLOOKUP(G299,[1]!O_3[BLO],[1]!O_3[ILO],,-1)</f>
        <v>26</v>
      </c>
      <c r="N299">
        <f>MAX(DAILY_DATA[[#This Row],[AQI_PM2.5]:[AQI_O3]])</f>
        <v>67</v>
      </c>
      <c r="O299" t="str">
        <f>_xlfn.XLOOKUP(DAILY_DATA[[#This Row],[OVERALL_AQI]],[1]!CATEGORY[AQI_LO],[1]!CATEGORY[CATEGORY],,-1)</f>
        <v>Satisfactory</v>
      </c>
      <c r="P299" t="str" cm="1">
        <f t="array" ref="P299">INDEX(
{"PM2.5","PM10","NO2","SO2","CO","O3"},
MATCH(N299,H299:M299,0)
)</f>
        <v>PM10</v>
      </c>
    </row>
    <row r="300" spans="1:16" x14ac:dyDescent="0.25">
      <c r="A300" s="4">
        <v>45590</v>
      </c>
      <c r="B300">
        <f>ROUND(AVERAGEIFS([1]HOURLY_DATA!B300:B9083,[1]HOURLY_DATA!H300:H9083,Daily_AQI!A300),0)</f>
        <v>52</v>
      </c>
      <c r="C300">
        <f>ROUND(AVERAGEIFS([1]HOURLY_DATA!C300:C9083,[1]HOURLY_DATA!H300:H9083,Daily_AQI!A300),0)</f>
        <v>109</v>
      </c>
      <c r="D300">
        <f>ROUND(AVERAGEIFS([1]HOURLY_DATA!D300:D9083,[1]HOURLY_DATA!H300:H9083,Daily_AQI!A300),0)</f>
        <v>20</v>
      </c>
      <c r="E300">
        <f>ROUND(AVERAGEIFS([1]HOURLY_DATA!E300:E9083,[1]HOURLY_DATA!H300:H9083,Daily_AQI!A300),0)</f>
        <v>7</v>
      </c>
      <c r="F300">
        <f>ROUND(AVERAGEIFS([1]HOURLY_DATA!I300:I9083,[1]HOURLY_DATA!H300:H9083,Daily_AQI!A300),2)</f>
        <v>0.85</v>
      </c>
      <c r="G300">
        <f>ROUND(AVERAGEIFS([1]HOURLY_DATA!J300:J9083,[1]HOURLY_DATA!H300:H9083,Daily_AQI!A300),0)</f>
        <v>25</v>
      </c>
      <c r="H300">
        <f>ROUND(((_xlfn.XLOOKUP(B300,[1]!PM2.5[BLO],[1]!PM2.5[IHI],,-1) - _xlfn.XLOOKUP(B300,[1]!PM2.5[BLO],[1]!PM2.5[ILO],,-1))
/
(_xlfn.XLOOKUP(B300,[1]!PM2.5[BLO],[1]!PM2.5[BHI],,-1) - _xlfn.XLOOKUP(B300,[1]!PM2.5[BLO],[1]!PM2.5[BLO],,-1)))
*
(B300 - _xlfn.XLOOKUP(B300,[1]!PM2.5[BLO],[1]!PM2.5[BLO],,-1))
+
_xlfn.XLOOKUP(B300,[1]!PM2.5[BLO],[1]!PM2.5[ILO],,-1),2)</f>
        <v>86.48</v>
      </c>
      <c r="I300">
        <f>ROUND(((_xlfn.XLOOKUP(C300,[1]!PM_10[BLO],[1]!PM_10[IHI],,-1) - _xlfn.XLOOKUP(C300,[1]!PM_10[BLO],[1]!PM_10[ILO],,-1))
/
(_xlfn.XLOOKUP(C300,[1]!PM_10[BLO],[1]!PM_10[BHI],,-1) - _xlfn.XLOOKUP(C300,[1]!PM_10[BLO],[1]!PM_10[BLO],,-1)))
*
( C300 - _xlfn.XLOOKUP(C300,[1]!PM_10[BLO],[1]!PM_10[BLO],,-1))
+
_xlfn.XLOOKUP(C300,[1]!PM_10[BLO],[1]!PM_10[ILO],,-1),2)</f>
        <v>106.32</v>
      </c>
      <c r="J300">
        <f>ROUND((( _xlfn.XLOOKUP(D300,[1]!NO_2[BLO],[1]!NO_2[IHI],,-1) - _xlfn.XLOOKUP(D300,[1]!NO_2[BLO],[1]!NO_2[ILO],,-1))
/
( _xlfn.XLOOKUP(D300,[1]!NO_2[BLO],[1]!NO_2[BHI],,-1) - _xlfn.XLOOKUP(D300,[1]!NO_2[BLO],[1]!NO_2[BLO],,-1) ))
*
( D300 - _xlfn.XLOOKUP(D300,[1]!NO_2[BLO],[1]!NO_2[BLO],,-1))
+
_xlfn.XLOOKUP(D300,[1]!NO_2[BLO],[1]!NO_2[ILO],,-1),2)</f>
        <v>25</v>
      </c>
      <c r="K300">
        <f>ROUND(( ( _xlfn.XLOOKUP(E300,[1]!SO_2[BLO],[1]!SO_2[IHI],,-1)  - _xlfn.XLOOKUP(E300,[1]!SO_2[BLO],[1]!SO_2[ILO],,-1) )
/
( _xlfn.XLOOKUP(E300,[1]!SO_2[BLO],[1]!SO_2[BHI],,-1)- _xlfn.XLOOKUP(E300,[1]!SO_2[BLO],[1]!SO_2[BLO],,-1) ))
*
( E300 - _xlfn.XLOOKUP(E300,[1]!SO_2[BLO],[1]!SO_2[BLO],,-1) )
+
_xlfn.XLOOKUP(E300,[1]!SO_2[BLO],[1]!SO_2[ILO],,-1),2)</f>
        <v>8.75</v>
      </c>
      <c r="L300">
        <f>( ( _xlfn.XLOOKUP(F300,[1]!CO[BLO],[1]!CO[IHI],,-1)
- _xlfn.XLOOKUP(F300,[1]!CO[BLO],[1]!CO[ILO],,-1) )
/
( _xlfn.XLOOKUP(F300,[1]!CO[BLO],[1]!CO[BHI],,-1) - _xlfn.XLOOKUP(F300,[1]!CO[BLO],[1]!CO[BLO],,-1)))
*
( F300 - _xlfn.XLOOKUP(F300,[1]!CO[BLO],[1]!CO[BLO],,-1) )
+
_xlfn.XLOOKUP(F300,[1]!CO[BLO],[1]!CO[ILO],,-1)</f>
        <v>42.5</v>
      </c>
      <c r="M300">
        <f>(( _xlfn.XLOOKUP(G300,[1]!O_3[BLO],[1]!O_3[IHI],,-1) - _xlfn.XLOOKUP(G300,[1]!O_3[BLO],[1]!O_3[ILO],,-1))
/
( _xlfn.XLOOKUP(G300,[1]!O_3[BLO],[1]!O_3[BHI],,-1) - _xlfn.XLOOKUP(G300,[1]!O_3[BLO],[1]!O_3[BLO],,-1)))
*
( G300 - _xlfn.XLOOKUP(G300,[1]!O_3[BLO],[1]!O_3[BLO],,-1))
+
_xlfn.XLOOKUP(G300,[1]!O_3[BLO],[1]!O_3[ILO],,-1)</f>
        <v>25</v>
      </c>
      <c r="N300">
        <f>MAX(DAILY_DATA[[#This Row],[AQI_PM2.5]:[AQI_O3]])</f>
        <v>106.32</v>
      </c>
      <c r="O300" t="str">
        <f>_xlfn.XLOOKUP(DAILY_DATA[[#This Row],[OVERALL_AQI]],[1]!CATEGORY[AQI_LO],[1]!CATEGORY[CATEGORY],,-1)</f>
        <v>Moderate</v>
      </c>
      <c r="P300" t="str" cm="1">
        <f t="array" ref="P300">INDEX(
{"PM2.5","PM10","NO2","SO2","CO","O3"},
MATCH(N300,H300:M300,0)
)</f>
        <v>PM10</v>
      </c>
    </row>
    <row r="301" spans="1:16" x14ac:dyDescent="0.25">
      <c r="A301" s="4">
        <v>45591</v>
      </c>
      <c r="B301">
        <f>ROUND(AVERAGEIFS([1]HOURLY_DATA!B301:B9084,[1]HOURLY_DATA!H301:H9084,Daily_AQI!A301),0)</f>
        <v>71</v>
      </c>
      <c r="C301">
        <f>ROUND(AVERAGEIFS([1]HOURLY_DATA!C301:C9084,[1]HOURLY_DATA!H301:H9084,Daily_AQI!A301),0)</f>
        <v>136</v>
      </c>
      <c r="D301">
        <f>ROUND(AVERAGEIFS([1]HOURLY_DATA!D301:D9084,[1]HOURLY_DATA!H301:H9084,Daily_AQI!A301),0)</f>
        <v>20</v>
      </c>
      <c r="E301">
        <f>ROUND(AVERAGEIFS([1]HOURLY_DATA!E301:E9084,[1]HOURLY_DATA!H301:H9084,Daily_AQI!A301),0)</f>
        <v>6</v>
      </c>
      <c r="F301">
        <f>ROUND(AVERAGEIFS([1]HOURLY_DATA!I301:I9084,[1]HOURLY_DATA!H301:H9084,Daily_AQI!A301),2)</f>
        <v>0.91</v>
      </c>
      <c r="G301">
        <f>ROUND(AVERAGEIFS([1]HOURLY_DATA!J301:J9084,[1]HOURLY_DATA!H301:H9084,Daily_AQI!A301),0)</f>
        <v>24</v>
      </c>
      <c r="H301">
        <f>ROUND(((_xlfn.XLOOKUP(B301,[1]!PM2.5[BLO],[1]!PM2.5[IHI],,-1) - _xlfn.XLOOKUP(B301,[1]!PM2.5[BLO],[1]!PM2.5[ILO],,-1))
/
(_xlfn.XLOOKUP(B301,[1]!PM2.5[BLO],[1]!PM2.5[BHI],,-1) - _xlfn.XLOOKUP(B301,[1]!PM2.5[BLO],[1]!PM2.5[BLO],,-1)))
*
(B301 - _xlfn.XLOOKUP(B301,[1]!PM2.5[BLO],[1]!PM2.5[BLO],,-1))
+
_xlfn.XLOOKUP(B301,[1]!PM2.5[BLO],[1]!PM2.5[ILO],,-1),2)</f>
        <v>135.13999999999999</v>
      </c>
      <c r="I301">
        <f>ROUND(((_xlfn.XLOOKUP(C301,[1]!PM_10[BLO],[1]!PM_10[IHI],,-1) - _xlfn.XLOOKUP(C301,[1]!PM_10[BLO],[1]!PM_10[ILO],,-1))
/
(_xlfn.XLOOKUP(C301,[1]!PM_10[BLO],[1]!PM_10[BHI],,-1) - _xlfn.XLOOKUP(C301,[1]!PM_10[BLO],[1]!PM_10[BLO],,-1)))
*
( C301 - _xlfn.XLOOKUP(C301,[1]!PM_10[BLO],[1]!PM_10[BLO],,-1))
+
_xlfn.XLOOKUP(C301,[1]!PM_10[BLO],[1]!PM_10[ILO],,-1),2)</f>
        <v>124.26</v>
      </c>
      <c r="J301">
        <f>ROUND((( _xlfn.XLOOKUP(D301,[1]!NO_2[BLO],[1]!NO_2[IHI],,-1) - _xlfn.XLOOKUP(D301,[1]!NO_2[BLO],[1]!NO_2[ILO],,-1))
/
( _xlfn.XLOOKUP(D301,[1]!NO_2[BLO],[1]!NO_2[BHI],,-1) - _xlfn.XLOOKUP(D301,[1]!NO_2[BLO],[1]!NO_2[BLO],,-1) ))
*
( D301 - _xlfn.XLOOKUP(D301,[1]!NO_2[BLO],[1]!NO_2[BLO],,-1))
+
_xlfn.XLOOKUP(D301,[1]!NO_2[BLO],[1]!NO_2[ILO],,-1),2)</f>
        <v>25</v>
      </c>
      <c r="K301">
        <f>ROUND(( ( _xlfn.XLOOKUP(E301,[1]!SO_2[BLO],[1]!SO_2[IHI],,-1)  - _xlfn.XLOOKUP(E301,[1]!SO_2[BLO],[1]!SO_2[ILO],,-1) )
/
( _xlfn.XLOOKUP(E301,[1]!SO_2[BLO],[1]!SO_2[BHI],,-1)- _xlfn.XLOOKUP(E301,[1]!SO_2[BLO],[1]!SO_2[BLO],,-1) ))
*
( E301 - _xlfn.XLOOKUP(E301,[1]!SO_2[BLO],[1]!SO_2[BLO],,-1) )
+
_xlfn.XLOOKUP(E301,[1]!SO_2[BLO],[1]!SO_2[ILO],,-1),2)</f>
        <v>7.5</v>
      </c>
      <c r="L301">
        <f>( ( _xlfn.XLOOKUP(F301,[1]!CO[BLO],[1]!CO[IHI],,-1)
- _xlfn.XLOOKUP(F301,[1]!CO[BLO],[1]!CO[ILO],,-1) )
/
( _xlfn.XLOOKUP(F301,[1]!CO[BLO],[1]!CO[BHI],,-1) - _xlfn.XLOOKUP(F301,[1]!CO[BLO],[1]!CO[BLO],,-1)))
*
( F301 - _xlfn.XLOOKUP(F301,[1]!CO[BLO],[1]!CO[BLO],,-1) )
+
_xlfn.XLOOKUP(F301,[1]!CO[BLO],[1]!CO[ILO],,-1)</f>
        <v>45.5</v>
      </c>
      <c r="M301">
        <f>(( _xlfn.XLOOKUP(G301,[1]!O_3[BLO],[1]!O_3[IHI],,-1) - _xlfn.XLOOKUP(G301,[1]!O_3[BLO],[1]!O_3[ILO],,-1))
/
( _xlfn.XLOOKUP(G301,[1]!O_3[BLO],[1]!O_3[BHI],,-1) - _xlfn.XLOOKUP(G301,[1]!O_3[BLO],[1]!O_3[BLO],,-1)))
*
( G301 - _xlfn.XLOOKUP(G301,[1]!O_3[BLO],[1]!O_3[BLO],,-1))
+
_xlfn.XLOOKUP(G301,[1]!O_3[BLO],[1]!O_3[ILO],,-1)</f>
        <v>24</v>
      </c>
      <c r="N301">
        <f>MAX(DAILY_DATA[[#This Row],[AQI_PM2.5]:[AQI_O3]])</f>
        <v>135.13999999999999</v>
      </c>
      <c r="O301" t="str">
        <f>_xlfn.XLOOKUP(DAILY_DATA[[#This Row],[OVERALL_AQI]],[1]!CATEGORY[AQI_LO],[1]!CATEGORY[CATEGORY],,-1)</f>
        <v>Moderate</v>
      </c>
      <c r="P301" t="str" cm="1">
        <f t="array" ref="P301">INDEX(
{"PM2.5","PM10","NO2","SO2","CO","O3"},
MATCH(N301,H301:M301,0)
)</f>
        <v>PM2.5</v>
      </c>
    </row>
    <row r="302" spans="1:16" x14ac:dyDescent="0.25">
      <c r="A302" s="4">
        <v>45592</v>
      </c>
      <c r="B302">
        <f>ROUND(AVERAGEIFS([1]HOURLY_DATA!B302:B9085,[1]HOURLY_DATA!H302:H9085,Daily_AQI!A302),0)</f>
        <v>66</v>
      </c>
      <c r="C302">
        <f>ROUND(AVERAGEIFS([1]HOURLY_DATA!C302:C9085,[1]HOURLY_DATA!H302:H9085,Daily_AQI!A302),0)</f>
        <v>131</v>
      </c>
      <c r="D302">
        <f>ROUND(AVERAGEIFS([1]HOURLY_DATA!D302:D9085,[1]HOURLY_DATA!H302:H9085,Daily_AQI!A302),0)</f>
        <v>20</v>
      </c>
      <c r="E302">
        <f>ROUND(AVERAGEIFS([1]HOURLY_DATA!E302:E9085,[1]HOURLY_DATA!H302:H9085,Daily_AQI!A302),0)</f>
        <v>7</v>
      </c>
      <c r="F302">
        <f>ROUND(AVERAGEIFS([1]HOURLY_DATA!I302:I9085,[1]HOURLY_DATA!H302:H9085,Daily_AQI!A302),2)</f>
        <v>0.92</v>
      </c>
      <c r="G302">
        <f>ROUND(AVERAGEIFS([1]HOURLY_DATA!J302:J9085,[1]HOURLY_DATA!H302:H9085,Daily_AQI!A302),0)</f>
        <v>23</v>
      </c>
      <c r="H302">
        <f>ROUND(((_xlfn.XLOOKUP(B302,[1]!PM2.5[BLO],[1]!PM2.5[IHI],,-1) - _xlfn.XLOOKUP(B302,[1]!PM2.5[BLO],[1]!PM2.5[ILO],,-1))
/
(_xlfn.XLOOKUP(B302,[1]!PM2.5[BLO],[1]!PM2.5[BHI],,-1) - _xlfn.XLOOKUP(B302,[1]!PM2.5[BLO],[1]!PM2.5[BLO],,-1)))
*
(B302 - _xlfn.XLOOKUP(B302,[1]!PM2.5[BLO],[1]!PM2.5[BLO],,-1))
+
_xlfn.XLOOKUP(B302,[1]!PM2.5[BLO],[1]!PM2.5[ILO],,-1),2)</f>
        <v>118.07</v>
      </c>
      <c r="I302">
        <f>ROUND(((_xlfn.XLOOKUP(C302,[1]!PM_10[BLO],[1]!PM_10[IHI],,-1) - _xlfn.XLOOKUP(C302,[1]!PM_10[BLO],[1]!PM_10[ILO],,-1))
/
(_xlfn.XLOOKUP(C302,[1]!PM_10[BLO],[1]!PM_10[BHI],,-1) - _xlfn.XLOOKUP(C302,[1]!PM_10[BLO],[1]!PM_10[BLO],,-1)))
*
( C302 - _xlfn.XLOOKUP(C302,[1]!PM_10[BLO],[1]!PM_10[BLO],,-1))
+
_xlfn.XLOOKUP(C302,[1]!PM_10[BLO],[1]!PM_10[ILO],,-1),2)</f>
        <v>120.93</v>
      </c>
      <c r="J302">
        <f>ROUND((( _xlfn.XLOOKUP(D302,[1]!NO_2[BLO],[1]!NO_2[IHI],,-1) - _xlfn.XLOOKUP(D302,[1]!NO_2[BLO],[1]!NO_2[ILO],,-1))
/
( _xlfn.XLOOKUP(D302,[1]!NO_2[BLO],[1]!NO_2[BHI],,-1) - _xlfn.XLOOKUP(D302,[1]!NO_2[BLO],[1]!NO_2[BLO],,-1) ))
*
( D302 - _xlfn.XLOOKUP(D302,[1]!NO_2[BLO],[1]!NO_2[BLO],,-1))
+
_xlfn.XLOOKUP(D302,[1]!NO_2[BLO],[1]!NO_2[ILO],,-1),2)</f>
        <v>25</v>
      </c>
      <c r="K302">
        <f>ROUND(( ( _xlfn.XLOOKUP(E302,[1]!SO_2[BLO],[1]!SO_2[IHI],,-1)  - _xlfn.XLOOKUP(E302,[1]!SO_2[BLO],[1]!SO_2[ILO],,-1) )
/
( _xlfn.XLOOKUP(E302,[1]!SO_2[BLO],[1]!SO_2[BHI],,-1)- _xlfn.XLOOKUP(E302,[1]!SO_2[BLO],[1]!SO_2[BLO],,-1) ))
*
( E302 - _xlfn.XLOOKUP(E302,[1]!SO_2[BLO],[1]!SO_2[BLO],,-1) )
+
_xlfn.XLOOKUP(E302,[1]!SO_2[BLO],[1]!SO_2[ILO],,-1),2)</f>
        <v>8.75</v>
      </c>
      <c r="L302">
        <f>( ( _xlfn.XLOOKUP(F302,[1]!CO[BLO],[1]!CO[IHI],,-1)
- _xlfn.XLOOKUP(F302,[1]!CO[BLO],[1]!CO[ILO],,-1) )
/
( _xlfn.XLOOKUP(F302,[1]!CO[BLO],[1]!CO[BHI],,-1) - _xlfn.XLOOKUP(F302,[1]!CO[BLO],[1]!CO[BLO],,-1)))
*
( F302 - _xlfn.XLOOKUP(F302,[1]!CO[BLO],[1]!CO[BLO],,-1) )
+
_xlfn.XLOOKUP(F302,[1]!CO[BLO],[1]!CO[ILO],,-1)</f>
        <v>46</v>
      </c>
      <c r="M302">
        <f>(( _xlfn.XLOOKUP(G302,[1]!O_3[BLO],[1]!O_3[IHI],,-1) - _xlfn.XLOOKUP(G302,[1]!O_3[BLO],[1]!O_3[ILO],,-1))
/
( _xlfn.XLOOKUP(G302,[1]!O_3[BLO],[1]!O_3[BHI],,-1) - _xlfn.XLOOKUP(G302,[1]!O_3[BLO],[1]!O_3[BLO],,-1)))
*
( G302 - _xlfn.XLOOKUP(G302,[1]!O_3[BLO],[1]!O_3[BLO],,-1))
+
_xlfn.XLOOKUP(G302,[1]!O_3[BLO],[1]!O_3[ILO],,-1)</f>
        <v>23</v>
      </c>
      <c r="N302">
        <f>MAX(DAILY_DATA[[#This Row],[AQI_PM2.5]:[AQI_O3]])</f>
        <v>120.93</v>
      </c>
      <c r="O302" t="str">
        <f>_xlfn.XLOOKUP(DAILY_DATA[[#This Row],[OVERALL_AQI]],[1]!CATEGORY[AQI_LO],[1]!CATEGORY[CATEGORY],,-1)</f>
        <v>Moderate</v>
      </c>
      <c r="P302" t="str" cm="1">
        <f t="array" ref="P302">INDEX(
{"PM2.5","PM10","NO2","SO2","CO","O3"},
MATCH(N302,H302:M302,0)
)</f>
        <v>PM10</v>
      </c>
    </row>
    <row r="303" spans="1:16" x14ac:dyDescent="0.25">
      <c r="A303" s="4">
        <v>45593</v>
      </c>
      <c r="B303">
        <f>ROUND(AVERAGEIFS([1]HOURLY_DATA!B303:B9086,[1]HOURLY_DATA!H303:H9086,Daily_AQI!A303),0)</f>
        <v>58</v>
      </c>
      <c r="C303">
        <f>ROUND(AVERAGEIFS([1]HOURLY_DATA!C303:C9086,[1]HOURLY_DATA!H303:H9086,Daily_AQI!A303),0)</f>
        <v>119</v>
      </c>
      <c r="D303">
        <f>ROUND(AVERAGEIFS([1]HOURLY_DATA!D303:D9086,[1]HOURLY_DATA!H303:H9086,Daily_AQI!A303),0)</f>
        <v>18</v>
      </c>
      <c r="E303">
        <f>ROUND(AVERAGEIFS([1]HOURLY_DATA!E303:E9086,[1]HOURLY_DATA!H303:H9086,Daily_AQI!A303),0)</f>
        <v>6</v>
      </c>
      <c r="F303">
        <f>ROUND(AVERAGEIFS([1]HOURLY_DATA!I303:I9086,[1]HOURLY_DATA!H303:H9086,Daily_AQI!A303),2)</f>
        <v>0.95</v>
      </c>
      <c r="G303">
        <f>ROUND(AVERAGEIFS([1]HOURLY_DATA!J303:J9086,[1]HOURLY_DATA!H303:H9086,Daily_AQI!A303),0)</f>
        <v>25</v>
      </c>
      <c r="H303">
        <f>ROUND(((_xlfn.XLOOKUP(B303,[1]!PM2.5[BLO],[1]!PM2.5[IHI],,-1) - _xlfn.XLOOKUP(B303,[1]!PM2.5[BLO],[1]!PM2.5[ILO],,-1))
/
(_xlfn.XLOOKUP(B303,[1]!PM2.5[BLO],[1]!PM2.5[BHI],,-1) - _xlfn.XLOOKUP(B303,[1]!PM2.5[BLO],[1]!PM2.5[BLO],,-1)))
*
(B303 - _xlfn.XLOOKUP(B303,[1]!PM2.5[BLO],[1]!PM2.5[BLO],,-1))
+
_xlfn.XLOOKUP(B303,[1]!PM2.5[BLO],[1]!PM2.5[ILO],,-1),2)</f>
        <v>96.62</v>
      </c>
      <c r="I303">
        <f>ROUND(((_xlfn.XLOOKUP(C303,[1]!PM_10[BLO],[1]!PM_10[IHI],,-1) - _xlfn.XLOOKUP(C303,[1]!PM_10[BLO],[1]!PM_10[ILO],,-1))
/
(_xlfn.XLOOKUP(C303,[1]!PM_10[BLO],[1]!PM_10[BHI],,-1) - _xlfn.XLOOKUP(C303,[1]!PM_10[BLO],[1]!PM_10[BLO],,-1)))
*
( C303 - _xlfn.XLOOKUP(C303,[1]!PM_10[BLO],[1]!PM_10[BLO],,-1))
+
_xlfn.XLOOKUP(C303,[1]!PM_10[BLO],[1]!PM_10[ILO],,-1),2)</f>
        <v>112.96</v>
      </c>
      <c r="J303">
        <f>ROUND((( _xlfn.XLOOKUP(D303,[1]!NO_2[BLO],[1]!NO_2[IHI],,-1) - _xlfn.XLOOKUP(D303,[1]!NO_2[BLO],[1]!NO_2[ILO],,-1))
/
( _xlfn.XLOOKUP(D303,[1]!NO_2[BLO],[1]!NO_2[BHI],,-1) - _xlfn.XLOOKUP(D303,[1]!NO_2[BLO],[1]!NO_2[BLO],,-1) ))
*
( D303 - _xlfn.XLOOKUP(D303,[1]!NO_2[BLO],[1]!NO_2[BLO],,-1))
+
_xlfn.XLOOKUP(D303,[1]!NO_2[BLO],[1]!NO_2[ILO],,-1),2)</f>
        <v>22.5</v>
      </c>
      <c r="K303">
        <f>ROUND(( ( _xlfn.XLOOKUP(E303,[1]!SO_2[BLO],[1]!SO_2[IHI],,-1)  - _xlfn.XLOOKUP(E303,[1]!SO_2[BLO],[1]!SO_2[ILO],,-1) )
/
( _xlfn.XLOOKUP(E303,[1]!SO_2[BLO],[1]!SO_2[BHI],,-1)- _xlfn.XLOOKUP(E303,[1]!SO_2[BLO],[1]!SO_2[BLO],,-1) ))
*
( E303 - _xlfn.XLOOKUP(E303,[1]!SO_2[BLO],[1]!SO_2[BLO],,-1) )
+
_xlfn.XLOOKUP(E303,[1]!SO_2[BLO],[1]!SO_2[ILO],,-1),2)</f>
        <v>7.5</v>
      </c>
      <c r="L303">
        <f>( ( _xlfn.XLOOKUP(F303,[1]!CO[BLO],[1]!CO[IHI],,-1)
- _xlfn.XLOOKUP(F303,[1]!CO[BLO],[1]!CO[ILO],,-1) )
/
( _xlfn.XLOOKUP(F303,[1]!CO[BLO],[1]!CO[BHI],,-1) - _xlfn.XLOOKUP(F303,[1]!CO[BLO],[1]!CO[BLO],,-1)))
*
( F303 - _xlfn.XLOOKUP(F303,[1]!CO[BLO],[1]!CO[BLO],,-1) )
+
_xlfn.XLOOKUP(F303,[1]!CO[BLO],[1]!CO[ILO],,-1)</f>
        <v>47.5</v>
      </c>
      <c r="M303">
        <f>(( _xlfn.XLOOKUP(G303,[1]!O_3[BLO],[1]!O_3[IHI],,-1) - _xlfn.XLOOKUP(G303,[1]!O_3[BLO],[1]!O_3[ILO],,-1))
/
( _xlfn.XLOOKUP(G303,[1]!O_3[BLO],[1]!O_3[BHI],,-1) - _xlfn.XLOOKUP(G303,[1]!O_3[BLO],[1]!O_3[BLO],,-1)))
*
( G303 - _xlfn.XLOOKUP(G303,[1]!O_3[BLO],[1]!O_3[BLO],,-1))
+
_xlfn.XLOOKUP(G303,[1]!O_3[BLO],[1]!O_3[ILO],,-1)</f>
        <v>25</v>
      </c>
      <c r="N303">
        <f>MAX(DAILY_DATA[[#This Row],[AQI_PM2.5]:[AQI_O3]])</f>
        <v>112.96</v>
      </c>
      <c r="O303" t="str">
        <f>_xlfn.XLOOKUP(DAILY_DATA[[#This Row],[OVERALL_AQI]],[1]!CATEGORY[AQI_LO],[1]!CATEGORY[CATEGORY],,-1)</f>
        <v>Moderate</v>
      </c>
      <c r="P303" t="str" cm="1">
        <f t="array" ref="P303">INDEX(
{"PM2.5","PM10","NO2","SO2","CO","O3"},
MATCH(N303,H303:M303,0)
)</f>
        <v>PM10</v>
      </c>
    </row>
    <row r="304" spans="1:16" x14ac:dyDescent="0.25">
      <c r="A304" s="4">
        <v>45594</v>
      </c>
      <c r="B304">
        <f>ROUND(AVERAGEIFS([1]HOURLY_DATA!B304:B9087,[1]HOURLY_DATA!H304:H9087,Daily_AQI!A304),0)</f>
        <v>52</v>
      </c>
      <c r="C304">
        <f>ROUND(AVERAGEIFS([1]HOURLY_DATA!C304:C9087,[1]HOURLY_DATA!H304:H9087,Daily_AQI!A304),0)</f>
        <v>111</v>
      </c>
      <c r="D304">
        <f>ROUND(AVERAGEIFS([1]HOURLY_DATA!D304:D9087,[1]HOURLY_DATA!H304:H9087,Daily_AQI!A304),0)</f>
        <v>18</v>
      </c>
      <c r="E304">
        <f>ROUND(AVERAGEIFS([1]HOURLY_DATA!E304:E9087,[1]HOURLY_DATA!H304:H9087,Daily_AQI!A304),0)</f>
        <v>7</v>
      </c>
      <c r="F304">
        <f>ROUND(AVERAGEIFS([1]HOURLY_DATA!I304:I9087,[1]HOURLY_DATA!H304:H9087,Daily_AQI!A304),2)</f>
        <v>0.77</v>
      </c>
      <c r="G304">
        <f>ROUND(AVERAGEIFS([1]HOURLY_DATA!J304:J9087,[1]HOURLY_DATA!H304:H9087,Daily_AQI!A304),0)</f>
        <v>25</v>
      </c>
      <c r="H304">
        <f>ROUND(((_xlfn.XLOOKUP(B304,[1]!PM2.5[BLO],[1]!PM2.5[IHI],,-1) - _xlfn.XLOOKUP(B304,[1]!PM2.5[BLO],[1]!PM2.5[ILO],,-1))
/
(_xlfn.XLOOKUP(B304,[1]!PM2.5[BLO],[1]!PM2.5[BHI],,-1) - _xlfn.XLOOKUP(B304,[1]!PM2.5[BLO],[1]!PM2.5[BLO],,-1)))
*
(B304 - _xlfn.XLOOKUP(B304,[1]!PM2.5[BLO],[1]!PM2.5[BLO],,-1))
+
_xlfn.XLOOKUP(B304,[1]!PM2.5[BLO],[1]!PM2.5[ILO],,-1),2)</f>
        <v>86.48</v>
      </c>
      <c r="I304">
        <f>ROUND(((_xlfn.XLOOKUP(C304,[1]!PM_10[BLO],[1]!PM_10[IHI],,-1) - _xlfn.XLOOKUP(C304,[1]!PM_10[BLO],[1]!PM_10[ILO],,-1))
/
(_xlfn.XLOOKUP(C304,[1]!PM_10[BLO],[1]!PM_10[BHI],,-1) - _xlfn.XLOOKUP(C304,[1]!PM_10[BLO],[1]!PM_10[BLO],,-1)))
*
( C304 - _xlfn.XLOOKUP(C304,[1]!PM_10[BLO],[1]!PM_10[BLO],,-1))
+
_xlfn.XLOOKUP(C304,[1]!PM_10[BLO],[1]!PM_10[ILO],,-1),2)</f>
        <v>107.64</v>
      </c>
      <c r="J304">
        <f>ROUND((( _xlfn.XLOOKUP(D304,[1]!NO_2[BLO],[1]!NO_2[IHI],,-1) - _xlfn.XLOOKUP(D304,[1]!NO_2[BLO],[1]!NO_2[ILO],,-1))
/
( _xlfn.XLOOKUP(D304,[1]!NO_2[BLO],[1]!NO_2[BHI],,-1) - _xlfn.XLOOKUP(D304,[1]!NO_2[BLO],[1]!NO_2[BLO],,-1) ))
*
( D304 - _xlfn.XLOOKUP(D304,[1]!NO_2[BLO],[1]!NO_2[BLO],,-1))
+
_xlfn.XLOOKUP(D304,[1]!NO_2[BLO],[1]!NO_2[ILO],,-1),2)</f>
        <v>22.5</v>
      </c>
      <c r="K304">
        <f>ROUND(( ( _xlfn.XLOOKUP(E304,[1]!SO_2[BLO],[1]!SO_2[IHI],,-1)  - _xlfn.XLOOKUP(E304,[1]!SO_2[BLO],[1]!SO_2[ILO],,-1) )
/
( _xlfn.XLOOKUP(E304,[1]!SO_2[BLO],[1]!SO_2[BHI],,-1)- _xlfn.XLOOKUP(E304,[1]!SO_2[BLO],[1]!SO_2[BLO],,-1) ))
*
( E304 - _xlfn.XLOOKUP(E304,[1]!SO_2[BLO],[1]!SO_2[BLO],,-1) )
+
_xlfn.XLOOKUP(E304,[1]!SO_2[BLO],[1]!SO_2[ILO],,-1),2)</f>
        <v>8.75</v>
      </c>
      <c r="L304">
        <f>( ( _xlfn.XLOOKUP(F304,[1]!CO[BLO],[1]!CO[IHI],,-1)
- _xlfn.XLOOKUP(F304,[1]!CO[BLO],[1]!CO[ILO],,-1) )
/
( _xlfn.XLOOKUP(F304,[1]!CO[BLO],[1]!CO[BHI],,-1) - _xlfn.XLOOKUP(F304,[1]!CO[BLO],[1]!CO[BLO],,-1)))
*
( F304 - _xlfn.XLOOKUP(F304,[1]!CO[BLO],[1]!CO[BLO],,-1) )
+
_xlfn.XLOOKUP(F304,[1]!CO[BLO],[1]!CO[ILO],,-1)</f>
        <v>38.5</v>
      </c>
      <c r="M304">
        <f>(( _xlfn.XLOOKUP(G304,[1]!O_3[BLO],[1]!O_3[IHI],,-1) - _xlfn.XLOOKUP(G304,[1]!O_3[BLO],[1]!O_3[ILO],,-1))
/
( _xlfn.XLOOKUP(G304,[1]!O_3[BLO],[1]!O_3[BHI],,-1) - _xlfn.XLOOKUP(G304,[1]!O_3[BLO],[1]!O_3[BLO],,-1)))
*
( G304 - _xlfn.XLOOKUP(G304,[1]!O_3[BLO],[1]!O_3[BLO],,-1))
+
_xlfn.XLOOKUP(G304,[1]!O_3[BLO],[1]!O_3[ILO],,-1)</f>
        <v>25</v>
      </c>
      <c r="N304">
        <f>MAX(DAILY_DATA[[#This Row],[AQI_PM2.5]:[AQI_O3]])</f>
        <v>107.64</v>
      </c>
      <c r="O304" t="str">
        <f>_xlfn.XLOOKUP(DAILY_DATA[[#This Row],[OVERALL_AQI]],[1]!CATEGORY[AQI_LO],[1]!CATEGORY[CATEGORY],,-1)</f>
        <v>Moderate</v>
      </c>
      <c r="P304" t="str" cm="1">
        <f t="array" ref="P304">INDEX(
{"PM2.5","PM10","NO2","SO2","CO","O3"},
MATCH(N304,H304:M304,0)
)</f>
        <v>PM10</v>
      </c>
    </row>
    <row r="305" spans="1:16" x14ac:dyDescent="0.25">
      <c r="A305" s="4">
        <v>45595</v>
      </c>
      <c r="B305">
        <f>ROUND(AVERAGEIFS([1]HOURLY_DATA!B305:B9088,[1]HOURLY_DATA!H305:H9088,Daily_AQI!A305),0)</f>
        <v>58</v>
      </c>
      <c r="C305">
        <f>ROUND(AVERAGEIFS([1]HOURLY_DATA!C305:C9088,[1]HOURLY_DATA!H305:H9088,Daily_AQI!A305),0)</f>
        <v>121</v>
      </c>
      <c r="D305">
        <f>ROUND(AVERAGEIFS([1]HOURLY_DATA!D305:D9088,[1]HOURLY_DATA!H305:H9088,Daily_AQI!A305),0)</f>
        <v>18</v>
      </c>
      <c r="E305">
        <f>ROUND(AVERAGEIFS([1]HOURLY_DATA!E305:E9088,[1]HOURLY_DATA!H305:H9088,Daily_AQI!A305),0)</f>
        <v>8</v>
      </c>
      <c r="F305">
        <f>ROUND(AVERAGEIFS([1]HOURLY_DATA!I305:I9088,[1]HOURLY_DATA!H305:H9088,Daily_AQI!A305),2)</f>
        <v>0.94</v>
      </c>
      <c r="G305">
        <f>ROUND(AVERAGEIFS([1]HOURLY_DATA!J305:J9088,[1]HOURLY_DATA!H305:H9088,Daily_AQI!A305),0)</f>
        <v>23</v>
      </c>
      <c r="H305">
        <f>ROUND(((_xlfn.XLOOKUP(B305,[1]!PM2.5[BLO],[1]!PM2.5[IHI],,-1) - _xlfn.XLOOKUP(B305,[1]!PM2.5[BLO],[1]!PM2.5[ILO],,-1))
/
(_xlfn.XLOOKUP(B305,[1]!PM2.5[BLO],[1]!PM2.5[BHI],,-1) - _xlfn.XLOOKUP(B305,[1]!PM2.5[BLO],[1]!PM2.5[BLO],,-1)))
*
(B305 - _xlfn.XLOOKUP(B305,[1]!PM2.5[BLO],[1]!PM2.5[BLO],,-1))
+
_xlfn.XLOOKUP(B305,[1]!PM2.5[BLO],[1]!PM2.5[ILO],,-1),2)</f>
        <v>96.62</v>
      </c>
      <c r="I305">
        <f>ROUND(((_xlfn.XLOOKUP(C305,[1]!PM_10[BLO],[1]!PM_10[IHI],,-1) - _xlfn.XLOOKUP(C305,[1]!PM_10[BLO],[1]!PM_10[ILO],,-1))
/
(_xlfn.XLOOKUP(C305,[1]!PM_10[BLO],[1]!PM_10[BHI],,-1) - _xlfn.XLOOKUP(C305,[1]!PM_10[BLO],[1]!PM_10[BLO],,-1)))
*
( C305 - _xlfn.XLOOKUP(C305,[1]!PM_10[BLO],[1]!PM_10[BLO],,-1))
+
_xlfn.XLOOKUP(C305,[1]!PM_10[BLO],[1]!PM_10[ILO],,-1),2)</f>
        <v>114.29</v>
      </c>
      <c r="J305">
        <f>ROUND((( _xlfn.XLOOKUP(D305,[1]!NO_2[BLO],[1]!NO_2[IHI],,-1) - _xlfn.XLOOKUP(D305,[1]!NO_2[BLO],[1]!NO_2[ILO],,-1))
/
( _xlfn.XLOOKUP(D305,[1]!NO_2[BLO],[1]!NO_2[BHI],,-1) - _xlfn.XLOOKUP(D305,[1]!NO_2[BLO],[1]!NO_2[BLO],,-1) ))
*
( D305 - _xlfn.XLOOKUP(D305,[1]!NO_2[BLO],[1]!NO_2[BLO],,-1))
+
_xlfn.XLOOKUP(D305,[1]!NO_2[BLO],[1]!NO_2[ILO],,-1),2)</f>
        <v>22.5</v>
      </c>
      <c r="K305">
        <f>ROUND(( ( _xlfn.XLOOKUP(E305,[1]!SO_2[BLO],[1]!SO_2[IHI],,-1)  - _xlfn.XLOOKUP(E305,[1]!SO_2[BLO],[1]!SO_2[ILO],,-1) )
/
( _xlfn.XLOOKUP(E305,[1]!SO_2[BLO],[1]!SO_2[BHI],,-1)- _xlfn.XLOOKUP(E305,[1]!SO_2[BLO],[1]!SO_2[BLO],,-1) ))
*
( E305 - _xlfn.XLOOKUP(E305,[1]!SO_2[BLO],[1]!SO_2[BLO],,-1) )
+
_xlfn.XLOOKUP(E305,[1]!SO_2[BLO],[1]!SO_2[ILO],,-1),2)</f>
        <v>10</v>
      </c>
      <c r="L305">
        <f>( ( _xlfn.XLOOKUP(F305,[1]!CO[BLO],[1]!CO[IHI],,-1)
- _xlfn.XLOOKUP(F305,[1]!CO[BLO],[1]!CO[ILO],,-1) )
/
( _xlfn.XLOOKUP(F305,[1]!CO[BLO],[1]!CO[BHI],,-1) - _xlfn.XLOOKUP(F305,[1]!CO[BLO],[1]!CO[BLO],,-1)))
*
( F305 - _xlfn.XLOOKUP(F305,[1]!CO[BLO],[1]!CO[BLO],,-1) )
+
_xlfn.XLOOKUP(F305,[1]!CO[BLO],[1]!CO[ILO],,-1)</f>
        <v>47</v>
      </c>
      <c r="M305">
        <f>(( _xlfn.XLOOKUP(G305,[1]!O_3[BLO],[1]!O_3[IHI],,-1) - _xlfn.XLOOKUP(G305,[1]!O_3[BLO],[1]!O_3[ILO],,-1))
/
( _xlfn.XLOOKUP(G305,[1]!O_3[BLO],[1]!O_3[BHI],,-1) - _xlfn.XLOOKUP(G305,[1]!O_3[BLO],[1]!O_3[BLO],,-1)))
*
( G305 - _xlfn.XLOOKUP(G305,[1]!O_3[BLO],[1]!O_3[BLO],,-1))
+
_xlfn.XLOOKUP(G305,[1]!O_3[BLO],[1]!O_3[ILO],,-1)</f>
        <v>23</v>
      </c>
      <c r="N305">
        <f>MAX(DAILY_DATA[[#This Row],[AQI_PM2.5]:[AQI_O3]])</f>
        <v>114.29</v>
      </c>
      <c r="O305" t="str">
        <f>_xlfn.XLOOKUP(DAILY_DATA[[#This Row],[OVERALL_AQI]],[1]!CATEGORY[AQI_LO],[1]!CATEGORY[CATEGORY],,-1)</f>
        <v>Moderate</v>
      </c>
      <c r="P305" t="str" cm="1">
        <f t="array" ref="P305">INDEX(
{"PM2.5","PM10","NO2","SO2","CO","O3"},
MATCH(N305,H305:M305,0)
)</f>
        <v>PM10</v>
      </c>
    </row>
    <row r="306" spans="1:16" x14ac:dyDescent="0.25">
      <c r="A306" s="4">
        <v>45596</v>
      </c>
      <c r="B306">
        <f>ROUND(AVERAGEIFS([1]HOURLY_DATA!B306:B9089,[1]HOURLY_DATA!H306:H9089,Daily_AQI!A306),0)</f>
        <v>68</v>
      </c>
      <c r="C306">
        <f>ROUND(AVERAGEIFS([1]HOURLY_DATA!C306:C9089,[1]HOURLY_DATA!H306:H9089,Daily_AQI!A306),0)</f>
        <v>131</v>
      </c>
      <c r="D306">
        <f>ROUND(AVERAGEIFS([1]HOURLY_DATA!D306:D9089,[1]HOURLY_DATA!H306:H9089,Daily_AQI!A306),0)</f>
        <v>19</v>
      </c>
      <c r="E306">
        <f>ROUND(AVERAGEIFS([1]HOURLY_DATA!E306:E9089,[1]HOURLY_DATA!H306:H9089,Daily_AQI!A306),0)</f>
        <v>9</v>
      </c>
      <c r="F306">
        <f>ROUND(AVERAGEIFS([1]HOURLY_DATA!I306:I9089,[1]HOURLY_DATA!H306:H9089,Daily_AQI!A306),2)</f>
        <v>0.86</v>
      </c>
      <c r="G306">
        <f>ROUND(AVERAGEIFS([1]HOURLY_DATA!J306:J9089,[1]HOURLY_DATA!H306:H9089,Daily_AQI!A306),0)</f>
        <v>25</v>
      </c>
      <c r="H306">
        <f>ROUND(((_xlfn.XLOOKUP(B306,[1]!PM2.5[BLO],[1]!PM2.5[IHI],,-1) - _xlfn.XLOOKUP(B306,[1]!PM2.5[BLO],[1]!PM2.5[ILO],,-1))
/
(_xlfn.XLOOKUP(B306,[1]!PM2.5[BLO],[1]!PM2.5[BHI],,-1) - _xlfn.XLOOKUP(B306,[1]!PM2.5[BLO],[1]!PM2.5[BLO],,-1)))
*
(B306 - _xlfn.XLOOKUP(B306,[1]!PM2.5[BLO],[1]!PM2.5[BLO],,-1))
+
_xlfn.XLOOKUP(B306,[1]!PM2.5[BLO],[1]!PM2.5[ILO],,-1),2)</f>
        <v>124.9</v>
      </c>
      <c r="I306">
        <f>ROUND(((_xlfn.XLOOKUP(C306,[1]!PM_10[BLO],[1]!PM_10[IHI],,-1) - _xlfn.XLOOKUP(C306,[1]!PM_10[BLO],[1]!PM_10[ILO],,-1))
/
(_xlfn.XLOOKUP(C306,[1]!PM_10[BLO],[1]!PM_10[BHI],,-1) - _xlfn.XLOOKUP(C306,[1]!PM_10[BLO],[1]!PM_10[BLO],,-1)))
*
( C306 - _xlfn.XLOOKUP(C306,[1]!PM_10[BLO],[1]!PM_10[BLO],,-1))
+
_xlfn.XLOOKUP(C306,[1]!PM_10[BLO],[1]!PM_10[ILO],,-1),2)</f>
        <v>120.93</v>
      </c>
      <c r="J306">
        <f>ROUND((( _xlfn.XLOOKUP(D306,[1]!NO_2[BLO],[1]!NO_2[IHI],,-1) - _xlfn.XLOOKUP(D306,[1]!NO_2[BLO],[1]!NO_2[ILO],,-1))
/
( _xlfn.XLOOKUP(D306,[1]!NO_2[BLO],[1]!NO_2[BHI],,-1) - _xlfn.XLOOKUP(D306,[1]!NO_2[BLO],[1]!NO_2[BLO],,-1) ))
*
( D306 - _xlfn.XLOOKUP(D306,[1]!NO_2[BLO],[1]!NO_2[BLO],,-1))
+
_xlfn.XLOOKUP(D306,[1]!NO_2[BLO],[1]!NO_2[ILO],,-1),2)</f>
        <v>23.75</v>
      </c>
      <c r="K306">
        <f>ROUND(( ( _xlfn.XLOOKUP(E306,[1]!SO_2[BLO],[1]!SO_2[IHI],,-1)  - _xlfn.XLOOKUP(E306,[1]!SO_2[BLO],[1]!SO_2[ILO],,-1) )
/
( _xlfn.XLOOKUP(E306,[1]!SO_2[BLO],[1]!SO_2[BHI],,-1)- _xlfn.XLOOKUP(E306,[1]!SO_2[BLO],[1]!SO_2[BLO],,-1) ))
*
( E306 - _xlfn.XLOOKUP(E306,[1]!SO_2[BLO],[1]!SO_2[BLO],,-1) )
+
_xlfn.XLOOKUP(E306,[1]!SO_2[BLO],[1]!SO_2[ILO],,-1),2)</f>
        <v>11.25</v>
      </c>
      <c r="L306">
        <f>( ( _xlfn.XLOOKUP(F306,[1]!CO[BLO],[1]!CO[IHI],,-1)
- _xlfn.XLOOKUP(F306,[1]!CO[BLO],[1]!CO[ILO],,-1) )
/
( _xlfn.XLOOKUP(F306,[1]!CO[BLO],[1]!CO[BHI],,-1) - _xlfn.XLOOKUP(F306,[1]!CO[BLO],[1]!CO[BLO],,-1)))
*
( F306 - _xlfn.XLOOKUP(F306,[1]!CO[BLO],[1]!CO[BLO],,-1) )
+
_xlfn.XLOOKUP(F306,[1]!CO[BLO],[1]!CO[ILO],,-1)</f>
        <v>43</v>
      </c>
      <c r="M306">
        <f>(( _xlfn.XLOOKUP(G306,[1]!O_3[BLO],[1]!O_3[IHI],,-1) - _xlfn.XLOOKUP(G306,[1]!O_3[BLO],[1]!O_3[ILO],,-1))
/
( _xlfn.XLOOKUP(G306,[1]!O_3[BLO],[1]!O_3[BHI],,-1) - _xlfn.XLOOKUP(G306,[1]!O_3[BLO],[1]!O_3[BLO],,-1)))
*
( G306 - _xlfn.XLOOKUP(G306,[1]!O_3[BLO],[1]!O_3[BLO],,-1))
+
_xlfn.XLOOKUP(G306,[1]!O_3[BLO],[1]!O_3[ILO],,-1)</f>
        <v>25</v>
      </c>
      <c r="N306">
        <f>MAX(DAILY_DATA[[#This Row],[AQI_PM2.5]:[AQI_O3]])</f>
        <v>124.9</v>
      </c>
      <c r="O306" t="str">
        <f>_xlfn.XLOOKUP(DAILY_DATA[[#This Row],[OVERALL_AQI]],[1]!CATEGORY[AQI_LO],[1]!CATEGORY[CATEGORY],,-1)</f>
        <v>Moderate</v>
      </c>
      <c r="P306" t="str" cm="1">
        <f t="array" ref="P306">INDEX(
{"PM2.5","PM10","NO2","SO2","CO","O3"},
MATCH(N306,H306:M306,0)
)</f>
        <v>PM2.5</v>
      </c>
    </row>
    <row r="307" spans="1:16" x14ac:dyDescent="0.25">
      <c r="A307" s="4">
        <v>45597</v>
      </c>
      <c r="B307">
        <f>ROUND(AVERAGEIFS([1]HOURLY_DATA!B307:B9090,[1]HOURLY_DATA!H307:H9090,Daily_AQI!A307),0)</f>
        <v>67</v>
      </c>
      <c r="C307">
        <f>ROUND(AVERAGEIFS([1]HOURLY_DATA!C307:C9090,[1]HOURLY_DATA!H307:H9090,Daily_AQI!A307),0)</f>
        <v>118</v>
      </c>
      <c r="D307">
        <f>ROUND(AVERAGEIFS([1]HOURLY_DATA!D307:D9090,[1]HOURLY_DATA!H307:H9090,Daily_AQI!A307),0)</f>
        <v>22</v>
      </c>
      <c r="E307">
        <f>ROUND(AVERAGEIFS([1]HOURLY_DATA!E307:E9090,[1]HOURLY_DATA!H307:H9090,Daily_AQI!A307),0)</f>
        <v>11</v>
      </c>
      <c r="F307">
        <f>ROUND(AVERAGEIFS([1]HOURLY_DATA!I307:I9090,[1]HOURLY_DATA!H307:H9090,Daily_AQI!A307),2)</f>
        <v>1.27</v>
      </c>
      <c r="G307">
        <f>ROUND(AVERAGEIFS([1]HOURLY_DATA!J307:J9090,[1]HOURLY_DATA!H307:H9090,Daily_AQI!A307),0)</f>
        <v>23</v>
      </c>
      <c r="H307">
        <f>ROUND(((_xlfn.XLOOKUP(B307,[1]!PM2.5[BLO],[1]!PM2.5[IHI],,-1) - _xlfn.XLOOKUP(B307,[1]!PM2.5[BLO],[1]!PM2.5[ILO],,-1))
/
(_xlfn.XLOOKUP(B307,[1]!PM2.5[BLO],[1]!PM2.5[BHI],,-1) - _xlfn.XLOOKUP(B307,[1]!PM2.5[BLO],[1]!PM2.5[BLO],,-1)))
*
(B307 - _xlfn.XLOOKUP(B307,[1]!PM2.5[BLO],[1]!PM2.5[BLO],,-1))
+
_xlfn.XLOOKUP(B307,[1]!PM2.5[BLO],[1]!PM2.5[ILO],,-1),2)</f>
        <v>121.48</v>
      </c>
      <c r="I307">
        <f>ROUND(((_xlfn.XLOOKUP(C307,[1]!PM_10[BLO],[1]!PM_10[IHI],,-1) - _xlfn.XLOOKUP(C307,[1]!PM_10[BLO],[1]!PM_10[ILO],,-1))
/
(_xlfn.XLOOKUP(C307,[1]!PM_10[BLO],[1]!PM_10[BHI],,-1) - _xlfn.XLOOKUP(C307,[1]!PM_10[BLO],[1]!PM_10[BLO],,-1)))
*
( C307 - _xlfn.XLOOKUP(C307,[1]!PM_10[BLO],[1]!PM_10[BLO],,-1))
+
_xlfn.XLOOKUP(C307,[1]!PM_10[BLO],[1]!PM_10[ILO],,-1),2)</f>
        <v>112.3</v>
      </c>
      <c r="J307">
        <f>ROUND((( _xlfn.XLOOKUP(D307,[1]!NO_2[BLO],[1]!NO_2[IHI],,-1) - _xlfn.XLOOKUP(D307,[1]!NO_2[BLO],[1]!NO_2[ILO],,-1))
/
( _xlfn.XLOOKUP(D307,[1]!NO_2[BLO],[1]!NO_2[BHI],,-1) - _xlfn.XLOOKUP(D307,[1]!NO_2[BLO],[1]!NO_2[BLO],,-1) ))
*
( D307 - _xlfn.XLOOKUP(D307,[1]!NO_2[BLO],[1]!NO_2[BLO],,-1))
+
_xlfn.XLOOKUP(D307,[1]!NO_2[BLO],[1]!NO_2[ILO],,-1),2)</f>
        <v>27.5</v>
      </c>
      <c r="K307">
        <f>ROUND(( ( _xlfn.XLOOKUP(E307,[1]!SO_2[BLO],[1]!SO_2[IHI],,-1)  - _xlfn.XLOOKUP(E307,[1]!SO_2[BLO],[1]!SO_2[ILO],,-1) )
/
( _xlfn.XLOOKUP(E307,[1]!SO_2[BLO],[1]!SO_2[BHI],,-1)- _xlfn.XLOOKUP(E307,[1]!SO_2[BLO],[1]!SO_2[BLO],,-1) ))
*
( E307 - _xlfn.XLOOKUP(E307,[1]!SO_2[BLO],[1]!SO_2[BLO],,-1) )
+
_xlfn.XLOOKUP(E307,[1]!SO_2[BLO],[1]!SO_2[ILO],,-1),2)</f>
        <v>13.75</v>
      </c>
      <c r="L307">
        <f>( ( _xlfn.XLOOKUP(F307,[1]!CO[BLO],[1]!CO[IHI],,-1)
- _xlfn.XLOOKUP(F307,[1]!CO[BLO],[1]!CO[ILO],,-1) )
/
( _xlfn.XLOOKUP(F307,[1]!CO[BLO],[1]!CO[BHI],,-1) - _xlfn.XLOOKUP(F307,[1]!CO[BLO],[1]!CO[BLO],,-1)))
*
( F307 - _xlfn.XLOOKUP(F307,[1]!CO[BLO],[1]!CO[BLO],,-1) )
+
_xlfn.XLOOKUP(F307,[1]!CO[BLO],[1]!CO[ILO],,-1)</f>
        <v>60.255555555555553</v>
      </c>
      <c r="M307">
        <f>(( _xlfn.XLOOKUP(G307,[1]!O_3[BLO],[1]!O_3[IHI],,-1) - _xlfn.XLOOKUP(G307,[1]!O_3[BLO],[1]!O_3[ILO],,-1))
/
( _xlfn.XLOOKUP(G307,[1]!O_3[BLO],[1]!O_3[BHI],,-1) - _xlfn.XLOOKUP(G307,[1]!O_3[BLO],[1]!O_3[BLO],,-1)))
*
( G307 - _xlfn.XLOOKUP(G307,[1]!O_3[BLO],[1]!O_3[BLO],,-1))
+
_xlfn.XLOOKUP(G307,[1]!O_3[BLO],[1]!O_3[ILO],,-1)</f>
        <v>23</v>
      </c>
      <c r="N307">
        <f>MAX(DAILY_DATA[[#This Row],[AQI_PM2.5]:[AQI_O3]])</f>
        <v>121.48</v>
      </c>
      <c r="O307" t="str">
        <f>_xlfn.XLOOKUP(DAILY_DATA[[#This Row],[OVERALL_AQI]],[1]!CATEGORY[AQI_LO],[1]!CATEGORY[CATEGORY],,-1)</f>
        <v>Moderate</v>
      </c>
      <c r="P307" t="str" cm="1">
        <f t="array" ref="P307">INDEX(
{"PM2.5","PM10","NO2","SO2","CO","O3"},
MATCH(N307,H307:M307,0)
)</f>
        <v>PM2.5</v>
      </c>
    </row>
    <row r="308" spans="1:16" x14ac:dyDescent="0.25">
      <c r="A308" s="4">
        <v>45598</v>
      </c>
      <c r="B308">
        <f>ROUND(AVERAGEIFS([1]HOURLY_DATA!B308:B9091,[1]HOURLY_DATA!H308:H9091,Daily_AQI!A308),0)</f>
        <v>48</v>
      </c>
      <c r="C308">
        <f>ROUND(AVERAGEIFS([1]HOURLY_DATA!C308:C9091,[1]HOURLY_DATA!H308:H9091,Daily_AQI!A308),0)</f>
        <v>85</v>
      </c>
      <c r="D308">
        <f>ROUND(AVERAGEIFS([1]HOURLY_DATA!D308:D9091,[1]HOURLY_DATA!H308:H9091,Daily_AQI!A308),0)</f>
        <v>19</v>
      </c>
      <c r="E308">
        <f>ROUND(AVERAGEIFS([1]HOURLY_DATA!E308:E9091,[1]HOURLY_DATA!H308:H9091,Daily_AQI!A308),0)</f>
        <v>11</v>
      </c>
      <c r="F308">
        <f>ROUND(AVERAGEIFS([1]HOURLY_DATA!I308:I9091,[1]HOURLY_DATA!H308:H9091,Daily_AQI!A308),2)</f>
        <v>1.25</v>
      </c>
      <c r="G308">
        <f>ROUND(AVERAGEIFS([1]HOURLY_DATA!J308:J9091,[1]HOURLY_DATA!H308:H9091,Daily_AQI!A308),0)</f>
        <v>31</v>
      </c>
      <c r="H308">
        <f>ROUND(((_xlfn.XLOOKUP(B308,[1]!PM2.5[BLO],[1]!PM2.5[IHI],,-1) - _xlfn.XLOOKUP(B308,[1]!PM2.5[BLO],[1]!PM2.5[ILO],,-1))
/
(_xlfn.XLOOKUP(B308,[1]!PM2.5[BLO],[1]!PM2.5[BHI],,-1) - _xlfn.XLOOKUP(B308,[1]!PM2.5[BLO],[1]!PM2.5[BLO],,-1)))
*
(B308 - _xlfn.XLOOKUP(B308,[1]!PM2.5[BLO],[1]!PM2.5[BLO],,-1))
+
_xlfn.XLOOKUP(B308,[1]!PM2.5[BLO],[1]!PM2.5[ILO],,-1),2)</f>
        <v>79.72</v>
      </c>
      <c r="I308">
        <f>ROUND(((_xlfn.XLOOKUP(C308,[1]!PM_10[BLO],[1]!PM_10[IHI],,-1) - _xlfn.XLOOKUP(C308,[1]!PM_10[BLO],[1]!PM_10[ILO],,-1))
/
(_xlfn.XLOOKUP(C308,[1]!PM_10[BLO],[1]!PM_10[BHI],,-1) - _xlfn.XLOOKUP(C308,[1]!PM_10[BLO],[1]!PM_10[BLO],,-1)))
*
( C308 - _xlfn.XLOOKUP(C308,[1]!PM_10[BLO],[1]!PM_10[BLO],,-1))
+
_xlfn.XLOOKUP(C308,[1]!PM_10[BLO],[1]!PM_10[ILO],,-1),2)</f>
        <v>85</v>
      </c>
      <c r="J308">
        <f>ROUND((( _xlfn.XLOOKUP(D308,[1]!NO_2[BLO],[1]!NO_2[IHI],,-1) - _xlfn.XLOOKUP(D308,[1]!NO_2[BLO],[1]!NO_2[ILO],,-1))
/
( _xlfn.XLOOKUP(D308,[1]!NO_2[BLO],[1]!NO_2[BHI],,-1) - _xlfn.XLOOKUP(D308,[1]!NO_2[BLO],[1]!NO_2[BLO],,-1) ))
*
( D308 - _xlfn.XLOOKUP(D308,[1]!NO_2[BLO],[1]!NO_2[BLO],,-1))
+
_xlfn.XLOOKUP(D308,[1]!NO_2[BLO],[1]!NO_2[ILO],,-1),2)</f>
        <v>23.75</v>
      </c>
      <c r="K308">
        <f>ROUND(( ( _xlfn.XLOOKUP(E308,[1]!SO_2[BLO],[1]!SO_2[IHI],,-1)  - _xlfn.XLOOKUP(E308,[1]!SO_2[BLO],[1]!SO_2[ILO],,-1) )
/
( _xlfn.XLOOKUP(E308,[1]!SO_2[BLO],[1]!SO_2[BHI],,-1)- _xlfn.XLOOKUP(E308,[1]!SO_2[BLO],[1]!SO_2[BLO],,-1) ))
*
( E308 - _xlfn.XLOOKUP(E308,[1]!SO_2[BLO],[1]!SO_2[BLO],,-1) )
+
_xlfn.XLOOKUP(E308,[1]!SO_2[BLO],[1]!SO_2[ILO],,-1),2)</f>
        <v>13.75</v>
      </c>
      <c r="L308">
        <f>( ( _xlfn.XLOOKUP(F308,[1]!CO[BLO],[1]!CO[IHI],,-1)
- _xlfn.XLOOKUP(F308,[1]!CO[BLO],[1]!CO[ILO],,-1) )
/
( _xlfn.XLOOKUP(F308,[1]!CO[BLO],[1]!CO[BHI],,-1) - _xlfn.XLOOKUP(F308,[1]!CO[BLO],[1]!CO[BLO],,-1)))
*
( F308 - _xlfn.XLOOKUP(F308,[1]!CO[BLO],[1]!CO[BLO],,-1) )
+
_xlfn.XLOOKUP(F308,[1]!CO[BLO],[1]!CO[ILO],,-1)</f>
        <v>59.166666666666664</v>
      </c>
      <c r="M308">
        <f>(( _xlfn.XLOOKUP(G308,[1]!O_3[BLO],[1]!O_3[IHI],,-1) - _xlfn.XLOOKUP(G308,[1]!O_3[BLO],[1]!O_3[ILO],,-1))
/
( _xlfn.XLOOKUP(G308,[1]!O_3[BLO],[1]!O_3[BHI],,-1) - _xlfn.XLOOKUP(G308,[1]!O_3[BLO],[1]!O_3[BLO],,-1)))
*
( G308 - _xlfn.XLOOKUP(G308,[1]!O_3[BLO],[1]!O_3[BLO],,-1))
+
_xlfn.XLOOKUP(G308,[1]!O_3[BLO],[1]!O_3[ILO],,-1)</f>
        <v>31</v>
      </c>
      <c r="N308">
        <f>MAX(DAILY_DATA[[#This Row],[AQI_PM2.5]:[AQI_O3]])</f>
        <v>85</v>
      </c>
      <c r="O308" t="str">
        <f>_xlfn.XLOOKUP(DAILY_DATA[[#This Row],[OVERALL_AQI]],[1]!CATEGORY[AQI_LO],[1]!CATEGORY[CATEGORY],,-1)</f>
        <v>Satisfactory</v>
      </c>
      <c r="P308" t="str" cm="1">
        <f t="array" ref="P308">INDEX(
{"PM2.5","PM10","NO2","SO2","CO","O3"},
MATCH(N308,H308:M308,0)
)</f>
        <v>PM10</v>
      </c>
    </row>
    <row r="309" spans="1:16" x14ac:dyDescent="0.25">
      <c r="A309" s="4">
        <v>45599</v>
      </c>
      <c r="B309">
        <f>ROUND(AVERAGEIFS([1]HOURLY_DATA!B309:B9092,[1]HOURLY_DATA!H309:H9092,Daily_AQI!A309),0)</f>
        <v>32</v>
      </c>
      <c r="C309">
        <f>ROUND(AVERAGEIFS([1]HOURLY_DATA!C309:C9092,[1]HOURLY_DATA!H309:H9092,Daily_AQI!A309),0)</f>
        <v>61</v>
      </c>
      <c r="D309">
        <f>ROUND(AVERAGEIFS([1]HOURLY_DATA!D309:D9092,[1]HOURLY_DATA!H309:H9092,Daily_AQI!A309),0)</f>
        <v>18</v>
      </c>
      <c r="E309">
        <f>ROUND(AVERAGEIFS([1]HOURLY_DATA!E309:E9092,[1]HOURLY_DATA!H309:H9092,Daily_AQI!A309),0)</f>
        <v>10</v>
      </c>
      <c r="F309">
        <f>ROUND(AVERAGEIFS([1]HOURLY_DATA!I309:I9092,[1]HOURLY_DATA!H309:H9092,Daily_AQI!A309),2)</f>
        <v>0.98</v>
      </c>
      <c r="G309">
        <f>ROUND(AVERAGEIFS([1]HOURLY_DATA!J309:J9092,[1]HOURLY_DATA!H309:H9092,Daily_AQI!A309),0)</f>
        <v>26</v>
      </c>
      <c r="H309">
        <f>ROUND(((_xlfn.XLOOKUP(B309,[1]!PM2.5[BLO],[1]!PM2.5[IHI],,-1) - _xlfn.XLOOKUP(B309,[1]!PM2.5[BLO],[1]!PM2.5[ILO],,-1))
/
(_xlfn.XLOOKUP(B309,[1]!PM2.5[BLO],[1]!PM2.5[BHI],,-1) - _xlfn.XLOOKUP(B309,[1]!PM2.5[BLO],[1]!PM2.5[BLO],,-1)))
*
(B309 - _xlfn.XLOOKUP(B309,[1]!PM2.5[BLO],[1]!PM2.5[BLO],,-1))
+
_xlfn.XLOOKUP(B309,[1]!PM2.5[BLO],[1]!PM2.5[ILO],,-1),2)</f>
        <v>52.69</v>
      </c>
      <c r="I309">
        <f>ROUND(((_xlfn.XLOOKUP(C309,[1]!PM_10[BLO],[1]!PM_10[IHI],,-1) - _xlfn.XLOOKUP(C309,[1]!PM_10[BLO],[1]!PM_10[ILO],,-1))
/
(_xlfn.XLOOKUP(C309,[1]!PM_10[BLO],[1]!PM_10[BHI],,-1) - _xlfn.XLOOKUP(C309,[1]!PM_10[BLO],[1]!PM_10[BLO],,-1)))
*
( C309 - _xlfn.XLOOKUP(C309,[1]!PM_10[BLO],[1]!PM_10[BLO],,-1))
+
_xlfn.XLOOKUP(C309,[1]!PM_10[BLO],[1]!PM_10[ILO],,-1),2)</f>
        <v>61</v>
      </c>
      <c r="J309">
        <f>ROUND((( _xlfn.XLOOKUP(D309,[1]!NO_2[BLO],[1]!NO_2[IHI],,-1) - _xlfn.XLOOKUP(D309,[1]!NO_2[BLO],[1]!NO_2[ILO],,-1))
/
( _xlfn.XLOOKUP(D309,[1]!NO_2[BLO],[1]!NO_2[BHI],,-1) - _xlfn.XLOOKUP(D309,[1]!NO_2[BLO],[1]!NO_2[BLO],,-1) ))
*
( D309 - _xlfn.XLOOKUP(D309,[1]!NO_2[BLO],[1]!NO_2[BLO],,-1))
+
_xlfn.XLOOKUP(D309,[1]!NO_2[BLO],[1]!NO_2[ILO],,-1),2)</f>
        <v>22.5</v>
      </c>
      <c r="K309">
        <f>ROUND(( ( _xlfn.XLOOKUP(E309,[1]!SO_2[BLO],[1]!SO_2[IHI],,-1)  - _xlfn.XLOOKUP(E309,[1]!SO_2[BLO],[1]!SO_2[ILO],,-1) )
/
( _xlfn.XLOOKUP(E309,[1]!SO_2[BLO],[1]!SO_2[BHI],,-1)- _xlfn.XLOOKUP(E309,[1]!SO_2[BLO],[1]!SO_2[BLO],,-1) ))
*
( E309 - _xlfn.XLOOKUP(E309,[1]!SO_2[BLO],[1]!SO_2[BLO],,-1) )
+
_xlfn.XLOOKUP(E309,[1]!SO_2[BLO],[1]!SO_2[ILO],,-1),2)</f>
        <v>12.5</v>
      </c>
      <c r="L309">
        <f>( ( _xlfn.XLOOKUP(F309,[1]!CO[BLO],[1]!CO[IHI],,-1)
- _xlfn.XLOOKUP(F309,[1]!CO[BLO],[1]!CO[ILO],,-1) )
/
( _xlfn.XLOOKUP(F309,[1]!CO[BLO],[1]!CO[BHI],,-1) - _xlfn.XLOOKUP(F309,[1]!CO[BLO],[1]!CO[BLO],,-1)))
*
( F309 - _xlfn.XLOOKUP(F309,[1]!CO[BLO],[1]!CO[BLO],,-1) )
+
_xlfn.XLOOKUP(F309,[1]!CO[BLO],[1]!CO[ILO],,-1)</f>
        <v>49</v>
      </c>
      <c r="M309">
        <f>(( _xlfn.XLOOKUP(G309,[1]!O_3[BLO],[1]!O_3[IHI],,-1) - _xlfn.XLOOKUP(G309,[1]!O_3[BLO],[1]!O_3[ILO],,-1))
/
( _xlfn.XLOOKUP(G309,[1]!O_3[BLO],[1]!O_3[BHI],,-1) - _xlfn.XLOOKUP(G309,[1]!O_3[BLO],[1]!O_3[BLO],,-1)))
*
( G309 - _xlfn.XLOOKUP(G309,[1]!O_3[BLO],[1]!O_3[BLO],,-1))
+
_xlfn.XLOOKUP(G309,[1]!O_3[BLO],[1]!O_3[ILO],,-1)</f>
        <v>26</v>
      </c>
      <c r="N309">
        <f>MAX(DAILY_DATA[[#This Row],[AQI_PM2.5]:[AQI_O3]])</f>
        <v>61</v>
      </c>
      <c r="O309" t="str">
        <f>_xlfn.XLOOKUP(DAILY_DATA[[#This Row],[OVERALL_AQI]],[1]!CATEGORY[AQI_LO],[1]!CATEGORY[CATEGORY],,-1)</f>
        <v>Satisfactory</v>
      </c>
      <c r="P309" t="str" cm="1">
        <f t="array" ref="P309">INDEX(
{"PM2.5","PM10","NO2","SO2","CO","O3"},
MATCH(N309,H309:M309,0)
)</f>
        <v>PM10</v>
      </c>
    </row>
    <row r="310" spans="1:16" x14ac:dyDescent="0.25">
      <c r="A310" s="4">
        <v>45600</v>
      </c>
      <c r="B310">
        <f>ROUND(AVERAGEIFS([1]HOURLY_DATA!B310:B9093,[1]HOURLY_DATA!H310:H9093,Daily_AQI!A310),0)</f>
        <v>30</v>
      </c>
      <c r="C310">
        <f>ROUND(AVERAGEIFS([1]HOURLY_DATA!C310:C9093,[1]HOURLY_DATA!H310:H9093,Daily_AQI!A310),0)</f>
        <v>63</v>
      </c>
      <c r="D310">
        <f>ROUND(AVERAGEIFS([1]HOURLY_DATA!D310:D9093,[1]HOURLY_DATA!H310:H9093,Daily_AQI!A310),0)</f>
        <v>19</v>
      </c>
      <c r="E310">
        <f>ROUND(AVERAGEIFS([1]HOURLY_DATA!E310:E9093,[1]HOURLY_DATA!H310:H9093,Daily_AQI!A310),0)</f>
        <v>9</v>
      </c>
      <c r="F310">
        <f>ROUND(AVERAGEIFS([1]HOURLY_DATA!I310:I9093,[1]HOURLY_DATA!H310:H9093,Daily_AQI!A310),2)</f>
        <v>0.91</v>
      </c>
      <c r="G310">
        <f>ROUND(AVERAGEIFS([1]HOURLY_DATA!J310:J9093,[1]HOURLY_DATA!H310:H9093,Daily_AQI!A310),0)</f>
        <v>22</v>
      </c>
      <c r="H310">
        <f>ROUND(((_xlfn.XLOOKUP(B310,[1]!PM2.5[BLO],[1]!PM2.5[IHI],,-1) - _xlfn.XLOOKUP(B310,[1]!PM2.5[BLO],[1]!PM2.5[ILO],,-1))
/
(_xlfn.XLOOKUP(B310,[1]!PM2.5[BLO],[1]!PM2.5[BHI],,-1) - _xlfn.XLOOKUP(B310,[1]!PM2.5[BLO],[1]!PM2.5[BLO],,-1)))
*
(B310 - _xlfn.XLOOKUP(B310,[1]!PM2.5[BLO],[1]!PM2.5[BLO],,-1))
+
_xlfn.XLOOKUP(B310,[1]!PM2.5[BLO],[1]!PM2.5[ILO],,-1),2)</f>
        <v>50</v>
      </c>
      <c r="I310">
        <f>ROUND(((_xlfn.XLOOKUP(C310,[1]!PM_10[BLO],[1]!PM_10[IHI],,-1) - _xlfn.XLOOKUP(C310,[1]!PM_10[BLO],[1]!PM_10[ILO],,-1))
/
(_xlfn.XLOOKUP(C310,[1]!PM_10[BLO],[1]!PM_10[BHI],,-1) - _xlfn.XLOOKUP(C310,[1]!PM_10[BLO],[1]!PM_10[BLO],,-1)))
*
( C310 - _xlfn.XLOOKUP(C310,[1]!PM_10[BLO],[1]!PM_10[BLO],,-1))
+
_xlfn.XLOOKUP(C310,[1]!PM_10[BLO],[1]!PM_10[ILO],,-1),2)</f>
        <v>63</v>
      </c>
      <c r="J310">
        <f>ROUND((( _xlfn.XLOOKUP(D310,[1]!NO_2[BLO],[1]!NO_2[IHI],,-1) - _xlfn.XLOOKUP(D310,[1]!NO_2[BLO],[1]!NO_2[ILO],,-1))
/
( _xlfn.XLOOKUP(D310,[1]!NO_2[BLO],[1]!NO_2[BHI],,-1) - _xlfn.XLOOKUP(D310,[1]!NO_2[BLO],[1]!NO_2[BLO],,-1) ))
*
( D310 - _xlfn.XLOOKUP(D310,[1]!NO_2[BLO],[1]!NO_2[BLO],,-1))
+
_xlfn.XLOOKUP(D310,[1]!NO_2[BLO],[1]!NO_2[ILO],,-1),2)</f>
        <v>23.75</v>
      </c>
      <c r="K310">
        <f>ROUND(( ( _xlfn.XLOOKUP(E310,[1]!SO_2[BLO],[1]!SO_2[IHI],,-1)  - _xlfn.XLOOKUP(E310,[1]!SO_2[BLO],[1]!SO_2[ILO],,-1) )
/
( _xlfn.XLOOKUP(E310,[1]!SO_2[BLO],[1]!SO_2[BHI],,-1)- _xlfn.XLOOKUP(E310,[1]!SO_2[BLO],[1]!SO_2[BLO],,-1) ))
*
( E310 - _xlfn.XLOOKUP(E310,[1]!SO_2[BLO],[1]!SO_2[BLO],,-1) )
+
_xlfn.XLOOKUP(E310,[1]!SO_2[BLO],[1]!SO_2[ILO],,-1),2)</f>
        <v>11.25</v>
      </c>
      <c r="L310">
        <f>( ( _xlfn.XLOOKUP(F310,[1]!CO[BLO],[1]!CO[IHI],,-1)
- _xlfn.XLOOKUP(F310,[1]!CO[BLO],[1]!CO[ILO],,-1) )
/
( _xlfn.XLOOKUP(F310,[1]!CO[BLO],[1]!CO[BHI],,-1) - _xlfn.XLOOKUP(F310,[1]!CO[BLO],[1]!CO[BLO],,-1)))
*
( F310 - _xlfn.XLOOKUP(F310,[1]!CO[BLO],[1]!CO[BLO],,-1) )
+
_xlfn.XLOOKUP(F310,[1]!CO[BLO],[1]!CO[ILO],,-1)</f>
        <v>45.5</v>
      </c>
      <c r="M310">
        <f>(( _xlfn.XLOOKUP(G310,[1]!O_3[BLO],[1]!O_3[IHI],,-1) - _xlfn.XLOOKUP(G310,[1]!O_3[BLO],[1]!O_3[ILO],,-1))
/
( _xlfn.XLOOKUP(G310,[1]!O_3[BLO],[1]!O_3[BHI],,-1) - _xlfn.XLOOKUP(G310,[1]!O_3[BLO],[1]!O_3[BLO],,-1)))
*
( G310 - _xlfn.XLOOKUP(G310,[1]!O_3[BLO],[1]!O_3[BLO],,-1))
+
_xlfn.XLOOKUP(G310,[1]!O_3[BLO],[1]!O_3[ILO],,-1)</f>
        <v>22</v>
      </c>
      <c r="N310">
        <f>MAX(DAILY_DATA[[#This Row],[AQI_PM2.5]:[AQI_O3]])</f>
        <v>63</v>
      </c>
      <c r="O310" t="str">
        <f>_xlfn.XLOOKUP(DAILY_DATA[[#This Row],[OVERALL_AQI]],[1]!CATEGORY[AQI_LO],[1]!CATEGORY[CATEGORY],,-1)</f>
        <v>Satisfactory</v>
      </c>
      <c r="P310" t="str" cm="1">
        <f t="array" ref="P310">INDEX(
{"PM2.5","PM10","NO2","SO2","CO","O3"},
MATCH(N310,H310:M310,0)
)</f>
        <v>PM10</v>
      </c>
    </row>
    <row r="311" spans="1:16" x14ac:dyDescent="0.25">
      <c r="A311" s="4">
        <v>45601</v>
      </c>
      <c r="B311">
        <f>ROUND(AVERAGEIFS([1]HOURLY_DATA!B311:B9094,[1]HOURLY_DATA!H311:H9094,Daily_AQI!A311),0)</f>
        <v>37</v>
      </c>
      <c r="C311">
        <f>ROUND(AVERAGEIFS([1]HOURLY_DATA!C311:C9094,[1]HOURLY_DATA!H311:H9094,Daily_AQI!A311),0)</f>
        <v>88</v>
      </c>
      <c r="D311">
        <f>ROUND(AVERAGEIFS([1]HOURLY_DATA!D311:D9094,[1]HOURLY_DATA!H311:H9094,Daily_AQI!A311),0)</f>
        <v>20</v>
      </c>
      <c r="E311">
        <f>ROUND(AVERAGEIFS([1]HOURLY_DATA!E311:E9094,[1]HOURLY_DATA!H311:H9094,Daily_AQI!A311),0)</f>
        <v>9</v>
      </c>
      <c r="F311">
        <f>ROUND(AVERAGEIFS([1]HOURLY_DATA!I311:I9094,[1]HOURLY_DATA!H311:H9094,Daily_AQI!A311),2)</f>
        <v>0.96</v>
      </c>
      <c r="G311">
        <f>ROUND(AVERAGEIFS([1]HOURLY_DATA!J311:J9094,[1]HOURLY_DATA!H311:H9094,Daily_AQI!A311),0)</f>
        <v>23</v>
      </c>
      <c r="H311">
        <f>ROUND(((_xlfn.XLOOKUP(B311,[1]!PM2.5[BLO],[1]!PM2.5[IHI],,-1) - _xlfn.XLOOKUP(B311,[1]!PM2.5[BLO],[1]!PM2.5[ILO],,-1))
/
(_xlfn.XLOOKUP(B311,[1]!PM2.5[BLO],[1]!PM2.5[BHI],,-1) - _xlfn.XLOOKUP(B311,[1]!PM2.5[BLO],[1]!PM2.5[BLO],,-1)))
*
(B311 - _xlfn.XLOOKUP(B311,[1]!PM2.5[BLO],[1]!PM2.5[BLO],,-1))
+
_xlfn.XLOOKUP(B311,[1]!PM2.5[BLO],[1]!PM2.5[ILO],,-1),2)</f>
        <v>61.14</v>
      </c>
      <c r="I311">
        <f>ROUND(((_xlfn.XLOOKUP(C311,[1]!PM_10[BLO],[1]!PM_10[IHI],,-1) - _xlfn.XLOOKUP(C311,[1]!PM_10[BLO],[1]!PM_10[ILO],,-1))
/
(_xlfn.XLOOKUP(C311,[1]!PM_10[BLO],[1]!PM_10[BHI],,-1) - _xlfn.XLOOKUP(C311,[1]!PM_10[BLO],[1]!PM_10[BLO],,-1)))
*
( C311 - _xlfn.XLOOKUP(C311,[1]!PM_10[BLO],[1]!PM_10[BLO],,-1))
+
_xlfn.XLOOKUP(C311,[1]!PM_10[BLO],[1]!PM_10[ILO],,-1),2)</f>
        <v>88</v>
      </c>
      <c r="J311">
        <f>ROUND((( _xlfn.XLOOKUP(D311,[1]!NO_2[BLO],[1]!NO_2[IHI],,-1) - _xlfn.XLOOKUP(D311,[1]!NO_2[BLO],[1]!NO_2[ILO],,-1))
/
( _xlfn.XLOOKUP(D311,[1]!NO_2[BLO],[1]!NO_2[BHI],,-1) - _xlfn.XLOOKUP(D311,[1]!NO_2[BLO],[1]!NO_2[BLO],,-1) ))
*
( D311 - _xlfn.XLOOKUP(D311,[1]!NO_2[BLO],[1]!NO_2[BLO],,-1))
+
_xlfn.XLOOKUP(D311,[1]!NO_2[BLO],[1]!NO_2[ILO],,-1),2)</f>
        <v>25</v>
      </c>
      <c r="K311">
        <f>ROUND(( ( _xlfn.XLOOKUP(E311,[1]!SO_2[BLO],[1]!SO_2[IHI],,-1)  - _xlfn.XLOOKUP(E311,[1]!SO_2[BLO],[1]!SO_2[ILO],,-1) )
/
( _xlfn.XLOOKUP(E311,[1]!SO_2[BLO],[1]!SO_2[BHI],,-1)- _xlfn.XLOOKUP(E311,[1]!SO_2[BLO],[1]!SO_2[BLO],,-1) ))
*
( E311 - _xlfn.XLOOKUP(E311,[1]!SO_2[BLO],[1]!SO_2[BLO],,-1) )
+
_xlfn.XLOOKUP(E311,[1]!SO_2[BLO],[1]!SO_2[ILO],,-1),2)</f>
        <v>11.25</v>
      </c>
      <c r="L311">
        <f>( ( _xlfn.XLOOKUP(F311,[1]!CO[BLO],[1]!CO[IHI],,-1)
- _xlfn.XLOOKUP(F311,[1]!CO[BLO],[1]!CO[ILO],,-1) )
/
( _xlfn.XLOOKUP(F311,[1]!CO[BLO],[1]!CO[BHI],,-1) - _xlfn.XLOOKUP(F311,[1]!CO[BLO],[1]!CO[BLO],,-1)))
*
( F311 - _xlfn.XLOOKUP(F311,[1]!CO[BLO],[1]!CO[BLO],,-1) )
+
_xlfn.XLOOKUP(F311,[1]!CO[BLO],[1]!CO[ILO],,-1)</f>
        <v>48</v>
      </c>
      <c r="M311">
        <f>(( _xlfn.XLOOKUP(G311,[1]!O_3[BLO],[1]!O_3[IHI],,-1) - _xlfn.XLOOKUP(G311,[1]!O_3[BLO],[1]!O_3[ILO],,-1))
/
( _xlfn.XLOOKUP(G311,[1]!O_3[BLO],[1]!O_3[BHI],,-1) - _xlfn.XLOOKUP(G311,[1]!O_3[BLO],[1]!O_3[BLO],,-1)))
*
( G311 - _xlfn.XLOOKUP(G311,[1]!O_3[BLO],[1]!O_3[BLO],,-1))
+
_xlfn.XLOOKUP(G311,[1]!O_3[BLO],[1]!O_3[ILO],,-1)</f>
        <v>23</v>
      </c>
      <c r="N311">
        <f>MAX(DAILY_DATA[[#This Row],[AQI_PM2.5]:[AQI_O3]])</f>
        <v>88</v>
      </c>
      <c r="O311" t="str">
        <f>_xlfn.XLOOKUP(DAILY_DATA[[#This Row],[OVERALL_AQI]],[1]!CATEGORY[AQI_LO],[1]!CATEGORY[CATEGORY],,-1)</f>
        <v>Satisfactory</v>
      </c>
      <c r="P311" t="str" cm="1">
        <f t="array" ref="P311">INDEX(
{"PM2.5","PM10","NO2","SO2","CO","O3"},
MATCH(N311,H311:M311,0)
)</f>
        <v>PM10</v>
      </c>
    </row>
    <row r="312" spans="1:16" x14ac:dyDescent="0.25">
      <c r="A312" s="4">
        <v>45602</v>
      </c>
      <c r="B312">
        <f>ROUND(AVERAGEIFS([1]HOURLY_DATA!B312:B9095,[1]HOURLY_DATA!H312:H9095,Daily_AQI!A312),0)</f>
        <v>50</v>
      </c>
      <c r="C312">
        <f>ROUND(AVERAGEIFS([1]HOURLY_DATA!C312:C9095,[1]HOURLY_DATA!H312:H9095,Daily_AQI!A312),0)</f>
        <v>111</v>
      </c>
      <c r="D312">
        <f>ROUND(AVERAGEIFS([1]HOURLY_DATA!D312:D9095,[1]HOURLY_DATA!H312:H9095,Daily_AQI!A312),0)</f>
        <v>20</v>
      </c>
      <c r="E312">
        <f>ROUND(AVERAGEIFS([1]HOURLY_DATA!E312:E9095,[1]HOURLY_DATA!H312:H9095,Daily_AQI!A312),0)</f>
        <v>10</v>
      </c>
      <c r="F312">
        <f>ROUND(AVERAGEIFS([1]HOURLY_DATA!I312:I9095,[1]HOURLY_DATA!H312:H9095,Daily_AQI!A312),2)</f>
        <v>1.03</v>
      </c>
      <c r="G312">
        <f>ROUND(AVERAGEIFS([1]HOURLY_DATA!J312:J9095,[1]HOURLY_DATA!H312:H9095,Daily_AQI!A312),0)</f>
        <v>25</v>
      </c>
      <c r="H312">
        <f>ROUND(((_xlfn.XLOOKUP(B312,[1]!PM2.5[BLO],[1]!PM2.5[IHI],,-1) - _xlfn.XLOOKUP(B312,[1]!PM2.5[BLO],[1]!PM2.5[ILO],,-1))
/
(_xlfn.XLOOKUP(B312,[1]!PM2.5[BLO],[1]!PM2.5[BHI],,-1) - _xlfn.XLOOKUP(B312,[1]!PM2.5[BLO],[1]!PM2.5[BLO],,-1)))
*
(B312 - _xlfn.XLOOKUP(B312,[1]!PM2.5[BLO],[1]!PM2.5[BLO],,-1))
+
_xlfn.XLOOKUP(B312,[1]!PM2.5[BLO],[1]!PM2.5[ILO],,-1),2)</f>
        <v>83.1</v>
      </c>
      <c r="I312">
        <f>ROUND(((_xlfn.XLOOKUP(C312,[1]!PM_10[BLO],[1]!PM_10[IHI],,-1) - _xlfn.XLOOKUP(C312,[1]!PM_10[BLO],[1]!PM_10[ILO],,-1))
/
(_xlfn.XLOOKUP(C312,[1]!PM_10[BLO],[1]!PM_10[BHI],,-1) - _xlfn.XLOOKUP(C312,[1]!PM_10[BLO],[1]!PM_10[BLO],,-1)))
*
( C312 - _xlfn.XLOOKUP(C312,[1]!PM_10[BLO],[1]!PM_10[BLO],,-1))
+
_xlfn.XLOOKUP(C312,[1]!PM_10[BLO],[1]!PM_10[ILO],,-1),2)</f>
        <v>107.64</v>
      </c>
      <c r="J312">
        <f>ROUND((( _xlfn.XLOOKUP(D312,[1]!NO_2[BLO],[1]!NO_2[IHI],,-1) - _xlfn.XLOOKUP(D312,[1]!NO_2[BLO],[1]!NO_2[ILO],,-1))
/
( _xlfn.XLOOKUP(D312,[1]!NO_2[BLO],[1]!NO_2[BHI],,-1) - _xlfn.XLOOKUP(D312,[1]!NO_2[BLO],[1]!NO_2[BLO],,-1) ))
*
( D312 - _xlfn.XLOOKUP(D312,[1]!NO_2[BLO],[1]!NO_2[BLO],,-1))
+
_xlfn.XLOOKUP(D312,[1]!NO_2[BLO],[1]!NO_2[ILO],,-1),2)</f>
        <v>25</v>
      </c>
      <c r="K312">
        <f>ROUND(( ( _xlfn.XLOOKUP(E312,[1]!SO_2[BLO],[1]!SO_2[IHI],,-1)  - _xlfn.XLOOKUP(E312,[1]!SO_2[BLO],[1]!SO_2[ILO],,-1) )
/
( _xlfn.XLOOKUP(E312,[1]!SO_2[BLO],[1]!SO_2[BHI],,-1)- _xlfn.XLOOKUP(E312,[1]!SO_2[BLO],[1]!SO_2[BLO],,-1) ))
*
( E312 - _xlfn.XLOOKUP(E312,[1]!SO_2[BLO],[1]!SO_2[BLO],,-1) )
+
_xlfn.XLOOKUP(E312,[1]!SO_2[BLO],[1]!SO_2[ILO],,-1),2)</f>
        <v>12.5</v>
      </c>
      <c r="L312">
        <f>( ( _xlfn.XLOOKUP(F312,[1]!CO[BLO],[1]!CO[IHI],,-1)
- _xlfn.XLOOKUP(F312,[1]!CO[BLO],[1]!CO[ILO],,-1) )
/
( _xlfn.XLOOKUP(F312,[1]!CO[BLO],[1]!CO[BHI],,-1) - _xlfn.XLOOKUP(F312,[1]!CO[BLO],[1]!CO[BLO],,-1)))
*
( F312 - _xlfn.XLOOKUP(F312,[1]!CO[BLO],[1]!CO[BLO],,-1) )
+
_xlfn.XLOOKUP(F312,[1]!CO[BLO],[1]!CO[ILO],,-1)</f>
        <v>51.5</v>
      </c>
      <c r="M312">
        <f>(( _xlfn.XLOOKUP(G312,[1]!O_3[BLO],[1]!O_3[IHI],,-1) - _xlfn.XLOOKUP(G312,[1]!O_3[BLO],[1]!O_3[ILO],,-1))
/
( _xlfn.XLOOKUP(G312,[1]!O_3[BLO],[1]!O_3[BHI],,-1) - _xlfn.XLOOKUP(G312,[1]!O_3[BLO],[1]!O_3[BLO],,-1)))
*
( G312 - _xlfn.XLOOKUP(G312,[1]!O_3[BLO],[1]!O_3[BLO],,-1))
+
_xlfn.XLOOKUP(G312,[1]!O_3[BLO],[1]!O_3[ILO],,-1)</f>
        <v>25</v>
      </c>
      <c r="N312">
        <f>MAX(DAILY_DATA[[#This Row],[AQI_PM2.5]:[AQI_O3]])</f>
        <v>107.64</v>
      </c>
      <c r="O312" t="str">
        <f>_xlfn.XLOOKUP(DAILY_DATA[[#This Row],[OVERALL_AQI]],[1]!CATEGORY[AQI_LO],[1]!CATEGORY[CATEGORY],,-1)</f>
        <v>Moderate</v>
      </c>
      <c r="P312" t="str" cm="1">
        <f t="array" ref="P312">INDEX(
{"PM2.5","PM10","NO2","SO2","CO","O3"},
MATCH(N312,H312:M312,0)
)</f>
        <v>PM10</v>
      </c>
    </row>
    <row r="313" spans="1:16" x14ac:dyDescent="0.25">
      <c r="A313" s="4">
        <v>45603</v>
      </c>
      <c r="B313">
        <f>ROUND(AVERAGEIFS([1]HOURLY_DATA!B313:B9096,[1]HOURLY_DATA!H313:H9096,Daily_AQI!A313),0)</f>
        <v>41</v>
      </c>
      <c r="C313">
        <f>ROUND(AVERAGEIFS([1]HOURLY_DATA!C313:C9096,[1]HOURLY_DATA!H313:H9096,Daily_AQI!A313),0)</f>
        <v>93</v>
      </c>
      <c r="D313">
        <f>ROUND(AVERAGEIFS([1]HOURLY_DATA!D313:D9096,[1]HOURLY_DATA!H313:H9096,Daily_AQI!A313),0)</f>
        <v>20</v>
      </c>
      <c r="E313">
        <f>ROUND(AVERAGEIFS([1]HOURLY_DATA!E313:E9096,[1]HOURLY_DATA!H313:H9096,Daily_AQI!A313),0)</f>
        <v>10</v>
      </c>
      <c r="F313">
        <f>ROUND(AVERAGEIFS([1]HOURLY_DATA!I313:I9096,[1]HOURLY_DATA!H313:H9096,Daily_AQI!A313),2)</f>
        <v>1.02</v>
      </c>
      <c r="G313">
        <f>ROUND(AVERAGEIFS([1]HOURLY_DATA!J313:J9096,[1]HOURLY_DATA!H313:H9096,Daily_AQI!A313),0)</f>
        <v>26</v>
      </c>
      <c r="H313">
        <f>ROUND(((_xlfn.XLOOKUP(B313,[1]!PM2.5[BLO],[1]!PM2.5[IHI],,-1) - _xlfn.XLOOKUP(B313,[1]!PM2.5[BLO],[1]!PM2.5[ILO],,-1))
/
(_xlfn.XLOOKUP(B313,[1]!PM2.5[BLO],[1]!PM2.5[BHI],,-1) - _xlfn.XLOOKUP(B313,[1]!PM2.5[BLO],[1]!PM2.5[BLO],,-1)))
*
(B313 - _xlfn.XLOOKUP(B313,[1]!PM2.5[BLO],[1]!PM2.5[BLO],,-1))
+
_xlfn.XLOOKUP(B313,[1]!PM2.5[BLO],[1]!PM2.5[ILO],,-1),2)</f>
        <v>67.900000000000006</v>
      </c>
      <c r="I313">
        <f>ROUND(((_xlfn.XLOOKUP(C313,[1]!PM_10[BLO],[1]!PM_10[IHI],,-1) - _xlfn.XLOOKUP(C313,[1]!PM_10[BLO],[1]!PM_10[ILO],,-1))
/
(_xlfn.XLOOKUP(C313,[1]!PM_10[BLO],[1]!PM_10[BHI],,-1) - _xlfn.XLOOKUP(C313,[1]!PM_10[BLO],[1]!PM_10[BLO],,-1)))
*
( C313 - _xlfn.XLOOKUP(C313,[1]!PM_10[BLO],[1]!PM_10[BLO],,-1))
+
_xlfn.XLOOKUP(C313,[1]!PM_10[BLO],[1]!PM_10[ILO],,-1),2)</f>
        <v>93</v>
      </c>
      <c r="J313">
        <f>ROUND((( _xlfn.XLOOKUP(D313,[1]!NO_2[BLO],[1]!NO_2[IHI],,-1) - _xlfn.XLOOKUP(D313,[1]!NO_2[BLO],[1]!NO_2[ILO],,-1))
/
( _xlfn.XLOOKUP(D313,[1]!NO_2[BLO],[1]!NO_2[BHI],,-1) - _xlfn.XLOOKUP(D313,[1]!NO_2[BLO],[1]!NO_2[BLO],,-1) ))
*
( D313 - _xlfn.XLOOKUP(D313,[1]!NO_2[BLO],[1]!NO_2[BLO],,-1))
+
_xlfn.XLOOKUP(D313,[1]!NO_2[BLO],[1]!NO_2[ILO],,-1),2)</f>
        <v>25</v>
      </c>
      <c r="K313">
        <f>ROUND(( ( _xlfn.XLOOKUP(E313,[1]!SO_2[BLO],[1]!SO_2[IHI],,-1)  - _xlfn.XLOOKUP(E313,[1]!SO_2[BLO],[1]!SO_2[ILO],,-1) )
/
( _xlfn.XLOOKUP(E313,[1]!SO_2[BLO],[1]!SO_2[BHI],,-1)- _xlfn.XLOOKUP(E313,[1]!SO_2[BLO],[1]!SO_2[BLO],,-1) ))
*
( E313 - _xlfn.XLOOKUP(E313,[1]!SO_2[BLO],[1]!SO_2[BLO],,-1) )
+
_xlfn.XLOOKUP(E313,[1]!SO_2[BLO],[1]!SO_2[ILO],,-1),2)</f>
        <v>12.5</v>
      </c>
      <c r="L313">
        <f>( ( _xlfn.XLOOKUP(F313,[1]!CO[BLO],[1]!CO[IHI],,-1)
- _xlfn.XLOOKUP(F313,[1]!CO[BLO],[1]!CO[ILO],,-1) )
/
( _xlfn.XLOOKUP(F313,[1]!CO[BLO],[1]!CO[BHI],,-1) - _xlfn.XLOOKUP(F313,[1]!CO[BLO],[1]!CO[BLO],,-1)))
*
( F313 - _xlfn.XLOOKUP(F313,[1]!CO[BLO],[1]!CO[BLO],,-1) )
+
_xlfn.XLOOKUP(F313,[1]!CO[BLO],[1]!CO[ILO],,-1)</f>
        <v>51</v>
      </c>
      <c r="M313">
        <f>(( _xlfn.XLOOKUP(G313,[1]!O_3[BLO],[1]!O_3[IHI],,-1) - _xlfn.XLOOKUP(G313,[1]!O_3[BLO],[1]!O_3[ILO],,-1))
/
( _xlfn.XLOOKUP(G313,[1]!O_3[BLO],[1]!O_3[BHI],,-1) - _xlfn.XLOOKUP(G313,[1]!O_3[BLO],[1]!O_3[BLO],,-1)))
*
( G313 - _xlfn.XLOOKUP(G313,[1]!O_3[BLO],[1]!O_3[BLO],,-1))
+
_xlfn.XLOOKUP(G313,[1]!O_3[BLO],[1]!O_3[ILO],,-1)</f>
        <v>26</v>
      </c>
      <c r="N313">
        <f>MAX(DAILY_DATA[[#This Row],[AQI_PM2.5]:[AQI_O3]])</f>
        <v>93</v>
      </c>
      <c r="O313" t="str">
        <f>_xlfn.XLOOKUP(DAILY_DATA[[#This Row],[OVERALL_AQI]],[1]!CATEGORY[AQI_LO],[1]!CATEGORY[CATEGORY],,-1)</f>
        <v>Satisfactory</v>
      </c>
      <c r="P313" t="str" cm="1">
        <f t="array" ref="P313">INDEX(
{"PM2.5","PM10","NO2","SO2","CO","O3"},
MATCH(N313,H313:M313,0)
)</f>
        <v>PM10</v>
      </c>
    </row>
    <row r="314" spans="1:16" x14ac:dyDescent="0.25">
      <c r="A314" s="4">
        <v>45604</v>
      </c>
      <c r="B314">
        <f>ROUND(AVERAGEIFS([1]HOURLY_DATA!B314:B9097,[1]HOURLY_DATA!H314:H9097,Daily_AQI!A314),0)</f>
        <v>29</v>
      </c>
      <c r="C314">
        <f>ROUND(AVERAGEIFS([1]HOURLY_DATA!C314:C9097,[1]HOURLY_DATA!H314:H9097,Daily_AQI!A314),0)</f>
        <v>64</v>
      </c>
      <c r="D314">
        <f>ROUND(AVERAGEIFS([1]HOURLY_DATA!D314:D9097,[1]HOURLY_DATA!H314:H9097,Daily_AQI!A314),0)</f>
        <v>19</v>
      </c>
      <c r="E314">
        <f>ROUND(AVERAGEIFS([1]HOURLY_DATA!E314:E9097,[1]HOURLY_DATA!H314:H9097,Daily_AQI!A314),0)</f>
        <v>11</v>
      </c>
      <c r="F314">
        <f>ROUND(AVERAGEIFS([1]HOURLY_DATA!I314:I9097,[1]HOURLY_DATA!H314:H9097,Daily_AQI!A314),2)</f>
        <v>0.96</v>
      </c>
      <c r="G314">
        <f>ROUND(AVERAGEIFS([1]HOURLY_DATA!J314:J9097,[1]HOURLY_DATA!H314:H9097,Daily_AQI!A314),0)</f>
        <v>23</v>
      </c>
      <c r="H314">
        <f>ROUND(((_xlfn.XLOOKUP(B314,[1]!PM2.5[BLO],[1]!PM2.5[IHI],,-1) - _xlfn.XLOOKUP(B314,[1]!PM2.5[BLO],[1]!PM2.5[ILO],,-1))
/
(_xlfn.XLOOKUP(B314,[1]!PM2.5[BLO],[1]!PM2.5[BHI],,-1) - _xlfn.XLOOKUP(B314,[1]!PM2.5[BLO],[1]!PM2.5[BLO],,-1)))
*
(B314 - _xlfn.XLOOKUP(B314,[1]!PM2.5[BLO],[1]!PM2.5[BLO],,-1))
+
_xlfn.XLOOKUP(B314,[1]!PM2.5[BLO],[1]!PM2.5[ILO],,-1),2)</f>
        <v>48.33</v>
      </c>
      <c r="I314">
        <f>ROUND(((_xlfn.XLOOKUP(C314,[1]!PM_10[BLO],[1]!PM_10[IHI],,-1) - _xlfn.XLOOKUP(C314,[1]!PM_10[BLO],[1]!PM_10[ILO],,-1))
/
(_xlfn.XLOOKUP(C314,[1]!PM_10[BLO],[1]!PM_10[BHI],,-1) - _xlfn.XLOOKUP(C314,[1]!PM_10[BLO],[1]!PM_10[BLO],,-1)))
*
( C314 - _xlfn.XLOOKUP(C314,[1]!PM_10[BLO],[1]!PM_10[BLO],,-1))
+
_xlfn.XLOOKUP(C314,[1]!PM_10[BLO],[1]!PM_10[ILO],,-1),2)</f>
        <v>64</v>
      </c>
      <c r="J314">
        <f>ROUND((( _xlfn.XLOOKUP(D314,[1]!NO_2[BLO],[1]!NO_2[IHI],,-1) - _xlfn.XLOOKUP(D314,[1]!NO_2[BLO],[1]!NO_2[ILO],,-1))
/
( _xlfn.XLOOKUP(D314,[1]!NO_2[BLO],[1]!NO_2[BHI],,-1) - _xlfn.XLOOKUP(D314,[1]!NO_2[BLO],[1]!NO_2[BLO],,-1) ))
*
( D314 - _xlfn.XLOOKUP(D314,[1]!NO_2[BLO],[1]!NO_2[BLO],,-1))
+
_xlfn.XLOOKUP(D314,[1]!NO_2[BLO],[1]!NO_2[ILO],,-1),2)</f>
        <v>23.75</v>
      </c>
      <c r="K314">
        <f>ROUND(( ( _xlfn.XLOOKUP(E314,[1]!SO_2[BLO],[1]!SO_2[IHI],,-1)  - _xlfn.XLOOKUP(E314,[1]!SO_2[BLO],[1]!SO_2[ILO],,-1) )
/
( _xlfn.XLOOKUP(E314,[1]!SO_2[BLO],[1]!SO_2[BHI],,-1)- _xlfn.XLOOKUP(E314,[1]!SO_2[BLO],[1]!SO_2[BLO],,-1) ))
*
( E314 - _xlfn.XLOOKUP(E314,[1]!SO_2[BLO],[1]!SO_2[BLO],,-1) )
+
_xlfn.XLOOKUP(E314,[1]!SO_2[BLO],[1]!SO_2[ILO],,-1),2)</f>
        <v>13.75</v>
      </c>
      <c r="L314">
        <f>( ( _xlfn.XLOOKUP(F314,[1]!CO[BLO],[1]!CO[IHI],,-1)
- _xlfn.XLOOKUP(F314,[1]!CO[BLO],[1]!CO[ILO],,-1) )
/
( _xlfn.XLOOKUP(F314,[1]!CO[BLO],[1]!CO[BHI],,-1) - _xlfn.XLOOKUP(F314,[1]!CO[BLO],[1]!CO[BLO],,-1)))
*
( F314 - _xlfn.XLOOKUP(F314,[1]!CO[BLO],[1]!CO[BLO],,-1) )
+
_xlfn.XLOOKUP(F314,[1]!CO[BLO],[1]!CO[ILO],,-1)</f>
        <v>48</v>
      </c>
      <c r="M314">
        <f>(( _xlfn.XLOOKUP(G314,[1]!O_3[BLO],[1]!O_3[IHI],,-1) - _xlfn.XLOOKUP(G314,[1]!O_3[BLO],[1]!O_3[ILO],,-1))
/
( _xlfn.XLOOKUP(G314,[1]!O_3[BLO],[1]!O_3[BHI],,-1) - _xlfn.XLOOKUP(G314,[1]!O_3[BLO],[1]!O_3[BLO],,-1)))
*
( G314 - _xlfn.XLOOKUP(G314,[1]!O_3[BLO],[1]!O_3[BLO],,-1))
+
_xlfn.XLOOKUP(G314,[1]!O_3[BLO],[1]!O_3[ILO],,-1)</f>
        <v>23</v>
      </c>
      <c r="N314">
        <f>MAX(DAILY_DATA[[#This Row],[AQI_PM2.5]:[AQI_O3]])</f>
        <v>64</v>
      </c>
      <c r="O314" t="str">
        <f>_xlfn.XLOOKUP(DAILY_DATA[[#This Row],[OVERALL_AQI]],[1]!CATEGORY[AQI_LO],[1]!CATEGORY[CATEGORY],,-1)</f>
        <v>Satisfactory</v>
      </c>
      <c r="P314" t="str" cm="1">
        <f t="array" ref="P314">INDEX(
{"PM2.5","PM10","NO2","SO2","CO","O3"},
MATCH(N314,H314:M314,0)
)</f>
        <v>PM10</v>
      </c>
    </row>
    <row r="315" spans="1:16" x14ac:dyDescent="0.25">
      <c r="A315" s="4">
        <v>45605</v>
      </c>
      <c r="B315">
        <f>ROUND(AVERAGEIFS([1]HOURLY_DATA!B315:B9098,[1]HOURLY_DATA!H315:H9098,Daily_AQI!A315),0)</f>
        <v>28</v>
      </c>
      <c r="C315">
        <f>ROUND(AVERAGEIFS([1]HOURLY_DATA!C315:C9098,[1]HOURLY_DATA!H315:H9098,Daily_AQI!A315),0)</f>
        <v>58</v>
      </c>
      <c r="D315">
        <f>ROUND(AVERAGEIFS([1]HOURLY_DATA!D315:D9098,[1]HOURLY_DATA!H315:H9098,Daily_AQI!A315),0)</f>
        <v>20</v>
      </c>
      <c r="E315">
        <f>ROUND(AVERAGEIFS([1]HOURLY_DATA!E315:E9098,[1]HOURLY_DATA!H315:H9098,Daily_AQI!A315),0)</f>
        <v>10</v>
      </c>
      <c r="F315">
        <f>ROUND(AVERAGEIFS([1]HOURLY_DATA!I315:I9098,[1]HOURLY_DATA!H315:H9098,Daily_AQI!A315),2)</f>
        <v>0.95</v>
      </c>
      <c r="G315">
        <f>ROUND(AVERAGEIFS([1]HOURLY_DATA!J315:J9098,[1]HOURLY_DATA!H315:H9098,Daily_AQI!A315),0)</f>
        <v>23</v>
      </c>
      <c r="H315">
        <f>ROUND(((_xlfn.XLOOKUP(B315,[1]!PM2.5[BLO],[1]!PM2.5[IHI],,-1) - _xlfn.XLOOKUP(B315,[1]!PM2.5[BLO],[1]!PM2.5[ILO],,-1))
/
(_xlfn.XLOOKUP(B315,[1]!PM2.5[BLO],[1]!PM2.5[BHI],,-1) - _xlfn.XLOOKUP(B315,[1]!PM2.5[BLO],[1]!PM2.5[BLO],,-1)))
*
(B315 - _xlfn.XLOOKUP(B315,[1]!PM2.5[BLO],[1]!PM2.5[BLO],,-1))
+
_xlfn.XLOOKUP(B315,[1]!PM2.5[BLO],[1]!PM2.5[ILO],,-1),2)</f>
        <v>46.67</v>
      </c>
      <c r="I315">
        <f>ROUND(((_xlfn.XLOOKUP(C315,[1]!PM_10[BLO],[1]!PM_10[IHI],,-1) - _xlfn.XLOOKUP(C315,[1]!PM_10[BLO],[1]!PM_10[ILO],,-1))
/
(_xlfn.XLOOKUP(C315,[1]!PM_10[BLO],[1]!PM_10[BHI],,-1) - _xlfn.XLOOKUP(C315,[1]!PM_10[BLO],[1]!PM_10[BLO],,-1)))
*
( C315 - _xlfn.XLOOKUP(C315,[1]!PM_10[BLO],[1]!PM_10[BLO],,-1))
+
_xlfn.XLOOKUP(C315,[1]!PM_10[BLO],[1]!PM_10[ILO],,-1),2)</f>
        <v>58</v>
      </c>
      <c r="J315">
        <f>ROUND((( _xlfn.XLOOKUP(D315,[1]!NO_2[BLO],[1]!NO_2[IHI],,-1) - _xlfn.XLOOKUP(D315,[1]!NO_2[BLO],[1]!NO_2[ILO],,-1))
/
( _xlfn.XLOOKUP(D315,[1]!NO_2[BLO],[1]!NO_2[BHI],,-1) - _xlfn.XLOOKUP(D315,[1]!NO_2[BLO],[1]!NO_2[BLO],,-1) ))
*
( D315 - _xlfn.XLOOKUP(D315,[1]!NO_2[BLO],[1]!NO_2[BLO],,-1))
+
_xlfn.XLOOKUP(D315,[1]!NO_2[BLO],[1]!NO_2[ILO],,-1),2)</f>
        <v>25</v>
      </c>
      <c r="K315">
        <f>ROUND(( ( _xlfn.XLOOKUP(E315,[1]!SO_2[BLO],[1]!SO_2[IHI],,-1)  - _xlfn.XLOOKUP(E315,[1]!SO_2[BLO],[1]!SO_2[ILO],,-1) )
/
( _xlfn.XLOOKUP(E315,[1]!SO_2[BLO],[1]!SO_2[BHI],,-1)- _xlfn.XLOOKUP(E315,[1]!SO_2[BLO],[1]!SO_2[BLO],,-1) ))
*
( E315 - _xlfn.XLOOKUP(E315,[1]!SO_2[BLO],[1]!SO_2[BLO],,-1) )
+
_xlfn.XLOOKUP(E315,[1]!SO_2[BLO],[1]!SO_2[ILO],,-1),2)</f>
        <v>12.5</v>
      </c>
      <c r="L315">
        <f>( ( _xlfn.XLOOKUP(F315,[1]!CO[BLO],[1]!CO[IHI],,-1)
- _xlfn.XLOOKUP(F315,[1]!CO[BLO],[1]!CO[ILO],,-1) )
/
( _xlfn.XLOOKUP(F315,[1]!CO[BLO],[1]!CO[BHI],,-1) - _xlfn.XLOOKUP(F315,[1]!CO[BLO],[1]!CO[BLO],,-1)))
*
( F315 - _xlfn.XLOOKUP(F315,[1]!CO[BLO],[1]!CO[BLO],,-1) )
+
_xlfn.XLOOKUP(F315,[1]!CO[BLO],[1]!CO[ILO],,-1)</f>
        <v>47.5</v>
      </c>
      <c r="M315">
        <f>(( _xlfn.XLOOKUP(G315,[1]!O_3[BLO],[1]!O_3[IHI],,-1) - _xlfn.XLOOKUP(G315,[1]!O_3[BLO],[1]!O_3[ILO],,-1))
/
( _xlfn.XLOOKUP(G315,[1]!O_3[BLO],[1]!O_3[BHI],,-1) - _xlfn.XLOOKUP(G315,[1]!O_3[BLO],[1]!O_3[BLO],,-1)))
*
( G315 - _xlfn.XLOOKUP(G315,[1]!O_3[BLO],[1]!O_3[BLO],,-1))
+
_xlfn.XLOOKUP(G315,[1]!O_3[BLO],[1]!O_3[ILO],,-1)</f>
        <v>23</v>
      </c>
      <c r="N315">
        <f>MAX(DAILY_DATA[[#This Row],[AQI_PM2.5]:[AQI_O3]])</f>
        <v>58</v>
      </c>
      <c r="O315" t="str">
        <f>_xlfn.XLOOKUP(DAILY_DATA[[#This Row],[OVERALL_AQI]],[1]!CATEGORY[AQI_LO],[1]!CATEGORY[CATEGORY],,-1)</f>
        <v>Satisfactory</v>
      </c>
      <c r="P315" t="str" cm="1">
        <f t="array" ref="P315">INDEX(
{"PM2.5","PM10","NO2","SO2","CO","O3"},
MATCH(N315,H315:M315,0)
)</f>
        <v>PM10</v>
      </c>
    </row>
    <row r="316" spans="1:16" x14ac:dyDescent="0.25">
      <c r="A316" s="4">
        <v>45606</v>
      </c>
      <c r="B316">
        <f>ROUND(AVERAGEIFS([1]HOURLY_DATA!B316:B9099,[1]HOURLY_DATA!H316:H9099,Daily_AQI!A316),0)</f>
        <v>37</v>
      </c>
      <c r="C316">
        <f>ROUND(AVERAGEIFS([1]HOURLY_DATA!C316:C9099,[1]HOURLY_DATA!H316:H9099,Daily_AQI!A316),0)</f>
        <v>72</v>
      </c>
      <c r="D316">
        <f>ROUND(AVERAGEIFS([1]HOURLY_DATA!D316:D9099,[1]HOURLY_DATA!H316:H9099,Daily_AQI!A316),0)</f>
        <v>20</v>
      </c>
      <c r="E316">
        <f>ROUND(AVERAGEIFS([1]HOURLY_DATA!E316:E9099,[1]HOURLY_DATA!H316:H9099,Daily_AQI!A316),0)</f>
        <v>10</v>
      </c>
      <c r="F316">
        <f>ROUND(AVERAGEIFS([1]HOURLY_DATA!I316:I9099,[1]HOURLY_DATA!H316:H9099,Daily_AQI!A316),2)</f>
        <v>0.96</v>
      </c>
      <c r="G316">
        <f>ROUND(AVERAGEIFS([1]HOURLY_DATA!J316:J9099,[1]HOURLY_DATA!H316:H9099,Daily_AQI!A316),0)</f>
        <v>23</v>
      </c>
      <c r="H316">
        <f>ROUND(((_xlfn.XLOOKUP(B316,[1]!PM2.5[BLO],[1]!PM2.5[IHI],,-1) - _xlfn.XLOOKUP(B316,[1]!PM2.5[BLO],[1]!PM2.5[ILO],,-1))
/
(_xlfn.XLOOKUP(B316,[1]!PM2.5[BLO],[1]!PM2.5[BHI],,-1) - _xlfn.XLOOKUP(B316,[1]!PM2.5[BLO],[1]!PM2.5[BLO],,-1)))
*
(B316 - _xlfn.XLOOKUP(B316,[1]!PM2.5[BLO],[1]!PM2.5[BLO],,-1))
+
_xlfn.XLOOKUP(B316,[1]!PM2.5[BLO],[1]!PM2.5[ILO],,-1),2)</f>
        <v>61.14</v>
      </c>
      <c r="I316">
        <f>ROUND(((_xlfn.XLOOKUP(C316,[1]!PM_10[BLO],[1]!PM_10[IHI],,-1) - _xlfn.XLOOKUP(C316,[1]!PM_10[BLO],[1]!PM_10[ILO],,-1))
/
(_xlfn.XLOOKUP(C316,[1]!PM_10[BLO],[1]!PM_10[BHI],,-1) - _xlfn.XLOOKUP(C316,[1]!PM_10[BLO],[1]!PM_10[BLO],,-1)))
*
( C316 - _xlfn.XLOOKUP(C316,[1]!PM_10[BLO],[1]!PM_10[BLO],,-1))
+
_xlfn.XLOOKUP(C316,[1]!PM_10[BLO],[1]!PM_10[ILO],,-1),2)</f>
        <v>72</v>
      </c>
      <c r="J316">
        <f>ROUND((( _xlfn.XLOOKUP(D316,[1]!NO_2[BLO],[1]!NO_2[IHI],,-1) - _xlfn.XLOOKUP(D316,[1]!NO_2[BLO],[1]!NO_2[ILO],,-1))
/
( _xlfn.XLOOKUP(D316,[1]!NO_2[BLO],[1]!NO_2[BHI],,-1) - _xlfn.XLOOKUP(D316,[1]!NO_2[BLO],[1]!NO_2[BLO],,-1) ))
*
( D316 - _xlfn.XLOOKUP(D316,[1]!NO_2[BLO],[1]!NO_2[BLO],,-1))
+
_xlfn.XLOOKUP(D316,[1]!NO_2[BLO],[1]!NO_2[ILO],,-1),2)</f>
        <v>25</v>
      </c>
      <c r="K316">
        <f>ROUND(( ( _xlfn.XLOOKUP(E316,[1]!SO_2[BLO],[1]!SO_2[IHI],,-1)  - _xlfn.XLOOKUP(E316,[1]!SO_2[BLO],[1]!SO_2[ILO],,-1) )
/
( _xlfn.XLOOKUP(E316,[1]!SO_2[BLO],[1]!SO_2[BHI],,-1)- _xlfn.XLOOKUP(E316,[1]!SO_2[BLO],[1]!SO_2[BLO],,-1) ))
*
( E316 - _xlfn.XLOOKUP(E316,[1]!SO_2[BLO],[1]!SO_2[BLO],,-1) )
+
_xlfn.XLOOKUP(E316,[1]!SO_2[BLO],[1]!SO_2[ILO],,-1),2)</f>
        <v>12.5</v>
      </c>
      <c r="L316">
        <f>( ( _xlfn.XLOOKUP(F316,[1]!CO[BLO],[1]!CO[IHI],,-1)
- _xlfn.XLOOKUP(F316,[1]!CO[BLO],[1]!CO[ILO],,-1) )
/
( _xlfn.XLOOKUP(F316,[1]!CO[BLO],[1]!CO[BHI],,-1) - _xlfn.XLOOKUP(F316,[1]!CO[BLO],[1]!CO[BLO],,-1)))
*
( F316 - _xlfn.XLOOKUP(F316,[1]!CO[BLO],[1]!CO[BLO],,-1) )
+
_xlfn.XLOOKUP(F316,[1]!CO[BLO],[1]!CO[ILO],,-1)</f>
        <v>48</v>
      </c>
      <c r="M316">
        <f>(( _xlfn.XLOOKUP(G316,[1]!O_3[BLO],[1]!O_3[IHI],,-1) - _xlfn.XLOOKUP(G316,[1]!O_3[BLO],[1]!O_3[ILO],,-1))
/
( _xlfn.XLOOKUP(G316,[1]!O_3[BLO],[1]!O_3[BHI],,-1) - _xlfn.XLOOKUP(G316,[1]!O_3[BLO],[1]!O_3[BLO],,-1)))
*
( G316 - _xlfn.XLOOKUP(G316,[1]!O_3[BLO],[1]!O_3[BLO],,-1))
+
_xlfn.XLOOKUP(G316,[1]!O_3[BLO],[1]!O_3[ILO],,-1)</f>
        <v>23</v>
      </c>
      <c r="N316">
        <f>MAX(DAILY_DATA[[#This Row],[AQI_PM2.5]:[AQI_O3]])</f>
        <v>72</v>
      </c>
      <c r="O316" t="str">
        <f>_xlfn.XLOOKUP(DAILY_DATA[[#This Row],[OVERALL_AQI]],[1]!CATEGORY[AQI_LO],[1]!CATEGORY[CATEGORY],,-1)</f>
        <v>Satisfactory</v>
      </c>
      <c r="P316" t="str" cm="1">
        <f t="array" ref="P316">INDEX(
{"PM2.5","PM10","NO2","SO2","CO","O3"},
MATCH(N316,H316:M316,0)
)</f>
        <v>PM10</v>
      </c>
    </row>
    <row r="317" spans="1:16" x14ac:dyDescent="0.25">
      <c r="A317" s="4">
        <v>45607</v>
      </c>
      <c r="B317">
        <f>ROUND(AVERAGEIFS([1]HOURLY_DATA!B317:B9100,[1]HOURLY_DATA!H317:H9100,Daily_AQI!A317),0)</f>
        <v>47</v>
      </c>
      <c r="C317">
        <f>ROUND(AVERAGEIFS([1]HOURLY_DATA!C317:C9100,[1]HOURLY_DATA!H317:H9100,Daily_AQI!A317),0)</f>
        <v>94</v>
      </c>
      <c r="D317">
        <f>ROUND(AVERAGEIFS([1]HOURLY_DATA!D317:D9100,[1]HOURLY_DATA!H317:H9100,Daily_AQI!A317),0)</f>
        <v>20</v>
      </c>
      <c r="E317">
        <f>ROUND(AVERAGEIFS([1]HOURLY_DATA!E317:E9100,[1]HOURLY_DATA!H317:H9100,Daily_AQI!A317),0)</f>
        <v>10</v>
      </c>
      <c r="F317">
        <f>ROUND(AVERAGEIFS([1]HOURLY_DATA!I317:I9100,[1]HOURLY_DATA!H317:H9100,Daily_AQI!A317),2)</f>
        <v>1</v>
      </c>
      <c r="G317">
        <f>ROUND(AVERAGEIFS([1]HOURLY_DATA!J317:J9100,[1]HOURLY_DATA!H317:H9100,Daily_AQI!A317),0)</f>
        <v>23</v>
      </c>
      <c r="H317">
        <f>ROUND(((_xlfn.XLOOKUP(B317,[1]!PM2.5[BLO],[1]!PM2.5[IHI],,-1) - _xlfn.XLOOKUP(B317,[1]!PM2.5[BLO],[1]!PM2.5[ILO],,-1))
/
(_xlfn.XLOOKUP(B317,[1]!PM2.5[BLO],[1]!PM2.5[BHI],,-1) - _xlfn.XLOOKUP(B317,[1]!PM2.5[BLO],[1]!PM2.5[BLO],,-1)))
*
(B317 - _xlfn.XLOOKUP(B317,[1]!PM2.5[BLO],[1]!PM2.5[BLO],,-1))
+
_xlfn.XLOOKUP(B317,[1]!PM2.5[BLO],[1]!PM2.5[ILO],,-1),2)</f>
        <v>78.03</v>
      </c>
      <c r="I317">
        <f>ROUND(((_xlfn.XLOOKUP(C317,[1]!PM_10[BLO],[1]!PM_10[IHI],,-1) - _xlfn.XLOOKUP(C317,[1]!PM_10[BLO],[1]!PM_10[ILO],,-1))
/
(_xlfn.XLOOKUP(C317,[1]!PM_10[BLO],[1]!PM_10[BHI],,-1) - _xlfn.XLOOKUP(C317,[1]!PM_10[BLO],[1]!PM_10[BLO],,-1)))
*
( C317 - _xlfn.XLOOKUP(C317,[1]!PM_10[BLO],[1]!PM_10[BLO],,-1))
+
_xlfn.XLOOKUP(C317,[1]!PM_10[BLO],[1]!PM_10[ILO],,-1),2)</f>
        <v>94</v>
      </c>
      <c r="J317">
        <f>ROUND((( _xlfn.XLOOKUP(D317,[1]!NO_2[BLO],[1]!NO_2[IHI],,-1) - _xlfn.XLOOKUP(D317,[1]!NO_2[BLO],[1]!NO_2[ILO],,-1))
/
( _xlfn.XLOOKUP(D317,[1]!NO_2[BLO],[1]!NO_2[BHI],,-1) - _xlfn.XLOOKUP(D317,[1]!NO_2[BLO],[1]!NO_2[BLO],,-1) ))
*
( D317 - _xlfn.XLOOKUP(D317,[1]!NO_2[BLO],[1]!NO_2[BLO],,-1))
+
_xlfn.XLOOKUP(D317,[1]!NO_2[BLO],[1]!NO_2[ILO],,-1),2)</f>
        <v>25</v>
      </c>
      <c r="K317">
        <f>ROUND(( ( _xlfn.XLOOKUP(E317,[1]!SO_2[BLO],[1]!SO_2[IHI],,-1)  - _xlfn.XLOOKUP(E317,[1]!SO_2[BLO],[1]!SO_2[ILO],,-1) )
/
( _xlfn.XLOOKUP(E317,[1]!SO_2[BLO],[1]!SO_2[BHI],,-1)- _xlfn.XLOOKUP(E317,[1]!SO_2[BLO],[1]!SO_2[BLO],,-1) ))
*
( E317 - _xlfn.XLOOKUP(E317,[1]!SO_2[BLO],[1]!SO_2[BLO],,-1) )
+
_xlfn.XLOOKUP(E317,[1]!SO_2[BLO],[1]!SO_2[ILO],,-1),2)</f>
        <v>12.5</v>
      </c>
      <c r="L317">
        <f>( ( _xlfn.XLOOKUP(F317,[1]!CO[BLO],[1]!CO[IHI],,-1)
- _xlfn.XLOOKUP(F317,[1]!CO[BLO],[1]!CO[ILO],,-1) )
/
( _xlfn.XLOOKUP(F317,[1]!CO[BLO],[1]!CO[BHI],,-1) - _xlfn.XLOOKUP(F317,[1]!CO[BLO],[1]!CO[BLO],,-1)))
*
( F317 - _xlfn.XLOOKUP(F317,[1]!CO[BLO],[1]!CO[BLO],,-1) )
+
_xlfn.XLOOKUP(F317,[1]!CO[BLO],[1]!CO[ILO],,-1)</f>
        <v>50</v>
      </c>
      <c r="M317">
        <f>(( _xlfn.XLOOKUP(G317,[1]!O_3[BLO],[1]!O_3[IHI],,-1) - _xlfn.XLOOKUP(G317,[1]!O_3[BLO],[1]!O_3[ILO],,-1))
/
( _xlfn.XLOOKUP(G317,[1]!O_3[BLO],[1]!O_3[BHI],,-1) - _xlfn.XLOOKUP(G317,[1]!O_3[BLO],[1]!O_3[BLO],,-1)))
*
( G317 - _xlfn.XLOOKUP(G317,[1]!O_3[BLO],[1]!O_3[BLO],,-1))
+
_xlfn.XLOOKUP(G317,[1]!O_3[BLO],[1]!O_3[ILO],,-1)</f>
        <v>23</v>
      </c>
      <c r="N317">
        <f>MAX(DAILY_DATA[[#This Row],[AQI_PM2.5]:[AQI_O3]])</f>
        <v>94</v>
      </c>
      <c r="O317" t="str">
        <f>_xlfn.XLOOKUP(DAILY_DATA[[#This Row],[OVERALL_AQI]],[1]!CATEGORY[AQI_LO],[1]!CATEGORY[CATEGORY],,-1)</f>
        <v>Satisfactory</v>
      </c>
      <c r="P317" t="str" cm="1">
        <f t="array" ref="P317">INDEX(
{"PM2.5","PM10","NO2","SO2","CO","O3"},
MATCH(N317,H317:M317,0)
)</f>
        <v>PM10</v>
      </c>
    </row>
    <row r="318" spans="1:16" x14ac:dyDescent="0.25">
      <c r="A318" s="4">
        <v>45608</v>
      </c>
      <c r="B318">
        <f>ROUND(AVERAGEIFS([1]HOURLY_DATA!B318:B9101,[1]HOURLY_DATA!H318:H9101,Daily_AQI!A318),0)</f>
        <v>46</v>
      </c>
      <c r="C318">
        <f>ROUND(AVERAGEIFS([1]HOURLY_DATA!C318:C9101,[1]HOURLY_DATA!H318:H9101,Daily_AQI!A318),0)</f>
        <v>94</v>
      </c>
      <c r="D318">
        <f>ROUND(AVERAGEIFS([1]HOURLY_DATA!D318:D9101,[1]HOURLY_DATA!H318:H9101,Daily_AQI!A318),0)</f>
        <v>20</v>
      </c>
      <c r="E318">
        <f>ROUND(AVERAGEIFS([1]HOURLY_DATA!E318:E9101,[1]HOURLY_DATA!H318:H9101,Daily_AQI!A318),0)</f>
        <v>10</v>
      </c>
      <c r="F318">
        <f>ROUND(AVERAGEIFS([1]HOURLY_DATA!I318:I9101,[1]HOURLY_DATA!H318:H9101,Daily_AQI!A318),2)</f>
        <v>0.99</v>
      </c>
      <c r="G318">
        <f>ROUND(AVERAGEIFS([1]HOURLY_DATA!J318:J9101,[1]HOURLY_DATA!H318:H9101,Daily_AQI!A318),0)</f>
        <v>24</v>
      </c>
      <c r="H318">
        <f>ROUND(((_xlfn.XLOOKUP(B318,[1]!PM2.5[BLO],[1]!PM2.5[IHI],,-1) - _xlfn.XLOOKUP(B318,[1]!PM2.5[BLO],[1]!PM2.5[ILO],,-1))
/
(_xlfn.XLOOKUP(B318,[1]!PM2.5[BLO],[1]!PM2.5[BHI],,-1) - _xlfn.XLOOKUP(B318,[1]!PM2.5[BLO],[1]!PM2.5[BLO],,-1)))
*
(B318 - _xlfn.XLOOKUP(B318,[1]!PM2.5[BLO],[1]!PM2.5[BLO],,-1))
+
_xlfn.XLOOKUP(B318,[1]!PM2.5[BLO],[1]!PM2.5[ILO],,-1),2)</f>
        <v>76.34</v>
      </c>
      <c r="I318">
        <f>ROUND(((_xlfn.XLOOKUP(C318,[1]!PM_10[BLO],[1]!PM_10[IHI],,-1) - _xlfn.XLOOKUP(C318,[1]!PM_10[BLO],[1]!PM_10[ILO],,-1))
/
(_xlfn.XLOOKUP(C318,[1]!PM_10[BLO],[1]!PM_10[BHI],,-1) - _xlfn.XLOOKUP(C318,[1]!PM_10[BLO],[1]!PM_10[BLO],,-1)))
*
( C318 - _xlfn.XLOOKUP(C318,[1]!PM_10[BLO],[1]!PM_10[BLO],,-1))
+
_xlfn.XLOOKUP(C318,[1]!PM_10[BLO],[1]!PM_10[ILO],,-1),2)</f>
        <v>94</v>
      </c>
      <c r="J318">
        <f>ROUND((( _xlfn.XLOOKUP(D318,[1]!NO_2[BLO],[1]!NO_2[IHI],,-1) - _xlfn.XLOOKUP(D318,[1]!NO_2[BLO],[1]!NO_2[ILO],,-1))
/
( _xlfn.XLOOKUP(D318,[1]!NO_2[BLO],[1]!NO_2[BHI],,-1) - _xlfn.XLOOKUP(D318,[1]!NO_2[BLO],[1]!NO_2[BLO],,-1) ))
*
( D318 - _xlfn.XLOOKUP(D318,[1]!NO_2[BLO],[1]!NO_2[BLO],,-1))
+
_xlfn.XLOOKUP(D318,[1]!NO_2[BLO],[1]!NO_2[ILO],,-1),2)</f>
        <v>25</v>
      </c>
      <c r="K318">
        <f>ROUND(( ( _xlfn.XLOOKUP(E318,[1]!SO_2[BLO],[1]!SO_2[IHI],,-1)  - _xlfn.XLOOKUP(E318,[1]!SO_2[BLO],[1]!SO_2[ILO],,-1) )
/
( _xlfn.XLOOKUP(E318,[1]!SO_2[BLO],[1]!SO_2[BHI],,-1)- _xlfn.XLOOKUP(E318,[1]!SO_2[BLO],[1]!SO_2[BLO],,-1) ))
*
( E318 - _xlfn.XLOOKUP(E318,[1]!SO_2[BLO],[1]!SO_2[BLO],,-1) )
+
_xlfn.XLOOKUP(E318,[1]!SO_2[BLO],[1]!SO_2[ILO],,-1),2)</f>
        <v>12.5</v>
      </c>
      <c r="L318">
        <f>( ( _xlfn.XLOOKUP(F318,[1]!CO[BLO],[1]!CO[IHI],,-1)
- _xlfn.XLOOKUP(F318,[1]!CO[BLO],[1]!CO[ILO],,-1) )
/
( _xlfn.XLOOKUP(F318,[1]!CO[BLO],[1]!CO[BHI],,-1) - _xlfn.XLOOKUP(F318,[1]!CO[BLO],[1]!CO[BLO],,-1)))
*
( F318 - _xlfn.XLOOKUP(F318,[1]!CO[BLO],[1]!CO[BLO],,-1) )
+
_xlfn.XLOOKUP(F318,[1]!CO[BLO],[1]!CO[ILO],,-1)</f>
        <v>49.5</v>
      </c>
      <c r="M318">
        <f>(( _xlfn.XLOOKUP(G318,[1]!O_3[BLO],[1]!O_3[IHI],,-1) - _xlfn.XLOOKUP(G318,[1]!O_3[BLO],[1]!O_3[ILO],,-1))
/
( _xlfn.XLOOKUP(G318,[1]!O_3[BLO],[1]!O_3[BHI],,-1) - _xlfn.XLOOKUP(G318,[1]!O_3[BLO],[1]!O_3[BLO],,-1)))
*
( G318 - _xlfn.XLOOKUP(G318,[1]!O_3[BLO],[1]!O_3[BLO],,-1))
+
_xlfn.XLOOKUP(G318,[1]!O_3[BLO],[1]!O_3[ILO],,-1)</f>
        <v>24</v>
      </c>
      <c r="N318">
        <f>MAX(DAILY_DATA[[#This Row],[AQI_PM2.5]:[AQI_O3]])</f>
        <v>94</v>
      </c>
      <c r="O318" t="str">
        <f>_xlfn.XLOOKUP(DAILY_DATA[[#This Row],[OVERALL_AQI]],[1]!CATEGORY[AQI_LO],[1]!CATEGORY[CATEGORY],,-1)</f>
        <v>Satisfactory</v>
      </c>
      <c r="P318" t="str" cm="1">
        <f t="array" ref="P318">INDEX(
{"PM2.5","PM10","NO2","SO2","CO","O3"},
MATCH(N318,H318:M318,0)
)</f>
        <v>PM10</v>
      </c>
    </row>
    <row r="319" spans="1:16" x14ac:dyDescent="0.25">
      <c r="A319" s="4">
        <v>45609</v>
      </c>
      <c r="B319">
        <f>ROUND(AVERAGEIFS([1]HOURLY_DATA!B319:B9102,[1]HOURLY_DATA!H319:H9102,Daily_AQI!A319),0)</f>
        <v>19</v>
      </c>
      <c r="C319">
        <f>ROUND(AVERAGEIFS([1]HOURLY_DATA!C319:C9102,[1]HOURLY_DATA!H319:H9102,Daily_AQI!A319),0)</f>
        <v>43</v>
      </c>
      <c r="D319">
        <f>ROUND(AVERAGEIFS([1]HOURLY_DATA!D319:D9102,[1]HOURLY_DATA!H319:H9102,Daily_AQI!A319),0)</f>
        <v>19</v>
      </c>
      <c r="E319">
        <f>ROUND(AVERAGEIFS([1]HOURLY_DATA!E319:E9102,[1]HOURLY_DATA!H319:H9102,Daily_AQI!A319),0)</f>
        <v>10</v>
      </c>
      <c r="F319">
        <f>ROUND(AVERAGEIFS([1]HOURLY_DATA!I319:I9102,[1]HOURLY_DATA!H319:H9102,Daily_AQI!A319),2)</f>
        <v>0.9</v>
      </c>
      <c r="G319">
        <f>ROUND(AVERAGEIFS([1]HOURLY_DATA!J319:J9102,[1]HOURLY_DATA!H319:H9102,Daily_AQI!A319),0)</f>
        <v>20</v>
      </c>
      <c r="H319">
        <f>ROUND(((_xlfn.XLOOKUP(B319,[1]!PM2.5[BLO],[1]!PM2.5[IHI],,-1) - _xlfn.XLOOKUP(B319,[1]!PM2.5[BLO],[1]!PM2.5[ILO],,-1))
/
(_xlfn.XLOOKUP(B319,[1]!PM2.5[BLO],[1]!PM2.5[BHI],,-1) - _xlfn.XLOOKUP(B319,[1]!PM2.5[BLO],[1]!PM2.5[BLO],,-1)))
*
(B319 - _xlfn.XLOOKUP(B319,[1]!PM2.5[BLO],[1]!PM2.5[BLO],,-1))
+
_xlfn.XLOOKUP(B319,[1]!PM2.5[BLO],[1]!PM2.5[ILO],,-1),2)</f>
        <v>31.67</v>
      </c>
      <c r="I319">
        <f>ROUND(((_xlfn.XLOOKUP(C319,[1]!PM_10[BLO],[1]!PM_10[IHI],,-1) - _xlfn.XLOOKUP(C319,[1]!PM_10[BLO],[1]!PM_10[ILO],,-1))
/
(_xlfn.XLOOKUP(C319,[1]!PM_10[BLO],[1]!PM_10[BHI],,-1) - _xlfn.XLOOKUP(C319,[1]!PM_10[BLO],[1]!PM_10[BLO],,-1)))
*
( C319 - _xlfn.XLOOKUP(C319,[1]!PM_10[BLO],[1]!PM_10[BLO],,-1))
+
_xlfn.XLOOKUP(C319,[1]!PM_10[BLO],[1]!PM_10[ILO],,-1),2)</f>
        <v>43</v>
      </c>
      <c r="J319">
        <f>ROUND((( _xlfn.XLOOKUP(D319,[1]!NO_2[BLO],[1]!NO_2[IHI],,-1) - _xlfn.XLOOKUP(D319,[1]!NO_2[BLO],[1]!NO_2[ILO],,-1))
/
( _xlfn.XLOOKUP(D319,[1]!NO_2[BLO],[1]!NO_2[BHI],,-1) - _xlfn.XLOOKUP(D319,[1]!NO_2[BLO],[1]!NO_2[BLO],,-1) ))
*
( D319 - _xlfn.XLOOKUP(D319,[1]!NO_2[BLO],[1]!NO_2[BLO],,-1))
+
_xlfn.XLOOKUP(D319,[1]!NO_2[BLO],[1]!NO_2[ILO],,-1),2)</f>
        <v>23.75</v>
      </c>
      <c r="K319">
        <f>ROUND(( ( _xlfn.XLOOKUP(E319,[1]!SO_2[BLO],[1]!SO_2[IHI],,-1)  - _xlfn.XLOOKUP(E319,[1]!SO_2[BLO],[1]!SO_2[ILO],,-1) )
/
( _xlfn.XLOOKUP(E319,[1]!SO_2[BLO],[1]!SO_2[BHI],,-1)- _xlfn.XLOOKUP(E319,[1]!SO_2[BLO],[1]!SO_2[BLO],,-1) ))
*
( E319 - _xlfn.XLOOKUP(E319,[1]!SO_2[BLO],[1]!SO_2[BLO],,-1) )
+
_xlfn.XLOOKUP(E319,[1]!SO_2[BLO],[1]!SO_2[ILO],,-1),2)</f>
        <v>12.5</v>
      </c>
      <c r="L319">
        <f>( ( _xlfn.XLOOKUP(F319,[1]!CO[BLO],[1]!CO[IHI],,-1)
- _xlfn.XLOOKUP(F319,[1]!CO[BLO],[1]!CO[ILO],,-1) )
/
( _xlfn.XLOOKUP(F319,[1]!CO[BLO],[1]!CO[BHI],,-1) - _xlfn.XLOOKUP(F319,[1]!CO[BLO],[1]!CO[BLO],,-1)))
*
( F319 - _xlfn.XLOOKUP(F319,[1]!CO[BLO],[1]!CO[BLO],,-1) )
+
_xlfn.XLOOKUP(F319,[1]!CO[BLO],[1]!CO[ILO],,-1)</f>
        <v>45</v>
      </c>
      <c r="M319">
        <f>(( _xlfn.XLOOKUP(G319,[1]!O_3[BLO],[1]!O_3[IHI],,-1) - _xlfn.XLOOKUP(G319,[1]!O_3[BLO],[1]!O_3[ILO],,-1))
/
( _xlfn.XLOOKUP(G319,[1]!O_3[BLO],[1]!O_3[BHI],,-1) - _xlfn.XLOOKUP(G319,[1]!O_3[BLO],[1]!O_3[BLO],,-1)))
*
( G319 - _xlfn.XLOOKUP(G319,[1]!O_3[BLO],[1]!O_3[BLO],,-1))
+
_xlfn.XLOOKUP(G319,[1]!O_3[BLO],[1]!O_3[ILO],,-1)</f>
        <v>20</v>
      </c>
      <c r="N319">
        <f>MAX(DAILY_DATA[[#This Row],[AQI_PM2.5]:[AQI_O3]])</f>
        <v>45</v>
      </c>
      <c r="O319" t="str">
        <f>_xlfn.XLOOKUP(DAILY_DATA[[#This Row],[OVERALL_AQI]],[1]!CATEGORY[AQI_LO],[1]!CATEGORY[CATEGORY],,-1)</f>
        <v>Good</v>
      </c>
      <c r="P319" t="str" cm="1">
        <f t="array" ref="P319">INDEX(
{"PM2.5","PM10","NO2","SO2","CO","O3"},
MATCH(N319,H319:M319,0)
)</f>
        <v>CO</v>
      </c>
    </row>
    <row r="320" spans="1:16" x14ac:dyDescent="0.25">
      <c r="A320" s="4">
        <v>45610</v>
      </c>
      <c r="B320">
        <f>ROUND(AVERAGEIFS([1]HOURLY_DATA!B320:B9103,[1]HOURLY_DATA!H320:H9103,Daily_AQI!A320),0)</f>
        <v>19</v>
      </c>
      <c r="C320">
        <f>ROUND(AVERAGEIFS([1]HOURLY_DATA!C320:C9103,[1]HOURLY_DATA!H320:H9103,Daily_AQI!A320),0)</f>
        <v>42</v>
      </c>
      <c r="D320">
        <f>ROUND(AVERAGEIFS([1]HOURLY_DATA!D320:D9103,[1]HOURLY_DATA!H320:H9103,Daily_AQI!A320),0)</f>
        <v>19</v>
      </c>
      <c r="E320">
        <f>ROUND(AVERAGEIFS([1]HOURLY_DATA!E320:E9103,[1]HOURLY_DATA!H320:H9103,Daily_AQI!A320),0)</f>
        <v>11</v>
      </c>
      <c r="F320">
        <f>ROUND(AVERAGEIFS([1]HOURLY_DATA!I320:I9103,[1]HOURLY_DATA!H320:H9103,Daily_AQI!A320),2)</f>
        <v>0.91</v>
      </c>
      <c r="G320">
        <f>ROUND(AVERAGEIFS([1]HOURLY_DATA!J320:J9103,[1]HOURLY_DATA!H320:H9103,Daily_AQI!A320),0)</f>
        <v>20</v>
      </c>
      <c r="H320">
        <f>ROUND(((_xlfn.XLOOKUP(B320,[1]!PM2.5[BLO],[1]!PM2.5[IHI],,-1) - _xlfn.XLOOKUP(B320,[1]!PM2.5[BLO],[1]!PM2.5[ILO],,-1))
/
(_xlfn.XLOOKUP(B320,[1]!PM2.5[BLO],[1]!PM2.5[BHI],,-1) - _xlfn.XLOOKUP(B320,[1]!PM2.5[BLO],[1]!PM2.5[BLO],,-1)))
*
(B320 - _xlfn.XLOOKUP(B320,[1]!PM2.5[BLO],[1]!PM2.5[BLO],,-1))
+
_xlfn.XLOOKUP(B320,[1]!PM2.5[BLO],[1]!PM2.5[ILO],,-1),2)</f>
        <v>31.67</v>
      </c>
      <c r="I320">
        <f>ROUND(((_xlfn.XLOOKUP(C320,[1]!PM_10[BLO],[1]!PM_10[IHI],,-1) - _xlfn.XLOOKUP(C320,[1]!PM_10[BLO],[1]!PM_10[ILO],,-1))
/
(_xlfn.XLOOKUP(C320,[1]!PM_10[BLO],[1]!PM_10[BHI],,-1) - _xlfn.XLOOKUP(C320,[1]!PM_10[BLO],[1]!PM_10[BLO],,-1)))
*
( C320 - _xlfn.XLOOKUP(C320,[1]!PM_10[BLO],[1]!PM_10[BLO],,-1))
+
_xlfn.XLOOKUP(C320,[1]!PM_10[BLO],[1]!PM_10[ILO],,-1),2)</f>
        <v>42</v>
      </c>
      <c r="J320">
        <f>ROUND((( _xlfn.XLOOKUP(D320,[1]!NO_2[BLO],[1]!NO_2[IHI],,-1) - _xlfn.XLOOKUP(D320,[1]!NO_2[BLO],[1]!NO_2[ILO],,-1))
/
( _xlfn.XLOOKUP(D320,[1]!NO_2[BLO],[1]!NO_2[BHI],,-1) - _xlfn.XLOOKUP(D320,[1]!NO_2[BLO],[1]!NO_2[BLO],,-1) ))
*
( D320 - _xlfn.XLOOKUP(D320,[1]!NO_2[BLO],[1]!NO_2[BLO],,-1))
+
_xlfn.XLOOKUP(D320,[1]!NO_2[BLO],[1]!NO_2[ILO],,-1),2)</f>
        <v>23.75</v>
      </c>
      <c r="K320">
        <f>ROUND(( ( _xlfn.XLOOKUP(E320,[1]!SO_2[BLO],[1]!SO_2[IHI],,-1)  - _xlfn.XLOOKUP(E320,[1]!SO_2[BLO],[1]!SO_2[ILO],,-1) )
/
( _xlfn.XLOOKUP(E320,[1]!SO_2[BLO],[1]!SO_2[BHI],,-1)- _xlfn.XLOOKUP(E320,[1]!SO_2[BLO],[1]!SO_2[BLO],,-1) ))
*
( E320 - _xlfn.XLOOKUP(E320,[1]!SO_2[BLO],[1]!SO_2[BLO],,-1) )
+
_xlfn.XLOOKUP(E320,[1]!SO_2[BLO],[1]!SO_2[ILO],,-1),2)</f>
        <v>13.75</v>
      </c>
      <c r="L320">
        <f>( ( _xlfn.XLOOKUP(F320,[1]!CO[BLO],[1]!CO[IHI],,-1)
- _xlfn.XLOOKUP(F320,[1]!CO[BLO],[1]!CO[ILO],,-1) )
/
( _xlfn.XLOOKUP(F320,[1]!CO[BLO],[1]!CO[BHI],,-1) - _xlfn.XLOOKUP(F320,[1]!CO[BLO],[1]!CO[BLO],,-1)))
*
( F320 - _xlfn.XLOOKUP(F320,[1]!CO[BLO],[1]!CO[BLO],,-1) )
+
_xlfn.XLOOKUP(F320,[1]!CO[BLO],[1]!CO[ILO],,-1)</f>
        <v>45.5</v>
      </c>
      <c r="M320">
        <f>(( _xlfn.XLOOKUP(G320,[1]!O_3[BLO],[1]!O_3[IHI],,-1) - _xlfn.XLOOKUP(G320,[1]!O_3[BLO],[1]!O_3[ILO],,-1))
/
( _xlfn.XLOOKUP(G320,[1]!O_3[BLO],[1]!O_3[BHI],,-1) - _xlfn.XLOOKUP(G320,[1]!O_3[BLO],[1]!O_3[BLO],,-1)))
*
( G320 - _xlfn.XLOOKUP(G320,[1]!O_3[BLO],[1]!O_3[BLO],,-1))
+
_xlfn.XLOOKUP(G320,[1]!O_3[BLO],[1]!O_3[ILO],,-1)</f>
        <v>20</v>
      </c>
      <c r="N320">
        <f>MAX(DAILY_DATA[[#This Row],[AQI_PM2.5]:[AQI_O3]])</f>
        <v>45.5</v>
      </c>
      <c r="O320" t="str">
        <f>_xlfn.XLOOKUP(DAILY_DATA[[#This Row],[OVERALL_AQI]],[1]!CATEGORY[AQI_LO],[1]!CATEGORY[CATEGORY],,-1)</f>
        <v>Good</v>
      </c>
      <c r="P320" t="str" cm="1">
        <f t="array" ref="P320">INDEX(
{"PM2.5","PM10","NO2","SO2","CO","O3"},
MATCH(N320,H320:M320,0)
)</f>
        <v>CO</v>
      </c>
    </row>
    <row r="321" spans="1:16" x14ac:dyDescent="0.25">
      <c r="A321" s="4">
        <v>45611</v>
      </c>
      <c r="B321">
        <f>ROUND(AVERAGEIFS([1]HOURLY_DATA!B321:B9104,[1]HOURLY_DATA!H321:H9104,Daily_AQI!A321),0)</f>
        <v>20</v>
      </c>
      <c r="C321">
        <f>ROUND(AVERAGEIFS([1]HOURLY_DATA!C321:C9104,[1]HOURLY_DATA!H321:H9104,Daily_AQI!A321),0)</f>
        <v>45</v>
      </c>
      <c r="D321">
        <f>ROUND(AVERAGEIFS([1]HOURLY_DATA!D321:D9104,[1]HOURLY_DATA!H321:H9104,Daily_AQI!A321),0)</f>
        <v>18</v>
      </c>
      <c r="E321">
        <f>ROUND(AVERAGEIFS([1]HOURLY_DATA!E321:E9104,[1]HOURLY_DATA!H321:H9104,Daily_AQI!A321),0)</f>
        <v>11</v>
      </c>
      <c r="F321">
        <f>ROUND(AVERAGEIFS([1]HOURLY_DATA!I321:I9104,[1]HOURLY_DATA!H321:H9104,Daily_AQI!A321),2)</f>
        <v>0.94</v>
      </c>
      <c r="G321">
        <f>ROUND(AVERAGEIFS([1]HOURLY_DATA!J321:J9104,[1]HOURLY_DATA!H321:H9104,Daily_AQI!A321),0)</f>
        <v>20</v>
      </c>
      <c r="H321">
        <f>ROUND(((_xlfn.XLOOKUP(B321,[1]!PM2.5[BLO],[1]!PM2.5[IHI],,-1) - _xlfn.XLOOKUP(B321,[1]!PM2.5[BLO],[1]!PM2.5[ILO],,-1))
/
(_xlfn.XLOOKUP(B321,[1]!PM2.5[BLO],[1]!PM2.5[BHI],,-1) - _xlfn.XLOOKUP(B321,[1]!PM2.5[BLO],[1]!PM2.5[BLO],,-1)))
*
(B321 - _xlfn.XLOOKUP(B321,[1]!PM2.5[BLO],[1]!PM2.5[BLO],,-1))
+
_xlfn.XLOOKUP(B321,[1]!PM2.5[BLO],[1]!PM2.5[ILO],,-1),2)</f>
        <v>33.33</v>
      </c>
      <c r="I321">
        <f>ROUND(((_xlfn.XLOOKUP(C321,[1]!PM_10[BLO],[1]!PM_10[IHI],,-1) - _xlfn.XLOOKUP(C321,[1]!PM_10[BLO],[1]!PM_10[ILO],,-1))
/
(_xlfn.XLOOKUP(C321,[1]!PM_10[BLO],[1]!PM_10[BHI],,-1) - _xlfn.XLOOKUP(C321,[1]!PM_10[BLO],[1]!PM_10[BLO],,-1)))
*
( C321 - _xlfn.XLOOKUP(C321,[1]!PM_10[BLO],[1]!PM_10[BLO],,-1))
+
_xlfn.XLOOKUP(C321,[1]!PM_10[BLO],[1]!PM_10[ILO],,-1),2)</f>
        <v>45</v>
      </c>
      <c r="J321">
        <f>ROUND((( _xlfn.XLOOKUP(D321,[1]!NO_2[BLO],[1]!NO_2[IHI],,-1) - _xlfn.XLOOKUP(D321,[1]!NO_2[BLO],[1]!NO_2[ILO],,-1))
/
( _xlfn.XLOOKUP(D321,[1]!NO_2[BLO],[1]!NO_2[BHI],,-1) - _xlfn.XLOOKUP(D321,[1]!NO_2[BLO],[1]!NO_2[BLO],,-1) ))
*
( D321 - _xlfn.XLOOKUP(D321,[1]!NO_2[BLO],[1]!NO_2[BLO],,-1))
+
_xlfn.XLOOKUP(D321,[1]!NO_2[BLO],[1]!NO_2[ILO],,-1),2)</f>
        <v>22.5</v>
      </c>
      <c r="K321">
        <f>ROUND(( ( _xlfn.XLOOKUP(E321,[1]!SO_2[BLO],[1]!SO_2[IHI],,-1)  - _xlfn.XLOOKUP(E321,[1]!SO_2[BLO],[1]!SO_2[ILO],,-1) )
/
( _xlfn.XLOOKUP(E321,[1]!SO_2[BLO],[1]!SO_2[BHI],,-1)- _xlfn.XLOOKUP(E321,[1]!SO_2[BLO],[1]!SO_2[BLO],,-1) ))
*
( E321 - _xlfn.XLOOKUP(E321,[1]!SO_2[BLO],[1]!SO_2[BLO],,-1) )
+
_xlfn.XLOOKUP(E321,[1]!SO_2[BLO],[1]!SO_2[ILO],,-1),2)</f>
        <v>13.75</v>
      </c>
      <c r="L321">
        <f>( ( _xlfn.XLOOKUP(F321,[1]!CO[BLO],[1]!CO[IHI],,-1)
- _xlfn.XLOOKUP(F321,[1]!CO[BLO],[1]!CO[ILO],,-1) )
/
( _xlfn.XLOOKUP(F321,[1]!CO[BLO],[1]!CO[BHI],,-1) - _xlfn.XLOOKUP(F321,[1]!CO[BLO],[1]!CO[BLO],,-1)))
*
( F321 - _xlfn.XLOOKUP(F321,[1]!CO[BLO],[1]!CO[BLO],,-1) )
+
_xlfn.XLOOKUP(F321,[1]!CO[BLO],[1]!CO[ILO],,-1)</f>
        <v>47</v>
      </c>
      <c r="M321">
        <f>(( _xlfn.XLOOKUP(G321,[1]!O_3[BLO],[1]!O_3[IHI],,-1) - _xlfn.XLOOKUP(G321,[1]!O_3[BLO],[1]!O_3[ILO],,-1))
/
( _xlfn.XLOOKUP(G321,[1]!O_3[BLO],[1]!O_3[BHI],,-1) - _xlfn.XLOOKUP(G321,[1]!O_3[BLO],[1]!O_3[BLO],,-1)))
*
( G321 - _xlfn.XLOOKUP(G321,[1]!O_3[BLO],[1]!O_3[BLO],,-1))
+
_xlfn.XLOOKUP(G321,[1]!O_3[BLO],[1]!O_3[ILO],,-1)</f>
        <v>20</v>
      </c>
      <c r="N321">
        <f>MAX(DAILY_DATA[[#This Row],[AQI_PM2.5]:[AQI_O3]])</f>
        <v>47</v>
      </c>
      <c r="O321" t="str">
        <f>_xlfn.XLOOKUP(DAILY_DATA[[#This Row],[OVERALL_AQI]],[1]!CATEGORY[AQI_LO],[1]!CATEGORY[CATEGORY],,-1)</f>
        <v>Good</v>
      </c>
      <c r="P321" t="str" cm="1">
        <f t="array" ref="P321">INDEX(
{"PM2.5","PM10","NO2","SO2","CO","O3"},
MATCH(N321,H321:M321,0)
)</f>
        <v>CO</v>
      </c>
    </row>
    <row r="322" spans="1:16" x14ac:dyDescent="0.25">
      <c r="A322" s="4">
        <v>45612</v>
      </c>
      <c r="B322">
        <f>ROUND(AVERAGEIFS([1]HOURLY_DATA!B322:B9105,[1]HOURLY_DATA!H322:H9105,Daily_AQI!A322),0)</f>
        <v>21</v>
      </c>
      <c r="C322">
        <f>ROUND(AVERAGEIFS([1]HOURLY_DATA!C322:C9105,[1]HOURLY_DATA!H322:H9105,Daily_AQI!A322),0)</f>
        <v>49</v>
      </c>
      <c r="D322">
        <f>ROUND(AVERAGEIFS([1]HOURLY_DATA!D322:D9105,[1]HOURLY_DATA!H322:H9105,Daily_AQI!A322),0)</f>
        <v>18</v>
      </c>
      <c r="E322">
        <f>ROUND(AVERAGEIFS([1]HOURLY_DATA!E322:E9105,[1]HOURLY_DATA!H322:H9105,Daily_AQI!A322),0)</f>
        <v>10</v>
      </c>
      <c r="F322">
        <f>ROUND(AVERAGEIFS([1]HOURLY_DATA!I322:I9105,[1]HOURLY_DATA!H322:H9105,Daily_AQI!A322),2)</f>
        <v>0.96</v>
      </c>
      <c r="G322">
        <f>ROUND(AVERAGEIFS([1]HOURLY_DATA!J322:J9105,[1]HOURLY_DATA!H322:H9105,Daily_AQI!A322),0)</f>
        <v>20</v>
      </c>
      <c r="H322">
        <f>ROUND(((_xlfn.XLOOKUP(B322,[1]!PM2.5[BLO],[1]!PM2.5[IHI],,-1) - _xlfn.XLOOKUP(B322,[1]!PM2.5[BLO],[1]!PM2.5[ILO],,-1))
/
(_xlfn.XLOOKUP(B322,[1]!PM2.5[BLO],[1]!PM2.5[BHI],,-1) - _xlfn.XLOOKUP(B322,[1]!PM2.5[BLO],[1]!PM2.5[BLO],,-1)))
*
(B322 - _xlfn.XLOOKUP(B322,[1]!PM2.5[BLO],[1]!PM2.5[BLO],,-1))
+
_xlfn.XLOOKUP(B322,[1]!PM2.5[BLO],[1]!PM2.5[ILO],,-1),2)</f>
        <v>35</v>
      </c>
      <c r="I322">
        <f>ROUND(((_xlfn.XLOOKUP(C322,[1]!PM_10[BLO],[1]!PM_10[IHI],,-1) - _xlfn.XLOOKUP(C322,[1]!PM_10[BLO],[1]!PM_10[ILO],,-1))
/
(_xlfn.XLOOKUP(C322,[1]!PM_10[BLO],[1]!PM_10[BHI],,-1) - _xlfn.XLOOKUP(C322,[1]!PM_10[BLO],[1]!PM_10[BLO],,-1)))
*
( C322 - _xlfn.XLOOKUP(C322,[1]!PM_10[BLO],[1]!PM_10[BLO],,-1))
+
_xlfn.XLOOKUP(C322,[1]!PM_10[BLO],[1]!PM_10[ILO],,-1),2)</f>
        <v>49</v>
      </c>
      <c r="J322">
        <f>ROUND((( _xlfn.XLOOKUP(D322,[1]!NO_2[BLO],[1]!NO_2[IHI],,-1) - _xlfn.XLOOKUP(D322,[1]!NO_2[BLO],[1]!NO_2[ILO],,-1))
/
( _xlfn.XLOOKUP(D322,[1]!NO_2[BLO],[1]!NO_2[BHI],,-1) - _xlfn.XLOOKUP(D322,[1]!NO_2[BLO],[1]!NO_2[BLO],,-1) ))
*
( D322 - _xlfn.XLOOKUP(D322,[1]!NO_2[BLO],[1]!NO_2[BLO],,-1))
+
_xlfn.XLOOKUP(D322,[1]!NO_2[BLO],[1]!NO_2[ILO],,-1),2)</f>
        <v>22.5</v>
      </c>
      <c r="K322">
        <f>ROUND(( ( _xlfn.XLOOKUP(E322,[1]!SO_2[BLO],[1]!SO_2[IHI],,-1)  - _xlfn.XLOOKUP(E322,[1]!SO_2[BLO],[1]!SO_2[ILO],,-1) )
/
( _xlfn.XLOOKUP(E322,[1]!SO_2[BLO],[1]!SO_2[BHI],,-1)- _xlfn.XLOOKUP(E322,[1]!SO_2[BLO],[1]!SO_2[BLO],,-1) ))
*
( E322 - _xlfn.XLOOKUP(E322,[1]!SO_2[BLO],[1]!SO_2[BLO],,-1) )
+
_xlfn.XLOOKUP(E322,[1]!SO_2[BLO],[1]!SO_2[ILO],,-1),2)</f>
        <v>12.5</v>
      </c>
      <c r="L322">
        <f>( ( _xlfn.XLOOKUP(F322,[1]!CO[BLO],[1]!CO[IHI],,-1)
- _xlfn.XLOOKUP(F322,[1]!CO[BLO],[1]!CO[ILO],,-1) )
/
( _xlfn.XLOOKUP(F322,[1]!CO[BLO],[1]!CO[BHI],,-1) - _xlfn.XLOOKUP(F322,[1]!CO[BLO],[1]!CO[BLO],,-1)))
*
( F322 - _xlfn.XLOOKUP(F322,[1]!CO[BLO],[1]!CO[BLO],,-1) )
+
_xlfn.XLOOKUP(F322,[1]!CO[BLO],[1]!CO[ILO],,-1)</f>
        <v>48</v>
      </c>
      <c r="M322">
        <f>(( _xlfn.XLOOKUP(G322,[1]!O_3[BLO],[1]!O_3[IHI],,-1) - _xlfn.XLOOKUP(G322,[1]!O_3[BLO],[1]!O_3[ILO],,-1))
/
( _xlfn.XLOOKUP(G322,[1]!O_3[BLO],[1]!O_3[BHI],,-1) - _xlfn.XLOOKUP(G322,[1]!O_3[BLO],[1]!O_3[BLO],,-1)))
*
( G322 - _xlfn.XLOOKUP(G322,[1]!O_3[BLO],[1]!O_3[BLO],,-1))
+
_xlfn.XLOOKUP(G322,[1]!O_3[BLO],[1]!O_3[ILO],,-1)</f>
        <v>20</v>
      </c>
      <c r="N322">
        <f>MAX(DAILY_DATA[[#This Row],[AQI_PM2.5]:[AQI_O3]])</f>
        <v>49</v>
      </c>
      <c r="O322" t="str">
        <f>_xlfn.XLOOKUP(DAILY_DATA[[#This Row],[OVERALL_AQI]],[1]!CATEGORY[AQI_LO],[1]!CATEGORY[CATEGORY],,-1)</f>
        <v>Good</v>
      </c>
      <c r="P322" t="str" cm="1">
        <f t="array" ref="P322">INDEX(
{"PM2.5","PM10","NO2","SO2","CO","O3"},
MATCH(N322,H322:M322,0)
)</f>
        <v>PM10</v>
      </c>
    </row>
    <row r="323" spans="1:16" x14ac:dyDescent="0.25">
      <c r="A323" s="4">
        <v>45613</v>
      </c>
      <c r="B323">
        <f>ROUND(AVERAGEIFS([1]HOURLY_DATA!B323:B9106,[1]HOURLY_DATA!H323:H9106,Daily_AQI!A323),0)</f>
        <v>38</v>
      </c>
      <c r="C323">
        <f>ROUND(AVERAGEIFS([1]HOURLY_DATA!C323:C9106,[1]HOURLY_DATA!H323:H9106,Daily_AQI!A323),0)</f>
        <v>81</v>
      </c>
      <c r="D323">
        <f>ROUND(AVERAGEIFS([1]HOURLY_DATA!D323:D9106,[1]HOURLY_DATA!H323:H9106,Daily_AQI!A323),0)</f>
        <v>18</v>
      </c>
      <c r="E323">
        <f>ROUND(AVERAGEIFS([1]HOURLY_DATA!E323:E9106,[1]HOURLY_DATA!H323:H9106,Daily_AQI!A323),0)</f>
        <v>11</v>
      </c>
      <c r="F323">
        <f>ROUND(AVERAGEIFS([1]HOURLY_DATA!I323:I9106,[1]HOURLY_DATA!H323:H9106,Daily_AQI!A323),2)</f>
        <v>0.93</v>
      </c>
      <c r="G323">
        <f>ROUND(AVERAGEIFS([1]HOURLY_DATA!J323:J9106,[1]HOURLY_DATA!H323:H9106,Daily_AQI!A323),0)</f>
        <v>21</v>
      </c>
      <c r="H323">
        <f>ROUND(((_xlfn.XLOOKUP(B323,[1]!PM2.5[BLO],[1]!PM2.5[IHI],,-1) - _xlfn.XLOOKUP(B323,[1]!PM2.5[BLO],[1]!PM2.5[ILO],,-1))
/
(_xlfn.XLOOKUP(B323,[1]!PM2.5[BLO],[1]!PM2.5[BHI],,-1) - _xlfn.XLOOKUP(B323,[1]!PM2.5[BLO],[1]!PM2.5[BLO],,-1)))
*
(B323 - _xlfn.XLOOKUP(B323,[1]!PM2.5[BLO],[1]!PM2.5[BLO],,-1))
+
_xlfn.XLOOKUP(B323,[1]!PM2.5[BLO],[1]!PM2.5[ILO],,-1),2)</f>
        <v>62.83</v>
      </c>
      <c r="I323">
        <f>ROUND(((_xlfn.XLOOKUP(C323,[1]!PM_10[BLO],[1]!PM_10[IHI],,-1) - _xlfn.XLOOKUP(C323,[1]!PM_10[BLO],[1]!PM_10[ILO],,-1))
/
(_xlfn.XLOOKUP(C323,[1]!PM_10[BLO],[1]!PM_10[BHI],,-1) - _xlfn.XLOOKUP(C323,[1]!PM_10[BLO],[1]!PM_10[BLO],,-1)))
*
( C323 - _xlfn.XLOOKUP(C323,[1]!PM_10[BLO],[1]!PM_10[BLO],,-1))
+
_xlfn.XLOOKUP(C323,[1]!PM_10[BLO],[1]!PM_10[ILO],,-1),2)</f>
        <v>81</v>
      </c>
      <c r="J323">
        <f>ROUND((( _xlfn.XLOOKUP(D323,[1]!NO_2[BLO],[1]!NO_2[IHI],,-1) - _xlfn.XLOOKUP(D323,[1]!NO_2[BLO],[1]!NO_2[ILO],,-1))
/
( _xlfn.XLOOKUP(D323,[1]!NO_2[BLO],[1]!NO_2[BHI],,-1) - _xlfn.XLOOKUP(D323,[1]!NO_2[BLO],[1]!NO_2[BLO],,-1) ))
*
( D323 - _xlfn.XLOOKUP(D323,[1]!NO_2[BLO],[1]!NO_2[BLO],,-1))
+
_xlfn.XLOOKUP(D323,[1]!NO_2[BLO],[1]!NO_2[ILO],,-1),2)</f>
        <v>22.5</v>
      </c>
      <c r="K323">
        <f>ROUND(( ( _xlfn.XLOOKUP(E323,[1]!SO_2[BLO],[1]!SO_2[IHI],,-1)  - _xlfn.XLOOKUP(E323,[1]!SO_2[BLO],[1]!SO_2[ILO],,-1) )
/
( _xlfn.XLOOKUP(E323,[1]!SO_2[BLO],[1]!SO_2[BHI],,-1)- _xlfn.XLOOKUP(E323,[1]!SO_2[BLO],[1]!SO_2[BLO],,-1) ))
*
( E323 - _xlfn.XLOOKUP(E323,[1]!SO_2[BLO],[1]!SO_2[BLO],,-1) )
+
_xlfn.XLOOKUP(E323,[1]!SO_2[BLO],[1]!SO_2[ILO],,-1),2)</f>
        <v>13.75</v>
      </c>
      <c r="L323">
        <f>( ( _xlfn.XLOOKUP(F323,[1]!CO[BLO],[1]!CO[IHI],,-1)
- _xlfn.XLOOKUP(F323,[1]!CO[BLO],[1]!CO[ILO],,-1) )
/
( _xlfn.XLOOKUP(F323,[1]!CO[BLO],[1]!CO[BHI],,-1) - _xlfn.XLOOKUP(F323,[1]!CO[BLO],[1]!CO[BLO],,-1)))
*
( F323 - _xlfn.XLOOKUP(F323,[1]!CO[BLO],[1]!CO[BLO],,-1) )
+
_xlfn.XLOOKUP(F323,[1]!CO[BLO],[1]!CO[ILO],,-1)</f>
        <v>46.5</v>
      </c>
      <c r="M323">
        <f>(( _xlfn.XLOOKUP(G323,[1]!O_3[BLO],[1]!O_3[IHI],,-1) - _xlfn.XLOOKUP(G323,[1]!O_3[BLO],[1]!O_3[ILO],,-1))
/
( _xlfn.XLOOKUP(G323,[1]!O_3[BLO],[1]!O_3[BHI],,-1) - _xlfn.XLOOKUP(G323,[1]!O_3[BLO],[1]!O_3[BLO],,-1)))
*
( G323 - _xlfn.XLOOKUP(G323,[1]!O_3[BLO],[1]!O_3[BLO],,-1))
+
_xlfn.XLOOKUP(G323,[1]!O_3[BLO],[1]!O_3[ILO],,-1)</f>
        <v>21</v>
      </c>
      <c r="N323">
        <f>MAX(DAILY_DATA[[#This Row],[AQI_PM2.5]:[AQI_O3]])</f>
        <v>81</v>
      </c>
      <c r="O323" t="str">
        <f>_xlfn.XLOOKUP(DAILY_DATA[[#This Row],[OVERALL_AQI]],[1]!CATEGORY[AQI_LO],[1]!CATEGORY[CATEGORY],,-1)</f>
        <v>Satisfactory</v>
      </c>
      <c r="P323" t="str" cm="1">
        <f t="array" ref="P323">INDEX(
{"PM2.5","PM10","NO2","SO2","CO","O3"},
MATCH(N323,H323:M323,0)
)</f>
        <v>PM10</v>
      </c>
    </row>
    <row r="324" spans="1:16" x14ac:dyDescent="0.25">
      <c r="A324" s="4">
        <v>45614</v>
      </c>
      <c r="B324">
        <f>ROUND(AVERAGEIFS([1]HOURLY_DATA!B324:B9107,[1]HOURLY_DATA!H324:H9107,Daily_AQI!A324),0)</f>
        <v>45</v>
      </c>
      <c r="C324">
        <f>ROUND(AVERAGEIFS([1]HOURLY_DATA!C324:C9107,[1]HOURLY_DATA!H324:H9107,Daily_AQI!A324),0)</f>
        <v>94</v>
      </c>
      <c r="D324">
        <f>ROUND(AVERAGEIFS([1]HOURLY_DATA!D324:D9107,[1]HOURLY_DATA!H324:H9107,Daily_AQI!A324),0)</f>
        <v>19</v>
      </c>
      <c r="E324">
        <f>ROUND(AVERAGEIFS([1]HOURLY_DATA!E324:E9107,[1]HOURLY_DATA!H324:H9107,Daily_AQI!A324),0)</f>
        <v>11</v>
      </c>
      <c r="F324">
        <f>ROUND(AVERAGEIFS([1]HOURLY_DATA!I324:I9107,[1]HOURLY_DATA!H324:H9107,Daily_AQI!A324),2)</f>
        <v>0.93</v>
      </c>
      <c r="G324">
        <f>ROUND(AVERAGEIFS([1]HOURLY_DATA!J324:J9107,[1]HOURLY_DATA!H324:H9107,Daily_AQI!A324),0)</f>
        <v>23</v>
      </c>
      <c r="H324">
        <f>ROUND(((_xlfn.XLOOKUP(B324,[1]!PM2.5[BLO],[1]!PM2.5[IHI],,-1) - _xlfn.XLOOKUP(B324,[1]!PM2.5[BLO],[1]!PM2.5[ILO],,-1))
/
(_xlfn.XLOOKUP(B324,[1]!PM2.5[BLO],[1]!PM2.5[BHI],,-1) - _xlfn.XLOOKUP(B324,[1]!PM2.5[BLO],[1]!PM2.5[BLO],,-1)))
*
(B324 - _xlfn.XLOOKUP(B324,[1]!PM2.5[BLO],[1]!PM2.5[BLO],,-1))
+
_xlfn.XLOOKUP(B324,[1]!PM2.5[BLO],[1]!PM2.5[ILO],,-1),2)</f>
        <v>74.66</v>
      </c>
      <c r="I324">
        <f>ROUND(((_xlfn.XLOOKUP(C324,[1]!PM_10[BLO],[1]!PM_10[IHI],,-1) - _xlfn.XLOOKUP(C324,[1]!PM_10[BLO],[1]!PM_10[ILO],,-1))
/
(_xlfn.XLOOKUP(C324,[1]!PM_10[BLO],[1]!PM_10[BHI],,-1) - _xlfn.XLOOKUP(C324,[1]!PM_10[BLO],[1]!PM_10[BLO],,-1)))
*
( C324 - _xlfn.XLOOKUP(C324,[1]!PM_10[BLO],[1]!PM_10[BLO],,-1))
+
_xlfn.XLOOKUP(C324,[1]!PM_10[BLO],[1]!PM_10[ILO],,-1),2)</f>
        <v>94</v>
      </c>
      <c r="J324">
        <f>ROUND((( _xlfn.XLOOKUP(D324,[1]!NO_2[BLO],[1]!NO_2[IHI],,-1) - _xlfn.XLOOKUP(D324,[1]!NO_2[BLO],[1]!NO_2[ILO],,-1))
/
( _xlfn.XLOOKUP(D324,[1]!NO_2[BLO],[1]!NO_2[BHI],,-1) - _xlfn.XLOOKUP(D324,[1]!NO_2[BLO],[1]!NO_2[BLO],,-1) ))
*
( D324 - _xlfn.XLOOKUP(D324,[1]!NO_2[BLO],[1]!NO_2[BLO],,-1))
+
_xlfn.XLOOKUP(D324,[1]!NO_2[BLO],[1]!NO_2[ILO],,-1),2)</f>
        <v>23.75</v>
      </c>
      <c r="K324">
        <f>ROUND(( ( _xlfn.XLOOKUP(E324,[1]!SO_2[BLO],[1]!SO_2[IHI],,-1)  - _xlfn.XLOOKUP(E324,[1]!SO_2[BLO],[1]!SO_2[ILO],,-1) )
/
( _xlfn.XLOOKUP(E324,[1]!SO_2[BLO],[1]!SO_2[BHI],,-1)- _xlfn.XLOOKUP(E324,[1]!SO_2[BLO],[1]!SO_2[BLO],,-1) ))
*
( E324 - _xlfn.XLOOKUP(E324,[1]!SO_2[BLO],[1]!SO_2[BLO],,-1) )
+
_xlfn.XLOOKUP(E324,[1]!SO_2[BLO],[1]!SO_2[ILO],,-1),2)</f>
        <v>13.75</v>
      </c>
      <c r="L324">
        <f>( ( _xlfn.XLOOKUP(F324,[1]!CO[BLO],[1]!CO[IHI],,-1)
- _xlfn.XLOOKUP(F324,[1]!CO[BLO],[1]!CO[ILO],,-1) )
/
( _xlfn.XLOOKUP(F324,[1]!CO[BLO],[1]!CO[BHI],,-1) - _xlfn.XLOOKUP(F324,[1]!CO[BLO],[1]!CO[BLO],,-1)))
*
( F324 - _xlfn.XLOOKUP(F324,[1]!CO[BLO],[1]!CO[BLO],,-1) )
+
_xlfn.XLOOKUP(F324,[1]!CO[BLO],[1]!CO[ILO],,-1)</f>
        <v>46.5</v>
      </c>
      <c r="M324">
        <f>(( _xlfn.XLOOKUP(G324,[1]!O_3[BLO],[1]!O_3[IHI],,-1) - _xlfn.XLOOKUP(G324,[1]!O_3[BLO],[1]!O_3[ILO],,-1))
/
( _xlfn.XLOOKUP(G324,[1]!O_3[BLO],[1]!O_3[BHI],,-1) - _xlfn.XLOOKUP(G324,[1]!O_3[BLO],[1]!O_3[BLO],,-1)))
*
( G324 - _xlfn.XLOOKUP(G324,[1]!O_3[BLO],[1]!O_3[BLO],,-1))
+
_xlfn.XLOOKUP(G324,[1]!O_3[BLO],[1]!O_3[ILO],,-1)</f>
        <v>23</v>
      </c>
      <c r="N324">
        <f>MAX(DAILY_DATA[[#This Row],[AQI_PM2.5]:[AQI_O3]])</f>
        <v>94</v>
      </c>
      <c r="O324" t="str">
        <f>_xlfn.XLOOKUP(DAILY_DATA[[#This Row],[OVERALL_AQI]],[1]!CATEGORY[AQI_LO],[1]!CATEGORY[CATEGORY],,-1)</f>
        <v>Satisfactory</v>
      </c>
      <c r="P324" t="str" cm="1">
        <f t="array" ref="P324">INDEX(
{"PM2.5","PM10","NO2","SO2","CO","O3"},
MATCH(N324,H324:M324,0)
)</f>
        <v>PM10</v>
      </c>
    </row>
    <row r="325" spans="1:16" x14ac:dyDescent="0.25">
      <c r="A325" s="4">
        <v>45615</v>
      </c>
      <c r="B325">
        <f>ROUND(AVERAGEIFS([1]HOURLY_DATA!B325:B9108,[1]HOURLY_DATA!H325:H9108,Daily_AQI!A325),0)</f>
        <v>46</v>
      </c>
      <c r="C325">
        <f>ROUND(AVERAGEIFS([1]HOURLY_DATA!C325:C9108,[1]HOURLY_DATA!H325:H9108,Daily_AQI!A325),0)</f>
        <v>98</v>
      </c>
      <c r="D325">
        <f>ROUND(AVERAGEIFS([1]HOURLY_DATA!D325:D9108,[1]HOURLY_DATA!H325:H9108,Daily_AQI!A325),0)</f>
        <v>18</v>
      </c>
      <c r="E325">
        <f>ROUND(AVERAGEIFS([1]HOURLY_DATA!E325:E9108,[1]HOURLY_DATA!H325:H9108,Daily_AQI!A325),0)</f>
        <v>10</v>
      </c>
      <c r="F325">
        <f>ROUND(AVERAGEIFS([1]HOURLY_DATA!I325:I9108,[1]HOURLY_DATA!H325:H9108,Daily_AQI!A325),2)</f>
        <v>0.92</v>
      </c>
      <c r="G325">
        <f>ROUND(AVERAGEIFS([1]HOURLY_DATA!J325:J9108,[1]HOURLY_DATA!H325:H9108,Daily_AQI!A325),0)</f>
        <v>25</v>
      </c>
      <c r="H325">
        <f>ROUND(((_xlfn.XLOOKUP(B325,[1]!PM2.5[BLO],[1]!PM2.5[IHI],,-1) - _xlfn.XLOOKUP(B325,[1]!PM2.5[BLO],[1]!PM2.5[ILO],,-1))
/
(_xlfn.XLOOKUP(B325,[1]!PM2.5[BLO],[1]!PM2.5[BHI],,-1) - _xlfn.XLOOKUP(B325,[1]!PM2.5[BLO],[1]!PM2.5[BLO],,-1)))
*
(B325 - _xlfn.XLOOKUP(B325,[1]!PM2.5[BLO],[1]!PM2.5[BLO],,-1))
+
_xlfn.XLOOKUP(B325,[1]!PM2.5[BLO],[1]!PM2.5[ILO],,-1),2)</f>
        <v>76.34</v>
      </c>
      <c r="I325">
        <f>ROUND(((_xlfn.XLOOKUP(C325,[1]!PM_10[BLO],[1]!PM_10[IHI],,-1) - _xlfn.XLOOKUP(C325,[1]!PM_10[BLO],[1]!PM_10[ILO],,-1))
/
(_xlfn.XLOOKUP(C325,[1]!PM_10[BLO],[1]!PM_10[BHI],,-1) - _xlfn.XLOOKUP(C325,[1]!PM_10[BLO],[1]!PM_10[BLO],,-1)))
*
( C325 - _xlfn.XLOOKUP(C325,[1]!PM_10[BLO],[1]!PM_10[BLO],,-1))
+
_xlfn.XLOOKUP(C325,[1]!PM_10[BLO],[1]!PM_10[ILO],,-1),2)</f>
        <v>98</v>
      </c>
      <c r="J325">
        <f>ROUND((( _xlfn.XLOOKUP(D325,[1]!NO_2[BLO],[1]!NO_2[IHI],,-1) - _xlfn.XLOOKUP(D325,[1]!NO_2[BLO],[1]!NO_2[ILO],,-1))
/
( _xlfn.XLOOKUP(D325,[1]!NO_2[BLO],[1]!NO_2[BHI],,-1) - _xlfn.XLOOKUP(D325,[1]!NO_2[BLO],[1]!NO_2[BLO],,-1) ))
*
( D325 - _xlfn.XLOOKUP(D325,[1]!NO_2[BLO],[1]!NO_2[BLO],,-1))
+
_xlfn.XLOOKUP(D325,[1]!NO_2[BLO],[1]!NO_2[ILO],,-1),2)</f>
        <v>22.5</v>
      </c>
      <c r="K325">
        <f>ROUND(( ( _xlfn.XLOOKUP(E325,[1]!SO_2[BLO],[1]!SO_2[IHI],,-1)  - _xlfn.XLOOKUP(E325,[1]!SO_2[BLO],[1]!SO_2[ILO],,-1) )
/
( _xlfn.XLOOKUP(E325,[1]!SO_2[BLO],[1]!SO_2[BHI],,-1)- _xlfn.XLOOKUP(E325,[1]!SO_2[BLO],[1]!SO_2[BLO],,-1) ))
*
( E325 - _xlfn.XLOOKUP(E325,[1]!SO_2[BLO],[1]!SO_2[BLO],,-1) )
+
_xlfn.XLOOKUP(E325,[1]!SO_2[BLO],[1]!SO_2[ILO],,-1),2)</f>
        <v>12.5</v>
      </c>
      <c r="L325">
        <f>( ( _xlfn.XLOOKUP(F325,[1]!CO[BLO],[1]!CO[IHI],,-1)
- _xlfn.XLOOKUP(F325,[1]!CO[BLO],[1]!CO[ILO],,-1) )
/
( _xlfn.XLOOKUP(F325,[1]!CO[BLO],[1]!CO[BHI],,-1) - _xlfn.XLOOKUP(F325,[1]!CO[BLO],[1]!CO[BLO],,-1)))
*
( F325 - _xlfn.XLOOKUP(F325,[1]!CO[BLO],[1]!CO[BLO],,-1) )
+
_xlfn.XLOOKUP(F325,[1]!CO[BLO],[1]!CO[ILO],,-1)</f>
        <v>46</v>
      </c>
      <c r="M325">
        <f>(( _xlfn.XLOOKUP(G325,[1]!O_3[BLO],[1]!O_3[IHI],,-1) - _xlfn.XLOOKUP(G325,[1]!O_3[BLO],[1]!O_3[ILO],,-1))
/
( _xlfn.XLOOKUP(G325,[1]!O_3[BLO],[1]!O_3[BHI],,-1) - _xlfn.XLOOKUP(G325,[1]!O_3[BLO],[1]!O_3[BLO],,-1)))
*
( G325 - _xlfn.XLOOKUP(G325,[1]!O_3[BLO],[1]!O_3[BLO],,-1))
+
_xlfn.XLOOKUP(G325,[1]!O_3[BLO],[1]!O_3[ILO],,-1)</f>
        <v>25</v>
      </c>
      <c r="N325">
        <f>MAX(DAILY_DATA[[#This Row],[AQI_PM2.5]:[AQI_O3]])</f>
        <v>98</v>
      </c>
      <c r="O325" t="str">
        <f>_xlfn.XLOOKUP(DAILY_DATA[[#This Row],[OVERALL_AQI]],[1]!CATEGORY[AQI_LO],[1]!CATEGORY[CATEGORY],,-1)</f>
        <v>Satisfactory</v>
      </c>
      <c r="P325" t="str" cm="1">
        <f t="array" ref="P325">INDEX(
{"PM2.5","PM10","NO2","SO2","CO","O3"},
MATCH(N325,H325:M325,0)
)</f>
        <v>PM10</v>
      </c>
    </row>
    <row r="326" spans="1:16" x14ac:dyDescent="0.25">
      <c r="A326" s="4">
        <v>45616</v>
      </c>
      <c r="B326">
        <f>ROUND(AVERAGEIFS([1]HOURLY_DATA!B326:B9109,[1]HOURLY_DATA!H326:H9109,Daily_AQI!A326),0)</f>
        <v>46</v>
      </c>
      <c r="C326">
        <f>ROUND(AVERAGEIFS([1]HOURLY_DATA!C326:C9109,[1]HOURLY_DATA!H326:H9109,Daily_AQI!A326),0)</f>
        <v>92</v>
      </c>
      <c r="D326">
        <f>ROUND(AVERAGEIFS([1]HOURLY_DATA!D326:D9109,[1]HOURLY_DATA!H326:H9109,Daily_AQI!A326),0)</f>
        <v>17</v>
      </c>
      <c r="E326">
        <f>ROUND(AVERAGEIFS([1]HOURLY_DATA!E326:E9109,[1]HOURLY_DATA!H326:H9109,Daily_AQI!A326),0)</f>
        <v>9</v>
      </c>
      <c r="F326">
        <f>ROUND(AVERAGEIFS([1]HOURLY_DATA!I326:I9109,[1]HOURLY_DATA!H326:H9109,Daily_AQI!A326),2)</f>
        <v>0.89</v>
      </c>
      <c r="G326">
        <f>ROUND(AVERAGEIFS([1]HOURLY_DATA!J326:J9109,[1]HOURLY_DATA!H326:H9109,Daily_AQI!A326),0)</f>
        <v>24</v>
      </c>
      <c r="H326">
        <f>ROUND(((_xlfn.XLOOKUP(B326,[1]!PM2.5[BLO],[1]!PM2.5[IHI],,-1) - _xlfn.XLOOKUP(B326,[1]!PM2.5[BLO],[1]!PM2.5[ILO],,-1))
/
(_xlfn.XLOOKUP(B326,[1]!PM2.5[BLO],[1]!PM2.5[BHI],,-1) - _xlfn.XLOOKUP(B326,[1]!PM2.5[BLO],[1]!PM2.5[BLO],,-1)))
*
(B326 - _xlfn.XLOOKUP(B326,[1]!PM2.5[BLO],[1]!PM2.5[BLO],,-1))
+
_xlfn.XLOOKUP(B326,[1]!PM2.5[BLO],[1]!PM2.5[ILO],,-1),2)</f>
        <v>76.34</v>
      </c>
      <c r="I326">
        <f>ROUND(((_xlfn.XLOOKUP(C326,[1]!PM_10[BLO],[1]!PM_10[IHI],,-1) - _xlfn.XLOOKUP(C326,[1]!PM_10[BLO],[1]!PM_10[ILO],,-1))
/
(_xlfn.XLOOKUP(C326,[1]!PM_10[BLO],[1]!PM_10[BHI],,-1) - _xlfn.XLOOKUP(C326,[1]!PM_10[BLO],[1]!PM_10[BLO],,-1)))
*
( C326 - _xlfn.XLOOKUP(C326,[1]!PM_10[BLO],[1]!PM_10[BLO],,-1))
+
_xlfn.XLOOKUP(C326,[1]!PM_10[BLO],[1]!PM_10[ILO],,-1),2)</f>
        <v>92</v>
      </c>
      <c r="J326">
        <f>ROUND((( _xlfn.XLOOKUP(D326,[1]!NO_2[BLO],[1]!NO_2[IHI],,-1) - _xlfn.XLOOKUP(D326,[1]!NO_2[BLO],[1]!NO_2[ILO],,-1))
/
( _xlfn.XLOOKUP(D326,[1]!NO_2[BLO],[1]!NO_2[BHI],,-1) - _xlfn.XLOOKUP(D326,[1]!NO_2[BLO],[1]!NO_2[BLO],,-1) ))
*
( D326 - _xlfn.XLOOKUP(D326,[1]!NO_2[BLO],[1]!NO_2[BLO],,-1))
+
_xlfn.XLOOKUP(D326,[1]!NO_2[BLO],[1]!NO_2[ILO],,-1),2)</f>
        <v>21.25</v>
      </c>
      <c r="K326">
        <f>ROUND(( ( _xlfn.XLOOKUP(E326,[1]!SO_2[BLO],[1]!SO_2[IHI],,-1)  - _xlfn.XLOOKUP(E326,[1]!SO_2[BLO],[1]!SO_2[ILO],,-1) )
/
( _xlfn.XLOOKUP(E326,[1]!SO_2[BLO],[1]!SO_2[BHI],,-1)- _xlfn.XLOOKUP(E326,[1]!SO_2[BLO],[1]!SO_2[BLO],,-1) ))
*
( E326 - _xlfn.XLOOKUP(E326,[1]!SO_2[BLO],[1]!SO_2[BLO],,-1) )
+
_xlfn.XLOOKUP(E326,[1]!SO_2[BLO],[1]!SO_2[ILO],,-1),2)</f>
        <v>11.25</v>
      </c>
      <c r="L326">
        <f>( ( _xlfn.XLOOKUP(F326,[1]!CO[BLO],[1]!CO[IHI],,-1)
- _xlfn.XLOOKUP(F326,[1]!CO[BLO],[1]!CO[ILO],,-1) )
/
( _xlfn.XLOOKUP(F326,[1]!CO[BLO],[1]!CO[BHI],,-1) - _xlfn.XLOOKUP(F326,[1]!CO[BLO],[1]!CO[BLO],,-1)))
*
( F326 - _xlfn.XLOOKUP(F326,[1]!CO[BLO],[1]!CO[BLO],,-1) )
+
_xlfn.XLOOKUP(F326,[1]!CO[BLO],[1]!CO[ILO],,-1)</f>
        <v>44.5</v>
      </c>
      <c r="M326">
        <f>(( _xlfn.XLOOKUP(G326,[1]!O_3[BLO],[1]!O_3[IHI],,-1) - _xlfn.XLOOKUP(G326,[1]!O_3[BLO],[1]!O_3[ILO],,-1))
/
( _xlfn.XLOOKUP(G326,[1]!O_3[BLO],[1]!O_3[BHI],,-1) - _xlfn.XLOOKUP(G326,[1]!O_3[BLO],[1]!O_3[BLO],,-1)))
*
( G326 - _xlfn.XLOOKUP(G326,[1]!O_3[BLO],[1]!O_3[BLO],,-1))
+
_xlfn.XLOOKUP(G326,[1]!O_3[BLO],[1]!O_3[ILO],,-1)</f>
        <v>24</v>
      </c>
      <c r="N326">
        <f>MAX(DAILY_DATA[[#This Row],[AQI_PM2.5]:[AQI_O3]])</f>
        <v>92</v>
      </c>
      <c r="O326" t="str">
        <f>_xlfn.XLOOKUP(DAILY_DATA[[#This Row],[OVERALL_AQI]],[1]!CATEGORY[AQI_LO],[1]!CATEGORY[CATEGORY],,-1)</f>
        <v>Satisfactory</v>
      </c>
      <c r="P326" t="str" cm="1">
        <f t="array" ref="P326">INDEX(
{"PM2.5","PM10","NO2","SO2","CO","O3"},
MATCH(N326,H326:M326,0)
)</f>
        <v>PM10</v>
      </c>
    </row>
    <row r="327" spans="1:16" x14ac:dyDescent="0.25">
      <c r="A327" s="4">
        <v>45617</v>
      </c>
      <c r="B327">
        <f>ROUND(AVERAGEIFS([1]HOURLY_DATA!B327:B9110,[1]HOURLY_DATA!H327:H9110,Daily_AQI!A327),0)</f>
        <v>44</v>
      </c>
      <c r="C327">
        <f>ROUND(AVERAGEIFS([1]HOURLY_DATA!C327:C9110,[1]HOURLY_DATA!H327:H9110,Daily_AQI!A327),0)</f>
        <v>93</v>
      </c>
      <c r="D327">
        <f>ROUND(AVERAGEIFS([1]HOURLY_DATA!D327:D9110,[1]HOURLY_DATA!H327:H9110,Daily_AQI!A327),0)</f>
        <v>18</v>
      </c>
      <c r="E327">
        <f>ROUND(AVERAGEIFS([1]HOURLY_DATA!E327:E9110,[1]HOURLY_DATA!H327:H9110,Daily_AQI!A327),0)</f>
        <v>10</v>
      </c>
      <c r="F327">
        <f>ROUND(AVERAGEIFS([1]HOURLY_DATA!I327:I9110,[1]HOURLY_DATA!H327:H9110,Daily_AQI!A327),2)</f>
        <v>0.94</v>
      </c>
      <c r="G327">
        <f>ROUND(AVERAGEIFS([1]HOURLY_DATA!J327:J9110,[1]HOURLY_DATA!H327:H9110,Daily_AQI!A327),0)</f>
        <v>25</v>
      </c>
      <c r="H327">
        <f>ROUND(((_xlfn.XLOOKUP(B327,[1]!PM2.5[BLO],[1]!PM2.5[IHI],,-1) - _xlfn.XLOOKUP(B327,[1]!PM2.5[BLO],[1]!PM2.5[ILO],,-1))
/
(_xlfn.XLOOKUP(B327,[1]!PM2.5[BLO],[1]!PM2.5[BHI],,-1) - _xlfn.XLOOKUP(B327,[1]!PM2.5[BLO],[1]!PM2.5[BLO],,-1)))
*
(B327 - _xlfn.XLOOKUP(B327,[1]!PM2.5[BLO],[1]!PM2.5[BLO],,-1))
+
_xlfn.XLOOKUP(B327,[1]!PM2.5[BLO],[1]!PM2.5[ILO],,-1),2)</f>
        <v>72.97</v>
      </c>
      <c r="I327">
        <f>ROUND(((_xlfn.XLOOKUP(C327,[1]!PM_10[BLO],[1]!PM_10[IHI],,-1) - _xlfn.XLOOKUP(C327,[1]!PM_10[BLO],[1]!PM_10[ILO],,-1))
/
(_xlfn.XLOOKUP(C327,[1]!PM_10[BLO],[1]!PM_10[BHI],,-1) - _xlfn.XLOOKUP(C327,[1]!PM_10[BLO],[1]!PM_10[BLO],,-1)))
*
( C327 - _xlfn.XLOOKUP(C327,[1]!PM_10[BLO],[1]!PM_10[BLO],,-1))
+
_xlfn.XLOOKUP(C327,[1]!PM_10[BLO],[1]!PM_10[ILO],,-1),2)</f>
        <v>93</v>
      </c>
      <c r="J327">
        <f>ROUND((( _xlfn.XLOOKUP(D327,[1]!NO_2[BLO],[1]!NO_2[IHI],,-1) - _xlfn.XLOOKUP(D327,[1]!NO_2[BLO],[1]!NO_2[ILO],,-1))
/
( _xlfn.XLOOKUP(D327,[1]!NO_2[BLO],[1]!NO_2[BHI],,-1) - _xlfn.XLOOKUP(D327,[1]!NO_2[BLO],[1]!NO_2[BLO],,-1) ))
*
( D327 - _xlfn.XLOOKUP(D327,[1]!NO_2[BLO],[1]!NO_2[BLO],,-1))
+
_xlfn.XLOOKUP(D327,[1]!NO_2[BLO],[1]!NO_2[ILO],,-1),2)</f>
        <v>22.5</v>
      </c>
      <c r="K327">
        <f>ROUND(( ( _xlfn.XLOOKUP(E327,[1]!SO_2[BLO],[1]!SO_2[IHI],,-1)  - _xlfn.XLOOKUP(E327,[1]!SO_2[BLO],[1]!SO_2[ILO],,-1) )
/
( _xlfn.XLOOKUP(E327,[1]!SO_2[BLO],[1]!SO_2[BHI],,-1)- _xlfn.XLOOKUP(E327,[1]!SO_2[BLO],[1]!SO_2[BLO],,-1) ))
*
( E327 - _xlfn.XLOOKUP(E327,[1]!SO_2[BLO],[1]!SO_2[BLO],,-1) )
+
_xlfn.XLOOKUP(E327,[1]!SO_2[BLO],[1]!SO_2[ILO],,-1),2)</f>
        <v>12.5</v>
      </c>
      <c r="L327">
        <f>( ( _xlfn.XLOOKUP(F327,[1]!CO[BLO],[1]!CO[IHI],,-1)
- _xlfn.XLOOKUP(F327,[1]!CO[BLO],[1]!CO[ILO],,-1) )
/
( _xlfn.XLOOKUP(F327,[1]!CO[BLO],[1]!CO[BHI],,-1) - _xlfn.XLOOKUP(F327,[1]!CO[BLO],[1]!CO[BLO],,-1)))
*
( F327 - _xlfn.XLOOKUP(F327,[1]!CO[BLO],[1]!CO[BLO],,-1) )
+
_xlfn.XLOOKUP(F327,[1]!CO[BLO],[1]!CO[ILO],,-1)</f>
        <v>47</v>
      </c>
      <c r="M327">
        <f>(( _xlfn.XLOOKUP(G327,[1]!O_3[BLO],[1]!O_3[IHI],,-1) - _xlfn.XLOOKUP(G327,[1]!O_3[BLO],[1]!O_3[ILO],,-1))
/
( _xlfn.XLOOKUP(G327,[1]!O_3[BLO],[1]!O_3[BHI],,-1) - _xlfn.XLOOKUP(G327,[1]!O_3[BLO],[1]!O_3[BLO],,-1)))
*
( G327 - _xlfn.XLOOKUP(G327,[1]!O_3[BLO],[1]!O_3[BLO],,-1))
+
_xlfn.XLOOKUP(G327,[1]!O_3[BLO],[1]!O_3[ILO],,-1)</f>
        <v>25</v>
      </c>
      <c r="N327">
        <f>MAX(DAILY_DATA[[#This Row],[AQI_PM2.5]:[AQI_O3]])</f>
        <v>93</v>
      </c>
      <c r="O327" t="str">
        <f>_xlfn.XLOOKUP(DAILY_DATA[[#This Row],[OVERALL_AQI]],[1]!CATEGORY[AQI_LO],[1]!CATEGORY[CATEGORY],,-1)</f>
        <v>Satisfactory</v>
      </c>
      <c r="P327" t="str" cm="1">
        <f t="array" ref="P327">INDEX(
{"PM2.5","PM10","NO2","SO2","CO","O3"},
MATCH(N327,H327:M327,0)
)</f>
        <v>PM10</v>
      </c>
    </row>
    <row r="328" spans="1:16" x14ac:dyDescent="0.25">
      <c r="A328" s="4">
        <v>45618</v>
      </c>
      <c r="B328">
        <f>ROUND(AVERAGEIFS([1]HOURLY_DATA!B328:B9111,[1]HOURLY_DATA!H328:H9111,Daily_AQI!A328),0)</f>
        <v>43</v>
      </c>
      <c r="C328">
        <f>ROUND(AVERAGEIFS([1]HOURLY_DATA!C328:C9111,[1]HOURLY_DATA!H328:H9111,Daily_AQI!A328),0)</f>
        <v>89</v>
      </c>
      <c r="D328">
        <f>ROUND(AVERAGEIFS([1]HOURLY_DATA!D328:D9111,[1]HOURLY_DATA!H328:H9111,Daily_AQI!A328),0)</f>
        <v>17</v>
      </c>
      <c r="E328">
        <f>ROUND(AVERAGEIFS([1]HOURLY_DATA!E328:E9111,[1]HOURLY_DATA!H328:H9111,Daily_AQI!A328),0)</f>
        <v>9</v>
      </c>
      <c r="F328">
        <f>ROUND(AVERAGEIFS([1]HOURLY_DATA!I328:I9111,[1]HOURLY_DATA!H328:H9111,Daily_AQI!A328),2)</f>
        <v>0.97</v>
      </c>
      <c r="G328">
        <f>ROUND(AVERAGEIFS([1]HOURLY_DATA!J328:J9111,[1]HOURLY_DATA!H328:H9111,Daily_AQI!A328),0)</f>
        <v>24</v>
      </c>
      <c r="H328">
        <f>ROUND(((_xlfn.XLOOKUP(B328,[1]!PM2.5[BLO],[1]!PM2.5[IHI],,-1) - _xlfn.XLOOKUP(B328,[1]!PM2.5[BLO],[1]!PM2.5[ILO],,-1))
/
(_xlfn.XLOOKUP(B328,[1]!PM2.5[BLO],[1]!PM2.5[BHI],,-1) - _xlfn.XLOOKUP(B328,[1]!PM2.5[BLO],[1]!PM2.5[BLO],,-1)))
*
(B328 - _xlfn.XLOOKUP(B328,[1]!PM2.5[BLO],[1]!PM2.5[BLO],,-1))
+
_xlfn.XLOOKUP(B328,[1]!PM2.5[BLO],[1]!PM2.5[ILO],,-1),2)</f>
        <v>71.28</v>
      </c>
      <c r="I328">
        <f>ROUND(((_xlfn.XLOOKUP(C328,[1]!PM_10[BLO],[1]!PM_10[IHI],,-1) - _xlfn.XLOOKUP(C328,[1]!PM_10[BLO],[1]!PM_10[ILO],,-1))
/
(_xlfn.XLOOKUP(C328,[1]!PM_10[BLO],[1]!PM_10[BHI],,-1) - _xlfn.XLOOKUP(C328,[1]!PM_10[BLO],[1]!PM_10[BLO],,-1)))
*
( C328 - _xlfn.XLOOKUP(C328,[1]!PM_10[BLO],[1]!PM_10[BLO],,-1))
+
_xlfn.XLOOKUP(C328,[1]!PM_10[BLO],[1]!PM_10[ILO],,-1),2)</f>
        <v>89</v>
      </c>
      <c r="J328">
        <f>ROUND((( _xlfn.XLOOKUP(D328,[1]!NO_2[BLO],[1]!NO_2[IHI],,-1) - _xlfn.XLOOKUP(D328,[1]!NO_2[BLO],[1]!NO_2[ILO],,-1))
/
( _xlfn.XLOOKUP(D328,[1]!NO_2[BLO],[1]!NO_2[BHI],,-1) - _xlfn.XLOOKUP(D328,[1]!NO_2[BLO],[1]!NO_2[BLO],,-1) ))
*
( D328 - _xlfn.XLOOKUP(D328,[1]!NO_2[BLO],[1]!NO_2[BLO],,-1))
+
_xlfn.XLOOKUP(D328,[1]!NO_2[BLO],[1]!NO_2[ILO],,-1),2)</f>
        <v>21.25</v>
      </c>
      <c r="K328">
        <f>ROUND(( ( _xlfn.XLOOKUP(E328,[1]!SO_2[BLO],[1]!SO_2[IHI],,-1)  - _xlfn.XLOOKUP(E328,[1]!SO_2[BLO],[1]!SO_2[ILO],,-1) )
/
( _xlfn.XLOOKUP(E328,[1]!SO_2[BLO],[1]!SO_2[BHI],,-1)- _xlfn.XLOOKUP(E328,[1]!SO_2[BLO],[1]!SO_2[BLO],,-1) ))
*
( E328 - _xlfn.XLOOKUP(E328,[1]!SO_2[BLO],[1]!SO_2[BLO],,-1) )
+
_xlfn.XLOOKUP(E328,[1]!SO_2[BLO],[1]!SO_2[ILO],,-1),2)</f>
        <v>11.25</v>
      </c>
      <c r="L328">
        <f>( ( _xlfn.XLOOKUP(F328,[1]!CO[BLO],[1]!CO[IHI],,-1)
- _xlfn.XLOOKUP(F328,[1]!CO[BLO],[1]!CO[ILO],,-1) )
/
( _xlfn.XLOOKUP(F328,[1]!CO[BLO],[1]!CO[BHI],,-1) - _xlfn.XLOOKUP(F328,[1]!CO[BLO],[1]!CO[BLO],,-1)))
*
( F328 - _xlfn.XLOOKUP(F328,[1]!CO[BLO],[1]!CO[BLO],,-1) )
+
_xlfn.XLOOKUP(F328,[1]!CO[BLO],[1]!CO[ILO],,-1)</f>
        <v>48.5</v>
      </c>
      <c r="M328">
        <f>(( _xlfn.XLOOKUP(G328,[1]!O_3[BLO],[1]!O_3[IHI],,-1) - _xlfn.XLOOKUP(G328,[1]!O_3[BLO],[1]!O_3[ILO],,-1))
/
( _xlfn.XLOOKUP(G328,[1]!O_3[BLO],[1]!O_3[BHI],,-1) - _xlfn.XLOOKUP(G328,[1]!O_3[BLO],[1]!O_3[BLO],,-1)))
*
( G328 - _xlfn.XLOOKUP(G328,[1]!O_3[BLO],[1]!O_3[BLO],,-1))
+
_xlfn.XLOOKUP(G328,[1]!O_3[BLO],[1]!O_3[ILO],,-1)</f>
        <v>24</v>
      </c>
      <c r="N328">
        <f>MAX(DAILY_DATA[[#This Row],[AQI_PM2.5]:[AQI_O3]])</f>
        <v>89</v>
      </c>
      <c r="O328" t="str">
        <f>_xlfn.XLOOKUP(DAILY_DATA[[#This Row],[OVERALL_AQI]],[1]!CATEGORY[AQI_LO],[1]!CATEGORY[CATEGORY],,-1)</f>
        <v>Satisfactory</v>
      </c>
      <c r="P328" t="str" cm="1">
        <f t="array" ref="P328">INDEX(
{"PM2.5","PM10","NO2","SO2","CO","O3"},
MATCH(N328,H328:M328,0)
)</f>
        <v>PM10</v>
      </c>
    </row>
    <row r="329" spans="1:16" x14ac:dyDescent="0.25">
      <c r="A329" s="4">
        <v>45619</v>
      </c>
      <c r="B329">
        <f>ROUND(AVERAGEIFS([1]HOURLY_DATA!B329:B9112,[1]HOURLY_DATA!H329:H9112,Daily_AQI!A329),0)</f>
        <v>47</v>
      </c>
      <c r="C329">
        <f>ROUND(AVERAGEIFS([1]HOURLY_DATA!C329:C9112,[1]HOURLY_DATA!H329:H9112,Daily_AQI!A329),0)</f>
        <v>100</v>
      </c>
      <c r="D329">
        <f>ROUND(AVERAGEIFS([1]HOURLY_DATA!D329:D9112,[1]HOURLY_DATA!H329:H9112,Daily_AQI!A329),0)</f>
        <v>18</v>
      </c>
      <c r="E329">
        <f>ROUND(AVERAGEIFS([1]HOURLY_DATA!E329:E9112,[1]HOURLY_DATA!H329:H9112,Daily_AQI!A329),0)</f>
        <v>9</v>
      </c>
      <c r="F329">
        <f>ROUND(AVERAGEIFS([1]HOURLY_DATA!I329:I9112,[1]HOURLY_DATA!H329:H9112,Daily_AQI!A329),2)</f>
        <v>0.96</v>
      </c>
      <c r="G329">
        <f>ROUND(AVERAGEIFS([1]HOURLY_DATA!J329:J9112,[1]HOURLY_DATA!H329:H9112,Daily_AQI!A329),0)</f>
        <v>28</v>
      </c>
      <c r="H329">
        <f>ROUND(((_xlfn.XLOOKUP(B329,[1]!PM2.5[BLO],[1]!PM2.5[IHI],,-1) - _xlfn.XLOOKUP(B329,[1]!PM2.5[BLO],[1]!PM2.5[ILO],,-1))
/
(_xlfn.XLOOKUP(B329,[1]!PM2.5[BLO],[1]!PM2.5[BHI],,-1) - _xlfn.XLOOKUP(B329,[1]!PM2.5[BLO],[1]!PM2.5[BLO],,-1)))
*
(B329 - _xlfn.XLOOKUP(B329,[1]!PM2.5[BLO],[1]!PM2.5[BLO],,-1))
+
_xlfn.XLOOKUP(B329,[1]!PM2.5[BLO],[1]!PM2.5[ILO],,-1),2)</f>
        <v>78.03</v>
      </c>
      <c r="I329">
        <f>ROUND(((_xlfn.XLOOKUP(C329,[1]!PM_10[BLO],[1]!PM_10[IHI],,-1) - _xlfn.XLOOKUP(C329,[1]!PM_10[BLO],[1]!PM_10[ILO],,-1))
/
(_xlfn.XLOOKUP(C329,[1]!PM_10[BLO],[1]!PM_10[BHI],,-1) - _xlfn.XLOOKUP(C329,[1]!PM_10[BLO],[1]!PM_10[BLO],,-1)))
*
( C329 - _xlfn.XLOOKUP(C329,[1]!PM_10[BLO],[1]!PM_10[BLO],,-1))
+
_xlfn.XLOOKUP(C329,[1]!PM_10[BLO],[1]!PM_10[ILO],,-1),2)</f>
        <v>100</v>
      </c>
      <c r="J329">
        <f>ROUND((( _xlfn.XLOOKUP(D329,[1]!NO_2[BLO],[1]!NO_2[IHI],,-1) - _xlfn.XLOOKUP(D329,[1]!NO_2[BLO],[1]!NO_2[ILO],,-1))
/
( _xlfn.XLOOKUP(D329,[1]!NO_2[BLO],[1]!NO_2[BHI],,-1) - _xlfn.XLOOKUP(D329,[1]!NO_2[BLO],[1]!NO_2[BLO],,-1) ))
*
( D329 - _xlfn.XLOOKUP(D329,[1]!NO_2[BLO],[1]!NO_2[BLO],,-1))
+
_xlfn.XLOOKUP(D329,[1]!NO_2[BLO],[1]!NO_2[ILO],,-1),2)</f>
        <v>22.5</v>
      </c>
      <c r="K329">
        <f>ROUND(( ( _xlfn.XLOOKUP(E329,[1]!SO_2[BLO],[1]!SO_2[IHI],,-1)  - _xlfn.XLOOKUP(E329,[1]!SO_2[BLO],[1]!SO_2[ILO],,-1) )
/
( _xlfn.XLOOKUP(E329,[1]!SO_2[BLO],[1]!SO_2[BHI],,-1)- _xlfn.XLOOKUP(E329,[1]!SO_2[BLO],[1]!SO_2[BLO],,-1) ))
*
( E329 - _xlfn.XLOOKUP(E329,[1]!SO_2[BLO],[1]!SO_2[BLO],,-1) )
+
_xlfn.XLOOKUP(E329,[1]!SO_2[BLO],[1]!SO_2[ILO],,-1),2)</f>
        <v>11.25</v>
      </c>
      <c r="L329">
        <f>( ( _xlfn.XLOOKUP(F329,[1]!CO[BLO],[1]!CO[IHI],,-1)
- _xlfn.XLOOKUP(F329,[1]!CO[BLO],[1]!CO[ILO],,-1) )
/
( _xlfn.XLOOKUP(F329,[1]!CO[BLO],[1]!CO[BHI],,-1) - _xlfn.XLOOKUP(F329,[1]!CO[BLO],[1]!CO[BLO],,-1)))
*
( F329 - _xlfn.XLOOKUP(F329,[1]!CO[BLO],[1]!CO[BLO],,-1) )
+
_xlfn.XLOOKUP(F329,[1]!CO[BLO],[1]!CO[ILO],,-1)</f>
        <v>48</v>
      </c>
      <c r="M329">
        <f>(( _xlfn.XLOOKUP(G329,[1]!O_3[BLO],[1]!O_3[IHI],,-1) - _xlfn.XLOOKUP(G329,[1]!O_3[BLO],[1]!O_3[ILO],,-1))
/
( _xlfn.XLOOKUP(G329,[1]!O_3[BLO],[1]!O_3[BHI],,-1) - _xlfn.XLOOKUP(G329,[1]!O_3[BLO],[1]!O_3[BLO],,-1)))
*
( G329 - _xlfn.XLOOKUP(G329,[1]!O_3[BLO],[1]!O_3[BLO],,-1))
+
_xlfn.XLOOKUP(G329,[1]!O_3[BLO],[1]!O_3[ILO],,-1)</f>
        <v>28</v>
      </c>
      <c r="N329">
        <f>MAX(DAILY_DATA[[#This Row],[AQI_PM2.5]:[AQI_O3]])</f>
        <v>100</v>
      </c>
      <c r="O329" t="str">
        <f>_xlfn.XLOOKUP(DAILY_DATA[[#This Row],[OVERALL_AQI]],[1]!CATEGORY[AQI_LO],[1]!CATEGORY[CATEGORY],,-1)</f>
        <v>Satisfactory</v>
      </c>
      <c r="P329" t="str" cm="1">
        <f t="array" ref="P329">INDEX(
{"PM2.5","PM10","NO2","SO2","CO","O3"},
MATCH(N329,H329:M329,0)
)</f>
        <v>PM10</v>
      </c>
    </row>
    <row r="330" spans="1:16" x14ac:dyDescent="0.25">
      <c r="A330" s="4">
        <v>45620</v>
      </c>
      <c r="B330">
        <f>ROUND(AVERAGEIFS([1]HOURLY_DATA!B330:B9113,[1]HOURLY_DATA!H330:H9113,Daily_AQI!A330),0)</f>
        <v>44</v>
      </c>
      <c r="C330">
        <f>ROUND(AVERAGEIFS([1]HOURLY_DATA!C330:C9113,[1]HOURLY_DATA!H330:H9113,Daily_AQI!A330),0)</f>
        <v>89</v>
      </c>
      <c r="D330">
        <f>ROUND(AVERAGEIFS([1]HOURLY_DATA!D330:D9113,[1]HOURLY_DATA!H330:H9113,Daily_AQI!A330),0)</f>
        <v>18</v>
      </c>
      <c r="E330">
        <f>ROUND(AVERAGEIFS([1]HOURLY_DATA!E330:E9113,[1]HOURLY_DATA!H330:H9113,Daily_AQI!A330),0)</f>
        <v>9</v>
      </c>
      <c r="F330">
        <f>ROUND(AVERAGEIFS([1]HOURLY_DATA!I330:I9113,[1]HOURLY_DATA!H330:H9113,Daily_AQI!A330),2)</f>
        <v>0.87</v>
      </c>
      <c r="G330">
        <f>ROUND(AVERAGEIFS([1]HOURLY_DATA!J330:J9113,[1]HOURLY_DATA!H330:H9113,Daily_AQI!A330),0)</f>
        <v>26</v>
      </c>
      <c r="H330">
        <f>ROUND(((_xlfn.XLOOKUP(B330,[1]!PM2.5[BLO],[1]!PM2.5[IHI],,-1) - _xlfn.XLOOKUP(B330,[1]!PM2.5[BLO],[1]!PM2.5[ILO],,-1))
/
(_xlfn.XLOOKUP(B330,[1]!PM2.5[BLO],[1]!PM2.5[BHI],,-1) - _xlfn.XLOOKUP(B330,[1]!PM2.5[BLO],[1]!PM2.5[BLO],,-1)))
*
(B330 - _xlfn.XLOOKUP(B330,[1]!PM2.5[BLO],[1]!PM2.5[BLO],,-1))
+
_xlfn.XLOOKUP(B330,[1]!PM2.5[BLO],[1]!PM2.5[ILO],,-1),2)</f>
        <v>72.97</v>
      </c>
      <c r="I330">
        <f>ROUND(((_xlfn.XLOOKUP(C330,[1]!PM_10[BLO],[1]!PM_10[IHI],,-1) - _xlfn.XLOOKUP(C330,[1]!PM_10[BLO],[1]!PM_10[ILO],,-1))
/
(_xlfn.XLOOKUP(C330,[1]!PM_10[BLO],[1]!PM_10[BHI],,-1) - _xlfn.XLOOKUP(C330,[1]!PM_10[BLO],[1]!PM_10[BLO],,-1)))
*
( C330 - _xlfn.XLOOKUP(C330,[1]!PM_10[BLO],[1]!PM_10[BLO],,-1))
+
_xlfn.XLOOKUP(C330,[1]!PM_10[BLO],[1]!PM_10[ILO],,-1),2)</f>
        <v>89</v>
      </c>
      <c r="J330">
        <f>ROUND((( _xlfn.XLOOKUP(D330,[1]!NO_2[BLO],[1]!NO_2[IHI],,-1) - _xlfn.XLOOKUP(D330,[1]!NO_2[BLO],[1]!NO_2[ILO],,-1))
/
( _xlfn.XLOOKUP(D330,[1]!NO_2[BLO],[1]!NO_2[BHI],,-1) - _xlfn.XLOOKUP(D330,[1]!NO_2[BLO],[1]!NO_2[BLO],,-1) ))
*
( D330 - _xlfn.XLOOKUP(D330,[1]!NO_2[BLO],[1]!NO_2[BLO],,-1))
+
_xlfn.XLOOKUP(D330,[1]!NO_2[BLO],[1]!NO_2[ILO],,-1),2)</f>
        <v>22.5</v>
      </c>
      <c r="K330">
        <f>ROUND(( ( _xlfn.XLOOKUP(E330,[1]!SO_2[BLO],[1]!SO_2[IHI],,-1)  - _xlfn.XLOOKUP(E330,[1]!SO_2[BLO],[1]!SO_2[ILO],,-1) )
/
( _xlfn.XLOOKUP(E330,[1]!SO_2[BLO],[1]!SO_2[BHI],,-1)- _xlfn.XLOOKUP(E330,[1]!SO_2[BLO],[1]!SO_2[BLO],,-1) ))
*
( E330 - _xlfn.XLOOKUP(E330,[1]!SO_2[BLO],[1]!SO_2[BLO],,-1) )
+
_xlfn.XLOOKUP(E330,[1]!SO_2[BLO],[1]!SO_2[ILO],,-1),2)</f>
        <v>11.25</v>
      </c>
      <c r="L330">
        <f>( ( _xlfn.XLOOKUP(F330,[1]!CO[BLO],[1]!CO[IHI],,-1)
- _xlfn.XLOOKUP(F330,[1]!CO[BLO],[1]!CO[ILO],,-1) )
/
( _xlfn.XLOOKUP(F330,[1]!CO[BLO],[1]!CO[BHI],,-1) - _xlfn.XLOOKUP(F330,[1]!CO[BLO],[1]!CO[BLO],,-1)))
*
( F330 - _xlfn.XLOOKUP(F330,[1]!CO[BLO],[1]!CO[BLO],,-1) )
+
_xlfn.XLOOKUP(F330,[1]!CO[BLO],[1]!CO[ILO],,-1)</f>
        <v>43.5</v>
      </c>
      <c r="M330">
        <f>(( _xlfn.XLOOKUP(G330,[1]!O_3[BLO],[1]!O_3[IHI],,-1) - _xlfn.XLOOKUP(G330,[1]!O_3[BLO],[1]!O_3[ILO],,-1))
/
( _xlfn.XLOOKUP(G330,[1]!O_3[BLO],[1]!O_3[BHI],,-1) - _xlfn.XLOOKUP(G330,[1]!O_3[BLO],[1]!O_3[BLO],,-1)))
*
( G330 - _xlfn.XLOOKUP(G330,[1]!O_3[BLO],[1]!O_3[BLO],,-1))
+
_xlfn.XLOOKUP(G330,[1]!O_3[BLO],[1]!O_3[ILO],,-1)</f>
        <v>26</v>
      </c>
      <c r="N330">
        <f>MAX(DAILY_DATA[[#This Row],[AQI_PM2.5]:[AQI_O3]])</f>
        <v>89</v>
      </c>
      <c r="O330" t="str">
        <f>_xlfn.XLOOKUP(DAILY_DATA[[#This Row],[OVERALL_AQI]],[1]!CATEGORY[AQI_LO],[1]!CATEGORY[CATEGORY],,-1)</f>
        <v>Satisfactory</v>
      </c>
      <c r="P330" t="str" cm="1">
        <f t="array" ref="P330">INDEX(
{"PM2.5","PM10","NO2","SO2","CO","O3"},
MATCH(N330,H330:M330,0)
)</f>
        <v>PM10</v>
      </c>
    </row>
    <row r="331" spans="1:16" x14ac:dyDescent="0.25">
      <c r="A331" s="4">
        <v>45621</v>
      </c>
      <c r="B331">
        <f>ROUND(AVERAGEIFS([1]HOURLY_DATA!B331:B9114,[1]HOURLY_DATA!H331:H9114,Daily_AQI!A331),0)</f>
        <v>40</v>
      </c>
      <c r="C331">
        <f>ROUND(AVERAGEIFS([1]HOURLY_DATA!C331:C9114,[1]HOURLY_DATA!H331:H9114,Daily_AQI!A331),0)</f>
        <v>82</v>
      </c>
      <c r="D331">
        <f>ROUND(AVERAGEIFS([1]HOURLY_DATA!D331:D9114,[1]HOURLY_DATA!H331:H9114,Daily_AQI!A331),0)</f>
        <v>18</v>
      </c>
      <c r="E331">
        <f>ROUND(AVERAGEIFS([1]HOURLY_DATA!E331:E9114,[1]HOURLY_DATA!H331:H9114,Daily_AQI!A331),0)</f>
        <v>10</v>
      </c>
      <c r="F331">
        <f>ROUND(AVERAGEIFS([1]HOURLY_DATA!I331:I9114,[1]HOURLY_DATA!H331:H9114,Daily_AQI!A331),2)</f>
        <v>0.85</v>
      </c>
      <c r="G331">
        <f>ROUND(AVERAGEIFS([1]HOURLY_DATA!J331:J9114,[1]HOURLY_DATA!H331:H9114,Daily_AQI!A331),0)</f>
        <v>25</v>
      </c>
      <c r="H331">
        <f>ROUND(((_xlfn.XLOOKUP(B331,[1]!PM2.5[BLO],[1]!PM2.5[IHI],,-1) - _xlfn.XLOOKUP(B331,[1]!PM2.5[BLO],[1]!PM2.5[ILO],,-1))
/
(_xlfn.XLOOKUP(B331,[1]!PM2.5[BLO],[1]!PM2.5[BHI],,-1) - _xlfn.XLOOKUP(B331,[1]!PM2.5[BLO],[1]!PM2.5[BLO],,-1)))
*
(B331 - _xlfn.XLOOKUP(B331,[1]!PM2.5[BLO],[1]!PM2.5[BLO],,-1))
+
_xlfn.XLOOKUP(B331,[1]!PM2.5[BLO],[1]!PM2.5[ILO],,-1),2)</f>
        <v>66.209999999999994</v>
      </c>
      <c r="I331">
        <f>ROUND(((_xlfn.XLOOKUP(C331,[1]!PM_10[BLO],[1]!PM_10[IHI],,-1) - _xlfn.XLOOKUP(C331,[1]!PM_10[BLO],[1]!PM_10[ILO],,-1))
/
(_xlfn.XLOOKUP(C331,[1]!PM_10[BLO],[1]!PM_10[BHI],,-1) - _xlfn.XLOOKUP(C331,[1]!PM_10[BLO],[1]!PM_10[BLO],,-1)))
*
( C331 - _xlfn.XLOOKUP(C331,[1]!PM_10[BLO],[1]!PM_10[BLO],,-1))
+
_xlfn.XLOOKUP(C331,[1]!PM_10[BLO],[1]!PM_10[ILO],,-1),2)</f>
        <v>82</v>
      </c>
      <c r="J331">
        <f>ROUND((( _xlfn.XLOOKUP(D331,[1]!NO_2[BLO],[1]!NO_2[IHI],,-1) - _xlfn.XLOOKUP(D331,[1]!NO_2[BLO],[1]!NO_2[ILO],,-1))
/
( _xlfn.XLOOKUP(D331,[1]!NO_2[BLO],[1]!NO_2[BHI],,-1) - _xlfn.XLOOKUP(D331,[1]!NO_2[BLO],[1]!NO_2[BLO],,-1) ))
*
( D331 - _xlfn.XLOOKUP(D331,[1]!NO_2[BLO],[1]!NO_2[BLO],,-1))
+
_xlfn.XLOOKUP(D331,[1]!NO_2[BLO],[1]!NO_2[ILO],,-1),2)</f>
        <v>22.5</v>
      </c>
      <c r="K331">
        <f>ROUND(( ( _xlfn.XLOOKUP(E331,[1]!SO_2[BLO],[1]!SO_2[IHI],,-1)  - _xlfn.XLOOKUP(E331,[1]!SO_2[BLO],[1]!SO_2[ILO],,-1) )
/
( _xlfn.XLOOKUP(E331,[1]!SO_2[BLO],[1]!SO_2[BHI],,-1)- _xlfn.XLOOKUP(E331,[1]!SO_2[BLO],[1]!SO_2[BLO],,-1) ))
*
( E331 - _xlfn.XLOOKUP(E331,[1]!SO_2[BLO],[1]!SO_2[BLO],,-1) )
+
_xlfn.XLOOKUP(E331,[1]!SO_2[BLO],[1]!SO_2[ILO],,-1),2)</f>
        <v>12.5</v>
      </c>
      <c r="L331">
        <f>( ( _xlfn.XLOOKUP(F331,[1]!CO[BLO],[1]!CO[IHI],,-1)
- _xlfn.XLOOKUP(F331,[1]!CO[BLO],[1]!CO[ILO],,-1) )
/
( _xlfn.XLOOKUP(F331,[1]!CO[BLO],[1]!CO[BHI],,-1) - _xlfn.XLOOKUP(F331,[1]!CO[BLO],[1]!CO[BLO],,-1)))
*
( F331 - _xlfn.XLOOKUP(F331,[1]!CO[BLO],[1]!CO[BLO],,-1) )
+
_xlfn.XLOOKUP(F331,[1]!CO[BLO],[1]!CO[ILO],,-1)</f>
        <v>42.5</v>
      </c>
      <c r="M331">
        <f>(( _xlfn.XLOOKUP(G331,[1]!O_3[BLO],[1]!O_3[IHI],,-1) - _xlfn.XLOOKUP(G331,[1]!O_3[BLO],[1]!O_3[ILO],,-1))
/
( _xlfn.XLOOKUP(G331,[1]!O_3[BLO],[1]!O_3[BHI],,-1) - _xlfn.XLOOKUP(G331,[1]!O_3[BLO],[1]!O_3[BLO],,-1)))
*
( G331 - _xlfn.XLOOKUP(G331,[1]!O_3[BLO],[1]!O_3[BLO],,-1))
+
_xlfn.XLOOKUP(G331,[1]!O_3[BLO],[1]!O_3[ILO],,-1)</f>
        <v>25</v>
      </c>
      <c r="N331">
        <f>MAX(DAILY_DATA[[#This Row],[AQI_PM2.5]:[AQI_O3]])</f>
        <v>82</v>
      </c>
      <c r="O331" t="str">
        <f>_xlfn.XLOOKUP(DAILY_DATA[[#This Row],[OVERALL_AQI]],[1]!CATEGORY[AQI_LO],[1]!CATEGORY[CATEGORY],,-1)</f>
        <v>Satisfactory</v>
      </c>
      <c r="P331" t="str" cm="1">
        <f t="array" ref="P331">INDEX(
{"PM2.5","PM10","NO2","SO2","CO","O3"},
MATCH(N331,H331:M331,0)
)</f>
        <v>PM10</v>
      </c>
    </row>
    <row r="332" spans="1:16" x14ac:dyDescent="0.25">
      <c r="A332" s="4">
        <v>45622</v>
      </c>
      <c r="B332">
        <f>ROUND(AVERAGEIFS([1]HOURLY_DATA!B332:B9115,[1]HOURLY_DATA!H332:H9115,Daily_AQI!A332),0)</f>
        <v>45</v>
      </c>
      <c r="C332">
        <f>ROUND(AVERAGEIFS([1]HOURLY_DATA!C332:C9115,[1]HOURLY_DATA!H332:H9115,Daily_AQI!A332),0)</f>
        <v>88</v>
      </c>
      <c r="D332">
        <f>ROUND(AVERAGEIFS([1]HOURLY_DATA!D332:D9115,[1]HOURLY_DATA!H332:H9115,Daily_AQI!A332),0)</f>
        <v>19</v>
      </c>
      <c r="E332">
        <f>ROUND(AVERAGEIFS([1]HOURLY_DATA!E332:E9115,[1]HOURLY_DATA!H332:H9115,Daily_AQI!A332),0)</f>
        <v>10</v>
      </c>
      <c r="F332">
        <f>ROUND(AVERAGEIFS([1]HOURLY_DATA!I332:I9115,[1]HOURLY_DATA!H332:H9115,Daily_AQI!A332),2)</f>
        <v>0.86</v>
      </c>
      <c r="G332">
        <f>ROUND(AVERAGEIFS([1]HOURLY_DATA!J332:J9115,[1]HOURLY_DATA!H332:H9115,Daily_AQI!A332),0)</f>
        <v>25</v>
      </c>
      <c r="H332">
        <f>ROUND(((_xlfn.XLOOKUP(B332,[1]!PM2.5[BLO],[1]!PM2.5[IHI],,-1) - _xlfn.XLOOKUP(B332,[1]!PM2.5[BLO],[1]!PM2.5[ILO],,-1))
/
(_xlfn.XLOOKUP(B332,[1]!PM2.5[BLO],[1]!PM2.5[BHI],,-1) - _xlfn.XLOOKUP(B332,[1]!PM2.5[BLO],[1]!PM2.5[BLO],,-1)))
*
(B332 - _xlfn.XLOOKUP(B332,[1]!PM2.5[BLO],[1]!PM2.5[BLO],,-1))
+
_xlfn.XLOOKUP(B332,[1]!PM2.5[BLO],[1]!PM2.5[ILO],,-1),2)</f>
        <v>74.66</v>
      </c>
      <c r="I332">
        <f>ROUND(((_xlfn.XLOOKUP(C332,[1]!PM_10[BLO],[1]!PM_10[IHI],,-1) - _xlfn.XLOOKUP(C332,[1]!PM_10[BLO],[1]!PM_10[ILO],,-1))
/
(_xlfn.XLOOKUP(C332,[1]!PM_10[BLO],[1]!PM_10[BHI],,-1) - _xlfn.XLOOKUP(C332,[1]!PM_10[BLO],[1]!PM_10[BLO],,-1)))
*
( C332 - _xlfn.XLOOKUP(C332,[1]!PM_10[BLO],[1]!PM_10[BLO],,-1))
+
_xlfn.XLOOKUP(C332,[1]!PM_10[BLO],[1]!PM_10[ILO],,-1),2)</f>
        <v>88</v>
      </c>
      <c r="J332">
        <f>ROUND((( _xlfn.XLOOKUP(D332,[1]!NO_2[BLO],[1]!NO_2[IHI],,-1) - _xlfn.XLOOKUP(D332,[1]!NO_2[BLO],[1]!NO_2[ILO],,-1))
/
( _xlfn.XLOOKUP(D332,[1]!NO_2[BLO],[1]!NO_2[BHI],,-1) - _xlfn.XLOOKUP(D332,[1]!NO_2[BLO],[1]!NO_2[BLO],,-1) ))
*
( D332 - _xlfn.XLOOKUP(D332,[1]!NO_2[BLO],[1]!NO_2[BLO],,-1))
+
_xlfn.XLOOKUP(D332,[1]!NO_2[BLO],[1]!NO_2[ILO],,-1),2)</f>
        <v>23.75</v>
      </c>
      <c r="K332">
        <f>ROUND(( ( _xlfn.XLOOKUP(E332,[1]!SO_2[BLO],[1]!SO_2[IHI],,-1)  - _xlfn.XLOOKUP(E332,[1]!SO_2[BLO],[1]!SO_2[ILO],,-1) )
/
( _xlfn.XLOOKUP(E332,[1]!SO_2[BLO],[1]!SO_2[BHI],,-1)- _xlfn.XLOOKUP(E332,[1]!SO_2[BLO],[1]!SO_2[BLO],,-1) ))
*
( E332 - _xlfn.XLOOKUP(E332,[1]!SO_2[BLO],[1]!SO_2[BLO],,-1) )
+
_xlfn.XLOOKUP(E332,[1]!SO_2[BLO],[1]!SO_2[ILO],,-1),2)</f>
        <v>12.5</v>
      </c>
      <c r="L332">
        <f>( ( _xlfn.XLOOKUP(F332,[1]!CO[BLO],[1]!CO[IHI],,-1)
- _xlfn.XLOOKUP(F332,[1]!CO[BLO],[1]!CO[ILO],,-1) )
/
( _xlfn.XLOOKUP(F332,[1]!CO[BLO],[1]!CO[BHI],,-1) - _xlfn.XLOOKUP(F332,[1]!CO[BLO],[1]!CO[BLO],,-1)))
*
( F332 - _xlfn.XLOOKUP(F332,[1]!CO[BLO],[1]!CO[BLO],,-1) )
+
_xlfn.XLOOKUP(F332,[1]!CO[BLO],[1]!CO[ILO],,-1)</f>
        <v>43</v>
      </c>
      <c r="M332">
        <f>(( _xlfn.XLOOKUP(G332,[1]!O_3[BLO],[1]!O_3[IHI],,-1) - _xlfn.XLOOKUP(G332,[1]!O_3[BLO],[1]!O_3[ILO],,-1))
/
( _xlfn.XLOOKUP(G332,[1]!O_3[BLO],[1]!O_3[BHI],,-1) - _xlfn.XLOOKUP(G332,[1]!O_3[BLO],[1]!O_3[BLO],,-1)))
*
( G332 - _xlfn.XLOOKUP(G332,[1]!O_3[BLO],[1]!O_3[BLO],,-1))
+
_xlfn.XLOOKUP(G332,[1]!O_3[BLO],[1]!O_3[ILO],,-1)</f>
        <v>25</v>
      </c>
      <c r="N332">
        <f>MAX(DAILY_DATA[[#This Row],[AQI_PM2.5]:[AQI_O3]])</f>
        <v>88</v>
      </c>
      <c r="O332" t="str">
        <f>_xlfn.XLOOKUP(DAILY_DATA[[#This Row],[OVERALL_AQI]],[1]!CATEGORY[AQI_LO],[1]!CATEGORY[CATEGORY],,-1)</f>
        <v>Satisfactory</v>
      </c>
      <c r="P332" t="str" cm="1">
        <f t="array" ref="P332">INDEX(
{"PM2.5","PM10","NO2","SO2","CO","O3"},
MATCH(N332,H332:M332,0)
)</f>
        <v>PM10</v>
      </c>
    </row>
    <row r="333" spans="1:16" x14ac:dyDescent="0.25">
      <c r="A333" s="4">
        <v>45623</v>
      </c>
      <c r="B333">
        <f>ROUND(AVERAGEIFS([1]HOURLY_DATA!B333:B9116,[1]HOURLY_DATA!H333:H9116,Daily_AQI!A333),0)</f>
        <v>51</v>
      </c>
      <c r="C333">
        <f>ROUND(AVERAGEIFS([1]HOURLY_DATA!C333:C9116,[1]HOURLY_DATA!H333:H9116,Daily_AQI!A333),0)</f>
        <v>98</v>
      </c>
      <c r="D333">
        <f>ROUND(AVERAGEIFS([1]HOURLY_DATA!D333:D9116,[1]HOURLY_DATA!H333:H9116,Daily_AQI!A333),0)</f>
        <v>20</v>
      </c>
      <c r="E333">
        <f>ROUND(AVERAGEIFS([1]HOURLY_DATA!E333:E9116,[1]HOURLY_DATA!H333:H9116,Daily_AQI!A333),0)</f>
        <v>9</v>
      </c>
      <c r="F333">
        <f>ROUND(AVERAGEIFS([1]HOURLY_DATA!I333:I9116,[1]HOURLY_DATA!H333:H9116,Daily_AQI!A333),2)</f>
        <v>0.86</v>
      </c>
      <c r="G333">
        <f>ROUND(AVERAGEIFS([1]HOURLY_DATA!J333:J9116,[1]HOURLY_DATA!H333:H9116,Daily_AQI!A333),0)</f>
        <v>26</v>
      </c>
      <c r="H333">
        <f>ROUND(((_xlfn.XLOOKUP(B333,[1]!PM2.5[BLO],[1]!PM2.5[IHI],,-1) - _xlfn.XLOOKUP(B333,[1]!PM2.5[BLO],[1]!PM2.5[ILO],,-1))
/
(_xlfn.XLOOKUP(B333,[1]!PM2.5[BLO],[1]!PM2.5[BHI],,-1) - _xlfn.XLOOKUP(B333,[1]!PM2.5[BLO],[1]!PM2.5[BLO],,-1)))
*
(B333 - _xlfn.XLOOKUP(B333,[1]!PM2.5[BLO],[1]!PM2.5[BLO],,-1))
+
_xlfn.XLOOKUP(B333,[1]!PM2.5[BLO],[1]!PM2.5[ILO],,-1),2)</f>
        <v>84.79</v>
      </c>
      <c r="I333">
        <f>ROUND(((_xlfn.XLOOKUP(C333,[1]!PM_10[BLO],[1]!PM_10[IHI],,-1) - _xlfn.XLOOKUP(C333,[1]!PM_10[BLO],[1]!PM_10[ILO],,-1))
/
(_xlfn.XLOOKUP(C333,[1]!PM_10[BLO],[1]!PM_10[BHI],,-1) - _xlfn.XLOOKUP(C333,[1]!PM_10[BLO],[1]!PM_10[BLO],,-1)))
*
( C333 - _xlfn.XLOOKUP(C333,[1]!PM_10[BLO],[1]!PM_10[BLO],,-1))
+
_xlfn.XLOOKUP(C333,[1]!PM_10[BLO],[1]!PM_10[ILO],,-1),2)</f>
        <v>98</v>
      </c>
      <c r="J333">
        <f>ROUND((( _xlfn.XLOOKUP(D333,[1]!NO_2[BLO],[1]!NO_2[IHI],,-1) - _xlfn.XLOOKUP(D333,[1]!NO_2[BLO],[1]!NO_2[ILO],,-1))
/
( _xlfn.XLOOKUP(D333,[1]!NO_2[BLO],[1]!NO_2[BHI],,-1) - _xlfn.XLOOKUP(D333,[1]!NO_2[BLO],[1]!NO_2[BLO],,-1) ))
*
( D333 - _xlfn.XLOOKUP(D333,[1]!NO_2[BLO],[1]!NO_2[BLO],,-1))
+
_xlfn.XLOOKUP(D333,[1]!NO_2[BLO],[1]!NO_2[ILO],,-1),2)</f>
        <v>25</v>
      </c>
      <c r="K333">
        <f>ROUND(( ( _xlfn.XLOOKUP(E333,[1]!SO_2[BLO],[1]!SO_2[IHI],,-1)  - _xlfn.XLOOKUP(E333,[1]!SO_2[BLO],[1]!SO_2[ILO],,-1) )
/
( _xlfn.XLOOKUP(E333,[1]!SO_2[BLO],[1]!SO_2[BHI],,-1)- _xlfn.XLOOKUP(E333,[1]!SO_2[BLO],[1]!SO_2[BLO],,-1) ))
*
( E333 - _xlfn.XLOOKUP(E333,[1]!SO_2[BLO],[1]!SO_2[BLO],,-1) )
+
_xlfn.XLOOKUP(E333,[1]!SO_2[BLO],[1]!SO_2[ILO],,-1),2)</f>
        <v>11.25</v>
      </c>
      <c r="L333">
        <f>( ( _xlfn.XLOOKUP(F333,[1]!CO[BLO],[1]!CO[IHI],,-1)
- _xlfn.XLOOKUP(F333,[1]!CO[BLO],[1]!CO[ILO],,-1) )
/
( _xlfn.XLOOKUP(F333,[1]!CO[BLO],[1]!CO[BHI],,-1) - _xlfn.XLOOKUP(F333,[1]!CO[BLO],[1]!CO[BLO],,-1)))
*
( F333 - _xlfn.XLOOKUP(F333,[1]!CO[BLO],[1]!CO[BLO],,-1) )
+
_xlfn.XLOOKUP(F333,[1]!CO[BLO],[1]!CO[ILO],,-1)</f>
        <v>43</v>
      </c>
      <c r="M333">
        <f>(( _xlfn.XLOOKUP(G333,[1]!O_3[BLO],[1]!O_3[IHI],,-1) - _xlfn.XLOOKUP(G333,[1]!O_3[BLO],[1]!O_3[ILO],,-1))
/
( _xlfn.XLOOKUP(G333,[1]!O_3[BLO],[1]!O_3[BHI],,-1) - _xlfn.XLOOKUP(G333,[1]!O_3[BLO],[1]!O_3[BLO],,-1)))
*
( G333 - _xlfn.XLOOKUP(G333,[1]!O_3[BLO],[1]!O_3[BLO],,-1))
+
_xlfn.XLOOKUP(G333,[1]!O_3[BLO],[1]!O_3[ILO],,-1)</f>
        <v>26</v>
      </c>
      <c r="N333">
        <f>MAX(DAILY_DATA[[#This Row],[AQI_PM2.5]:[AQI_O3]])</f>
        <v>98</v>
      </c>
      <c r="O333" t="str">
        <f>_xlfn.XLOOKUP(DAILY_DATA[[#This Row],[OVERALL_AQI]],[1]!CATEGORY[AQI_LO],[1]!CATEGORY[CATEGORY],,-1)</f>
        <v>Satisfactory</v>
      </c>
      <c r="P333" t="str" cm="1">
        <f t="array" ref="P333">INDEX(
{"PM2.5","PM10","NO2","SO2","CO","O3"},
MATCH(N333,H333:M333,0)
)</f>
        <v>PM10</v>
      </c>
    </row>
    <row r="334" spans="1:16" x14ac:dyDescent="0.25">
      <c r="A334" s="4">
        <v>45624</v>
      </c>
      <c r="B334">
        <f>ROUND(AVERAGEIFS([1]HOURLY_DATA!B334:B9117,[1]HOURLY_DATA!H334:H9117,Daily_AQI!A334),0)</f>
        <v>48</v>
      </c>
      <c r="C334">
        <f>ROUND(AVERAGEIFS([1]HOURLY_DATA!C334:C9117,[1]HOURLY_DATA!H334:H9117,Daily_AQI!A334),0)</f>
        <v>92</v>
      </c>
      <c r="D334">
        <f>ROUND(AVERAGEIFS([1]HOURLY_DATA!D334:D9117,[1]HOURLY_DATA!H334:H9117,Daily_AQI!A334),0)</f>
        <v>21</v>
      </c>
      <c r="E334">
        <f>ROUND(AVERAGEIFS([1]HOURLY_DATA!E334:E9117,[1]HOURLY_DATA!H334:H9117,Daily_AQI!A334),0)</f>
        <v>10</v>
      </c>
      <c r="F334">
        <f>ROUND(AVERAGEIFS([1]HOURLY_DATA!I334:I9117,[1]HOURLY_DATA!H334:H9117,Daily_AQI!A334),2)</f>
        <v>0.88</v>
      </c>
      <c r="G334">
        <f>ROUND(AVERAGEIFS([1]HOURLY_DATA!J334:J9117,[1]HOURLY_DATA!H334:H9117,Daily_AQI!A334),0)</f>
        <v>28</v>
      </c>
      <c r="H334">
        <f>ROUND(((_xlfn.XLOOKUP(B334,[1]!PM2.5[BLO],[1]!PM2.5[IHI],,-1) - _xlfn.XLOOKUP(B334,[1]!PM2.5[BLO],[1]!PM2.5[ILO],,-1))
/
(_xlfn.XLOOKUP(B334,[1]!PM2.5[BLO],[1]!PM2.5[BHI],,-1) - _xlfn.XLOOKUP(B334,[1]!PM2.5[BLO],[1]!PM2.5[BLO],,-1)))
*
(B334 - _xlfn.XLOOKUP(B334,[1]!PM2.5[BLO],[1]!PM2.5[BLO],,-1))
+
_xlfn.XLOOKUP(B334,[1]!PM2.5[BLO],[1]!PM2.5[ILO],,-1),2)</f>
        <v>79.72</v>
      </c>
      <c r="I334">
        <f>ROUND(((_xlfn.XLOOKUP(C334,[1]!PM_10[BLO],[1]!PM_10[IHI],,-1) - _xlfn.XLOOKUP(C334,[1]!PM_10[BLO],[1]!PM_10[ILO],,-1))
/
(_xlfn.XLOOKUP(C334,[1]!PM_10[BLO],[1]!PM_10[BHI],,-1) - _xlfn.XLOOKUP(C334,[1]!PM_10[BLO],[1]!PM_10[BLO],,-1)))
*
( C334 - _xlfn.XLOOKUP(C334,[1]!PM_10[BLO],[1]!PM_10[BLO],,-1))
+
_xlfn.XLOOKUP(C334,[1]!PM_10[BLO],[1]!PM_10[ILO],,-1),2)</f>
        <v>92</v>
      </c>
      <c r="J334">
        <f>ROUND((( _xlfn.XLOOKUP(D334,[1]!NO_2[BLO],[1]!NO_2[IHI],,-1) - _xlfn.XLOOKUP(D334,[1]!NO_2[BLO],[1]!NO_2[ILO],,-1))
/
( _xlfn.XLOOKUP(D334,[1]!NO_2[BLO],[1]!NO_2[BHI],,-1) - _xlfn.XLOOKUP(D334,[1]!NO_2[BLO],[1]!NO_2[BLO],,-1) ))
*
( D334 - _xlfn.XLOOKUP(D334,[1]!NO_2[BLO],[1]!NO_2[BLO],,-1))
+
_xlfn.XLOOKUP(D334,[1]!NO_2[BLO],[1]!NO_2[ILO],,-1),2)</f>
        <v>26.25</v>
      </c>
      <c r="K334">
        <f>ROUND(( ( _xlfn.XLOOKUP(E334,[1]!SO_2[BLO],[1]!SO_2[IHI],,-1)  - _xlfn.XLOOKUP(E334,[1]!SO_2[BLO],[1]!SO_2[ILO],,-1) )
/
( _xlfn.XLOOKUP(E334,[1]!SO_2[BLO],[1]!SO_2[BHI],,-1)- _xlfn.XLOOKUP(E334,[1]!SO_2[BLO],[1]!SO_2[BLO],,-1) ))
*
( E334 - _xlfn.XLOOKUP(E334,[1]!SO_2[BLO],[1]!SO_2[BLO],,-1) )
+
_xlfn.XLOOKUP(E334,[1]!SO_2[BLO],[1]!SO_2[ILO],,-1),2)</f>
        <v>12.5</v>
      </c>
      <c r="L334">
        <f>( ( _xlfn.XLOOKUP(F334,[1]!CO[BLO],[1]!CO[IHI],,-1)
- _xlfn.XLOOKUP(F334,[1]!CO[BLO],[1]!CO[ILO],,-1) )
/
( _xlfn.XLOOKUP(F334,[1]!CO[BLO],[1]!CO[BHI],,-1) - _xlfn.XLOOKUP(F334,[1]!CO[BLO],[1]!CO[BLO],,-1)))
*
( F334 - _xlfn.XLOOKUP(F334,[1]!CO[BLO],[1]!CO[BLO],,-1) )
+
_xlfn.XLOOKUP(F334,[1]!CO[BLO],[1]!CO[ILO],,-1)</f>
        <v>44</v>
      </c>
      <c r="M334">
        <f>(( _xlfn.XLOOKUP(G334,[1]!O_3[BLO],[1]!O_3[IHI],,-1) - _xlfn.XLOOKUP(G334,[1]!O_3[BLO],[1]!O_3[ILO],,-1))
/
( _xlfn.XLOOKUP(G334,[1]!O_3[BLO],[1]!O_3[BHI],,-1) - _xlfn.XLOOKUP(G334,[1]!O_3[BLO],[1]!O_3[BLO],,-1)))
*
( G334 - _xlfn.XLOOKUP(G334,[1]!O_3[BLO],[1]!O_3[BLO],,-1))
+
_xlfn.XLOOKUP(G334,[1]!O_3[BLO],[1]!O_3[ILO],,-1)</f>
        <v>28</v>
      </c>
      <c r="N334">
        <f>MAX(DAILY_DATA[[#This Row],[AQI_PM2.5]:[AQI_O3]])</f>
        <v>92</v>
      </c>
      <c r="O334" t="str">
        <f>_xlfn.XLOOKUP(DAILY_DATA[[#This Row],[OVERALL_AQI]],[1]!CATEGORY[AQI_LO],[1]!CATEGORY[CATEGORY],,-1)</f>
        <v>Satisfactory</v>
      </c>
      <c r="P334" t="str" cm="1">
        <f t="array" ref="P334">INDEX(
{"PM2.5","PM10","NO2","SO2","CO","O3"},
MATCH(N334,H334:M334,0)
)</f>
        <v>PM10</v>
      </c>
    </row>
    <row r="335" spans="1:16" x14ac:dyDescent="0.25">
      <c r="A335" s="4">
        <v>45625</v>
      </c>
      <c r="B335">
        <f>ROUND(AVERAGEIFS([1]HOURLY_DATA!B335:B9118,[1]HOURLY_DATA!H335:H9118,Daily_AQI!A335),0)</f>
        <v>40</v>
      </c>
      <c r="C335">
        <f>ROUND(AVERAGEIFS([1]HOURLY_DATA!C335:C9118,[1]HOURLY_DATA!H335:H9118,Daily_AQI!A335),0)</f>
        <v>79</v>
      </c>
      <c r="D335">
        <f>ROUND(AVERAGEIFS([1]HOURLY_DATA!D335:D9118,[1]HOURLY_DATA!H335:H9118,Daily_AQI!A335),0)</f>
        <v>20</v>
      </c>
      <c r="E335">
        <f>ROUND(AVERAGEIFS([1]HOURLY_DATA!E335:E9118,[1]HOURLY_DATA!H335:H9118,Daily_AQI!A335),0)</f>
        <v>10</v>
      </c>
      <c r="F335">
        <f>ROUND(AVERAGEIFS([1]HOURLY_DATA!I335:I9118,[1]HOURLY_DATA!H335:H9118,Daily_AQI!A335),2)</f>
        <v>0.86</v>
      </c>
      <c r="G335">
        <f>ROUND(AVERAGEIFS([1]HOURLY_DATA!J335:J9118,[1]HOURLY_DATA!H335:H9118,Daily_AQI!A335),0)</f>
        <v>26</v>
      </c>
      <c r="H335">
        <f>ROUND(((_xlfn.XLOOKUP(B335,[1]!PM2.5[BLO],[1]!PM2.5[IHI],,-1) - _xlfn.XLOOKUP(B335,[1]!PM2.5[BLO],[1]!PM2.5[ILO],,-1))
/
(_xlfn.XLOOKUP(B335,[1]!PM2.5[BLO],[1]!PM2.5[BHI],,-1) - _xlfn.XLOOKUP(B335,[1]!PM2.5[BLO],[1]!PM2.5[BLO],,-1)))
*
(B335 - _xlfn.XLOOKUP(B335,[1]!PM2.5[BLO],[1]!PM2.5[BLO],,-1))
+
_xlfn.XLOOKUP(B335,[1]!PM2.5[BLO],[1]!PM2.5[ILO],,-1),2)</f>
        <v>66.209999999999994</v>
      </c>
      <c r="I335">
        <f>ROUND(((_xlfn.XLOOKUP(C335,[1]!PM_10[BLO],[1]!PM_10[IHI],,-1) - _xlfn.XLOOKUP(C335,[1]!PM_10[BLO],[1]!PM_10[ILO],,-1))
/
(_xlfn.XLOOKUP(C335,[1]!PM_10[BLO],[1]!PM_10[BHI],,-1) - _xlfn.XLOOKUP(C335,[1]!PM_10[BLO],[1]!PM_10[BLO],,-1)))
*
( C335 - _xlfn.XLOOKUP(C335,[1]!PM_10[BLO],[1]!PM_10[BLO],,-1))
+
_xlfn.XLOOKUP(C335,[1]!PM_10[BLO],[1]!PM_10[ILO],,-1),2)</f>
        <v>79</v>
      </c>
      <c r="J335">
        <f>ROUND((( _xlfn.XLOOKUP(D335,[1]!NO_2[BLO],[1]!NO_2[IHI],,-1) - _xlfn.XLOOKUP(D335,[1]!NO_2[BLO],[1]!NO_2[ILO],,-1))
/
( _xlfn.XLOOKUP(D335,[1]!NO_2[BLO],[1]!NO_2[BHI],,-1) - _xlfn.XLOOKUP(D335,[1]!NO_2[BLO],[1]!NO_2[BLO],,-1) ))
*
( D335 - _xlfn.XLOOKUP(D335,[1]!NO_2[BLO],[1]!NO_2[BLO],,-1))
+
_xlfn.XLOOKUP(D335,[1]!NO_2[BLO],[1]!NO_2[ILO],,-1),2)</f>
        <v>25</v>
      </c>
      <c r="K335">
        <f>ROUND(( ( _xlfn.XLOOKUP(E335,[1]!SO_2[BLO],[1]!SO_2[IHI],,-1)  - _xlfn.XLOOKUP(E335,[1]!SO_2[BLO],[1]!SO_2[ILO],,-1) )
/
( _xlfn.XLOOKUP(E335,[1]!SO_2[BLO],[1]!SO_2[BHI],,-1)- _xlfn.XLOOKUP(E335,[1]!SO_2[BLO],[1]!SO_2[BLO],,-1) ))
*
( E335 - _xlfn.XLOOKUP(E335,[1]!SO_2[BLO],[1]!SO_2[BLO],,-1) )
+
_xlfn.XLOOKUP(E335,[1]!SO_2[BLO],[1]!SO_2[ILO],,-1),2)</f>
        <v>12.5</v>
      </c>
      <c r="L335">
        <f>( ( _xlfn.XLOOKUP(F335,[1]!CO[BLO],[1]!CO[IHI],,-1)
- _xlfn.XLOOKUP(F335,[1]!CO[BLO],[1]!CO[ILO],,-1) )
/
( _xlfn.XLOOKUP(F335,[1]!CO[BLO],[1]!CO[BHI],,-1) - _xlfn.XLOOKUP(F335,[1]!CO[BLO],[1]!CO[BLO],,-1)))
*
( F335 - _xlfn.XLOOKUP(F335,[1]!CO[BLO],[1]!CO[BLO],,-1) )
+
_xlfn.XLOOKUP(F335,[1]!CO[BLO],[1]!CO[ILO],,-1)</f>
        <v>43</v>
      </c>
      <c r="M335">
        <f>(( _xlfn.XLOOKUP(G335,[1]!O_3[BLO],[1]!O_3[IHI],,-1) - _xlfn.XLOOKUP(G335,[1]!O_3[BLO],[1]!O_3[ILO],,-1))
/
( _xlfn.XLOOKUP(G335,[1]!O_3[BLO],[1]!O_3[BHI],,-1) - _xlfn.XLOOKUP(G335,[1]!O_3[BLO],[1]!O_3[BLO],,-1)))
*
( G335 - _xlfn.XLOOKUP(G335,[1]!O_3[BLO],[1]!O_3[BLO],,-1))
+
_xlfn.XLOOKUP(G335,[1]!O_3[BLO],[1]!O_3[ILO],,-1)</f>
        <v>26</v>
      </c>
      <c r="N335">
        <f>MAX(DAILY_DATA[[#This Row],[AQI_PM2.5]:[AQI_O3]])</f>
        <v>79</v>
      </c>
      <c r="O335" t="str">
        <f>_xlfn.XLOOKUP(DAILY_DATA[[#This Row],[OVERALL_AQI]],[1]!CATEGORY[AQI_LO],[1]!CATEGORY[CATEGORY],,-1)</f>
        <v>Satisfactory</v>
      </c>
      <c r="P335" t="str" cm="1">
        <f t="array" ref="P335">INDEX(
{"PM2.5","PM10","NO2","SO2","CO","O3"},
MATCH(N335,H335:M335,0)
)</f>
        <v>PM10</v>
      </c>
    </row>
    <row r="336" spans="1:16" x14ac:dyDescent="0.25">
      <c r="A336" s="4">
        <v>45626</v>
      </c>
      <c r="B336">
        <f>ROUND(AVERAGEIFS([1]HOURLY_DATA!B336:B9119,[1]HOURLY_DATA!H336:H9119,Daily_AQI!A336),0)</f>
        <v>34</v>
      </c>
      <c r="C336">
        <f>ROUND(AVERAGEIFS([1]HOURLY_DATA!C336:C9119,[1]HOURLY_DATA!H336:H9119,Daily_AQI!A336),0)</f>
        <v>68</v>
      </c>
      <c r="D336">
        <f>ROUND(AVERAGEIFS([1]HOURLY_DATA!D336:D9119,[1]HOURLY_DATA!H336:H9119,Daily_AQI!A336),0)</f>
        <v>20</v>
      </c>
      <c r="E336">
        <f>ROUND(AVERAGEIFS([1]HOURLY_DATA!E336:E9119,[1]HOURLY_DATA!H336:H9119,Daily_AQI!A336),0)</f>
        <v>9</v>
      </c>
      <c r="F336">
        <f>ROUND(AVERAGEIFS([1]HOURLY_DATA!I336:I9119,[1]HOURLY_DATA!H336:H9119,Daily_AQI!A336),2)</f>
        <v>0.85</v>
      </c>
      <c r="G336">
        <f>ROUND(AVERAGEIFS([1]HOURLY_DATA!J336:J9119,[1]HOURLY_DATA!H336:H9119,Daily_AQI!A336),0)</f>
        <v>23</v>
      </c>
      <c r="H336">
        <f>ROUND(((_xlfn.XLOOKUP(B336,[1]!PM2.5[BLO],[1]!PM2.5[IHI],,-1) - _xlfn.XLOOKUP(B336,[1]!PM2.5[BLO],[1]!PM2.5[ILO],,-1))
/
(_xlfn.XLOOKUP(B336,[1]!PM2.5[BLO],[1]!PM2.5[BHI],,-1) - _xlfn.XLOOKUP(B336,[1]!PM2.5[BLO],[1]!PM2.5[BLO],,-1)))
*
(B336 - _xlfn.XLOOKUP(B336,[1]!PM2.5[BLO],[1]!PM2.5[BLO],,-1))
+
_xlfn.XLOOKUP(B336,[1]!PM2.5[BLO],[1]!PM2.5[ILO],,-1),2)</f>
        <v>56.07</v>
      </c>
      <c r="I336">
        <f>ROUND(((_xlfn.XLOOKUP(C336,[1]!PM_10[BLO],[1]!PM_10[IHI],,-1) - _xlfn.XLOOKUP(C336,[1]!PM_10[BLO],[1]!PM_10[ILO],,-1))
/
(_xlfn.XLOOKUP(C336,[1]!PM_10[BLO],[1]!PM_10[BHI],,-1) - _xlfn.XLOOKUP(C336,[1]!PM_10[BLO],[1]!PM_10[BLO],,-1)))
*
( C336 - _xlfn.XLOOKUP(C336,[1]!PM_10[BLO],[1]!PM_10[BLO],,-1))
+
_xlfn.XLOOKUP(C336,[1]!PM_10[BLO],[1]!PM_10[ILO],,-1),2)</f>
        <v>68</v>
      </c>
      <c r="J336">
        <f>ROUND((( _xlfn.XLOOKUP(D336,[1]!NO_2[BLO],[1]!NO_2[IHI],,-1) - _xlfn.XLOOKUP(D336,[1]!NO_2[BLO],[1]!NO_2[ILO],,-1))
/
( _xlfn.XLOOKUP(D336,[1]!NO_2[BLO],[1]!NO_2[BHI],,-1) - _xlfn.XLOOKUP(D336,[1]!NO_2[BLO],[1]!NO_2[BLO],,-1) ))
*
( D336 - _xlfn.XLOOKUP(D336,[1]!NO_2[BLO],[1]!NO_2[BLO],,-1))
+
_xlfn.XLOOKUP(D336,[1]!NO_2[BLO],[1]!NO_2[ILO],,-1),2)</f>
        <v>25</v>
      </c>
      <c r="K336">
        <f>ROUND(( ( _xlfn.XLOOKUP(E336,[1]!SO_2[BLO],[1]!SO_2[IHI],,-1)  - _xlfn.XLOOKUP(E336,[1]!SO_2[BLO],[1]!SO_2[ILO],,-1) )
/
( _xlfn.XLOOKUP(E336,[1]!SO_2[BLO],[1]!SO_2[BHI],,-1)- _xlfn.XLOOKUP(E336,[1]!SO_2[BLO],[1]!SO_2[BLO],,-1) ))
*
( E336 - _xlfn.XLOOKUP(E336,[1]!SO_2[BLO],[1]!SO_2[BLO],,-1) )
+
_xlfn.XLOOKUP(E336,[1]!SO_2[BLO],[1]!SO_2[ILO],,-1),2)</f>
        <v>11.25</v>
      </c>
      <c r="L336">
        <f>( ( _xlfn.XLOOKUP(F336,[1]!CO[BLO],[1]!CO[IHI],,-1)
- _xlfn.XLOOKUP(F336,[1]!CO[BLO],[1]!CO[ILO],,-1) )
/
( _xlfn.XLOOKUP(F336,[1]!CO[BLO],[1]!CO[BHI],,-1) - _xlfn.XLOOKUP(F336,[1]!CO[BLO],[1]!CO[BLO],,-1)))
*
( F336 - _xlfn.XLOOKUP(F336,[1]!CO[BLO],[1]!CO[BLO],,-1) )
+
_xlfn.XLOOKUP(F336,[1]!CO[BLO],[1]!CO[ILO],,-1)</f>
        <v>42.5</v>
      </c>
      <c r="M336">
        <f>(( _xlfn.XLOOKUP(G336,[1]!O_3[BLO],[1]!O_3[IHI],,-1) - _xlfn.XLOOKUP(G336,[1]!O_3[BLO],[1]!O_3[ILO],,-1))
/
( _xlfn.XLOOKUP(G336,[1]!O_3[BLO],[1]!O_3[BHI],,-1) - _xlfn.XLOOKUP(G336,[1]!O_3[BLO],[1]!O_3[BLO],,-1)))
*
( G336 - _xlfn.XLOOKUP(G336,[1]!O_3[BLO],[1]!O_3[BLO],,-1))
+
_xlfn.XLOOKUP(G336,[1]!O_3[BLO],[1]!O_3[ILO],,-1)</f>
        <v>23</v>
      </c>
      <c r="N336">
        <f>MAX(DAILY_DATA[[#This Row],[AQI_PM2.5]:[AQI_O3]])</f>
        <v>68</v>
      </c>
      <c r="O336" t="str">
        <f>_xlfn.XLOOKUP(DAILY_DATA[[#This Row],[OVERALL_AQI]],[1]!CATEGORY[AQI_LO],[1]!CATEGORY[CATEGORY],,-1)</f>
        <v>Satisfactory</v>
      </c>
      <c r="P336" t="str" cm="1">
        <f t="array" ref="P336">INDEX(
{"PM2.5","PM10","NO2","SO2","CO","O3"},
MATCH(N336,H336:M336,0)
)</f>
        <v>PM10</v>
      </c>
    </row>
    <row r="337" spans="1:16" x14ac:dyDescent="0.25">
      <c r="A337" s="4">
        <v>45627</v>
      </c>
      <c r="B337">
        <f>ROUND(AVERAGEIFS([1]HOURLY_DATA!B337:B9120,[1]HOURLY_DATA!H337:H9120,Daily_AQI!A337),0)</f>
        <v>23</v>
      </c>
      <c r="C337">
        <f>ROUND(AVERAGEIFS([1]HOURLY_DATA!C337:C9120,[1]HOURLY_DATA!H337:H9120,Daily_AQI!A337),0)</f>
        <v>43</v>
      </c>
      <c r="D337">
        <f>ROUND(AVERAGEIFS([1]HOURLY_DATA!D337:D9120,[1]HOURLY_DATA!H337:H9120,Daily_AQI!A337),0)</f>
        <v>19</v>
      </c>
      <c r="E337">
        <f>ROUND(AVERAGEIFS([1]HOURLY_DATA!E337:E9120,[1]HOURLY_DATA!H337:H9120,Daily_AQI!A337),0)</f>
        <v>9</v>
      </c>
      <c r="F337">
        <f>ROUND(AVERAGEIFS([1]HOURLY_DATA!I337:I9120,[1]HOURLY_DATA!H337:H9120,Daily_AQI!A337),2)</f>
        <v>0.8</v>
      </c>
      <c r="G337">
        <f>ROUND(AVERAGEIFS([1]HOURLY_DATA!J337:J9120,[1]HOURLY_DATA!H337:H9120,Daily_AQI!A337),0)</f>
        <v>22</v>
      </c>
      <c r="H337">
        <f>ROUND(((_xlfn.XLOOKUP(B337,[1]!PM2.5[BLO],[1]!PM2.5[IHI],,-1) - _xlfn.XLOOKUP(B337,[1]!PM2.5[BLO],[1]!PM2.5[ILO],,-1))
/
(_xlfn.XLOOKUP(B337,[1]!PM2.5[BLO],[1]!PM2.5[BHI],,-1) - _xlfn.XLOOKUP(B337,[1]!PM2.5[BLO],[1]!PM2.5[BLO],,-1)))
*
(B337 - _xlfn.XLOOKUP(B337,[1]!PM2.5[BLO],[1]!PM2.5[BLO],,-1))
+
_xlfn.XLOOKUP(B337,[1]!PM2.5[BLO],[1]!PM2.5[ILO],,-1),2)</f>
        <v>38.33</v>
      </c>
      <c r="I337">
        <f>ROUND(((_xlfn.XLOOKUP(C337,[1]!PM_10[BLO],[1]!PM_10[IHI],,-1) - _xlfn.XLOOKUP(C337,[1]!PM_10[BLO],[1]!PM_10[ILO],,-1))
/
(_xlfn.XLOOKUP(C337,[1]!PM_10[BLO],[1]!PM_10[BHI],,-1) - _xlfn.XLOOKUP(C337,[1]!PM_10[BLO],[1]!PM_10[BLO],,-1)))
*
( C337 - _xlfn.XLOOKUP(C337,[1]!PM_10[BLO],[1]!PM_10[BLO],,-1))
+
_xlfn.XLOOKUP(C337,[1]!PM_10[BLO],[1]!PM_10[ILO],,-1),2)</f>
        <v>43</v>
      </c>
      <c r="J337">
        <f>ROUND((( _xlfn.XLOOKUP(D337,[1]!NO_2[BLO],[1]!NO_2[IHI],,-1) - _xlfn.XLOOKUP(D337,[1]!NO_2[BLO],[1]!NO_2[ILO],,-1))
/
( _xlfn.XLOOKUP(D337,[1]!NO_2[BLO],[1]!NO_2[BHI],,-1) - _xlfn.XLOOKUP(D337,[1]!NO_2[BLO],[1]!NO_2[BLO],,-1) ))
*
( D337 - _xlfn.XLOOKUP(D337,[1]!NO_2[BLO],[1]!NO_2[BLO],,-1))
+
_xlfn.XLOOKUP(D337,[1]!NO_2[BLO],[1]!NO_2[ILO],,-1),2)</f>
        <v>23.75</v>
      </c>
      <c r="K337">
        <f>ROUND(( ( _xlfn.XLOOKUP(E337,[1]!SO_2[BLO],[1]!SO_2[IHI],,-1)  - _xlfn.XLOOKUP(E337,[1]!SO_2[BLO],[1]!SO_2[ILO],,-1) )
/
( _xlfn.XLOOKUP(E337,[1]!SO_2[BLO],[1]!SO_2[BHI],,-1)- _xlfn.XLOOKUP(E337,[1]!SO_2[BLO],[1]!SO_2[BLO],,-1) ))
*
( E337 - _xlfn.XLOOKUP(E337,[1]!SO_2[BLO],[1]!SO_2[BLO],,-1) )
+
_xlfn.XLOOKUP(E337,[1]!SO_2[BLO],[1]!SO_2[ILO],,-1),2)</f>
        <v>11.25</v>
      </c>
      <c r="L337">
        <f>( ( _xlfn.XLOOKUP(F337,[1]!CO[BLO],[1]!CO[IHI],,-1)
- _xlfn.XLOOKUP(F337,[1]!CO[BLO],[1]!CO[ILO],,-1) )
/
( _xlfn.XLOOKUP(F337,[1]!CO[BLO],[1]!CO[BHI],,-1) - _xlfn.XLOOKUP(F337,[1]!CO[BLO],[1]!CO[BLO],,-1)))
*
( F337 - _xlfn.XLOOKUP(F337,[1]!CO[BLO],[1]!CO[BLO],,-1) )
+
_xlfn.XLOOKUP(F337,[1]!CO[BLO],[1]!CO[ILO],,-1)</f>
        <v>40</v>
      </c>
      <c r="M337">
        <f>(( _xlfn.XLOOKUP(G337,[1]!O_3[BLO],[1]!O_3[IHI],,-1) - _xlfn.XLOOKUP(G337,[1]!O_3[BLO],[1]!O_3[ILO],,-1))
/
( _xlfn.XLOOKUP(G337,[1]!O_3[BLO],[1]!O_3[BHI],,-1) - _xlfn.XLOOKUP(G337,[1]!O_3[BLO],[1]!O_3[BLO],,-1)))
*
( G337 - _xlfn.XLOOKUP(G337,[1]!O_3[BLO],[1]!O_3[BLO],,-1))
+
_xlfn.XLOOKUP(G337,[1]!O_3[BLO],[1]!O_3[ILO],,-1)</f>
        <v>22</v>
      </c>
      <c r="N337">
        <f>MAX(DAILY_DATA[[#This Row],[AQI_PM2.5]:[AQI_O3]])</f>
        <v>43</v>
      </c>
      <c r="O337" t="str">
        <f>_xlfn.XLOOKUP(DAILY_DATA[[#This Row],[OVERALL_AQI]],[1]!CATEGORY[AQI_LO],[1]!CATEGORY[CATEGORY],,-1)</f>
        <v>Good</v>
      </c>
      <c r="P337" t="str" cm="1">
        <f t="array" ref="P337">INDEX(
{"PM2.5","PM10","NO2","SO2","CO","O3"},
MATCH(N337,H337:M337,0)
)</f>
        <v>PM10</v>
      </c>
    </row>
    <row r="338" spans="1:16" x14ac:dyDescent="0.25">
      <c r="A338" s="4">
        <v>45628</v>
      </c>
      <c r="B338">
        <f>ROUND(AVERAGEIFS([1]HOURLY_DATA!B338:B9121,[1]HOURLY_DATA!H338:H9121,Daily_AQI!A338),0)</f>
        <v>16</v>
      </c>
      <c r="C338">
        <f>ROUND(AVERAGEIFS([1]HOURLY_DATA!C338:C9121,[1]HOURLY_DATA!H338:H9121,Daily_AQI!A338),0)</f>
        <v>35</v>
      </c>
      <c r="D338">
        <f>ROUND(AVERAGEIFS([1]HOURLY_DATA!D338:D9121,[1]HOURLY_DATA!H338:H9121,Daily_AQI!A338),0)</f>
        <v>20</v>
      </c>
      <c r="E338">
        <f>ROUND(AVERAGEIFS([1]HOURLY_DATA!E338:E9121,[1]HOURLY_DATA!H338:H9121,Daily_AQI!A338),0)</f>
        <v>9</v>
      </c>
      <c r="F338">
        <f>ROUND(AVERAGEIFS([1]HOURLY_DATA!I338:I9121,[1]HOURLY_DATA!H338:H9121,Daily_AQI!A338),2)</f>
        <v>0.82</v>
      </c>
      <c r="G338">
        <f>ROUND(AVERAGEIFS([1]HOURLY_DATA!J338:J9121,[1]HOURLY_DATA!H338:H9121,Daily_AQI!A338),0)</f>
        <v>21</v>
      </c>
      <c r="H338">
        <f>ROUND(((_xlfn.XLOOKUP(B338,[1]!PM2.5[BLO],[1]!PM2.5[IHI],,-1) - _xlfn.XLOOKUP(B338,[1]!PM2.5[BLO],[1]!PM2.5[ILO],,-1))
/
(_xlfn.XLOOKUP(B338,[1]!PM2.5[BLO],[1]!PM2.5[BHI],,-1) - _xlfn.XLOOKUP(B338,[1]!PM2.5[BLO],[1]!PM2.5[BLO],,-1)))
*
(B338 - _xlfn.XLOOKUP(B338,[1]!PM2.5[BLO],[1]!PM2.5[BLO],,-1))
+
_xlfn.XLOOKUP(B338,[1]!PM2.5[BLO],[1]!PM2.5[ILO],,-1),2)</f>
        <v>26.67</v>
      </c>
      <c r="I338">
        <f>ROUND(((_xlfn.XLOOKUP(C338,[1]!PM_10[BLO],[1]!PM_10[IHI],,-1) - _xlfn.XLOOKUP(C338,[1]!PM_10[BLO],[1]!PM_10[ILO],,-1))
/
(_xlfn.XLOOKUP(C338,[1]!PM_10[BLO],[1]!PM_10[BHI],,-1) - _xlfn.XLOOKUP(C338,[1]!PM_10[BLO],[1]!PM_10[BLO],,-1)))
*
( C338 - _xlfn.XLOOKUP(C338,[1]!PM_10[BLO],[1]!PM_10[BLO],,-1))
+
_xlfn.XLOOKUP(C338,[1]!PM_10[BLO],[1]!PM_10[ILO],,-1),2)</f>
        <v>35</v>
      </c>
      <c r="J338">
        <f>ROUND((( _xlfn.XLOOKUP(D338,[1]!NO_2[BLO],[1]!NO_2[IHI],,-1) - _xlfn.XLOOKUP(D338,[1]!NO_2[BLO],[1]!NO_2[ILO],,-1))
/
( _xlfn.XLOOKUP(D338,[1]!NO_2[BLO],[1]!NO_2[BHI],,-1) - _xlfn.XLOOKUP(D338,[1]!NO_2[BLO],[1]!NO_2[BLO],,-1) ))
*
( D338 - _xlfn.XLOOKUP(D338,[1]!NO_2[BLO],[1]!NO_2[BLO],,-1))
+
_xlfn.XLOOKUP(D338,[1]!NO_2[BLO],[1]!NO_2[ILO],,-1),2)</f>
        <v>25</v>
      </c>
      <c r="K338">
        <f>ROUND(( ( _xlfn.XLOOKUP(E338,[1]!SO_2[BLO],[1]!SO_2[IHI],,-1)  - _xlfn.XLOOKUP(E338,[1]!SO_2[BLO],[1]!SO_2[ILO],,-1) )
/
( _xlfn.XLOOKUP(E338,[1]!SO_2[BLO],[1]!SO_2[BHI],,-1)- _xlfn.XLOOKUP(E338,[1]!SO_2[BLO],[1]!SO_2[BLO],,-1) ))
*
( E338 - _xlfn.XLOOKUP(E338,[1]!SO_2[BLO],[1]!SO_2[BLO],,-1) )
+
_xlfn.XLOOKUP(E338,[1]!SO_2[BLO],[1]!SO_2[ILO],,-1),2)</f>
        <v>11.25</v>
      </c>
      <c r="L338">
        <f>( ( _xlfn.XLOOKUP(F338,[1]!CO[BLO],[1]!CO[IHI],,-1)
- _xlfn.XLOOKUP(F338,[1]!CO[BLO],[1]!CO[ILO],,-1) )
/
( _xlfn.XLOOKUP(F338,[1]!CO[BLO],[1]!CO[BHI],,-1) - _xlfn.XLOOKUP(F338,[1]!CO[BLO],[1]!CO[BLO],,-1)))
*
( F338 - _xlfn.XLOOKUP(F338,[1]!CO[BLO],[1]!CO[BLO],,-1) )
+
_xlfn.XLOOKUP(F338,[1]!CO[BLO],[1]!CO[ILO],,-1)</f>
        <v>41</v>
      </c>
      <c r="M338">
        <f>(( _xlfn.XLOOKUP(G338,[1]!O_3[BLO],[1]!O_3[IHI],,-1) - _xlfn.XLOOKUP(G338,[1]!O_3[BLO],[1]!O_3[ILO],,-1))
/
( _xlfn.XLOOKUP(G338,[1]!O_3[BLO],[1]!O_3[BHI],,-1) - _xlfn.XLOOKUP(G338,[1]!O_3[BLO],[1]!O_3[BLO],,-1)))
*
( G338 - _xlfn.XLOOKUP(G338,[1]!O_3[BLO],[1]!O_3[BLO],,-1))
+
_xlfn.XLOOKUP(G338,[1]!O_3[BLO],[1]!O_3[ILO],,-1)</f>
        <v>21</v>
      </c>
      <c r="N338">
        <f>MAX(DAILY_DATA[[#This Row],[AQI_PM2.5]:[AQI_O3]])</f>
        <v>41</v>
      </c>
      <c r="O338" t="str">
        <f>_xlfn.XLOOKUP(DAILY_DATA[[#This Row],[OVERALL_AQI]],[1]!CATEGORY[AQI_LO],[1]!CATEGORY[CATEGORY],,-1)</f>
        <v>Good</v>
      </c>
      <c r="P338" t="str" cm="1">
        <f t="array" ref="P338">INDEX(
{"PM2.5","PM10","NO2","SO2","CO","O3"},
MATCH(N338,H338:M338,0)
)</f>
        <v>CO</v>
      </c>
    </row>
    <row r="339" spans="1:16" x14ac:dyDescent="0.25">
      <c r="A339" s="4">
        <v>45629</v>
      </c>
      <c r="B339">
        <f>ROUND(AVERAGEIFS([1]HOURLY_DATA!B339:B9122,[1]HOURLY_DATA!H339:H9122,Daily_AQI!A339),0)</f>
        <v>17</v>
      </c>
      <c r="C339">
        <f>ROUND(AVERAGEIFS([1]HOURLY_DATA!C339:C9122,[1]HOURLY_DATA!H339:H9122,Daily_AQI!A339),0)</f>
        <v>38</v>
      </c>
      <c r="D339">
        <f>ROUND(AVERAGEIFS([1]HOURLY_DATA!D339:D9122,[1]HOURLY_DATA!H339:H9122,Daily_AQI!A339),0)</f>
        <v>21</v>
      </c>
      <c r="E339">
        <f>ROUND(AVERAGEIFS([1]HOURLY_DATA!E339:E9122,[1]HOURLY_DATA!H339:H9122,Daily_AQI!A339),0)</f>
        <v>8</v>
      </c>
      <c r="F339">
        <f>ROUND(AVERAGEIFS([1]HOURLY_DATA!I339:I9122,[1]HOURLY_DATA!H339:H9122,Daily_AQI!A339),2)</f>
        <v>0.95</v>
      </c>
      <c r="G339">
        <f>ROUND(AVERAGEIFS([1]HOURLY_DATA!J339:J9122,[1]HOURLY_DATA!H339:H9122,Daily_AQI!A339),0)</f>
        <v>22</v>
      </c>
      <c r="H339">
        <f>ROUND(((_xlfn.XLOOKUP(B339,[1]!PM2.5[BLO],[1]!PM2.5[IHI],,-1) - _xlfn.XLOOKUP(B339,[1]!PM2.5[BLO],[1]!PM2.5[ILO],,-1))
/
(_xlfn.XLOOKUP(B339,[1]!PM2.5[BLO],[1]!PM2.5[BHI],,-1) - _xlfn.XLOOKUP(B339,[1]!PM2.5[BLO],[1]!PM2.5[BLO],,-1)))
*
(B339 - _xlfn.XLOOKUP(B339,[1]!PM2.5[BLO],[1]!PM2.5[BLO],,-1))
+
_xlfn.XLOOKUP(B339,[1]!PM2.5[BLO],[1]!PM2.5[ILO],,-1),2)</f>
        <v>28.33</v>
      </c>
      <c r="I339">
        <f>ROUND(((_xlfn.XLOOKUP(C339,[1]!PM_10[BLO],[1]!PM_10[IHI],,-1) - _xlfn.XLOOKUP(C339,[1]!PM_10[BLO],[1]!PM_10[ILO],,-1))
/
(_xlfn.XLOOKUP(C339,[1]!PM_10[BLO],[1]!PM_10[BHI],,-1) - _xlfn.XLOOKUP(C339,[1]!PM_10[BLO],[1]!PM_10[BLO],,-1)))
*
( C339 - _xlfn.XLOOKUP(C339,[1]!PM_10[BLO],[1]!PM_10[BLO],,-1))
+
_xlfn.XLOOKUP(C339,[1]!PM_10[BLO],[1]!PM_10[ILO],,-1),2)</f>
        <v>38</v>
      </c>
      <c r="J339">
        <f>ROUND((( _xlfn.XLOOKUP(D339,[1]!NO_2[BLO],[1]!NO_2[IHI],,-1) - _xlfn.XLOOKUP(D339,[1]!NO_2[BLO],[1]!NO_2[ILO],,-1))
/
( _xlfn.XLOOKUP(D339,[1]!NO_2[BLO],[1]!NO_2[BHI],,-1) - _xlfn.XLOOKUP(D339,[1]!NO_2[BLO],[1]!NO_2[BLO],,-1) ))
*
( D339 - _xlfn.XLOOKUP(D339,[1]!NO_2[BLO],[1]!NO_2[BLO],,-1))
+
_xlfn.XLOOKUP(D339,[1]!NO_2[BLO],[1]!NO_2[ILO],,-1),2)</f>
        <v>26.25</v>
      </c>
      <c r="K339">
        <f>ROUND(( ( _xlfn.XLOOKUP(E339,[1]!SO_2[BLO],[1]!SO_2[IHI],,-1)  - _xlfn.XLOOKUP(E339,[1]!SO_2[BLO],[1]!SO_2[ILO],,-1) )
/
( _xlfn.XLOOKUP(E339,[1]!SO_2[BLO],[1]!SO_2[BHI],,-1)- _xlfn.XLOOKUP(E339,[1]!SO_2[BLO],[1]!SO_2[BLO],,-1) ))
*
( E339 - _xlfn.XLOOKUP(E339,[1]!SO_2[BLO],[1]!SO_2[BLO],,-1) )
+
_xlfn.XLOOKUP(E339,[1]!SO_2[BLO],[1]!SO_2[ILO],,-1),2)</f>
        <v>10</v>
      </c>
      <c r="L339">
        <f>( ( _xlfn.XLOOKUP(F339,[1]!CO[BLO],[1]!CO[IHI],,-1)
- _xlfn.XLOOKUP(F339,[1]!CO[BLO],[1]!CO[ILO],,-1) )
/
( _xlfn.XLOOKUP(F339,[1]!CO[BLO],[1]!CO[BHI],,-1) - _xlfn.XLOOKUP(F339,[1]!CO[BLO],[1]!CO[BLO],,-1)))
*
( F339 - _xlfn.XLOOKUP(F339,[1]!CO[BLO],[1]!CO[BLO],,-1) )
+
_xlfn.XLOOKUP(F339,[1]!CO[BLO],[1]!CO[ILO],,-1)</f>
        <v>47.5</v>
      </c>
      <c r="M339">
        <f>(( _xlfn.XLOOKUP(G339,[1]!O_3[BLO],[1]!O_3[IHI],,-1) - _xlfn.XLOOKUP(G339,[1]!O_3[BLO],[1]!O_3[ILO],,-1))
/
( _xlfn.XLOOKUP(G339,[1]!O_3[BLO],[1]!O_3[BHI],,-1) - _xlfn.XLOOKUP(G339,[1]!O_3[BLO],[1]!O_3[BLO],,-1)))
*
( G339 - _xlfn.XLOOKUP(G339,[1]!O_3[BLO],[1]!O_3[BLO],,-1))
+
_xlfn.XLOOKUP(G339,[1]!O_3[BLO],[1]!O_3[ILO],,-1)</f>
        <v>22</v>
      </c>
      <c r="N339">
        <f>MAX(DAILY_DATA[[#This Row],[AQI_PM2.5]:[AQI_O3]])</f>
        <v>47.5</v>
      </c>
      <c r="O339" t="str">
        <f>_xlfn.XLOOKUP(DAILY_DATA[[#This Row],[OVERALL_AQI]],[1]!CATEGORY[AQI_LO],[1]!CATEGORY[CATEGORY],,-1)</f>
        <v>Good</v>
      </c>
      <c r="P339" t="str" cm="1">
        <f t="array" ref="P339">INDEX(
{"PM2.5","PM10","NO2","SO2","CO","O3"},
MATCH(N339,H339:M339,0)
)</f>
        <v>CO</v>
      </c>
    </row>
    <row r="340" spans="1:16" x14ac:dyDescent="0.25">
      <c r="A340" s="4">
        <v>45630</v>
      </c>
      <c r="B340">
        <f>ROUND(AVERAGEIFS([1]HOURLY_DATA!B340:B9123,[1]HOURLY_DATA!H340:H9123,Daily_AQI!A340),0)</f>
        <v>25</v>
      </c>
      <c r="C340">
        <f>ROUND(AVERAGEIFS([1]HOURLY_DATA!C340:C9123,[1]HOURLY_DATA!H340:H9123,Daily_AQI!A340),0)</f>
        <v>60</v>
      </c>
      <c r="D340">
        <f>ROUND(AVERAGEIFS([1]HOURLY_DATA!D340:D9123,[1]HOURLY_DATA!H340:H9123,Daily_AQI!A340),0)</f>
        <v>21</v>
      </c>
      <c r="E340">
        <f>ROUND(AVERAGEIFS([1]HOURLY_DATA!E340:E9123,[1]HOURLY_DATA!H340:H9123,Daily_AQI!A340),0)</f>
        <v>9</v>
      </c>
      <c r="F340">
        <f>ROUND(AVERAGEIFS([1]HOURLY_DATA!I340:I9123,[1]HOURLY_DATA!H340:H9123,Daily_AQI!A340),2)</f>
        <v>0.81</v>
      </c>
      <c r="G340">
        <f>ROUND(AVERAGEIFS([1]HOURLY_DATA!J340:J9123,[1]HOURLY_DATA!H340:H9123,Daily_AQI!A340),0)</f>
        <v>22</v>
      </c>
      <c r="H340">
        <f>ROUND(((_xlfn.XLOOKUP(B340,[1]!PM2.5[BLO],[1]!PM2.5[IHI],,-1) - _xlfn.XLOOKUP(B340,[1]!PM2.5[BLO],[1]!PM2.5[ILO],,-1))
/
(_xlfn.XLOOKUP(B340,[1]!PM2.5[BLO],[1]!PM2.5[BHI],,-1) - _xlfn.XLOOKUP(B340,[1]!PM2.5[BLO],[1]!PM2.5[BLO],,-1)))
*
(B340 - _xlfn.XLOOKUP(B340,[1]!PM2.5[BLO],[1]!PM2.5[BLO],,-1))
+
_xlfn.XLOOKUP(B340,[1]!PM2.5[BLO],[1]!PM2.5[ILO],,-1),2)</f>
        <v>41.67</v>
      </c>
      <c r="I340">
        <f>ROUND(((_xlfn.XLOOKUP(C340,[1]!PM_10[BLO],[1]!PM_10[IHI],,-1) - _xlfn.XLOOKUP(C340,[1]!PM_10[BLO],[1]!PM_10[ILO],,-1))
/
(_xlfn.XLOOKUP(C340,[1]!PM_10[BLO],[1]!PM_10[BHI],,-1) - _xlfn.XLOOKUP(C340,[1]!PM_10[BLO],[1]!PM_10[BLO],,-1)))
*
( C340 - _xlfn.XLOOKUP(C340,[1]!PM_10[BLO],[1]!PM_10[BLO],,-1))
+
_xlfn.XLOOKUP(C340,[1]!PM_10[BLO],[1]!PM_10[ILO],,-1),2)</f>
        <v>60</v>
      </c>
      <c r="J340">
        <f>ROUND((( _xlfn.XLOOKUP(D340,[1]!NO_2[BLO],[1]!NO_2[IHI],,-1) - _xlfn.XLOOKUP(D340,[1]!NO_2[BLO],[1]!NO_2[ILO],,-1))
/
( _xlfn.XLOOKUP(D340,[1]!NO_2[BLO],[1]!NO_2[BHI],,-1) - _xlfn.XLOOKUP(D340,[1]!NO_2[BLO],[1]!NO_2[BLO],,-1) ))
*
( D340 - _xlfn.XLOOKUP(D340,[1]!NO_2[BLO],[1]!NO_2[BLO],,-1))
+
_xlfn.XLOOKUP(D340,[1]!NO_2[BLO],[1]!NO_2[ILO],,-1),2)</f>
        <v>26.25</v>
      </c>
      <c r="K340">
        <f>ROUND(( ( _xlfn.XLOOKUP(E340,[1]!SO_2[BLO],[1]!SO_2[IHI],,-1)  - _xlfn.XLOOKUP(E340,[1]!SO_2[BLO],[1]!SO_2[ILO],,-1) )
/
( _xlfn.XLOOKUP(E340,[1]!SO_2[BLO],[1]!SO_2[BHI],,-1)- _xlfn.XLOOKUP(E340,[1]!SO_2[BLO],[1]!SO_2[BLO],,-1) ))
*
( E340 - _xlfn.XLOOKUP(E340,[1]!SO_2[BLO],[1]!SO_2[BLO],,-1) )
+
_xlfn.XLOOKUP(E340,[1]!SO_2[BLO],[1]!SO_2[ILO],,-1),2)</f>
        <v>11.25</v>
      </c>
      <c r="L340">
        <f>( ( _xlfn.XLOOKUP(F340,[1]!CO[BLO],[1]!CO[IHI],,-1)
- _xlfn.XLOOKUP(F340,[1]!CO[BLO],[1]!CO[ILO],,-1) )
/
( _xlfn.XLOOKUP(F340,[1]!CO[BLO],[1]!CO[BHI],,-1) - _xlfn.XLOOKUP(F340,[1]!CO[BLO],[1]!CO[BLO],,-1)))
*
( F340 - _xlfn.XLOOKUP(F340,[1]!CO[BLO],[1]!CO[BLO],,-1) )
+
_xlfn.XLOOKUP(F340,[1]!CO[BLO],[1]!CO[ILO],,-1)</f>
        <v>40.5</v>
      </c>
      <c r="M340">
        <f>(( _xlfn.XLOOKUP(G340,[1]!O_3[BLO],[1]!O_3[IHI],,-1) - _xlfn.XLOOKUP(G340,[1]!O_3[BLO],[1]!O_3[ILO],,-1))
/
( _xlfn.XLOOKUP(G340,[1]!O_3[BLO],[1]!O_3[BHI],,-1) - _xlfn.XLOOKUP(G340,[1]!O_3[BLO],[1]!O_3[BLO],,-1)))
*
( G340 - _xlfn.XLOOKUP(G340,[1]!O_3[BLO],[1]!O_3[BLO],,-1))
+
_xlfn.XLOOKUP(G340,[1]!O_3[BLO],[1]!O_3[ILO],,-1)</f>
        <v>22</v>
      </c>
      <c r="N340">
        <f>MAX(DAILY_DATA[[#This Row],[AQI_PM2.5]:[AQI_O3]])</f>
        <v>60</v>
      </c>
      <c r="O340" t="str">
        <f>_xlfn.XLOOKUP(DAILY_DATA[[#This Row],[OVERALL_AQI]],[1]!CATEGORY[AQI_LO],[1]!CATEGORY[CATEGORY],,-1)</f>
        <v>Satisfactory</v>
      </c>
      <c r="P340" t="str" cm="1">
        <f t="array" ref="P340">INDEX(
{"PM2.5","PM10","NO2","SO2","CO","O3"},
MATCH(N340,H340:M340,0)
)</f>
        <v>PM10</v>
      </c>
    </row>
    <row r="341" spans="1:16" x14ac:dyDescent="0.25">
      <c r="A341" s="4">
        <v>45631</v>
      </c>
      <c r="B341">
        <f>ROUND(AVERAGEIFS([1]HOURLY_DATA!B341:B9124,[1]HOURLY_DATA!H341:H9124,Daily_AQI!A341),0)</f>
        <v>23</v>
      </c>
      <c r="C341">
        <f>ROUND(AVERAGEIFS([1]HOURLY_DATA!C341:C9124,[1]HOURLY_DATA!H341:H9124,Daily_AQI!A341),0)</f>
        <v>58</v>
      </c>
      <c r="D341">
        <f>ROUND(AVERAGEIFS([1]HOURLY_DATA!D341:D9124,[1]HOURLY_DATA!H341:H9124,Daily_AQI!A341),0)</f>
        <v>21</v>
      </c>
      <c r="E341">
        <f>ROUND(AVERAGEIFS([1]HOURLY_DATA!E341:E9124,[1]HOURLY_DATA!H341:H9124,Daily_AQI!A341),0)</f>
        <v>9</v>
      </c>
      <c r="F341">
        <f>ROUND(AVERAGEIFS([1]HOURLY_DATA!I341:I9124,[1]HOURLY_DATA!H341:H9124,Daily_AQI!A341),2)</f>
        <v>0.83</v>
      </c>
      <c r="G341">
        <f>ROUND(AVERAGEIFS([1]HOURLY_DATA!J341:J9124,[1]HOURLY_DATA!H341:H9124,Daily_AQI!A341),0)</f>
        <v>20</v>
      </c>
      <c r="H341">
        <f>ROUND(((_xlfn.XLOOKUP(B341,[1]!PM2.5[BLO],[1]!PM2.5[IHI],,-1) - _xlfn.XLOOKUP(B341,[1]!PM2.5[BLO],[1]!PM2.5[ILO],,-1))
/
(_xlfn.XLOOKUP(B341,[1]!PM2.5[BLO],[1]!PM2.5[BHI],,-1) - _xlfn.XLOOKUP(B341,[1]!PM2.5[BLO],[1]!PM2.5[BLO],,-1)))
*
(B341 - _xlfn.XLOOKUP(B341,[1]!PM2.5[BLO],[1]!PM2.5[BLO],,-1))
+
_xlfn.XLOOKUP(B341,[1]!PM2.5[BLO],[1]!PM2.5[ILO],,-1),2)</f>
        <v>38.33</v>
      </c>
      <c r="I341">
        <f>ROUND(((_xlfn.XLOOKUP(C341,[1]!PM_10[BLO],[1]!PM_10[IHI],,-1) - _xlfn.XLOOKUP(C341,[1]!PM_10[BLO],[1]!PM_10[ILO],,-1))
/
(_xlfn.XLOOKUP(C341,[1]!PM_10[BLO],[1]!PM_10[BHI],,-1) - _xlfn.XLOOKUP(C341,[1]!PM_10[BLO],[1]!PM_10[BLO],,-1)))
*
( C341 - _xlfn.XLOOKUP(C341,[1]!PM_10[BLO],[1]!PM_10[BLO],,-1))
+
_xlfn.XLOOKUP(C341,[1]!PM_10[BLO],[1]!PM_10[ILO],,-1),2)</f>
        <v>58</v>
      </c>
      <c r="J341">
        <f>ROUND((( _xlfn.XLOOKUP(D341,[1]!NO_2[BLO],[1]!NO_2[IHI],,-1) - _xlfn.XLOOKUP(D341,[1]!NO_2[BLO],[1]!NO_2[ILO],,-1))
/
( _xlfn.XLOOKUP(D341,[1]!NO_2[BLO],[1]!NO_2[BHI],,-1) - _xlfn.XLOOKUP(D341,[1]!NO_2[BLO],[1]!NO_2[BLO],,-1) ))
*
( D341 - _xlfn.XLOOKUP(D341,[1]!NO_2[BLO],[1]!NO_2[BLO],,-1))
+
_xlfn.XLOOKUP(D341,[1]!NO_2[BLO],[1]!NO_2[ILO],,-1),2)</f>
        <v>26.25</v>
      </c>
      <c r="K341">
        <f>ROUND(( ( _xlfn.XLOOKUP(E341,[1]!SO_2[BLO],[1]!SO_2[IHI],,-1)  - _xlfn.XLOOKUP(E341,[1]!SO_2[BLO],[1]!SO_2[ILO],,-1) )
/
( _xlfn.XLOOKUP(E341,[1]!SO_2[BLO],[1]!SO_2[BHI],,-1)- _xlfn.XLOOKUP(E341,[1]!SO_2[BLO],[1]!SO_2[BLO],,-1) ))
*
( E341 - _xlfn.XLOOKUP(E341,[1]!SO_2[BLO],[1]!SO_2[BLO],,-1) )
+
_xlfn.XLOOKUP(E341,[1]!SO_2[BLO],[1]!SO_2[ILO],,-1),2)</f>
        <v>11.25</v>
      </c>
      <c r="L341">
        <f>( ( _xlfn.XLOOKUP(F341,[1]!CO[BLO],[1]!CO[IHI],,-1)
- _xlfn.XLOOKUP(F341,[1]!CO[BLO],[1]!CO[ILO],,-1) )
/
( _xlfn.XLOOKUP(F341,[1]!CO[BLO],[1]!CO[BHI],,-1) - _xlfn.XLOOKUP(F341,[1]!CO[BLO],[1]!CO[BLO],,-1)))
*
( F341 - _xlfn.XLOOKUP(F341,[1]!CO[BLO],[1]!CO[BLO],,-1) )
+
_xlfn.XLOOKUP(F341,[1]!CO[BLO],[1]!CO[ILO],,-1)</f>
        <v>41.5</v>
      </c>
      <c r="M341">
        <f>(( _xlfn.XLOOKUP(G341,[1]!O_3[BLO],[1]!O_3[IHI],,-1) - _xlfn.XLOOKUP(G341,[1]!O_3[BLO],[1]!O_3[ILO],,-1))
/
( _xlfn.XLOOKUP(G341,[1]!O_3[BLO],[1]!O_3[BHI],,-1) - _xlfn.XLOOKUP(G341,[1]!O_3[BLO],[1]!O_3[BLO],,-1)))
*
( G341 - _xlfn.XLOOKUP(G341,[1]!O_3[BLO],[1]!O_3[BLO],,-1))
+
_xlfn.XLOOKUP(G341,[1]!O_3[BLO],[1]!O_3[ILO],,-1)</f>
        <v>20</v>
      </c>
      <c r="N341">
        <f>MAX(DAILY_DATA[[#This Row],[AQI_PM2.5]:[AQI_O3]])</f>
        <v>58</v>
      </c>
      <c r="O341" t="str">
        <f>_xlfn.XLOOKUP(DAILY_DATA[[#This Row],[OVERALL_AQI]],[1]!CATEGORY[AQI_LO],[1]!CATEGORY[CATEGORY],,-1)</f>
        <v>Satisfactory</v>
      </c>
      <c r="P341" t="str" cm="1">
        <f t="array" ref="P341">INDEX(
{"PM2.5","PM10","NO2","SO2","CO","O3"},
MATCH(N341,H341:M341,0)
)</f>
        <v>PM10</v>
      </c>
    </row>
    <row r="342" spans="1:16" x14ac:dyDescent="0.25">
      <c r="A342" s="4">
        <v>45632</v>
      </c>
      <c r="B342">
        <f>ROUND(AVERAGEIFS([1]HOURLY_DATA!B342:B9125,[1]HOURLY_DATA!H342:H9125,Daily_AQI!A342),0)</f>
        <v>27</v>
      </c>
      <c r="C342">
        <f>ROUND(AVERAGEIFS([1]HOURLY_DATA!C342:C9125,[1]HOURLY_DATA!H342:H9125,Daily_AQI!A342),0)</f>
        <v>59</v>
      </c>
      <c r="D342">
        <f>ROUND(AVERAGEIFS([1]HOURLY_DATA!D342:D9125,[1]HOURLY_DATA!H342:H9125,Daily_AQI!A342),0)</f>
        <v>21</v>
      </c>
      <c r="E342">
        <f>ROUND(AVERAGEIFS([1]HOURLY_DATA!E342:E9125,[1]HOURLY_DATA!H342:H9125,Daily_AQI!A342),0)</f>
        <v>10</v>
      </c>
      <c r="F342">
        <f>ROUND(AVERAGEIFS([1]HOURLY_DATA!I342:I9125,[1]HOURLY_DATA!H342:H9125,Daily_AQI!A342),2)</f>
        <v>0.79</v>
      </c>
      <c r="G342">
        <f>ROUND(AVERAGEIFS([1]HOURLY_DATA!J342:J9125,[1]HOURLY_DATA!H342:H9125,Daily_AQI!A342),0)</f>
        <v>22</v>
      </c>
      <c r="H342">
        <f>ROUND(((_xlfn.XLOOKUP(B342,[1]!PM2.5[BLO],[1]!PM2.5[IHI],,-1) - _xlfn.XLOOKUP(B342,[1]!PM2.5[BLO],[1]!PM2.5[ILO],,-1))
/
(_xlfn.XLOOKUP(B342,[1]!PM2.5[BLO],[1]!PM2.5[BHI],,-1) - _xlfn.XLOOKUP(B342,[1]!PM2.5[BLO],[1]!PM2.5[BLO],,-1)))
*
(B342 - _xlfn.XLOOKUP(B342,[1]!PM2.5[BLO],[1]!PM2.5[BLO],,-1))
+
_xlfn.XLOOKUP(B342,[1]!PM2.5[BLO],[1]!PM2.5[ILO],,-1),2)</f>
        <v>45</v>
      </c>
      <c r="I342">
        <f>ROUND(((_xlfn.XLOOKUP(C342,[1]!PM_10[BLO],[1]!PM_10[IHI],,-1) - _xlfn.XLOOKUP(C342,[1]!PM_10[BLO],[1]!PM_10[ILO],,-1))
/
(_xlfn.XLOOKUP(C342,[1]!PM_10[BLO],[1]!PM_10[BHI],,-1) - _xlfn.XLOOKUP(C342,[1]!PM_10[BLO],[1]!PM_10[BLO],,-1)))
*
( C342 - _xlfn.XLOOKUP(C342,[1]!PM_10[BLO],[1]!PM_10[BLO],,-1))
+
_xlfn.XLOOKUP(C342,[1]!PM_10[BLO],[1]!PM_10[ILO],,-1),2)</f>
        <v>59</v>
      </c>
      <c r="J342">
        <f>ROUND((( _xlfn.XLOOKUP(D342,[1]!NO_2[BLO],[1]!NO_2[IHI],,-1) - _xlfn.XLOOKUP(D342,[1]!NO_2[BLO],[1]!NO_2[ILO],,-1))
/
( _xlfn.XLOOKUP(D342,[1]!NO_2[BLO],[1]!NO_2[BHI],,-1) - _xlfn.XLOOKUP(D342,[1]!NO_2[BLO],[1]!NO_2[BLO],,-1) ))
*
( D342 - _xlfn.XLOOKUP(D342,[1]!NO_2[BLO],[1]!NO_2[BLO],,-1))
+
_xlfn.XLOOKUP(D342,[1]!NO_2[BLO],[1]!NO_2[ILO],,-1),2)</f>
        <v>26.25</v>
      </c>
      <c r="K342">
        <f>ROUND(( ( _xlfn.XLOOKUP(E342,[1]!SO_2[BLO],[1]!SO_2[IHI],,-1)  - _xlfn.XLOOKUP(E342,[1]!SO_2[BLO],[1]!SO_2[ILO],,-1) )
/
( _xlfn.XLOOKUP(E342,[1]!SO_2[BLO],[1]!SO_2[BHI],,-1)- _xlfn.XLOOKUP(E342,[1]!SO_2[BLO],[1]!SO_2[BLO],,-1) ))
*
( E342 - _xlfn.XLOOKUP(E342,[1]!SO_2[BLO],[1]!SO_2[BLO],,-1) )
+
_xlfn.XLOOKUP(E342,[1]!SO_2[BLO],[1]!SO_2[ILO],,-1),2)</f>
        <v>12.5</v>
      </c>
      <c r="L342">
        <f>( ( _xlfn.XLOOKUP(F342,[1]!CO[BLO],[1]!CO[IHI],,-1)
- _xlfn.XLOOKUP(F342,[1]!CO[BLO],[1]!CO[ILO],,-1) )
/
( _xlfn.XLOOKUP(F342,[1]!CO[BLO],[1]!CO[BHI],,-1) - _xlfn.XLOOKUP(F342,[1]!CO[BLO],[1]!CO[BLO],,-1)))
*
( F342 - _xlfn.XLOOKUP(F342,[1]!CO[BLO],[1]!CO[BLO],,-1) )
+
_xlfn.XLOOKUP(F342,[1]!CO[BLO],[1]!CO[ILO],,-1)</f>
        <v>39.5</v>
      </c>
      <c r="M342">
        <f>(( _xlfn.XLOOKUP(G342,[1]!O_3[BLO],[1]!O_3[IHI],,-1) - _xlfn.XLOOKUP(G342,[1]!O_3[BLO],[1]!O_3[ILO],,-1))
/
( _xlfn.XLOOKUP(G342,[1]!O_3[BLO],[1]!O_3[BHI],,-1) - _xlfn.XLOOKUP(G342,[1]!O_3[BLO],[1]!O_3[BLO],,-1)))
*
( G342 - _xlfn.XLOOKUP(G342,[1]!O_3[BLO],[1]!O_3[BLO],,-1))
+
_xlfn.XLOOKUP(G342,[1]!O_3[BLO],[1]!O_3[ILO],,-1)</f>
        <v>22</v>
      </c>
      <c r="N342">
        <f>MAX(DAILY_DATA[[#This Row],[AQI_PM2.5]:[AQI_O3]])</f>
        <v>59</v>
      </c>
      <c r="O342" t="str">
        <f>_xlfn.XLOOKUP(DAILY_DATA[[#This Row],[OVERALL_AQI]],[1]!CATEGORY[AQI_LO],[1]!CATEGORY[CATEGORY],,-1)</f>
        <v>Satisfactory</v>
      </c>
      <c r="P342" t="str" cm="1">
        <f t="array" ref="P342">INDEX(
{"PM2.5","PM10","NO2","SO2","CO","O3"},
MATCH(N342,H342:M342,0)
)</f>
        <v>PM10</v>
      </c>
    </row>
    <row r="343" spans="1:16" x14ac:dyDescent="0.25">
      <c r="A343" s="4">
        <v>45633</v>
      </c>
      <c r="B343">
        <f>ROUND(AVERAGEIFS([1]HOURLY_DATA!B343:B9126,[1]HOURLY_DATA!H343:H9126,Daily_AQI!A343),0)</f>
        <v>32</v>
      </c>
      <c r="C343">
        <f>ROUND(AVERAGEIFS([1]HOURLY_DATA!C343:C9126,[1]HOURLY_DATA!H343:H9126,Daily_AQI!A343),0)</f>
        <v>65</v>
      </c>
      <c r="D343">
        <f>ROUND(AVERAGEIFS([1]HOURLY_DATA!D343:D9126,[1]HOURLY_DATA!H343:H9126,Daily_AQI!A343),0)</f>
        <v>21</v>
      </c>
      <c r="E343">
        <f>ROUND(AVERAGEIFS([1]HOURLY_DATA!E343:E9126,[1]HOURLY_DATA!H343:H9126,Daily_AQI!A343),0)</f>
        <v>10</v>
      </c>
      <c r="F343">
        <f>ROUND(AVERAGEIFS([1]HOURLY_DATA!I343:I9126,[1]HOURLY_DATA!H343:H9126,Daily_AQI!A343),2)</f>
        <v>0.79</v>
      </c>
      <c r="G343">
        <f>ROUND(AVERAGEIFS([1]HOURLY_DATA!J343:J9126,[1]HOURLY_DATA!H343:H9126,Daily_AQI!A343),0)</f>
        <v>23</v>
      </c>
      <c r="H343">
        <f>ROUND(((_xlfn.XLOOKUP(B343,[1]!PM2.5[BLO],[1]!PM2.5[IHI],,-1) - _xlfn.XLOOKUP(B343,[1]!PM2.5[BLO],[1]!PM2.5[ILO],,-1))
/
(_xlfn.XLOOKUP(B343,[1]!PM2.5[BLO],[1]!PM2.5[BHI],,-1) - _xlfn.XLOOKUP(B343,[1]!PM2.5[BLO],[1]!PM2.5[BLO],,-1)))
*
(B343 - _xlfn.XLOOKUP(B343,[1]!PM2.5[BLO],[1]!PM2.5[BLO],,-1))
+
_xlfn.XLOOKUP(B343,[1]!PM2.5[BLO],[1]!PM2.5[ILO],,-1),2)</f>
        <v>52.69</v>
      </c>
      <c r="I343">
        <f>ROUND(((_xlfn.XLOOKUP(C343,[1]!PM_10[BLO],[1]!PM_10[IHI],,-1) - _xlfn.XLOOKUP(C343,[1]!PM_10[BLO],[1]!PM_10[ILO],,-1))
/
(_xlfn.XLOOKUP(C343,[1]!PM_10[BLO],[1]!PM_10[BHI],,-1) - _xlfn.XLOOKUP(C343,[1]!PM_10[BLO],[1]!PM_10[BLO],,-1)))
*
( C343 - _xlfn.XLOOKUP(C343,[1]!PM_10[BLO],[1]!PM_10[BLO],,-1))
+
_xlfn.XLOOKUP(C343,[1]!PM_10[BLO],[1]!PM_10[ILO],,-1),2)</f>
        <v>65</v>
      </c>
      <c r="J343">
        <f>ROUND((( _xlfn.XLOOKUP(D343,[1]!NO_2[BLO],[1]!NO_2[IHI],,-1) - _xlfn.XLOOKUP(D343,[1]!NO_2[BLO],[1]!NO_2[ILO],,-1))
/
( _xlfn.XLOOKUP(D343,[1]!NO_2[BLO],[1]!NO_2[BHI],,-1) - _xlfn.XLOOKUP(D343,[1]!NO_2[BLO],[1]!NO_2[BLO],,-1) ))
*
( D343 - _xlfn.XLOOKUP(D343,[1]!NO_2[BLO],[1]!NO_2[BLO],,-1))
+
_xlfn.XLOOKUP(D343,[1]!NO_2[BLO],[1]!NO_2[ILO],,-1),2)</f>
        <v>26.25</v>
      </c>
      <c r="K343">
        <f>ROUND(( ( _xlfn.XLOOKUP(E343,[1]!SO_2[BLO],[1]!SO_2[IHI],,-1)  - _xlfn.XLOOKUP(E343,[1]!SO_2[BLO],[1]!SO_2[ILO],,-1) )
/
( _xlfn.XLOOKUP(E343,[1]!SO_2[BLO],[1]!SO_2[BHI],,-1)- _xlfn.XLOOKUP(E343,[1]!SO_2[BLO],[1]!SO_2[BLO],,-1) ))
*
( E343 - _xlfn.XLOOKUP(E343,[1]!SO_2[BLO],[1]!SO_2[BLO],,-1) )
+
_xlfn.XLOOKUP(E343,[1]!SO_2[BLO],[1]!SO_2[ILO],,-1),2)</f>
        <v>12.5</v>
      </c>
      <c r="L343">
        <f>( ( _xlfn.XLOOKUP(F343,[1]!CO[BLO],[1]!CO[IHI],,-1)
- _xlfn.XLOOKUP(F343,[1]!CO[BLO],[1]!CO[ILO],,-1) )
/
( _xlfn.XLOOKUP(F343,[1]!CO[BLO],[1]!CO[BHI],,-1) - _xlfn.XLOOKUP(F343,[1]!CO[BLO],[1]!CO[BLO],,-1)))
*
( F343 - _xlfn.XLOOKUP(F343,[1]!CO[BLO],[1]!CO[BLO],,-1) )
+
_xlfn.XLOOKUP(F343,[1]!CO[BLO],[1]!CO[ILO],,-1)</f>
        <v>39.5</v>
      </c>
      <c r="M343">
        <f>(( _xlfn.XLOOKUP(G343,[1]!O_3[BLO],[1]!O_3[IHI],,-1) - _xlfn.XLOOKUP(G343,[1]!O_3[BLO],[1]!O_3[ILO],,-1))
/
( _xlfn.XLOOKUP(G343,[1]!O_3[BLO],[1]!O_3[BHI],,-1) - _xlfn.XLOOKUP(G343,[1]!O_3[BLO],[1]!O_3[BLO],,-1)))
*
( G343 - _xlfn.XLOOKUP(G343,[1]!O_3[BLO],[1]!O_3[BLO],,-1))
+
_xlfn.XLOOKUP(G343,[1]!O_3[BLO],[1]!O_3[ILO],,-1)</f>
        <v>23</v>
      </c>
      <c r="N343">
        <f>MAX(DAILY_DATA[[#This Row],[AQI_PM2.5]:[AQI_O3]])</f>
        <v>65</v>
      </c>
      <c r="O343" t="str">
        <f>_xlfn.XLOOKUP(DAILY_DATA[[#This Row],[OVERALL_AQI]],[1]!CATEGORY[AQI_LO],[1]!CATEGORY[CATEGORY],,-1)</f>
        <v>Satisfactory</v>
      </c>
      <c r="P343" t="str" cm="1">
        <f t="array" ref="P343">INDEX(
{"PM2.5","PM10","NO2","SO2","CO","O3"},
MATCH(N343,H343:M343,0)
)</f>
        <v>PM10</v>
      </c>
    </row>
    <row r="344" spans="1:16" x14ac:dyDescent="0.25">
      <c r="A344" s="4">
        <v>45634</v>
      </c>
      <c r="B344">
        <f>ROUND(AVERAGEIFS([1]HOURLY_DATA!B344:B9127,[1]HOURLY_DATA!H344:H9127,Daily_AQI!A344),0)</f>
        <v>26</v>
      </c>
      <c r="C344">
        <f>ROUND(AVERAGEIFS([1]HOURLY_DATA!C344:C9127,[1]HOURLY_DATA!H344:H9127,Daily_AQI!A344),0)</f>
        <v>52</v>
      </c>
      <c r="D344">
        <f>ROUND(AVERAGEIFS([1]HOURLY_DATA!D344:D9127,[1]HOURLY_DATA!H344:H9127,Daily_AQI!A344),0)</f>
        <v>20</v>
      </c>
      <c r="E344">
        <f>ROUND(AVERAGEIFS([1]HOURLY_DATA!E344:E9127,[1]HOURLY_DATA!H344:H9127,Daily_AQI!A344),0)</f>
        <v>10</v>
      </c>
      <c r="F344">
        <f>ROUND(AVERAGEIFS([1]HOURLY_DATA!I344:I9127,[1]HOURLY_DATA!H344:H9127,Daily_AQI!A344),2)</f>
        <v>0.67</v>
      </c>
      <c r="G344">
        <f>ROUND(AVERAGEIFS([1]HOURLY_DATA!J344:J9127,[1]HOURLY_DATA!H344:H9127,Daily_AQI!A344),0)</f>
        <v>25</v>
      </c>
      <c r="H344">
        <f>ROUND(((_xlfn.XLOOKUP(B344,[1]!PM2.5[BLO],[1]!PM2.5[IHI],,-1) - _xlfn.XLOOKUP(B344,[1]!PM2.5[BLO],[1]!PM2.5[ILO],,-1))
/
(_xlfn.XLOOKUP(B344,[1]!PM2.5[BLO],[1]!PM2.5[BHI],,-1) - _xlfn.XLOOKUP(B344,[1]!PM2.5[BLO],[1]!PM2.5[BLO],,-1)))
*
(B344 - _xlfn.XLOOKUP(B344,[1]!PM2.5[BLO],[1]!PM2.5[BLO],,-1))
+
_xlfn.XLOOKUP(B344,[1]!PM2.5[BLO],[1]!PM2.5[ILO],,-1),2)</f>
        <v>43.33</v>
      </c>
      <c r="I344">
        <f>ROUND(((_xlfn.XLOOKUP(C344,[1]!PM_10[BLO],[1]!PM_10[IHI],,-1) - _xlfn.XLOOKUP(C344,[1]!PM_10[BLO],[1]!PM_10[ILO],,-1))
/
(_xlfn.XLOOKUP(C344,[1]!PM_10[BLO],[1]!PM_10[BHI],,-1) - _xlfn.XLOOKUP(C344,[1]!PM_10[BLO],[1]!PM_10[BLO],,-1)))
*
( C344 - _xlfn.XLOOKUP(C344,[1]!PM_10[BLO],[1]!PM_10[BLO],,-1))
+
_xlfn.XLOOKUP(C344,[1]!PM_10[BLO],[1]!PM_10[ILO],,-1),2)</f>
        <v>52</v>
      </c>
      <c r="J344">
        <f>ROUND((( _xlfn.XLOOKUP(D344,[1]!NO_2[BLO],[1]!NO_2[IHI],,-1) - _xlfn.XLOOKUP(D344,[1]!NO_2[BLO],[1]!NO_2[ILO],,-1))
/
( _xlfn.XLOOKUP(D344,[1]!NO_2[BLO],[1]!NO_2[BHI],,-1) - _xlfn.XLOOKUP(D344,[1]!NO_2[BLO],[1]!NO_2[BLO],,-1) ))
*
( D344 - _xlfn.XLOOKUP(D344,[1]!NO_2[BLO],[1]!NO_2[BLO],,-1))
+
_xlfn.XLOOKUP(D344,[1]!NO_2[BLO],[1]!NO_2[ILO],,-1),2)</f>
        <v>25</v>
      </c>
      <c r="K344">
        <f>ROUND(( ( _xlfn.XLOOKUP(E344,[1]!SO_2[BLO],[1]!SO_2[IHI],,-1)  - _xlfn.XLOOKUP(E344,[1]!SO_2[BLO],[1]!SO_2[ILO],,-1) )
/
( _xlfn.XLOOKUP(E344,[1]!SO_2[BLO],[1]!SO_2[BHI],,-1)- _xlfn.XLOOKUP(E344,[1]!SO_2[BLO],[1]!SO_2[BLO],,-1) ))
*
( E344 - _xlfn.XLOOKUP(E344,[1]!SO_2[BLO],[1]!SO_2[BLO],,-1) )
+
_xlfn.XLOOKUP(E344,[1]!SO_2[BLO],[1]!SO_2[ILO],,-1),2)</f>
        <v>12.5</v>
      </c>
      <c r="L344">
        <f>( ( _xlfn.XLOOKUP(F344,[1]!CO[BLO],[1]!CO[IHI],,-1)
- _xlfn.XLOOKUP(F344,[1]!CO[BLO],[1]!CO[ILO],,-1) )
/
( _xlfn.XLOOKUP(F344,[1]!CO[BLO],[1]!CO[BHI],,-1) - _xlfn.XLOOKUP(F344,[1]!CO[BLO],[1]!CO[BLO],,-1)))
*
( F344 - _xlfn.XLOOKUP(F344,[1]!CO[BLO],[1]!CO[BLO],,-1) )
+
_xlfn.XLOOKUP(F344,[1]!CO[BLO],[1]!CO[ILO],,-1)</f>
        <v>33.5</v>
      </c>
      <c r="M344">
        <f>(( _xlfn.XLOOKUP(G344,[1]!O_3[BLO],[1]!O_3[IHI],,-1) - _xlfn.XLOOKUP(G344,[1]!O_3[BLO],[1]!O_3[ILO],,-1))
/
( _xlfn.XLOOKUP(G344,[1]!O_3[BLO],[1]!O_3[BHI],,-1) - _xlfn.XLOOKUP(G344,[1]!O_3[BLO],[1]!O_3[BLO],,-1)))
*
( G344 - _xlfn.XLOOKUP(G344,[1]!O_3[BLO],[1]!O_3[BLO],,-1))
+
_xlfn.XLOOKUP(G344,[1]!O_3[BLO],[1]!O_3[ILO],,-1)</f>
        <v>25</v>
      </c>
      <c r="N344">
        <f>MAX(DAILY_DATA[[#This Row],[AQI_PM2.5]:[AQI_O3]])</f>
        <v>52</v>
      </c>
      <c r="O344" t="str">
        <f>_xlfn.XLOOKUP(DAILY_DATA[[#This Row],[OVERALL_AQI]],[1]!CATEGORY[AQI_LO],[1]!CATEGORY[CATEGORY],,-1)</f>
        <v>Satisfactory</v>
      </c>
      <c r="P344" t="str" cm="1">
        <f t="array" ref="P344">INDEX(
{"PM2.5","PM10","NO2","SO2","CO","O3"},
MATCH(N344,H344:M344,0)
)</f>
        <v>PM10</v>
      </c>
    </row>
    <row r="345" spans="1:16" x14ac:dyDescent="0.25">
      <c r="A345" s="4">
        <v>45635</v>
      </c>
      <c r="B345">
        <f>ROUND(AVERAGEIFS([1]HOURLY_DATA!B345:B9128,[1]HOURLY_DATA!H345:H9128,Daily_AQI!A345),0)</f>
        <v>36</v>
      </c>
      <c r="C345">
        <f>ROUND(AVERAGEIFS([1]HOURLY_DATA!C345:C9128,[1]HOURLY_DATA!H345:H9128,Daily_AQI!A345),0)</f>
        <v>73</v>
      </c>
      <c r="D345">
        <f>ROUND(AVERAGEIFS([1]HOURLY_DATA!D345:D9128,[1]HOURLY_DATA!H345:H9128,Daily_AQI!A345),0)</f>
        <v>20</v>
      </c>
      <c r="E345">
        <f>ROUND(AVERAGEIFS([1]HOURLY_DATA!E345:E9128,[1]HOURLY_DATA!H345:H9128,Daily_AQI!A345),0)</f>
        <v>10</v>
      </c>
      <c r="F345">
        <f>ROUND(AVERAGEIFS([1]HOURLY_DATA!I345:I9128,[1]HOURLY_DATA!H345:H9128,Daily_AQI!A345),2)</f>
        <v>0.74</v>
      </c>
      <c r="G345">
        <f>ROUND(AVERAGEIFS([1]HOURLY_DATA!J345:J9128,[1]HOURLY_DATA!H345:H9128,Daily_AQI!A345),0)</f>
        <v>27</v>
      </c>
      <c r="H345">
        <f>ROUND(((_xlfn.XLOOKUP(B345,[1]!PM2.5[BLO],[1]!PM2.5[IHI],,-1) - _xlfn.XLOOKUP(B345,[1]!PM2.5[BLO],[1]!PM2.5[ILO],,-1))
/
(_xlfn.XLOOKUP(B345,[1]!PM2.5[BLO],[1]!PM2.5[BHI],,-1) - _xlfn.XLOOKUP(B345,[1]!PM2.5[BLO],[1]!PM2.5[BLO],,-1)))
*
(B345 - _xlfn.XLOOKUP(B345,[1]!PM2.5[BLO],[1]!PM2.5[BLO],,-1))
+
_xlfn.XLOOKUP(B345,[1]!PM2.5[BLO],[1]!PM2.5[ILO],,-1),2)</f>
        <v>59.45</v>
      </c>
      <c r="I345">
        <f>ROUND(((_xlfn.XLOOKUP(C345,[1]!PM_10[BLO],[1]!PM_10[IHI],,-1) - _xlfn.XLOOKUP(C345,[1]!PM_10[BLO],[1]!PM_10[ILO],,-1))
/
(_xlfn.XLOOKUP(C345,[1]!PM_10[BLO],[1]!PM_10[BHI],,-1) - _xlfn.XLOOKUP(C345,[1]!PM_10[BLO],[1]!PM_10[BLO],,-1)))
*
( C345 - _xlfn.XLOOKUP(C345,[1]!PM_10[BLO],[1]!PM_10[BLO],,-1))
+
_xlfn.XLOOKUP(C345,[1]!PM_10[BLO],[1]!PM_10[ILO],,-1),2)</f>
        <v>73</v>
      </c>
      <c r="J345">
        <f>ROUND((( _xlfn.XLOOKUP(D345,[1]!NO_2[BLO],[1]!NO_2[IHI],,-1) - _xlfn.XLOOKUP(D345,[1]!NO_2[BLO],[1]!NO_2[ILO],,-1))
/
( _xlfn.XLOOKUP(D345,[1]!NO_2[BLO],[1]!NO_2[BHI],,-1) - _xlfn.XLOOKUP(D345,[1]!NO_2[BLO],[1]!NO_2[BLO],,-1) ))
*
( D345 - _xlfn.XLOOKUP(D345,[1]!NO_2[BLO],[1]!NO_2[BLO],,-1))
+
_xlfn.XLOOKUP(D345,[1]!NO_2[BLO],[1]!NO_2[ILO],,-1),2)</f>
        <v>25</v>
      </c>
      <c r="K345">
        <f>ROUND(( ( _xlfn.XLOOKUP(E345,[1]!SO_2[BLO],[1]!SO_2[IHI],,-1)  - _xlfn.XLOOKUP(E345,[1]!SO_2[BLO],[1]!SO_2[ILO],,-1) )
/
( _xlfn.XLOOKUP(E345,[1]!SO_2[BLO],[1]!SO_2[BHI],,-1)- _xlfn.XLOOKUP(E345,[1]!SO_2[BLO],[1]!SO_2[BLO],,-1) ))
*
( E345 - _xlfn.XLOOKUP(E345,[1]!SO_2[BLO],[1]!SO_2[BLO],,-1) )
+
_xlfn.XLOOKUP(E345,[1]!SO_2[BLO],[1]!SO_2[ILO],,-1),2)</f>
        <v>12.5</v>
      </c>
      <c r="L345">
        <f>( ( _xlfn.XLOOKUP(F345,[1]!CO[BLO],[1]!CO[IHI],,-1)
- _xlfn.XLOOKUP(F345,[1]!CO[BLO],[1]!CO[ILO],,-1) )
/
( _xlfn.XLOOKUP(F345,[1]!CO[BLO],[1]!CO[BHI],,-1) - _xlfn.XLOOKUP(F345,[1]!CO[BLO],[1]!CO[BLO],,-1)))
*
( F345 - _xlfn.XLOOKUP(F345,[1]!CO[BLO],[1]!CO[BLO],,-1) )
+
_xlfn.XLOOKUP(F345,[1]!CO[BLO],[1]!CO[ILO],,-1)</f>
        <v>37</v>
      </c>
      <c r="M345">
        <f>(( _xlfn.XLOOKUP(G345,[1]!O_3[BLO],[1]!O_3[IHI],,-1) - _xlfn.XLOOKUP(G345,[1]!O_3[BLO],[1]!O_3[ILO],,-1))
/
( _xlfn.XLOOKUP(G345,[1]!O_3[BLO],[1]!O_3[BHI],,-1) - _xlfn.XLOOKUP(G345,[1]!O_3[BLO],[1]!O_3[BLO],,-1)))
*
( G345 - _xlfn.XLOOKUP(G345,[1]!O_3[BLO],[1]!O_3[BLO],,-1))
+
_xlfn.XLOOKUP(G345,[1]!O_3[BLO],[1]!O_3[ILO],,-1)</f>
        <v>27</v>
      </c>
      <c r="N345">
        <f>MAX(DAILY_DATA[[#This Row],[AQI_PM2.5]:[AQI_O3]])</f>
        <v>73</v>
      </c>
      <c r="O345" t="str">
        <f>_xlfn.XLOOKUP(DAILY_DATA[[#This Row],[OVERALL_AQI]],[1]!CATEGORY[AQI_LO],[1]!CATEGORY[CATEGORY],,-1)</f>
        <v>Satisfactory</v>
      </c>
      <c r="P345" t="str" cm="1">
        <f t="array" ref="P345">INDEX(
{"PM2.5","PM10","NO2","SO2","CO","O3"},
MATCH(N345,H345:M345,0)
)</f>
        <v>PM10</v>
      </c>
    </row>
    <row r="346" spans="1:16" x14ac:dyDescent="0.25">
      <c r="A346" s="4">
        <v>45636</v>
      </c>
      <c r="B346">
        <f>ROUND(AVERAGEIFS([1]HOURLY_DATA!B346:B9129,[1]HOURLY_DATA!H346:H9129,Daily_AQI!A346),0)</f>
        <v>46</v>
      </c>
      <c r="C346">
        <f>ROUND(AVERAGEIFS([1]HOURLY_DATA!C346:C9129,[1]HOURLY_DATA!H346:H9129,Daily_AQI!A346),0)</f>
        <v>88</v>
      </c>
      <c r="D346">
        <f>ROUND(AVERAGEIFS([1]HOURLY_DATA!D346:D9129,[1]HOURLY_DATA!H346:H9129,Daily_AQI!A346),0)</f>
        <v>21</v>
      </c>
      <c r="E346">
        <f>ROUND(AVERAGEIFS([1]HOURLY_DATA!E346:E9129,[1]HOURLY_DATA!H346:H9129,Daily_AQI!A346),0)</f>
        <v>9</v>
      </c>
      <c r="F346">
        <f>ROUND(AVERAGEIFS([1]HOURLY_DATA!I346:I9129,[1]HOURLY_DATA!H346:H9129,Daily_AQI!A346),2)</f>
        <v>0.81</v>
      </c>
      <c r="G346">
        <f>ROUND(AVERAGEIFS([1]HOURLY_DATA!J346:J9129,[1]HOURLY_DATA!H346:H9129,Daily_AQI!A346),0)</f>
        <v>26</v>
      </c>
      <c r="H346">
        <f>ROUND(((_xlfn.XLOOKUP(B346,[1]!PM2.5[BLO],[1]!PM2.5[IHI],,-1) - _xlfn.XLOOKUP(B346,[1]!PM2.5[BLO],[1]!PM2.5[ILO],,-1))
/
(_xlfn.XLOOKUP(B346,[1]!PM2.5[BLO],[1]!PM2.5[BHI],,-1) - _xlfn.XLOOKUP(B346,[1]!PM2.5[BLO],[1]!PM2.5[BLO],,-1)))
*
(B346 - _xlfn.XLOOKUP(B346,[1]!PM2.5[BLO],[1]!PM2.5[BLO],,-1))
+
_xlfn.XLOOKUP(B346,[1]!PM2.5[BLO],[1]!PM2.5[ILO],,-1),2)</f>
        <v>76.34</v>
      </c>
      <c r="I346">
        <f>ROUND(((_xlfn.XLOOKUP(C346,[1]!PM_10[BLO],[1]!PM_10[IHI],,-1) - _xlfn.XLOOKUP(C346,[1]!PM_10[BLO],[1]!PM_10[ILO],,-1))
/
(_xlfn.XLOOKUP(C346,[1]!PM_10[BLO],[1]!PM_10[BHI],,-1) - _xlfn.XLOOKUP(C346,[1]!PM_10[BLO],[1]!PM_10[BLO],,-1)))
*
( C346 - _xlfn.XLOOKUP(C346,[1]!PM_10[BLO],[1]!PM_10[BLO],,-1))
+
_xlfn.XLOOKUP(C346,[1]!PM_10[BLO],[1]!PM_10[ILO],,-1),2)</f>
        <v>88</v>
      </c>
      <c r="J346">
        <f>ROUND((( _xlfn.XLOOKUP(D346,[1]!NO_2[BLO],[1]!NO_2[IHI],,-1) - _xlfn.XLOOKUP(D346,[1]!NO_2[BLO],[1]!NO_2[ILO],,-1))
/
( _xlfn.XLOOKUP(D346,[1]!NO_2[BLO],[1]!NO_2[BHI],,-1) - _xlfn.XLOOKUP(D346,[1]!NO_2[BLO],[1]!NO_2[BLO],,-1) ))
*
( D346 - _xlfn.XLOOKUP(D346,[1]!NO_2[BLO],[1]!NO_2[BLO],,-1))
+
_xlfn.XLOOKUP(D346,[1]!NO_2[BLO],[1]!NO_2[ILO],,-1),2)</f>
        <v>26.25</v>
      </c>
      <c r="K346">
        <f>ROUND(( ( _xlfn.XLOOKUP(E346,[1]!SO_2[BLO],[1]!SO_2[IHI],,-1)  - _xlfn.XLOOKUP(E346,[1]!SO_2[BLO],[1]!SO_2[ILO],,-1) )
/
( _xlfn.XLOOKUP(E346,[1]!SO_2[BLO],[1]!SO_2[BHI],,-1)- _xlfn.XLOOKUP(E346,[1]!SO_2[BLO],[1]!SO_2[BLO],,-1) ))
*
( E346 - _xlfn.XLOOKUP(E346,[1]!SO_2[BLO],[1]!SO_2[BLO],,-1) )
+
_xlfn.XLOOKUP(E346,[1]!SO_2[BLO],[1]!SO_2[ILO],,-1),2)</f>
        <v>11.25</v>
      </c>
      <c r="L346">
        <f>( ( _xlfn.XLOOKUP(F346,[1]!CO[BLO],[1]!CO[IHI],,-1)
- _xlfn.XLOOKUP(F346,[1]!CO[BLO],[1]!CO[ILO],,-1) )
/
( _xlfn.XLOOKUP(F346,[1]!CO[BLO],[1]!CO[BHI],,-1) - _xlfn.XLOOKUP(F346,[1]!CO[BLO],[1]!CO[BLO],,-1)))
*
( F346 - _xlfn.XLOOKUP(F346,[1]!CO[BLO],[1]!CO[BLO],,-1) )
+
_xlfn.XLOOKUP(F346,[1]!CO[BLO],[1]!CO[ILO],,-1)</f>
        <v>40.5</v>
      </c>
      <c r="M346">
        <f>(( _xlfn.XLOOKUP(G346,[1]!O_3[BLO],[1]!O_3[IHI],,-1) - _xlfn.XLOOKUP(G346,[1]!O_3[BLO],[1]!O_3[ILO],,-1))
/
( _xlfn.XLOOKUP(G346,[1]!O_3[BLO],[1]!O_3[BHI],,-1) - _xlfn.XLOOKUP(G346,[1]!O_3[BLO],[1]!O_3[BLO],,-1)))
*
( G346 - _xlfn.XLOOKUP(G346,[1]!O_3[BLO],[1]!O_3[BLO],,-1))
+
_xlfn.XLOOKUP(G346,[1]!O_3[BLO],[1]!O_3[ILO],,-1)</f>
        <v>26</v>
      </c>
      <c r="N346">
        <f>MAX(DAILY_DATA[[#This Row],[AQI_PM2.5]:[AQI_O3]])</f>
        <v>88</v>
      </c>
      <c r="O346" t="str">
        <f>_xlfn.XLOOKUP(DAILY_DATA[[#This Row],[OVERALL_AQI]],[1]!CATEGORY[AQI_LO],[1]!CATEGORY[CATEGORY],,-1)</f>
        <v>Satisfactory</v>
      </c>
      <c r="P346" t="str" cm="1">
        <f t="array" ref="P346">INDEX(
{"PM2.5","PM10","NO2","SO2","CO","O3"},
MATCH(N346,H346:M346,0)
)</f>
        <v>PM10</v>
      </c>
    </row>
    <row r="347" spans="1:16" x14ac:dyDescent="0.25">
      <c r="A347" s="4">
        <v>45637</v>
      </c>
      <c r="B347">
        <f>ROUND(AVERAGEIFS([1]HOURLY_DATA!B347:B9130,[1]HOURLY_DATA!H347:H9130,Daily_AQI!A347),0)</f>
        <v>43</v>
      </c>
      <c r="C347">
        <f>ROUND(AVERAGEIFS([1]HOURLY_DATA!C347:C9130,[1]HOURLY_DATA!H347:H9130,Daily_AQI!A347),0)</f>
        <v>80</v>
      </c>
      <c r="D347">
        <f>ROUND(AVERAGEIFS([1]HOURLY_DATA!D347:D9130,[1]HOURLY_DATA!H347:H9130,Daily_AQI!A347),0)</f>
        <v>20</v>
      </c>
      <c r="E347">
        <f>ROUND(AVERAGEIFS([1]HOURLY_DATA!E347:E9130,[1]HOURLY_DATA!H347:H9130,Daily_AQI!A347),0)</f>
        <v>9</v>
      </c>
      <c r="F347">
        <f>ROUND(AVERAGEIFS([1]HOURLY_DATA!I347:I9130,[1]HOURLY_DATA!H347:H9130,Daily_AQI!A347),2)</f>
        <v>0.73</v>
      </c>
      <c r="G347">
        <f>ROUND(AVERAGEIFS([1]HOURLY_DATA!J347:J9130,[1]HOURLY_DATA!H347:H9130,Daily_AQI!A347),0)</f>
        <v>26</v>
      </c>
      <c r="H347">
        <f>ROUND(((_xlfn.XLOOKUP(B347,[1]!PM2.5[BLO],[1]!PM2.5[IHI],,-1) - _xlfn.XLOOKUP(B347,[1]!PM2.5[BLO],[1]!PM2.5[ILO],,-1))
/
(_xlfn.XLOOKUP(B347,[1]!PM2.5[BLO],[1]!PM2.5[BHI],,-1) - _xlfn.XLOOKUP(B347,[1]!PM2.5[BLO],[1]!PM2.5[BLO],,-1)))
*
(B347 - _xlfn.XLOOKUP(B347,[1]!PM2.5[BLO],[1]!PM2.5[BLO],,-1))
+
_xlfn.XLOOKUP(B347,[1]!PM2.5[BLO],[1]!PM2.5[ILO],,-1),2)</f>
        <v>71.28</v>
      </c>
      <c r="I347">
        <f>ROUND(((_xlfn.XLOOKUP(C347,[1]!PM_10[BLO],[1]!PM_10[IHI],,-1) - _xlfn.XLOOKUP(C347,[1]!PM_10[BLO],[1]!PM_10[ILO],,-1))
/
(_xlfn.XLOOKUP(C347,[1]!PM_10[BLO],[1]!PM_10[BHI],,-1) - _xlfn.XLOOKUP(C347,[1]!PM_10[BLO],[1]!PM_10[BLO],,-1)))
*
( C347 - _xlfn.XLOOKUP(C347,[1]!PM_10[BLO],[1]!PM_10[BLO],,-1))
+
_xlfn.XLOOKUP(C347,[1]!PM_10[BLO],[1]!PM_10[ILO],,-1),2)</f>
        <v>80</v>
      </c>
      <c r="J347">
        <f>ROUND((( _xlfn.XLOOKUP(D347,[1]!NO_2[BLO],[1]!NO_2[IHI],,-1) - _xlfn.XLOOKUP(D347,[1]!NO_2[BLO],[1]!NO_2[ILO],,-1))
/
( _xlfn.XLOOKUP(D347,[1]!NO_2[BLO],[1]!NO_2[BHI],,-1) - _xlfn.XLOOKUP(D347,[1]!NO_2[BLO],[1]!NO_2[BLO],,-1) ))
*
( D347 - _xlfn.XLOOKUP(D347,[1]!NO_2[BLO],[1]!NO_2[BLO],,-1))
+
_xlfn.XLOOKUP(D347,[1]!NO_2[BLO],[1]!NO_2[ILO],,-1),2)</f>
        <v>25</v>
      </c>
      <c r="K347">
        <f>ROUND(( ( _xlfn.XLOOKUP(E347,[1]!SO_2[BLO],[1]!SO_2[IHI],,-1)  - _xlfn.XLOOKUP(E347,[1]!SO_2[BLO],[1]!SO_2[ILO],,-1) )
/
( _xlfn.XLOOKUP(E347,[1]!SO_2[BLO],[1]!SO_2[BHI],,-1)- _xlfn.XLOOKUP(E347,[1]!SO_2[BLO],[1]!SO_2[BLO],,-1) ))
*
( E347 - _xlfn.XLOOKUP(E347,[1]!SO_2[BLO],[1]!SO_2[BLO],,-1) )
+
_xlfn.XLOOKUP(E347,[1]!SO_2[BLO],[1]!SO_2[ILO],,-1),2)</f>
        <v>11.25</v>
      </c>
      <c r="L347">
        <f>( ( _xlfn.XLOOKUP(F347,[1]!CO[BLO],[1]!CO[IHI],,-1)
- _xlfn.XLOOKUP(F347,[1]!CO[BLO],[1]!CO[ILO],,-1) )
/
( _xlfn.XLOOKUP(F347,[1]!CO[BLO],[1]!CO[BHI],,-1) - _xlfn.XLOOKUP(F347,[1]!CO[BLO],[1]!CO[BLO],,-1)))
*
( F347 - _xlfn.XLOOKUP(F347,[1]!CO[BLO],[1]!CO[BLO],,-1) )
+
_xlfn.XLOOKUP(F347,[1]!CO[BLO],[1]!CO[ILO],,-1)</f>
        <v>36.5</v>
      </c>
      <c r="M347">
        <f>(( _xlfn.XLOOKUP(G347,[1]!O_3[BLO],[1]!O_3[IHI],,-1) - _xlfn.XLOOKUP(G347,[1]!O_3[BLO],[1]!O_3[ILO],,-1))
/
( _xlfn.XLOOKUP(G347,[1]!O_3[BLO],[1]!O_3[BHI],,-1) - _xlfn.XLOOKUP(G347,[1]!O_3[BLO],[1]!O_3[BLO],,-1)))
*
( G347 - _xlfn.XLOOKUP(G347,[1]!O_3[BLO],[1]!O_3[BLO],,-1))
+
_xlfn.XLOOKUP(G347,[1]!O_3[BLO],[1]!O_3[ILO],,-1)</f>
        <v>26</v>
      </c>
      <c r="N347">
        <f>MAX(DAILY_DATA[[#This Row],[AQI_PM2.5]:[AQI_O3]])</f>
        <v>80</v>
      </c>
      <c r="O347" t="str">
        <f>_xlfn.XLOOKUP(DAILY_DATA[[#This Row],[OVERALL_AQI]],[1]!CATEGORY[AQI_LO],[1]!CATEGORY[CATEGORY],,-1)</f>
        <v>Satisfactory</v>
      </c>
      <c r="P347" t="str" cm="1">
        <f t="array" ref="P347">INDEX(
{"PM2.5","PM10","NO2","SO2","CO","O3"},
MATCH(N347,H347:M347,0)
)</f>
        <v>PM10</v>
      </c>
    </row>
    <row r="348" spans="1:16" x14ac:dyDescent="0.25">
      <c r="A348" s="4">
        <v>45638</v>
      </c>
      <c r="B348">
        <f>ROUND(AVERAGEIFS([1]HOURLY_DATA!B348:B9131,[1]HOURLY_DATA!H348:H9131,Daily_AQI!A348),0)</f>
        <v>34</v>
      </c>
      <c r="C348">
        <f>ROUND(AVERAGEIFS([1]HOURLY_DATA!C348:C9131,[1]HOURLY_DATA!H348:H9131,Daily_AQI!A348),0)</f>
        <v>64</v>
      </c>
      <c r="D348">
        <f>ROUND(AVERAGEIFS([1]HOURLY_DATA!D348:D9131,[1]HOURLY_DATA!H348:H9131,Daily_AQI!A348),0)</f>
        <v>22</v>
      </c>
      <c r="E348">
        <f>ROUND(AVERAGEIFS([1]HOURLY_DATA!E348:E9131,[1]HOURLY_DATA!H348:H9131,Daily_AQI!A348),0)</f>
        <v>8</v>
      </c>
      <c r="F348">
        <f>ROUND(AVERAGEIFS([1]HOURLY_DATA!I348:I9131,[1]HOURLY_DATA!H348:H9131,Daily_AQI!A348),2)</f>
        <v>0.8</v>
      </c>
      <c r="G348">
        <f>ROUND(AVERAGEIFS([1]HOURLY_DATA!J348:J9131,[1]HOURLY_DATA!H348:H9131,Daily_AQI!A348),0)</f>
        <v>25</v>
      </c>
      <c r="H348">
        <f>ROUND(((_xlfn.XLOOKUP(B348,[1]!PM2.5[BLO],[1]!PM2.5[IHI],,-1) - _xlfn.XLOOKUP(B348,[1]!PM2.5[BLO],[1]!PM2.5[ILO],,-1))
/
(_xlfn.XLOOKUP(B348,[1]!PM2.5[BLO],[1]!PM2.5[BHI],,-1) - _xlfn.XLOOKUP(B348,[1]!PM2.5[BLO],[1]!PM2.5[BLO],,-1)))
*
(B348 - _xlfn.XLOOKUP(B348,[1]!PM2.5[BLO],[1]!PM2.5[BLO],,-1))
+
_xlfn.XLOOKUP(B348,[1]!PM2.5[BLO],[1]!PM2.5[ILO],,-1),2)</f>
        <v>56.07</v>
      </c>
      <c r="I348">
        <f>ROUND(((_xlfn.XLOOKUP(C348,[1]!PM_10[BLO],[1]!PM_10[IHI],,-1) - _xlfn.XLOOKUP(C348,[1]!PM_10[BLO],[1]!PM_10[ILO],,-1))
/
(_xlfn.XLOOKUP(C348,[1]!PM_10[BLO],[1]!PM_10[BHI],,-1) - _xlfn.XLOOKUP(C348,[1]!PM_10[BLO],[1]!PM_10[BLO],,-1)))
*
( C348 - _xlfn.XLOOKUP(C348,[1]!PM_10[BLO],[1]!PM_10[BLO],,-1))
+
_xlfn.XLOOKUP(C348,[1]!PM_10[BLO],[1]!PM_10[ILO],,-1),2)</f>
        <v>64</v>
      </c>
      <c r="J348">
        <f>ROUND((( _xlfn.XLOOKUP(D348,[1]!NO_2[BLO],[1]!NO_2[IHI],,-1) - _xlfn.XLOOKUP(D348,[1]!NO_2[BLO],[1]!NO_2[ILO],,-1))
/
( _xlfn.XLOOKUP(D348,[1]!NO_2[BLO],[1]!NO_2[BHI],,-1) - _xlfn.XLOOKUP(D348,[1]!NO_2[BLO],[1]!NO_2[BLO],,-1) ))
*
( D348 - _xlfn.XLOOKUP(D348,[1]!NO_2[BLO],[1]!NO_2[BLO],,-1))
+
_xlfn.XLOOKUP(D348,[1]!NO_2[BLO],[1]!NO_2[ILO],,-1),2)</f>
        <v>27.5</v>
      </c>
      <c r="K348">
        <f>ROUND(( ( _xlfn.XLOOKUP(E348,[1]!SO_2[BLO],[1]!SO_2[IHI],,-1)  - _xlfn.XLOOKUP(E348,[1]!SO_2[BLO],[1]!SO_2[ILO],,-1) )
/
( _xlfn.XLOOKUP(E348,[1]!SO_2[BLO],[1]!SO_2[BHI],,-1)- _xlfn.XLOOKUP(E348,[1]!SO_2[BLO],[1]!SO_2[BLO],,-1) ))
*
( E348 - _xlfn.XLOOKUP(E348,[1]!SO_2[BLO],[1]!SO_2[BLO],,-1) )
+
_xlfn.XLOOKUP(E348,[1]!SO_2[BLO],[1]!SO_2[ILO],,-1),2)</f>
        <v>10</v>
      </c>
      <c r="L348">
        <f>( ( _xlfn.XLOOKUP(F348,[1]!CO[BLO],[1]!CO[IHI],,-1)
- _xlfn.XLOOKUP(F348,[1]!CO[BLO],[1]!CO[ILO],,-1) )
/
( _xlfn.XLOOKUP(F348,[1]!CO[BLO],[1]!CO[BHI],,-1) - _xlfn.XLOOKUP(F348,[1]!CO[BLO],[1]!CO[BLO],,-1)))
*
( F348 - _xlfn.XLOOKUP(F348,[1]!CO[BLO],[1]!CO[BLO],,-1) )
+
_xlfn.XLOOKUP(F348,[1]!CO[BLO],[1]!CO[ILO],,-1)</f>
        <v>40</v>
      </c>
      <c r="M348">
        <f>(( _xlfn.XLOOKUP(G348,[1]!O_3[BLO],[1]!O_3[IHI],,-1) - _xlfn.XLOOKUP(G348,[1]!O_3[BLO],[1]!O_3[ILO],,-1))
/
( _xlfn.XLOOKUP(G348,[1]!O_3[BLO],[1]!O_3[BHI],,-1) - _xlfn.XLOOKUP(G348,[1]!O_3[BLO],[1]!O_3[BLO],,-1)))
*
( G348 - _xlfn.XLOOKUP(G348,[1]!O_3[BLO],[1]!O_3[BLO],,-1))
+
_xlfn.XLOOKUP(G348,[1]!O_3[BLO],[1]!O_3[ILO],,-1)</f>
        <v>25</v>
      </c>
      <c r="N348">
        <f>MAX(DAILY_DATA[[#This Row],[AQI_PM2.5]:[AQI_O3]])</f>
        <v>64</v>
      </c>
      <c r="O348" t="str">
        <f>_xlfn.XLOOKUP(DAILY_DATA[[#This Row],[OVERALL_AQI]],[1]!CATEGORY[AQI_LO],[1]!CATEGORY[CATEGORY],,-1)</f>
        <v>Satisfactory</v>
      </c>
      <c r="P348" t="str" cm="1">
        <f t="array" ref="P348">INDEX(
{"PM2.5","PM10","NO2","SO2","CO","O3"},
MATCH(N348,H348:M348,0)
)</f>
        <v>PM10</v>
      </c>
    </row>
    <row r="349" spans="1:16" x14ac:dyDescent="0.25">
      <c r="A349" s="4">
        <v>45639</v>
      </c>
      <c r="B349">
        <f>ROUND(AVERAGEIFS([1]HOURLY_DATA!B349:B9132,[1]HOURLY_DATA!H349:H9132,Daily_AQI!A349),0)</f>
        <v>42</v>
      </c>
      <c r="C349">
        <f>ROUND(AVERAGEIFS([1]HOURLY_DATA!C349:C9132,[1]HOURLY_DATA!H349:H9132,Daily_AQI!A349),0)</f>
        <v>83</v>
      </c>
      <c r="D349">
        <f>ROUND(AVERAGEIFS([1]HOURLY_DATA!D349:D9132,[1]HOURLY_DATA!H349:H9132,Daily_AQI!A349),0)</f>
        <v>21</v>
      </c>
      <c r="E349">
        <f>ROUND(AVERAGEIFS([1]HOURLY_DATA!E349:E9132,[1]HOURLY_DATA!H349:H9132,Daily_AQI!A349),0)</f>
        <v>8</v>
      </c>
      <c r="F349">
        <f>ROUND(AVERAGEIFS([1]HOURLY_DATA!I349:I9132,[1]HOURLY_DATA!H349:H9132,Daily_AQI!A349),2)</f>
        <v>0.81</v>
      </c>
      <c r="G349">
        <f>ROUND(AVERAGEIFS([1]HOURLY_DATA!J349:J9132,[1]HOURLY_DATA!H349:H9132,Daily_AQI!A349),0)</f>
        <v>24</v>
      </c>
      <c r="H349">
        <f>ROUND(((_xlfn.XLOOKUP(B349,[1]!PM2.5[BLO],[1]!PM2.5[IHI],,-1) - _xlfn.XLOOKUP(B349,[1]!PM2.5[BLO],[1]!PM2.5[ILO],,-1))
/
(_xlfn.XLOOKUP(B349,[1]!PM2.5[BLO],[1]!PM2.5[BHI],,-1) - _xlfn.XLOOKUP(B349,[1]!PM2.5[BLO],[1]!PM2.5[BLO],,-1)))
*
(B349 - _xlfn.XLOOKUP(B349,[1]!PM2.5[BLO],[1]!PM2.5[BLO],,-1))
+
_xlfn.XLOOKUP(B349,[1]!PM2.5[BLO],[1]!PM2.5[ILO],,-1),2)</f>
        <v>69.59</v>
      </c>
      <c r="I349">
        <f>ROUND(((_xlfn.XLOOKUP(C349,[1]!PM_10[BLO],[1]!PM_10[IHI],,-1) - _xlfn.XLOOKUP(C349,[1]!PM_10[BLO],[1]!PM_10[ILO],,-1))
/
(_xlfn.XLOOKUP(C349,[1]!PM_10[BLO],[1]!PM_10[BHI],,-1) - _xlfn.XLOOKUP(C349,[1]!PM_10[BLO],[1]!PM_10[BLO],,-1)))
*
( C349 - _xlfn.XLOOKUP(C349,[1]!PM_10[BLO],[1]!PM_10[BLO],,-1))
+
_xlfn.XLOOKUP(C349,[1]!PM_10[BLO],[1]!PM_10[ILO],,-1),2)</f>
        <v>83</v>
      </c>
      <c r="J349">
        <f>ROUND((( _xlfn.XLOOKUP(D349,[1]!NO_2[BLO],[1]!NO_2[IHI],,-1) - _xlfn.XLOOKUP(D349,[1]!NO_2[BLO],[1]!NO_2[ILO],,-1))
/
( _xlfn.XLOOKUP(D349,[1]!NO_2[BLO],[1]!NO_2[BHI],,-1) - _xlfn.XLOOKUP(D349,[1]!NO_2[BLO],[1]!NO_2[BLO],,-1) ))
*
( D349 - _xlfn.XLOOKUP(D349,[1]!NO_2[BLO],[1]!NO_2[BLO],,-1))
+
_xlfn.XLOOKUP(D349,[1]!NO_2[BLO],[1]!NO_2[ILO],,-1),2)</f>
        <v>26.25</v>
      </c>
      <c r="K349">
        <f>ROUND(( ( _xlfn.XLOOKUP(E349,[1]!SO_2[BLO],[1]!SO_2[IHI],,-1)  - _xlfn.XLOOKUP(E349,[1]!SO_2[BLO],[1]!SO_2[ILO],,-1) )
/
( _xlfn.XLOOKUP(E349,[1]!SO_2[BLO],[1]!SO_2[BHI],,-1)- _xlfn.XLOOKUP(E349,[1]!SO_2[BLO],[1]!SO_2[BLO],,-1) ))
*
( E349 - _xlfn.XLOOKUP(E349,[1]!SO_2[BLO],[1]!SO_2[BLO],,-1) )
+
_xlfn.XLOOKUP(E349,[1]!SO_2[BLO],[1]!SO_2[ILO],,-1),2)</f>
        <v>10</v>
      </c>
      <c r="L349">
        <f>( ( _xlfn.XLOOKUP(F349,[1]!CO[BLO],[1]!CO[IHI],,-1)
- _xlfn.XLOOKUP(F349,[1]!CO[BLO],[1]!CO[ILO],,-1) )
/
( _xlfn.XLOOKUP(F349,[1]!CO[BLO],[1]!CO[BHI],,-1) - _xlfn.XLOOKUP(F349,[1]!CO[BLO],[1]!CO[BLO],,-1)))
*
( F349 - _xlfn.XLOOKUP(F349,[1]!CO[BLO],[1]!CO[BLO],,-1) )
+
_xlfn.XLOOKUP(F349,[1]!CO[BLO],[1]!CO[ILO],,-1)</f>
        <v>40.5</v>
      </c>
      <c r="M349">
        <f>(( _xlfn.XLOOKUP(G349,[1]!O_3[BLO],[1]!O_3[IHI],,-1) - _xlfn.XLOOKUP(G349,[1]!O_3[BLO],[1]!O_3[ILO],,-1))
/
( _xlfn.XLOOKUP(G349,[1]!O_3[BLO],[1]!O_3[BHI],,-1) - _xlfn.XLOOKUP(G349,[1]!O_3[BLO],[1]!O_3[BLO],,-1)))
*
( G349 - _xlfn.XLOOKUP(G349,[1]!O_3[BLO],[1]!O_3[BLO],,-1))
+
_xlfn.XLOOKUP(G349,[1]!O_3[BLO],[1]!O_3[ILO],,-1)</f>
        <v>24</v>
      </c>
      <c r="N349">
        <f>MAX(DAILY_DATA[[#This Row],[AQI_PM2.5]:[AQI_O3]])</f>
        <v>83</v>
      </c>
      <c r="O349" t="str">
        <f>_xlfn.XLOOKUP(DAILY_DATA[[#This Row],[OVERALL_AQI]],[1]!CATEGORY[AQI_LO],[1]!CATEGORY[CATEGORY],,-1)</f>
        <v>Satisfactory</v>
      </c>
      <c r="P349" t="str" cm="1">
        <f t="array" ref="P349">INDEX(
{"PM2.5","PM10","NO2","SO2","CO","O3"},
MATCH(N349,H349:M349,0)
)</f>
        <v>PM10</v>
      </c>
    </row>
    <row r="350" spans="1:16" x14ac:dyDescent="0.25">
      <c r="A350" s="4">
        <v>45640</v>
      </c>
      <c r="B350">
        <f>ROUND(AVERAGEIFS([1]HOURLY_DATA!B350:B9133,[1]HOURLY_DATA!H350:H9133,Daily_AQI!A350),0)</f>
        <v>53</v>
      </c>
      <c r="C350">
        <f>ROUND(AVERAGEIFS([1]HOURLY_DATA!C350:C9133,[1]HOURLY_DATA!H350:H9133,Daily_AQI!A350),0)</f>
        <v>91</v>
      </c>
      <c r="D350">
        <f>ROUND(AVERAGEIFS([1]HOURLY_DATA!D350:D9133,[1]HOURLY_DATA!H350:H9133,Daily_AQI!A350),0)</f>
        <v>19</v>
      </c>
      <c r="E350">
        <f>ROUND(AVERAGEIFS([1]HOURLY_DATA!E350:E9133,[1]HOURLY_DATA!H350:H9133,Daily_AQI!A350),0)</f>
        <v>9</v>
      </c>
      <c r="F350">
        <f>ROUND(AVERAGEIFS([1]HOURLY_DATA!I350:I9133,[1]HOURLY_DATA!H350:H9133,Daily_AQI!A350),2)</f>
        <v>0.8</v>
      </c>
      <c r="G350">
        <f>ROUND(AVERAGEIFS([1]HOURLY_DATA!J350:J9133,[1]HOURLY_DATA!H350:H9133,Daily_AQI!A350),0)</f>
        <v>24</v>
      </c>
      <c r="H350">
        <f>ROUND(((_xlfn.XLOOKUP(B350,[1]!PM2.5[BLO],[1]!PM2.5[IHI],,-1) - _xlfn.XLOOKUP(B350,[1]!PM2.5[BLO],[1]!PM2.5[ILO],,-1))
/
(_xlfn.XLOOKUP(B350,[1]!PM2.5[BLO],[1]!PM2.5[BHI],,-1) - _xlfn.XLOOKUP(B350,[1]!PM2.5[BLO],[1]!PM2.5[BLO],,-1)))
*
(B350 - _xlfn.XLOOKUP(B350,[1]!PM2.5[BLO],[1]!PM2.5[BLO],,-1))
+
_xlfn.XLOOKUP(B350,[1]!PM2.5[BLO],[1]!PM2.5[ILO],,-1),2)</f>
        <v>88.17</v>
      </c>
      <c r="I350">
        <f>ROUND(((_xlfn.XLOOKUP(C350,[1]!PM_10[BLO],[1]!PM_10[IHI],,-1) - _xlfn.XLOOKUP(C350,[1]!PM_10[BLO],[1]!PM_10[ILO],,-1))
/
(_xlfn.XLOOKUP(C350,[1]!PM_10[BLO],[1]!PM_10[BHI],,-1) - _xlfn.XLOOKUP(C350,[1]!PM_10[BLO],[1]!PM_10[BLO],,-1)))
*
( C350 - _xlfn.XLOOKUP(C350,[1]!PM_10[BLO],[1]!PM_10[BLO],,-1))
+
_xlfn.XLOOKUP(C350,[1]!PM_10[BLO],[1]!PM_10[ILO],,-1),2)</f>
        <v>91</v>
      </c>
      <c r="J350">
        <f>ROUND((( _xlfn.XLOOKUP(D350,[1]!NO_2[BLO],[1]!NO_2[IHI],,-1) - _xlfn.XLOOKUP(D350,[1]!NO_2[BLO],[1]!NO_2[ILO],,-1))
/
( _xlfn.XLOOKUP(D350,[1]!NO_2[BLO],[1]!NO_2[BHI],,-1) - _xlfn.XLOOKUP(D350,[1]!NO_2[BLO],[1]!NO_2[BLO],,-1) ))
*
( D350 - _xlfn.XLOOKUP(D350,[1]!NO_2[BLO],[1]!NO_2[BLO],,-1))
+
_xlfn.XLOOKUP(D350,[1]!NO_2[BLO],[1]!NO_2[ILO],,-1),2)</f>
        <v>23.75</v>
      </c>
      <c r="K350">
        <f>ROUND(( ( _xlfn.XLOOKUP(E350,[1]!SO_2[BLO],[1]!SO_2[IHI],,-1)  - _xlfn.XLOOKUP(E350,[1]!SO_2[BLO],[1]!SO_2[ILO],,-1) )
/
( _xlfn.XLOOKUP(E350,[1]!SO_2[BLO],[1]!SO_2[BHI],,-1)- _xlfn.XLOOKUP(E350,[1]!SO_2[BLO],[1]!SO_2[BLO],,-1) ))
*
( E350 - _xlfn.XLOOKUP(E350,[1]!SO_2[BLO],[1]!SO_2[BLO],,-1) )
+
_xlfn.XLOOKUP(E350,[1]!SO_2[BLO],[1]!SO_2[ILO],,-1),2)</f>
        <v>11.25</v>
      </c>
      <c r="L350">
        <f>( ( _xlfn.XLOOKUP(F350,[1]!CO[BLO],[1]!CO[IHI],,-1)
- _xlfn.XLOOKUP(F350,[1]!CO[BLO],[1]!CO[ILO],,-1) )
/
( _xlfn.XLOOKUP(F350,[1]!CO[BLO],[1]!CO[BHI],,-1) - _xlfn.XLOOKUP(F350,[1]!CO[BLO],[1]!CO[BLO],,-1)))
*
( F350 - _xlfn.XLOOKUP(F350,[1]!CO[BLO],[1]!CO[BLO],,-1) )
+
_xlfn.XLOOKUP(F350,[1]!CO[BLO],[1]!CO[ILO],,-1)</f>
        <v>40</v>
      </c>
      <c r="M350">
        <f>(( _xlfn.XLOOKUP(G350,[1]!O_3[BLO],[1]!O_3[IHI],,-1) - _xlfn.XLOOKUP(G350,[1]!O_3[BLO],[1]!O_3[ILO],,-1))
/
( _xlfn.XLOOKUP(G350,[1]!O_3[BLO],[1]!O_3[BHI],,-1) - _xlfn.XLOOKUP(G350,[1]!O_3[BLO],[1]!O_3[BLO],,-1)))
*
( G350 - _xlfn.XLOOKUP(G350,[1]!O_3[BLO],[1]!O_3[BLO],,-1))
+
_xlfn.XLOOKUP(G350,[1]!O_3[BLO],[1]!O_3[ILO],,-1)</f>
        <v>24</v>
      </c>
      <c r="N350">
        <f>MAX(DAILY_DATA[[#This Row],[AQI_PM2.5]:[AQI_O3]])</f>
        <v>91</v>
      </c>
      <c r="O350" t="str">
        <f>_xlfn.XLOOKUP(DAILY_DATA[[#This Row],[OVERALL_AQI]],[1]!CATEGORY[AQI_LO],[1]!CATEGORY[CATEGORY],,-1)</f>
        <v>Satisfactory</v>
      </c>
      <c r="P350" t="str" cm="1">
        <f t="array" ref="P350">INDEX(
{"PM2.5","PM10","NO2","SO2","CO","O3"},
MATCH(N350,H350:M350,0)
)</f>
        <v>PM10</v>
      </c>
    </row>
    <row r="351" spans="1:16" x14ac:dyDescent="0.25">
      <c r="A351" s="4">
        <v>45641</v>
      </c>
      <c r="B351">
        <f>ROUND(AVERAGEIFS([1]HOURLY_DATA!B351:B9134,[1]HOURLY_DATA!H351:H9134,Daily_AQI!A351),0)</f>
        <v>48</v>
      </c>
      <c r="C351">
        <f>ROUND(AVERAGEIFS([1]HOURLY_DATA!C351:C9134,[1]HOURLY_DATA!H351:H9134,Daily_AQI!A351),0)</f>
        <v>92</v>
      </c>
      <c r="D351">
        <f>ROUND(AVERAGEIFS([1]HOURLY_DATA!D351:D9134,[1]HOURLY_DATA!H351:H9134,Daily_AQI!A351),0)</f>
        <v>19</v>
      </c>
      <c r="E351">
        <f>ROUND(AVERAGEIFS([1]HOURLY_DATA!E351:E9134,[1]HOURLY_DATA!H351:H9134,Daily_AQI!A351),0)</f>
        <v>8</v>
      </c>
      <c r="F351">
        <f>ROUND(AVERAGEIFS([1]HOURLY_DATA!I351:I9134,[1]HOURLY_DATA!H351:H9134,Daily_AQI!A351),2)</f>
        <v>0.76</v>
      </c>
      <c r="G351">
        <f>ROUND(AVERAGEIFS([1]HOURLY_DATA!J351:J9134,[1]HOURLY_DATA!H351:H9134,Daily_AQI!A351),0)</f>
        <v>26</v>
      </c>
      <c r="H351">
        <f>ROUND(((_xlfn.XLOOKUP(B351,[1]!PM2.5[BLO],[1]!PM2.5[IHI],,-1) - _xlfn.XLOOKUP(B351,[1]!PM2.5[BLO],[1]!PM2.5[ILO],,-1))
/
(_xlfn.XLOOKUP(B351,[1]!PM2.5[BLO],[1]!PM2.5[BHI],,-1) - _xlfn.XLOOKUP(B351,[1]!PM2.5[BLO],[1]!PM2.5[BLO],,-1)))
*
(B351 - _xlfn.XLOOKUP(B351,[1]!PM2.5[BLO],[1]!PM2.5[BLO],,-1))
+
_xlfn.XLOOKUP(B351,[1]!PM2.5[BLO],[1]!PM2.5[ILO],,-1),2)</f>
        <v>79.72</v>
      </c>
      <c r="I351">
        <f>ROUND(((_xlfn.XLOOKUP(C351,[1]!PM_10[BLO],[1]!PM_10[IHI],,-1) - _xlfn.XLOOKUP(C351,[1]!PM_10[BLO],[1]!PM_10[ILO],,-1))
/
(_xlfn.XLOOKUP(C351,[1]!PM_10[BLO],[1]!PM_10[BHI],,-1) - _xlfn.XLOOKUP(C351,[1]!PM_10[BLO],[1]!PM_10[BLO],,-1)))
*
( C351 - _xlfn.XLOOKUP(C351,[1]!PM_10[BLO],[1]!PM_10[BLO],,-1))
+
_xlfn.XLOOKUP(C351,[1]!PM_10[BLO],[1]!PM_10[ILO],,-1),2)</f>
        <v>92</v>
      </c>
      <c r="J351">
        <f>ROUND((( _xlfn.XLOOKUP(D351,[1]!NO_2[BLO],[1]!NO_2[IHI],,-1) - _xlfn.XLOOKUP(D351,[1]!NO_2[BLO],[1]!NO_2[ILO],,-1))
/
( _xlfn.XLOOKUP(D351,[1]!NO_2[BLO],[1]!NO_2[BHI],,-1) - _xlfn.XLOOKUP(D351,[1]!NO_2[BLO],[1]!NO_2[BLO],,-1) ))
*
( D351 - _xlfn.XLOOKUP(D351,[1]!NO_2[BLO],[1]!NO_2[BLO],,-1))
+
_xlfn.XLOOKUP(D351,[1]!NO_2[BLO],[1]!NO_2[ILO],,-1),2)</f>
        <v>23.75</v>
      </c>
      <c r="K351">
        <f>ROUND(( ( _xlfn.XLOOKUP(E351,[1]!SO_2[BLO],[1]!SO_2[IHI],,-1)  - _xlfn.XLOOKUP(E351,[1]!SO_2[BLO],[1]!SO_2[ILO],,-1) )
/
( _xlfn.XLOOKUP(E351,[1]!SO_2[BLO],[1]!SO_2[BHI],,-1)- _xlfn.XLOOKUP(E351,[1]!SO_2[BLO],[1]!SO_2[BLO],,-1) ))
*
( E351 - _xlfn.XLOOKUP(E351,[1]!SO_2[BLO],[1]!SO_2[BLO],,-1) )
+
_xlfn.XLOOKUP(E351,[1]!SO_2[BLO],[1]!SO_2[ILO],,-1),2)</f>
        <v>10</v>
      </c>
      <c r="L351">
        <f>( ( _xlfn.XLOOKUP(F351,[1]!CO[BLO],[1]!CO[IHI],,-1)
- _xlfn.XLOOKUP(F351,[1]!CO[BLO],[1]!CO[ILO],,-1) )
/
( _xlfn.XLOOKUP(F351,[1]!CO[BLO],[1]!CO[BHI],,-1) - _xlfn.XLOOKUP(F351,[1]!CO[BLO],[1]!CO[BLO],,-1)))
*
( F351 - _xlfn.XLOOKUP(F351,[1]!CO[BLO],[1]!CO[BLO],,-1) )
+
_xlfn.XLOOKUP(F351,[1]!CO[BLO],[1]!CO[ILO],,-1)</f>
        <v>38</v>
      </c>
      <c r="M351">
        <f>(( _xlfn.XLOOKUP(G351,[1]!O_3[BLO],[1]!O_3[IHI],,-1) - _xlfn.XLOOKUP(G351,[1]!O_3[BLO],[1]!O_3[ILO],,-1))
/
( _xlfn.XLOOKUP(G351,[1]!O_3[BLO],[1]!O_3[BHI],,-1) - _xlfn.XLOOKUP(G351,[1]!O_3[BLO],[1]!O_3[BLO],,-1)))
*
( G351 - _xlfn.XLOOKUP(G351,[1]!O_3[BLO],[1]!O_3[BLO],,-1))
+
_xlfn.XLOOKUP(G351,[1]!O_3[BLO],[1]!O_3[ILO],,-1)</f>
        <v>26</v>
      </c>
      <c r="N351">
        <f>MAX(DAILY_DATA[[#This Row],[AQI_PM2.5]:[AQI_O3]])</f>
        <v>92</v>
      </c>
      <c r="O351" t="str">
        <f>_xlfn.XLOOKUP(DAILY_DATA[[#This Row],[OVERALL_AQI]],[1]!CATEGORY[AQI_LO],[1]!CATEGORY[CATEGORY],,-1)</f>
        <v>Satisfactory</v>
      </c>
      <c r="P351" t="str" cm="1">
        <f t="array" ref="P351">INDEX(
{"PM2.5","PM10","NO2","SO2","CO","O3"},
MATCH(N351,H351:M351,0)
)</f>
        <v>PM10</v>
      </c>
    </row>
    <row r="352" spans="1:16" x14ac:dyDescent="0.25">
      <c r="A352" s="4">
        <v>45642</v>
      </c>
      <c r="B352">
        <f>ROUND(AVERAGEIFS([1]HOURLY_DATA!B352:B9135,[1]HOURLY_DATA!H352:H9135,Daily_AQI!A352),0)</f>
        <v>57</v>
      </c>
      <c r="C352">
        <f>ROUND(AVERAGEIFS([1]HOURLY_DATA!C352:C9135,[1]HOURLY_DATA!H352:H9135,Daily_AQI!A352),0)</f>
        <v>107</v>
      </c>
      <c r="D352">
        <f>ROUND(AVERAGEIFS([1]HOURLY_DATA!D352:D9135,[1]HOURLY_DATA!H352:H9135,Daily_AQI!A352),0)</f>
        <v>20</v>
      </c>
      <c r="E352">
        <f>ROUND(AVERAGEIFS([1]HOURLY_DATA!E352:E9135,[1]HOURLY_DATA!H352:H9135,Daily_AQI!A352),0)</f>
        <v>9</v>
      </c>
      <c r="F352">
        <f>ROUND(AVERAGEIFS([1]HOURLY_DATA!I352:I9135,[1]HOURLY_DATA!H352:H9135,Daily_AQI!A352),2)</f>
        <v>0.83</v>
      </c>
      <c r="G352">
        <f>ROUND(AVERAGEIFS([1]HOURLY_DATA!J352:J9135,[1]HOURLY_DATA!H352:H9135,Daily_AQI!A352),0)</f>
        <v>26</v>
      </c>
      <c r="H352">
        <f>ROUND(((_xlfn.XLOOKUP(B352,[1]!PM2.5[BLO],[1]!PM2.5[IHI],,-1) - _xlfn.XLOOKUP(B352,[1]!PM2.5[BLO],[1]!PM2.5[ILO],,-1))
/
(_xlfn.XLOOKUP(B352,[1]!PM2.5[BLO],[1]!PM2.5[BHI],,-1) - _xlfn.XLOOKUP(B352,[1]!PM2.5[BLO],[1]!PM2.5[BLO],,-1)))
*
(B352 - _xlfn.XLOOKUP(B352,[1]!PM2.5[BLO],[1]!PM2.5[BLO],,-1))
+
_xlfn.XLOOKUP(B352,[1]!PM2.5[BLO],[1]!PM2.5[ILO],,-1),2)</f>
        <v>94.93</v>
      </c>
      <c r="I352">
        <f>ROUND(((_xlfn.XLOOKUP(C352,[1]!PM_10[BLO],[1]!PM_10[IHI],,-1) - _xlfn.XLOOKUP(C352,[1]!PM_10[BLO],[1]!PM_10[ILO],,-1))
/
(_xlfn.XLOOKUP(C352,[1]!PM_10[BLO],[1]!PM_10[BHI],,-1) - _xlfn.XLOOKUP(C352,[1]!PM_10[BLO],[1]!PM_10[BLO],,-1)))
*
( C352 - _xlfn.XLOOKUP(C352,[1]!PM_10[BLO],[1]!PM_10[BLO],,-1))
+
_xlfn.XLOOKUP(C352,[1]!PM_10[BLO],[1]!PM_10[ILO],,-1),2)</f>
        <v>104.99</v>
      </c>
      <c r="J352">
        <f>ROUND((( _xlfn.XLOOKUP(D352,[1]!NO_2[BLO],[1]!NO_2[IHI],,-1) - _xlfn.XLOOKUP(D352,[1]!NO_2[BLO],[1]!NO_2[ILO],,-1))
/
( _xlfn.XLOOKUP(D352,[1]!NO_2[BLO],[1]!NO_2[BHI],,-1) - _xlfn.XLOOKUP(D352,[1]!NO_2[BLO],[1]!NO_2[BLO],,-1) ))
*
( D352 - _xlfn.XLOOKUP(D352,[1]!NO_2[BLO],[1]!NO_2[BLO],,-1))
+
_xlfn.XLOOKUP(D352,[1]!NO_2[BLO],[1]!NO_2[ILO],,-1),2)</f>
        <v>25</v>
      </c>
      <c r="K352">
        <f>ROUND(( ( _xlfn.XLOOKUP(E352,[1]!SO_2[BLO],[1]!SO_2[IHI],,-1)  - _xlfn.XLOOKUP(E352,[1]!SO_2[BLO],[1]!SO_2[ILO],,-1) )
/
( _xlfn.XLOOKUP(E352,[1]!SO_2[BLO],[1]!SO_2[BHI],,-1)- _xlfn.XLOOKUP(E352,[1]!SO_2[BLO],[1]!SO_2[BLO],,-1) ))
*
( E352 - _xlfn.XLOOKUP(E352,[1]!SO_2[BLO],[1]!SO_2[BLO],,-1) )
+
_xlfn.XLOOKUP(E352,[1]!SO_2[BLO],[1]!SO_2[ILO],,-1),2)</f>
        <v>11.25</v>
      </c>
      <c r="L352">
        <f>( ( _xlfn.XLOOKUP(F352,[1]!CO[BLO],[1]!CO[IHI],,-1)
- _xlfn.XLOOKUP(F352,[1]!CO[BLO],[1]!CO[ILO],,-1) )
/
( _xlfn.XLOOKUP(F352,[1]!CO[BLO],[1]!CO[BHI],,-1) - _xlfn.XLOOKUP(F352,[1]!CO[BLO],[1]!CO[BLO],,-1)))
*
( F352 - _xlfn.XLOOKUP(F352,[1]!CO[BLO],[1]!CO[BLO],,-1) )
+
_xlfn.XLOOKUP(F352,[1]!CO[BLO],[1]!CO[ILO],,-1)</f>
        <v>41.5</v>
      </c>
      <c r="M352">
        <f>(( _xlfn.XLOOKUP(G352,[1]!O_3[BLO],[1]!O_3[IHI],,-1) - _xlfn.XLOOKUP(G352,[1]!O_3[BLO],[1]!O_3[ILO],,-1))
/
( _xlfn.XLOOKUP(G352,[1]!O_3[BLO],[1]!O_3[BHI],,-1) - _xlfn.XLOOKUP(G352,[1]!O_3[BLO],[1]!O_3[BLO],,-1)))
*
( G352 - _xlfn.XLOOKUP(G352,[1]!O_3[BLO],[1]!O_3[BLO],,-1))
+
_xlfn.XLOOKUP(G352,[1]!O_3[BLO],[1]!O_3[ILO],,-1)</f>
        <v>26</v>
      </c>
      <c r="N352">
        <f>MAX(DAILY_DATA[[#This Row],[AQI_PM2.5]:[AQI_O3]])</f>
        <v>104.99</v>
      </c>
      <c r="O352" t="str">
        <f>_xlfn.XLOOKUP(DAILY_DATA[[#This Row],[OVERALL_AQI]],[1]!CATEGORY[AQI_LO],[1]!CATEGORY[CATEGORY],,-1)</f>
        <v>Moderate</v>
      </c>
      <c r="P352" t="str" cm="1">
        <f t="array" ref="P352">INDEX(
{"PM2.5","PM10","NO2","SO2","CO","O3"},
MATCH(N352,H352:M352,0)
)</f>
        <v>PM10</v>
      </c>
    </row>
    <row r="353" spans="1:16" x14ac:dyDescent="0.25">
      <c r="A353" s="4">
        <v>45643</v>
      </c>
      <c r="B353">
        <f>ROUND(AVERAGEIFS([1]HOURLY_DATA!B353:B9136,[1]HOURLY_DATA!H353:H9136,Daily_AQI!A353),0)</f>
        <v>54</v>
      </c>
      <c r="C353">
        <f>ROUND(AVERAGEIFS([1]HOURLY_DATA!C353:C9136,[1]HOURLY_DATA!H353:H9136,Daily_AQI!A353),0)</f>
        <v>103</v>
      </c>
      <c r="D353">
        <f>ROUND(AVERAGEIFS([1]HOURLY_DATA!D353:D9136,[1]HOURLY_DATA!H353:H9136,Daily_AQI!A353),0)</f>
        <v>19</v>
      </c>
      <c r="E353">
        <f>ROUND(AVERAGEIFS([1]HOURLY_DATA!E353:E9136,[1]HOURLY_DATA!H353:H9136,Daily_AQI!A353),0)</f>
        <v>8</v>
      </c>
      <c r="F353">
        <f>ROUND(AVERAGEIFS([1]HOURLY_DATA!I353:I9136,[1]HOURLY_DATA!H353:H9136,Daily_AQI!A353),2)</f>
        <v>0.83</v>
      </c>
      <c r="G353">
        <f>ROUND(AVERAGEIFS([1]HOURLY_DATA!J353:J9136,[1]HOURLY_DATA!H353:H9136,Daily_AQI!A353),0)</f>
        <v>25</v>
      </c>
      <c r="H353">
        <f>ROUND(((_xlfn.XLOOKUP(B353,[1]!PM2.5[BLO],[1]!PM2.5[IHI],,-1) - _xlfn.XLOOKUP(B353,[1]!PM2.5[BLO],[1]!PM2.5[ILO],,-1))
/
(_xlfn.XLOOKUP(B353,[1]!PM2.5[BLO],[1]!PM2.5[BHI],,-1) - _xlfn.XLOOKUP(B353,[1]!PM2.5[BLO],[1]!PM2.5[BLO],,-1)))
*
(B353 - _xlfn.XLOOKUP(B353,[1]!PM2.5[BLO],[1]!PM2.5[BLO],,-1))
+
_xlfn.XLOOKUP(B353,[1]!PM2.5[BLO],[1]!PM2.5[ILO],,-1),2)</f>
        <v>89.86</v>
      </c>
      <c r="I353">
        <f>ROUND(((_xlfn.XLOOKUP(C353,[1]!PM_10[BLO],[1]!PM_10[IHI],,-1) - _xlfn.XLOOKUP(C353,[1]!PM_10[BLO],[1]!PM_10[ILO],,-1))
/
(_xlfn.XLOOKUP(C353,[1]!PM_10[BLO],[1]!PM_10[BHI],,-1) - _xlfn.XLOOKUP(C353,[1]!PM_10[BLO],[1]!PM_10[BLO],,-1)))
*
( C353 - _xlfn.XLOOKUP(C353,[1]!PM_10[BLO],[1]!PM_10[BLO],,-1))
+
_xlfn.XLOOKUP(C353,[1]!PM_10[BLO],[1]!PM_10[ILO],,-1),2)</f>
        <v>102.33</v>
      </c>
      <c r="J353">
        <f>ROUND((( _xlfn.XLOOKUP(D353,[1]!NO_2[BLO],[1]!NO_2[IHI],,-1) - _xlfn.XLOOKUP(D353,[1]!NO_2[BLO],[1]!NO_2[ILO],,-1))
/
( _xlfn.XLOOKUP(D353,[1]!NO_2[BLO],[1]!NO_2[BHI],,-1) - _xlfn.XLOOKUP(D353,[1]!NO_2[BLO],[1]!NO_2[BLO],,-1) ))
*
( D353 - _xlfn.XLOOKUP(D353,[1]!NO_2[BLO],[1]!NO_2[BLO],,-1))
+
_xlfn.XLOOKUP(D353,[1]!NO_2[BLO],[1]!NO_2[ILO],,-1),2)</f>
        <v>23.75</v>
      </c>
      <c r="K353">
        <f>ROUND(( ( _xlfn.XLOOKUP(E353,[1]!SO_2[BLO],[1]!SO_2[IHI],,-1)  - _xlfn.XLOOKUP(E353,[1]!SO_2[BLO],[1]!SO_2[ILO],,-1) )
/
( _xlfn.XLOOKUP(E353,[1]!SO_2[BLO],[1]!SO_2[BHI],,-1)- _xlfn.XLOOKUP(E353,[1]!SO_2[BLO],[1]!SO_2[BLO],,-1) ))
*
( E353 - _xlfn.XLOOKUP(E353,[1]!SO_2[BLO],[1]!SO_2[BLO],,-1) )
+
_xlfn.XLOOKUP(E353,[1]!SO_2[BLO],[1]!SO_2[ILO],,-1),2)</f>
        <v>10</v>
      </c>
      <c r="L353">
        <f>( ( _xlfn.XLOOKUP(F353,[1]!CO[BLO],[1]!CO[IHI],,-1)
- _xlfn.XLOOKUP(F353,[1]!CO[BLO],[1]!CO[ILO],,-1) )
/
( _xlfn.XLOOKUP(F353,[1]!CO[BLO],[1]!CO[BHI],,-1) - _xlfn.XLOOKUP(F353,[1]!CO[BLO],[1]!CO[BLO],,-1)))
*
( F353 - _xlfn.XLOOKUP(F353,[1]!CO[BLO],[1]!CO[BLO],,-1) )
+
_xlfn.XLOOKUP(F353,[1]!CO[BLO],[1]!CO[ILO],,-1)</f>
        <v>41.5</v>
      </c>
      <c r="M353">
        <f>(( _xlfn.XLOOKUP(G353,[1]!O_3[BLO],[1]!O_3[IHI],,-1) - _xlfn.XLOOKUP(G353,[1]!O_3[BLO],[1]!O_3[ILO],,-1))
/
( _xlfn.XLOOKUP(G353,[1]!O_3[BLO],[1]!O_3[BHI],,-1) - _xlfn.XLOOKUP(G353,[1]!O_3[BLO],[1]!O_3[BLO],,-1)))
*
( G353 - _xlfn.XLOOKUP(G353,[1]!O_3[BLO],[1]!O_3[BLO],,-1))
+
_xlfn.XLOOKUP(G353,[1]!O_3[BLO],[1]!O_3[ILO],,-1)</f>
        <v>25</v>
      </c>
      <c r="N353">
        <f>MAX(DAILY_DATA[[#This Row],[AQI_PM2.5]:[AQI_O3]])</f>
        <v>102.33</v>
      </c>
      <c r="O353" t="str">
        <f>_xlfn.XLOOKUP(DAILY_DATA[[#This Row],[OVERALL_AQI]],[1]!CATEGORY[AQI_LO],[1]!CATEGORY[CATEGORY],,-1)</f>
        <v>Moderate</v>
      </c>
      <c r="P353" t="str" cm="1">
        <f t="array" ref="P353">INDEX(
{"PM2.5","PM10","NO2","SO2","CO","O3"},
MATCH(N353,H353:M353,0)
)</f>
        <v>PM10</v>
      </c>
    </row>
    <row r="354" spans="1:16" x14ac:dyDescent="0.25">
      <c r="A354" s="4">
        <v>45644</v>
      </c>
      <c r="B354">
        <f>ROUND(AVERAGEIFS([1]HOURLY_DATA!B354:B9137,[1]HOURLY_DATA!H354:H9137,Daily_AQI!A354),0)</f>
        <v>36</v>
      </c>
      <c r="C354">
        <f>ROUND(AVERAGEIFS([1]HOURLY_DATA!C354:C9137,[1]HOURLY_DATA!H354:H9137,Daily_AQI!A354),0)</f>
        <v>78</v>
      </c>
      <c r="D354">
        <f>ROUND(AVERAGEIFS([1]HOURLY_DATA!D354:D9137,[1]HOURLY_DATA!H354:H9137,Daily_AQI!A354),0)</f>
        <v>20</v>
      </c>
      <c r="E354">
        <f>ROUND(AVERAGEIFS([1]HOURLY_DATA!E354:E9137,[1]HOURLY_DATA!H354:H9137,Daily_AQI!A354),0)</f>
        <v>8</v>
      </c>
      <c r="F354">
        <f>ROUND(AVERAGEIFS([1]HOURLY_DATA!I354:I9137,[1]HOURLY_DATA!H354:H9137,Daily_AQI!A354),2)</f>
        <v>0.82</v>
      </c>
      <c r="G354">
        <f>ROUND(AVERAGEIFS([1]HOURLY_DATA!J354:J9137,[1]HOURLY_DATA!H354:H9137,Daily_AQI!A354),0)</f>
        <v>24</v>
      </c>
      <c r="H354">
        <f>ROUND(((_xlfn.XLOOKUP(B354,[1]!PM2.5[BLO],[1]!PM2.5[IHI],,-1) - _xlfn.XLOOKUP(B354,[1]!PM2.5[BLO],[1]!PM2.5[ILO],,-1))
/
(_xlfn.XLOOKUP(B354,[1]!PM2.5[BLO],[1]!PM2.5[BHI],,-1) - _xlfn.XLOOKUP(B354,[1]!PM2.5[BLO],[1]!PM2.5[BLO],,-1)))
*
(B354 - _xlfn.XLOOKUP(B354,[1]!PM2.5[BLO],[1]!PM2.5[BLO],,-1))
+
_xlfn.XLOOKUP(B354,[1]!PM2.5[BLO],[1]!PM2.5[ILO],,-1),2)</f>
        <v>59.45</v>
      </c>
      <c r="I354">
        <f>ROUND(((_xlfn.XLOOKUP(C354,[1]!PM_10[BLO],[1]!PM_10[IHI],,-1) - _xlfn.XLOOKUP(C354,[1]!PM_10[BLO],[1]!PM_10[ILO],,-1))
/
(_xlfn.XLOOKUP(C354,[1]!PM_10[BLO],[1]!PM_10[BHI],,-1) - _xlfn.XLOOKUP(C354,[1]!PM_10[BLO],[1]!PM_10[BLO],,-1)))
*
( C354 - _xlfn.XLOOKUP(C354,[1]!PM_10[BLO],[1]!PM_10[BLO],,-1))
+
_xlfn.XLOOKUP(C354,[1]!PM_10[BLO],[1]!PM_10[ILO],,-1),2)</f>
        <v>78</v>
      </c>
      <c r="J354">
        <f>ROUND((( _xlfn.XLOOKUP(D354,[1]!NO_2[BLO],[1]!NO_2[IHI],,-1) - _xlfn.XLOOKUP(D354,[1]!NO_2[BLO],[1]!NO_2[ILO],,-1))
/
( _xlfn.XLOOKUP(D354,[1]!NO_2[BLO],[1]!NO_2[BHI],,-1) - _xlfn.XLOOKUP(D354,[1]!NO_2[BLO],[1]!NO_2[BLO],,-1) ))
*
( D354 - _xlfn.XLOOKUP(D354,[1]!NO_2[BLO],[1]!NO_2[BLO],,-1))
+
_xlfn.XLOOKUP(D354,[1]!NO_2[BLO],[1]!NO_2[ILO],,-1),2)</f>
        <v>25</v>
      </c>
      <c r="K354">
        <f>ROUND(( ( _xlfn.XLOOKUP(E354,[1]!SO_2[BLO],[1]!SO_2[IHI],,-1)  - _xlfn.XLOOKUP(E354,[1]!SO_2[BLO],[1]!SO_2[ILO],,-1) )
/
( _xlfn.XLOOKUP(E354,[1]!SO_2[BLO],[1]!SO_2[BHI],,-1)- _xlfn.XLOOKUP(E354,[1]!SO_2[BLO],[1]!SO_2[BLO],,-1) ))
*
( E354 - _xlfn.XLOOKUP(E354,[1]!SO_2[BLO],[1]!SO_2[BLO],,-1) )
+
_xlfn.XLOOKUP(E354,[1]!SO_2[BLO],[1]!SO_2[ILO],,-1),2)</f>
        <v>10</v>
      </c>
      <c r="L354">
        <f>( ( _xlfn.XLOOKUP(F354,[1]!CO[BLO],[1]!CO[IHI],,-1)
- _xlfn.XLOOKUP(F354,[1]!CO[BLO],[1]!CO[ILO],,-1) )
/
( _xlfn.XLOOKUP(F354,[1]!CO[BLO],[1]!CO[BHI],,-1) - _xlfn.XLOOKUP(F354,[1]!CO[BLO],[1]!CO[BLO],,-1)))
*
( F354 - _xlfn.XLOOKUP(F354,[1]!CO[BLO],[1]!CO[BLO],,-1) )
+
_xlfn.XLOOKUP(F354,[1]!CO[BLO],[1]!CO[ILO],,-1)</f>
        <v>41</v>
      </c>
      <c r="M354">
        <f>(( _xlfn.XLOOKUP(G354,[1]!O_3[BLO],[1]!O_3[IHI],,-1) - _xlfn.XLOOKUP(G354,[1]!O_3[BLO],[1]!O_3[ILO],,-1))
/
( _xlfn.XLOOKUP(G354,[1]!O_3[BLO],[1]!O_3[BHI],,-1) - _xlfn.XLOOKUP(G354,[1]!O_3[BLO],[1]!O_3[BLO],,-1)))
*
( G354 - _xlfn.XLOOKUP(G354,[1]!O_3[BLO],[1]!O_3[BLO],,-1))
+
_xlfn.XLOOKUP(G354,[1]!O_3[BLO],[1]!O_3[ILO],,-1)</f>
        <v>24</v>
      </c>
      <c r="N354">
        <f>MAX(DAILY_DATA[[#This Row],[AQI_PM2.5]:[AQI_O3]])</f>
        <v>78</v>
      </c>
      <c r="O354" t="str">
        <f>_xlfn.XLOOKUP(DAILY_DATA[[#This Row],[OVERALL_AQI]],[1]!CATEGORY[AQI_LO],[1]!CATEGORY[CATEGORY],,-1)</f>
        <v>Satisfactory</v>
      </c>
      <c r="P354" t="str" cm="1">
        <f t="array" ref="P354">INDEX(
{"PM2.5","PM10","NO2","SO2","CO","O3"},
MATCH(N354,H354:M354,0)
)</f>
        <v>PM10</v>
      </c>
    </row>
    <row r="355" spans="1:16" x14ac:dyDescent="0.25">
      <c r="A355" s="4">
        <v>45645</v>
      </c>
      <c r="B355">
        <f>ROUND(AVERAGEIFS([1]HOURLY_DATA!B355:B9138,[1]HOURLY_DATA!H355:H9138,Daily_AQI!A355),0)</f>
        <v>33</v>
      </c>
      <c r="C355">
        <f>ROUND(AVERAGEIFS([1]HOURLY_DATA!C355:C9138,[1]HOURLY_DATA!H355:H9138,Daily_AQI!A355),0)</f>
        <v>71</v>
      </c>
      <c r="D355">
        <f>ROUND(AVERAGEIFS([1]HOURLY_DATA!D355:D9138,[1]HOURLY_DATA!H355:H9138,Daily_AQI!A355),0)</f>
        <v>20</v>
      </c>
      <c r="E355">
        <f>ROUND(AVERAGEIFS([1]HOURLY_DATA!E355:E9138,[1]HOURLY_DATA!H355:H9138,Daily_AQI!A355),0)</f>
        <v>9</v>
      </c>
      <c r="F355">
        <f>ROUND(AVERAGEIFS([1]HOURLY_DATA!I355:I9138,[1]HOURLY_DATA!H355:H9138,Daily_AQI!A355),2)</f>
        <v>0.78</v>
      </c>
      <c r="G355">
        <f>ROUND(AVERAGEIFS([1]HOURLY_DATA!J355:J9138,[1]HOURLY_DATA!H355:H9138,Daily_AQI!A355),0)</f>
        <v>26</v>
      </c>
      <c r="H355">
        <f>ROUND(((_xlfn.XLOOKUP(B355,[1]!PM2.5[BLO],[1]!PM2.5[IHI],,-1) - _xlfn.XLOOKUP(B355,[1]!PM2.5[BLO],[1]!PM2.5[ILO],,-1))
/
(_xlfn.XLOOKUP(B355,[1]!PM2.5[BLO],[1]!PM2.5[BHI],,-1) - _xlfn.XLOOKUP(B355,[1]!PM2.5[BLO],[1]!PM2.5[BLO],,-1)))
*
(B355 - _xlfn.XLOOKUP(B355,[1]!PM2.5[BLO],[1]!PM2.5[BLO],,-1))
+
_xlfn.XLOOKUP(B355,[1]!PM2.5[BLO],[1]!PM2.5[ILO],,-1),2)</f>
        <v>54.38</v>
      </c>
      <c r="I355">
        <f>ROUND(((_xlfn.XLOOKUP(C355,[1]!PM_10[BLO],[1]!PM_10[IHI],,-1) - _xlfn.XLOOKUP(C355,[1]!PM_10[BLO],[1]!PM_10[ILO],,-1))
/
(_xlfn.XLOOKUP(C355,[1]!PM_10[BLO],[1]!PM_10[BHI],,-1) - _xlfn.XLOOKUP(C355,[1]!PM_10[BLO],[1]!PM_10[BLO],,-1)))
*
( C355 - _xlfn.XLOOKUP(C355,[1]!PM_10[BLO],[1]!PM_10[BLO],,-1))
+
_xlfn.XLOOKUP(C355,[1]!PM_10[BLO],[1]!PM_10[ILO],,-1),2)</f>
        <v>71</v>
      </c>
      <c r="J355">
        <f>ROUND((( _xlfn.XLOOKUP(D355,[1]!NO_2[BLO],[1]!NO_2[IHI],,-1) - _xlfn.XLOOKUP(D355,[1]!NO_2[BLO],[1]!NO_2[ILO],,-1))
/
( _xlfn.XLOOKUP(D355,[1]!NO_2[BLO],[1]!NO_2[BHI],,-1) - _xlfn.XLOOKUP(D355,[1]!NO_2[BLO],[1]!NO_2[BLO],,-1) ))
*
( D355 - _xlfn.XLOOKUP(D355,[1]!NO_2[BLO],[1]!NO_2[BLO],,-1))
+
_xlfn.XLOOKUP(D355,[1]!NO_2[BLO],[1]!NO_2[ILO],,-1),2)</f>
        <v>25</v>
      </c>
      <c r="K355">
        <f>ROUND(( ( _xlfn.XLOOKUP(E355,[1]!SO_2[BLO],[1]!SO_2[IHI],,-1)  - _xlfn.XLOOKUP(E355,[1]!SO_2[BLO],[1]!SO_2[ILO],,-1) )
/
( _xlfn.XLOOKUP(E355,[1]!SO_2[BLO],[1]!SO_2[BHI],,-1)- _xlfn.XLOOKUP(E355,[1]!SO_2[BLO],[1]!SO_2[BLO],,-1) ))
*
( E355 - _xlfn.XLOOKUP(E355,[1]!SO_2[BLO],[1]!SO_2[BLO],,-1) )
+
_xlfn.XLOOKUP(E355,[1]!SO_2[BLO],[1]!SO_2[ILO],,-1),2)</f>
        <v>11.25</v>
      </c>
      <c r="L355">
        <f>( ( _xlfn.XLOOKUP(F355,[1]!CO[BLO],[1]!CO[IHI],,-1)
- _xlfn.XLOOKUP(F355,[1]!CO[BLO],[1]!CO[ILO],,-1) )
/
( _xlfn.XLOOKUP(F355,[1]!CO[BLO],[1]!CO[BHI],,-1) - _xlfn.XLOOKUP(F355,[1]!CO[BLO],[1]!CO[BLO],,-1)))
*
( F355 - _xlfn.XLOOKUP(F355,[1]!CO[BLO],[1]!CO[BLO],,-1) )
+
_xlfn.XLOOKUP(F355,[1]!CO[BLO],[1]!CO[ILO],,-1)</f>
        <v>39</v>
      </c>
      <c r="M355">
        <f>(( _xlfn.XLOOKUP(G355,[1]!O_3[BLO],[1]!O_3[IHI],,-1) - _xlfn.XLOOKUP(G355,[1]!O_3[BLO],[1]!O_3[ILO],,-1))
/
( _xlfn.XLOOKUP(G355,[1]!O_3[BLO],[1]!O_3[BHI],,-1) - _xlfn.XLOOKUP(G355,[1]!O_3[BLO],[1]!O_3[BLO],,-1)))
*
( G355 - _xlfn.XLOOKUP(G355,[1]!O_3[BLO],[1]!O_3[BLO],,-1))
+
_xlfn.XLOOKUP(G355,[1]!O_3[BLO],[1]!O_3[ILO],,-1)</f>
        <v>26</v>
      </c>
      <c r="N355">
        <f>MAX(DAILY_DATA[[#This Row],[AQI_PM2.5]:[AQI_O3]])</f>
        <v>71</v>
      </c>
      <c r="O355" t="str">
        <f>_xlfn.XLOOKUP(DAILY_DATA[[#This Row],[OVERALL_AQI]],[1]!CATEGORY[AQI_LO],[1]!CATEGORY[CATEGORY],,-1)</f>
        <v>Satisfactory</v>
      </c>
      <c r="P355" t="str" cm="1">
        <f t="array" ref="P355">INDEX(
{"PM2.5","PM10","NO2","SO2","CO","O3"},
MATCH(N355,H355:M355,0)
)</f>
        <v>PM10</v>
      </c>
    </row>
    <row r="356" spans="1:16" x14ac:dyDescent="0.25">
      <c r="A356" s="4">
        <v>45646</v>
      </c>
      <c r="B356">
        <f>ROUND(AVERAGEIFS([1]HOURLY_DATA!B356:B9139,[1]HOURLY_DATA!H356:H9139,Daily_AQI!A356),0)</f>
        <v>30</v>
      </c>
      <c r="C356">
        <f>ROUND(AVERAGEIFS([1]HOURLY_DATA!C356:C9139,[1]HOURLY_DATA!H356:H9139,Daily_AQI!A356),0)</f>
        <v>70</v>
      </c>
      <c r="D356">
        <f>ROUND(AVERAGEIFS([1]HOURLY_DATA!D356:D9139,[1]HOURLY_DATA!H356:H9139,Daily_AQI!A356),0)</f>
        <v>20</v>
      </c>
      <c r="E356">
        <f>ROUND(AVERAGEIFS([1]HOURLY_DATA!E356:E9139,[1]HOURLY_DATA!H356:H9139,Daily_AQI!A356),0)</f>
        <v>9</v>
      </c>
      <c r="F356">
        <f>ROUND(AVERAGEIFS([1]HOURLY_DATA!I356:I9139,[1]HOURLY_DATA!H356:H9139,Daily_AQI!A356),2)</f>
        <v>0.78</v>
      </c>
      <c r="G356">
        <f>ROUND(AVERAGEIFS([1]HOURLY_DATA!J356:J9139,[1]HOURLY_DATA!H356:H9139,Daily_AQI!A356),0)</f>
        <v>24</v>
      </c>
      <c r="H356">
        <f>ROUND(((_xlfn.XLOOKUP(B356,[1]!PM2.5[BLO],[1]!PM2.5[IHI],,-1) - _xlfn.XLOOKUP(B356,[1]!PM2.5[BLO],[1]!PM2.5[ILO],,-1))
/
(_xlfn.XLOOKUP(B356,[1]!PM2.5[BLO],[1]!PM2.5[BHI],,-1) - _xlfn.XLOOKUP(B356,[1]!PM2.5[BLO],[1]!PM2.5[BLO],,-1)))
*
(B356 - _xlfn.XLOOKUP(B356,[1]!PM2.5[BLO],[1]!PM2.5[BLO],,-1))
+
_xlfn.XLOOKUP(B356,[1]!PM2.5[BLO],[1]!PM2.5[ILO],,-1),2)</f>
        <v>50</v>
      </c>
      <c r="I356">
        <f>ROUND(((_xlfn.XLOOKUP(C356,[1]!PM_10[BLO],[1]!PM_10[IHI],,-1) - _xlfn.XLOOKUP(C356,[1]!PM_10[BLO],[1]!PM_10[ILO],,-1))
/
(_xlfn.XLOOKUP(C356,[1]!PM_10[BLO],[1]!PM_10[BHI],,-1) - _xlfn.XLOOKUP(C356,[1]!PM_10[BLO],[1]!PM_10[BLO],,-1)))
*
( C356 - _xlfn.XLOOKUP(C356,[1]!PM_10[BLO],[1]!PM_10[BLO],,-1))
+
_xlfn.XLOOKUP(C356,[1]!PM_10[BLO],[1]!PM_10[ILO],,-1),2)</f>
        <v>70</v>
      </c>
      <c r="J356">
        <f>ROUND((( _xlfn.XLOOKUP(D356,[1]!NO_2[BLO],[1]!NO_2[IHI],,-1) - _xlfn.XLOOKUP(D356,[1]!NO_2[BLO],[1]!NO_2[ILO],,-1))
/
( _xlfn.XLOOKUP(D356,[1]!NO_2[BLO],[1]!NO_2[BHI],,-1) - _xlfn.XLOOKUP(D356,[1]!NO_2[BLO],[1]!NO_2[BLO],,-1) ))
*
( D356 - _xlfn.XLOOKUP(D356,[1]!NO_2[BLO],[1]!NO_2[BLO],,-1))
+
_xlfn.XLOOKUP(D356,[1]!NO_2[BLO],[1]!NO_2[ILO],,-1),2)</f>
        <v>25</v>
      </c>
      <c r="K356">
        <f>ROUND(( ( _xlfn.XLOOKUP(E356,[1]!SO_2[BLO],[1]!SO_2[IHI],,-1)  - _xlfn.XLOOKUP(E356,[1]!SO_2[BLO],[1]!SO_2[ILO],,-1) )
/
( _xlfn.XLOOKUP(E356,[1]!SO_2[BLO],[1]!SO_2[BHI],,-1)- _xlfn.XLOOKUP(E356,[1]!SO_2[BLO],[1]!SO_2[BLO],,-1) ))
*
( E356 - _xlfn.XLOOKUP(E356,[1]!SO_2[BLO],[1]!SO_2[BLO],,-1) )
+
_xlfn.XLOOKUP(E356,[1]!SO_2[BLO],[1]!SO_2[ILO],,-1),2)</f>
        <v>11.25</v>
      </c>
      <c r="L356">
        <f>( ( _xlfn.XLOOKUP(F356,[1]!CO[BLO],[1]!CO[IHI],,-1)
- _xlfn.XLOOKUP(F356,[1]!CO[BLO],[1]!CO[ILO],,-1) )
/
( _xlfn.XLOOKUP(F356,[1]!CO[BLO],[1]!CO[BHI],,-1) - _xlfn.XLOOKUP(F356,[1]!CO[BLO],[1]!CO[BLO],,-1)))
*
( F356 - _xlfn.XLOOKUP(F356,[1]!CO[BLO],[1]!CO[BLO],,-1) )
+
_xlfn.XLOOKUP(F356,[1]!CO[BLO],[1]!CO[ILO],,-1)</f>
        <v>39</v>
      </c>
      <c r="M356">
        <f>(( _xlfn.XLOOKUP(G356,[1]!O_3[BLO],[1]!O_3[IHI],,-1) - _xlfn.XLOOKUP(G356,[1]!O_3[BLO],[1]!O_3[ILO],,-1))
/
( _xlfn.XLOOKUP(G356,[1]!O_3[BLO],[1]!O_3[BHI],,-1) - _xlfn.XLOOKUP(G356,[1]!O_3[BLO],[1]!O_3[BLO],,-1)))
*
( G356 - _xlfn.XLOOKUP(G356,[1]!O_3[BLO],[1]!O_3[BLO],,-1))
+
_xlfn.XLOOKUP(G356,[1]!O_3[BLO],[1]!O_3[ILO],,-1)</f>
        <v>24</v>
      </c>
      <c r="N356">
        <f>MAX(DAILY_DATA[[#This Row],[AQI_PM2.5]:[AQI_O3]])</f>
        <v>70</v>
      </c>
      <c r="O356" t="str">
        <f>_xlfn.XLOOKUP(DAILY_DATA[[#This Row],[OVERALL_AQI]],[1]!CATEGORY[AQI_LO],[1]!CATEGORY[CATEGORY],,-1)</f>
        <v>Satisfactory</v>
      </c>
      <c r="P356" t="str" cm="1">
        <f t="array" ref="P356">INDEX(
{"PM2.5","PM10","NO2","SO2","CO","O3"},
MATCH(N356,H356:M356,0)
)</f>
        <v>PM10</v>
      </c>
    </row>
    <row r="357" spans="1:16" x14ac:dyDescent="0.25">
      <c r="A357" s="4">
        <v>45647</v>
      </c>
      <c r="B357">
        <f>ROUND(AVERAGEIFS([1]HOURLY_DATA!B357:B9140,[1]HOURLY_DATA!H357:H9140,Daily_AQI!A357),0)</f>
        <v>36</v>
      </c>
      <c r="C357">
        <f>ROUND(AVERAGEIFS([1]HOURLY_DATA!C357:C9140,[1]HOURLY_DATA!H357:H9140,Daily_AQI!A357),0)</f>
        <v>82</v>
      </c>
      <c r="D357">
        <f>ROUND(AVERAGEIFS([1]HOURLY_DATA!D357:D9140,[1]HOURLY_DATA!H357:H9140,Daily_AQI!A357),0)</f>
        <v>21</v>
      </c>
      <c r="E357">
        <f>ROUND(AVERAGEIFS([1]HOURLY_DATA!E357:E9140,[1]HOURLY_DATA!H357:H9140,Daily_AQI!A357),0)</f>
        <v>9</v>
      </c>
      <c r="F357">
        <f>ROUND(AVERAGEIFS([1]HOURLY_DATA!I357:I9140,[1]HOURLY_DATA!H357:H9140,Daily_AQI!A357),2)</f>
        <v>0.88</v>
      </c>
      <c r="G357">
        <f>ROUND(AVERAGEIFS([1]HOURLY_DATA!J357:J9140,[1]HOURLY_DATA!H357:H9140,Daily_AQI!A357),0)</f>
        <v>25</v>
      </c>
      <c r="H357">
        <f>ROUND(((_xlfn.XLOOKUP(B357,[1]!PM2.5[BLO],[1]!PM2.5[IHI],,-1) - _xlfn.XLOOKUP(B357,[1]!PM2.5[BLO],[1]!PM2.5[ILO],,-1))
/
(_xlfn.XLOOKUP(B357,[1]!PM2.5[BLO],[1]!PM2.5[BHI],,-1) - _xlfn.XLOOKUP(B357,[1]!PM2.5[BLO],[1]!PM2.5[BLO],,-1)))
*
(B357 - _xlfn.XLOOKUP(B357,[1]!PM2.5[BLO],[1]!PM2.5[BLO],,-1))
+
_xlfn.XLOOKUP(B357,[1]!PM2.5[BLO],[1]!PM2.5[ILO],,-1),2)</f>
        <v>59.45</v>
      </c>
      <c r="I357">
        <f>ROUND(((_xlfn.XLOOKUP(C357,[1]!PM_10[BLO],[1]!PM_10[IHI],,-1) - _xlfn.XLOOKUP(C357,[1]!PM_10[BLO],[1]!PM_10[ILO],,-1))
/
(_xlfn.XLOOKUP(C357,[1]!PM_10[BLO],[1]!PM_10[BHI],,-1) - _xlfn.XLOOKUP(C357,[1]!PM_10[BLO],[1]!PM_10[BLO],,-1)))
*
( C357 - _xlfn.XLOOKUP(C357,[1]!PM_10[BLO],[1]!PM_10[BLO],,-1))
+
_xlfn.XLOOKUP(C357,[1]!PM_10[BLO],[1]!PM_10[ILO],,-1),2)</f>
        <v>82</v>
      </c>
      <c r="J357">
        <f>ROUND((( _xlfn.XLOOKUP(D357,[1]!NO_2[BLO],[1]!NO_2[IHI],,-1) - _xlfn.XLOOKUP(D357,[1]!NO_2[BLO],[1]!NO_2[ILO],,-1))
/
( _xlfn.XLOOKUP(D357,[1]!NO_2[BLO],[1]!NO_2[BHI],,-1) - _xlfn.XLOOKUP(D357,[1]!NO_2[BLO],[1]!NO_2[BLO],,-1) ))
*
( D357 - _xlfn.XLOOKUP(D357,[1]!NO_2[BLO],[1]!NO_2[BLO],,-1))
+
_xlfn.XLOOKUP(D357,[1]!NO_2[BLO],[1]!NO_2[ILO],,-1),2)</f>
        <v>26.25</v>
      </c>
      <c r="K357">
        <f>ROUND(( ( _xlfn.XLOOKUP(E357,[1]!SO_2[BLO],[1]!SO_2[IHI],,-1)  - _xlfn.XLOOKUP(E357,[1]!SO_2[BLO],[1]!SO_2[ILO],,-1) )
/
( _xlfn.XLOOKUP(E357,[1]!SO_2[BLO],[1]!SO_2[BHI],,-1)- _xlfn.XLOOKUP(E357,[1]!SO_2[BLO],[1]!SO_2[BLO],,-1) ))
*
( E357 - _xlfn.XLOOKUP(E357,[1]!SO_2[BLO],[1]!SO_2[BLO],,-1) )
+
_xlfn.XLOOKUP(E357,[1]!SO_2[BLO],[1]!SO_2[ILO],,-1),2)</f>
        <v>11.25</v>
      </c>
      <c r="L357">
        <f>( ( _xlfn.XLOOKUP(F357,[1]!CO[BLO],[1]!CO[IHI],,-1)
- _xlfn.XLOOKUP(F357,[1]!CO[BLO],[1]!CO[ILO],,-1) )
/
( _xlfn.XLOOKUP(F357,[1]!CO[BLO],[1]!CO[BHI],,-1) - _xlfn.XLOOKUP(F357,[1]!CO[BLO],[1]!CO[BLO],,-1)))
*
( F357 - _xlfn.XLOOKUP(F357,[1]!CO[BLO],[1]!CO[BLO],,-1) )
+
_xlfn.XLOOKUP(F357,[1]!CO[BLO],[1]!CO[ILO],,-1)</f>
        <v>44</v>
      </c>
      <c r="M357">
        <f>(( _xlfn.XLOOKUP(G357,[1]!O_3[BLO],[1]!O_3[IHI],,-1) - _xlfn.XLOOKUP(G357,[1]!O_3[BLO],[1]!O_3[ILO],,-1))
/
( _xlfn.XLOOKUP(G357,[1]!O_3[BLO],[1]!O_3[BHI],,-1) - _xlfn.XLOOKUP(G357,[1]!O_3[BLO],[1]!O_3[BLO],,-1)))
*
( G357 - _xlfn.XLOOKUP(G357,[1]!O_3[BLO],[1]!O_3[BLO],,-1))
+
_xlfn.XLOOKUP(G357,[1]!O_3[BLO],[1]!O_3[ILO],,-1)</f>
        <v>25</v>
      </c>
      <c r="N357">
        <f>MAX(DAILY_DATA[[#This Row],[AQI_PM2.5]:[AQI_O3]])</f>
        <v>82</v>
      </c>
      <c r="O357" t="str">
        <f>_xlfn.XLOOKUP(DAILY_DATA[[#This Row],[OVERALL_AQI]],[1]!CATEGORY[AQI_LO],[1]!CATEGORY[CATEGORY],,-1)</f>
        <v>Satisfactory</v>
      </c>
      <c r="P357" t="str" cm="1">
        <f t="array" ref="P357">INDEX(
{"PM2.5","PM10","NO2","SO2","CO","O3"},
MATCH(N357,H357:M357,0)
)</f>
        <v>PM10</v>
      </c>
    </row>
    <row r="358" spans="1:16" x14ac:dyDescent="0.25">
      <c r="A358" s="4">
        <v>45648</v>
      </c>
      <c r="B358">
        <f>ROUND(AVERAGEIFS([1]HOURLY_DATA!B358:B9141,[1]HOURLY_DATA!H358:H9141,Daily_AQI!A358),0)</f>
        <v>36</v>
      </c>
      <c r="C358">
        <f>ROUND(AVERAGEIFS([1]HOURLY_DATA!C358:C9141,[1]HOURLY_DATA!H358:H9141,Daily_AQI!A358),0)</f>
        <v>74</v>
      </c>
      <c r="D358">
        <f>ROUND(AVERAGEIFS([1]HOURLY_DATA!D358:D9141,[1]HOURLY_DATA!H358:H9141,Daily_AQI!A358),0)</f>
        <v>21</v>
      </c>
      <c r="E358">
        <f>ROUND(AVERAGEIFS([1]HOURLY_DATA!E358:E9141,[1]HOURLY_DATA!H358:H9141,Daily_AQI!A358),0)</f>
        <v>9</v>
      </c>
      <c r="F358">
        <f>ROUND(AVERAGEIFS([1]HOURLY_DATA!I358:I9141,[1]HOURLY_DATA!H358:H9141,Daily_AQI!A358),2)</f>
        <v>0.77</v>
      </c>
      <c r="G358">
        <f>ROUND(AVERAGEIFS([1]HOURLY_DATA!J358:J9141,[1]HOURLY_DATA!H358:H9141,Daily_AQI!A358),0)</f>
        <v>28</v>
      </c>
      <c r="H358">
        <f>ROUND(((_xlfn.XLOOKUP(B358,[1]!PM2.5[BLO],[1]!PM2.5[IHI],,-1) - _xlfn.XLOOKUP(B358,[1]!PM2.5[BLO],[1]!PM2.5[ILO],,-1))
/
(_xlfn.XLOOKUP(B358,[1]!PM2.5[BLO],[1]!PM2.5[BHI],,-1) - _xlfn.XLOOKUP(B358,[1]!PM2.5[BLO],[1]!PM2.5[BLO],,-1)))
*
(B358 - _xlfn.XLOOKUP(B358,[1]!PM2.5[BLO],[1]!PM2.5[BLO],,-1))
+
_xlfn.XLOOKUP(B358,[1]!PM2.5[BLO],[1]!PM2.5[ILO],,-1),2)</f>
        <v>59.45</v>
      </c>
      <c r="I358">
        <f>ROUND(((_xlfn.XLOOKUP(C358,[1]!PM_10[BLO],[1]!PM_10[IHI],,-1) - _xlfn.XLOOKUP(C358,[1]!PM_10[BLO],[1]!PM_10[ILO],,-1))
/
(_xlfn.XLOOKUP(C358,[1]!PM_10[BLO],[1]!PM_10[BHI],,-1) - _xlfn.XLOOKUP(C358,[1]!PM_10[BLO],[1]!PM_10[BLO],,-1)))
*
( C358 - _xlfn.XLOOKUP(C358,[1]!PM_10[BLO],[1]!PM_10[BLO],,-1))
+
_xlfn.XLOOKUP(C358,[1]!PM_10[BLO],[1]!PM_10[ILO],,-1),2)</f>
        <v>74</v>
      </c>
      <c r="J358">
        <f>ROUND((( _xlfn.XLOOKUP(D358,[1]!NO_2[BLO],[1]!NO_2[IHI],,-1) - _xlfn.XLOOKUP(D358,[1]!NO_2[BLO],[1]!NO_2[ILO],,-1))
/
( _xlfn.XLOOKUP(D358,[1]!NO_2[BLO],[1]!NO_2[BHI],,-1) - _xlfn.XLOOKUP(D358,[1]!NO_2[BLO],[1]!NO_2[BLO],,-1) ))
*
( D358 - _xlfn.XLOOKUP(D358,[1]!NO_2[BLO],[1]!NO_2[BLO],,-1))
+
_xlfn.XLOOKUP(D358,[1]!NO_2[BLO],[1]!NO_2[ILO],,-1),2)</f>
        <v>26.25</v>
      </c>
      <c r="K358">
        <f>ROUND(( ( _xlfn.XLOOKUP(E358,[1]!SO_2[BLO],[1]!SO_2[IHI],,-1)  - _xlfn.XLOOKUP(E358,[1]!SO_2[BLO],[1]!SO_2[ILO],,-1) )
/
( _xlfn.XLOOKUP(E358,[1]!SO_2[BLO],[1]!SO_2[BHI],,-1)- _xlfn.XLOOKUP(E358,[1]!SO_2[BLO],[1]!SO_2[BLO],,-1) ))
*
( E358 - _xlfn.XLOOKUP(E358,[1]!SO_2[BLO],[1]!SO_2[BLO],,-1) )
+
_xlfn.XLOOKUP(E358,[1]!SO_2[BLO],[1]!SO_2[ILO],,-1),2)</f>
        <v>11.25</v>
      </c>
      <c r="L358">
        <f>( ( _xlfn.XLOOKUP(F358,[1]!CO[BLO],[1]!CO[IHI],,-1)
- _xlfn.XLOOKUP(F358,[1]!CO[BLO],[1]!CO[ILO],,-1) )
/
( _xlfn.XLOOKUP(F358,[1]!CO[BLO],[1]!CO[BHI],,-1) - _xlfn.XLOOKUP(F358,[1]!CO[BLO],[1]!CO[BLO],,-1)))
*
( F358 - _xlfn.XLOOKUP(F358,[1]!CO[BLO],[1]!CO[BLO],,-1) )
+
_xlfn.XLOOKUP(F358,[1]!CO[BLO],[1]!CO[ILO],,-1)</f>
        <v>38.5</v>
      </c>
      <c r="M358">
        <f>(( _xlfn.XLOOKUP(G358,[1]!O_3[BLO],[1]!O_3[IHI],,-1) - _xlfn.XLOOKUP(G358,[1]!O_3[BLO],[1]!O_3[ILO],,-1))
/
( _xlfn.XLOOKUP(G358,[1]!O_3[BLO],[1]!O_3[BHI],,-1) - _xlfn.XLOOKUP(G358,[1]!O_3[BLO],[1]!O_3[BLO],,-1)))
*
( G358 - _xlfn.XLOOKUP(G358,[1]!O_3[BLO],[1]!O_3[BLO],,-1))
+
_xlfn.XLOOKUP(G358,[1]!O_3[BLO],[1]!O_3[ILO],,-1)</f>
        <v>28</v>
      </c>
      <c r="N358">
        <f>MAX(DAILY_DATA[[#This Row],[AQI_PM2.5]:[AQI_O3]])</f>
        <v>74</v>
      </c>
      <c r="O358" t="str">
        <f>_xlfn.XLOOKUP(DAILY_DATA[[#This Row],[OVERALL_AQI]],[1]!CATEGORY[AQI_LO],[1]!CATEGORY[CATEGORY],,-1)</f>
        <v>Satisfactory</v>
      </c>
      <c r="P358" t="str" cm="1">
        <f t="array" ref="P358">INDEX(
{"PM2.5","PM10","NO2","SO2","CO","O3"},
MATCH(N358,H358:M358,0)
)</f>
        <v>PM10</v>
      </c>
    </row>
    <row r="359" spans="1:16" x14ac:dyDescent="0.25">
      <c r="A359" s="4">
        <v>45649</v>
      </c>
      <c r="B359">
        <f>ROUND(AVERAGEIFS([1]HOURLY_DATA!B359:B9142,[1]HOURLY_DATA!H359:H9142,Daily_AQI!A359),0)</f>
        <v>40</v>
      </c>
      <c r="C359">
        <f>ROUND(AVERAGEIFS([1]HOURLY_DATA!C359:C9142,[1]HOURLY_DATA!H359:H9142,Daily_AQI!A359),0)</f>
        <v>82</v>
      </c>
      <c r="D359">
        <f>ROUND(AVERAGEIFS([1]HOURLY_DATA!D359:D9142,[1]HOURLY_DATA!H359:H9142,Daily_AQI!A359),0)</f>
        <v>21</v>
      </c>
      <c r="E359">
        <f>ROUND(AVERAGEIFS([1]HOURLY_DATA!E359:E9142,[1]HOURLY_DATA!H359:H9142,Daily_AQI!A359),0)</f>
        <v>9</v>
      </c>
      <c r="F359">
        <f>ROUND(AVERAGEIFS([1]HOURLY_DATA!I359:I9142,[1]HOURLY_DATA!H359:H9142,Daily_AQI!A359),2)</f>
        <v>0.71</v>
      </c>
      <c r="G359">
        <f>ROUND(AVERAGEIFS([1]HOURLY_DATA!J359:J9142,[1]HOURLY_DATA!H359:H9142,Daily_AQI!A359),0)</f>
        <v>28</v>
      </c>
      <c r="H359">
        <f>ROUND(((_xlfn.XLOOKUP(B359,[1]!PM2.5[BLO],[1]!PM2.5[IHI],,-1) - _xlfn.XLOOKUP(B359,[1]!PM2.5[BLO],[1]!PM2.5[ILO],,-1))
/
(_xlfn.XLOOKUP(B359,[1]!PM2.5[BLO],[1]!PM2.5[BHI],,-1) - _xlfn.XLOOKUP(B359,[1]!PM2.5[BLO],[1]!PM2.5[BLO],,-1)))
*
(B359 - _xlfn.XLOOKUP(B359,[1]!PM2.5[BLO],[1]!PM2.5[BLO],,-1))
+
_xlfn.XLOOKUP(B359,[1]!PM2.5[BLO],[1]!PM2.5[ILO],,-1),2)</f>
        <v>66.209999999999994</v>
      </c>
      <c r="I359">
        <f>ROUND(((_xlfn.XLOOKUP(C359,[1]!PM_10[BLO],[1]!PM_10[IHI],,-1) - _xlfn.XLOOKUP(C359,[1]!PM_10[BLO],[1]!PM_10[ILO],,-1))
/
(_xlfn.XLOOKUP(C359,[1]!PM_10[BLO],[1]!PM_10[BHI],,-1) - _xlfn.XLOOKUP(C359,[1]!PM_10[BLO],[1]!PM_10[BLO],,-1)))
*
( C359 - _xlfn.XLOOKUP(C359,[1]!PM_10[BLO],[1]!PM_10[BLO],,-1))
+
_xlfn.XLOOKUP(C359,[1]!PM_10[BLO],[1]!PM_10[ILO],,-1),2)</f>
        <v>82</v>
      </c>
      <c r="J359">
        <f>ROUND((( _xlfn.XLOOKUP(D359,[1]!NO_2[BLO],[1]!NO_2[IHI],,-1) - _xlfn.XLOOKUP(D359,[1]!NO_2[BLO],[1]!NO_2[ILO],,-1))
/
( _xlfn.XLOOKUP(D359,[1]!NO_2[BLO],[1]!NO_2[BHI],,-1) - _xlfn.XLOOKUP(D359,[1]!NO_2[BLO],[1]!NO_2[BLO],,-1) ))
*
( D359 - _xlfn.XLOOKUP(D359,[1]!NO_2[BLO],[1]!NO_2[BLO],,-1))
+
_xlfn.XLOOKUP(D359,[1]!NO_2[BLO],[1]!NO_2[ILO],,-1),2)</f>
        <v>26.25</v>
      </c>
      <c r="K359">
        <f>ROUND(( ( _xlfn.XLOOKUP(E359,[1]!SO_2[BLO],[1]!SO_2[IHI],,-1)  - _xlfn.XLOOKUP(E359,[1]!SO_2[BLO],[1]!SO_2[ILO],,-1) )
/
( _xlfn.XLOOKUP(E359,[1]!SO_2[BLO],[1]!SO_2[BHI],,-1)- _xlfn.XLOOKUP(E359,[1]!SO_2[BLO],[1]!SO_2[BLO],,-1) ))
*
( E359 - _xlfn.XLOOKUP(E359,[1]!SO_2[BLO],[1]!SO_2[BLO],,-1) )
+
_xlfn.XLOOKUP(E359,[1]!SO_2[BLO],[1]!SO_2[ILO],,-1),2)</f>
        <v>11.25</v>
      </c>
      <c r="L359">
        <f>( ( _xlfn.XLOOKUP(F359,[1]!CO[BLO],[1]!CO[IHI],,-1)
- _xlfn.XLOOKUP(F359,[1]!CO[BLO],[1]!CO[ILO],,-1) )
/
( _xlfn.XLOOKUP(F359,[1]!CO[BLO],[1]!CO[BHI],,-1) - _xlfn.XLOOKUP(F359,[1]!CO[BLO],[1]!CO[BLO],,-1)))
*
( F359 - _xlfn.XLOOKUP(F359,[1]!CO[BLO],[1]!CO[BLO],,-1) )
+
_xlfn.XLOOKUP(F359,[1]!CO[BLO],[1]!CO[ILO],,-1)</f>
        <v>35.5</v>
      </c>
      <c r="M359">
        <f>(( _xlfn.XLOOKUP(G359,[1]!O_3[BLO],[1]!O_3[IHI],,-1) - _xlfn.XLOOKUP(G359,[1]!O_3[BLO],[1]!O_3[ILO],,-1))
/
( _xlfn.XLOOKUP(G359,[1]!O_3[BLO],[1]!O_3[BHI],,-1) - _xlfn.XLOOKUP(G359,[1]!O_3[BLO],[1]!O_3[BLO],,-1)))
*
( G359 - _xlfn.XLOOKUP(G359,[1]!O_3[BLO],[1]!O_3[BLO],,-1))
+
_xlfn.XLOOKUP(G359,[1]!O_3[BLO],[1]!O_3[ILO],,-1)</f>
        <v>28</v>
      </c>
      <c r="N359">
        <f>MAX(DAILY_DATA[[#This Row],[AQI_PM2.5]:[AQI_O3]])</f>
        <v>82</v>
      </c>
      <c r="O359" t="str">
        <f>_xlfn.XLOOKUP(DAILY_DATA[[#This Row],[OVERALL_AQI]],[1]!CATEGORY[AQI_LO],[1]!CATEGORY[CATEGORY],,-1)</f>
        <v>Satisfactory</v>
      </c>
      <c r="P359" t="str" cm="1">
        <f t="array" ref="P359">INDEX(
{"PM2.5","PM10","NO2","SO2","CO","O3"},
MATCH(N359,H359:M359,0)
)</f>
        <v>PM10</v>
      </c>
    </row>
    <row r="360" spans="1:16" x14ac:dyDescent="0.25">
      <c r="A360" s="4">
        <v>45650</v>
      </c>
      <c r="B360">
        <f>ROUND(AVERAGEIFS([1]HOURLY_DATA!B360:B9143,[1]HOURLY_DATA!H360:H9143,Daily_AQI!A360),0)</f>
        <v>43</v>
      </c>
      <c r="C360">
        <f>ROUND(AVERAGEIFS([1]HOURLY_DATA!C360:C9143,[1]HOURLY_DATA!H360:H9143,Daily_AQI!A360),0)</f>
        <v>92</v>
      </c>
      <c r="D360">
        <f>ROUND(AVERAGEIFS([1]HOURLY_DATA!D360:D9143,[1]HOURLY_DATA!H360:H9143,Daily_AQI!A360),0)</f>
        <v>21</v>
      </c>
      <c r="E360">
        <f>ROUND(AVERAGEIFS([1]HOURLY_DATA!E360:E9143,[1]HOURLY_DATA!H360:H9143,Daily_AQI!A360),0)</f>
        <v>9</v>
      </c>
      <c r="F360">
        <f>ROUND(AVERAGEIFS([1]HOURLY_DATA!I360:I9143,[1]HOURLY_DATA!H360:H9143,Daily_AQI!A360),2)</f>
        <v>0.8</v>
      </c>
      <c r="G360">
        <f>ROUND(AVERAGEIFS([1]HOURLY_DATA!J360:J9143,[1]HOURLY_DATA!H360:H9143,Daily_AQI!A360),0)</f>
        <v>28</v>
      </c>
      <c r="H360">
        <f>ROUND(((_xlfn.XLOOKUP(B360,[1]!PM2.5[BLO],[1]!PM2.5[IHI],,-1) - _xlfn.XLOOKUP(B360,[1]!PM2.5[BLO],[1]!PM2.5[ILO],,-1))
/
(_xlfn.XLOOKUP(B360,[1]!PM2.5[BLO],[1]!PM2.5[BHI],,-1) - _xlfn.XLOOKUP(B360,[1]!PM2.5[BLO],[1]!PM2.5[BLO],,-1)))
*
(B360 - _xlfn.XLOOKUP(B360,[1]!PM2.5[BLO],[1]!PM2.5[BLO],,-1))
+
_xlfn.XLOOKUP(B360,[1]!PM2.5[BLO],[1]!PM2.5[ILO],,-1),2)</f>
        <v>71.28</v>
      </c>
      <c r="I360">
        <f>ROUND(((_xlfn.XLOOKUP(C360,[1]!PM_10[BLO],[1]!PM_10[IHI],,-1) - _xlfn.XLOOKUP(C360,[1]!PM_10[BLO],[1]!PM_10[ILO],,-1))
/
(_xlfn.XLOOKUP(C360,[1]!PM_10[BLO],[1]!PM_10[BHI],,-1) - _xlfn.XLOOKUP(C360,[1]!PM_10[BLO],[1]!PM_10[BLO],,-1)))
*
( C360 - _xlfn.XLOOKUP(C360,[1]!PM_10[BLO],[1]!PM_10[BLO],,-1))
+
_xlfn.XLOOKUP(C360,[1]!PM_10[BLO],[1]!PM_10[ILO],,-1),2)</f>
        <v>92</v>
      </c>
      <c r="J360">
        <f>ROUND((( _xlfn.XLOOKUP(D360,[1]!NO_2[BLO],[1]!NO_2[IHI],,-1) - _xlfn.XLOOKUP(D360,[1]!NO_2[BLO],[1]!NO_2[ILO],,-1))
/
( _xlfn.XLOOKUP(D360,[1]!NO_2[BLO],[1]!NO_2[BHI],,-1) - _xlfn.XLOOKUP(D360,[1]!NO_2[BLO],[1]!NO_2[BLO],,-1) ))
*
( D360 - _xlfn.XLOOKUP(D360,[1]!NO_2[BLO],[1]!NO_2[BLO],,-1))
+
_xlfn.XLOOKUP(D360,[1]!NO_2[BLO],[1]!NO_2[ILO],,-1),2)</f>
        <v>26.25</v>
      </c>
      <c r="K360">
        <f>ROUND(( ( _xlfn.XLOOKUP(E360,[1]!SO_2[BLO],[1]!SO_2[IHI],,-1)  - _xlfn.XLOOKUP(E360,[1]!SO_2[BLO],[1]!SO_2[ILO],,-1) )
/
( _xlfn.XLOOKUP(E360,[1]!SO_2[BLO],[1]!SO_2[BHI],,-1)- _xlfn.XLOOKUP(E360,[1]!SO_2[BLO],[1]!SO_2[BLO],,-1) ))
*
( E360 - _xlfn.XLOOKUP(E360,[1]!SO_2[BLO],[1]!SO_2[BLO],,-1) )
+
_xlfn.XLOOKUP(E360,[1]!SO_2[BLO],[1]!SO_2[ILO],,-1),2)</f>
        <v>11.25</v>
      </c>
      <c r="L360">
        <f>( ( _xlfn.XLOOKUP(F360,[1]!CO[BLO],[1]!CO[IHI],,-1)
- _xlfn.XLOOKUP(F360,[1]!CO[BLO],[1]!CO[ILO],,-1) )
/
( _xlfn.XLOOKUP(F360,[1]!CO[BLO],[1]!CO[BHI],,-1) - _xlfn.XLOOKUP(F360,[1]!CO[BLO],[1]!CO[BLO],,-1)))
*
( F360 - _xlfn.XLOOKUP(F360,[1]!CO[BLO],[1]!CO[BLO],,-1) )
+
_xlfn.XLOOKUP(F360,[1]!CO[BLO],[1]!CO[ILO],,-1)</f>
        <v>40</v>
      </c>
      <c r="M360">
        <f>(( _xlfn.XLOOKUP(G360,[1]!O_3[BLO],[1]!O_3[IHI],,-1) - _xlfn.XLOOKUP(G360,[1]!O_3[BLO],[1]!O_3[ILO],,-1))
/
( _xlfn.XLOOKUP(G360,[1]!O_3[BLO],[1]!O_3[BHI],,-1) - _xlfn.XLOOKUP(G360,[1]!O_3[BLO],[1]!O_3[BLO],,-1)))
*
( G360 - _xlfn.XLOOKUP(G360,[1]!O_3[BLO],[1]!O_3[BLO],,-1))
+
_xlfn.XLOOKUP(G360,[1]!O_3[BLO],[1]!O_3[ILO],,-1)</f>
        <v>28</v>
      </c>
      <c r="N360">
        <f>MAX(DAILY_DATA[[#This Row],[AQI_PM2.5]:[AQI_O3]])</f>
        <v>92</v>
      </c>
      <c r="O360" t="str">
        <f>_xlfn.XLOOKUP(DAILY_DATA[[#This Row],[OVERALL_AQI]],[1]!CATEGORY[AQI_LO],[1]!CATEGORY[CATEGORY],,-1)</f>
        <v>Satisfactory</v>
      </c>
      <c r="P360" t="str" cm="1">
        <f t="array" ref="P360">INDEX(
{"PM2.5","PM10","NO2","SO2","CO","O3"},
MATCH(N360,H360:M360,0)
)</f>
        <v>PM10</v>
      </c>
    </row>
    <row r="361" spans="1:16" x14ac:dyDescent="0.25">
      <c r="A361" s="4">
        <v>45651</v>
      </c>
      <c r="B361">
        <f>ROUND(AVERAGEIFS([1]HOURLY_DATA!B361:B9144,[1]HOURLY_DATA!H361:H9144,Daily_AQI!A361),0)</f>
        <v>33</v>
      </c>
      <c r="C361">
        <f>ROUND(AVERAGEIFS([1]HOURLY_DATA!C361:C9144,[1]HOURLY_DATA!H361:H9144,Daily_AQI!A361),0)</f>
        <v>67</v>
      </c>
      <c r="D361">
        <f>ROUND(AVERAGEIFS([1]HOURLY_DATA!D361:D9144,[1]HOURLY_DATA!H361:H9144,Daily_AQI!A361),0)</f>
        <v>21</v>
      </c>
      <c r="E361">
        <f>ROUND(AVERAGEIFS([1]HOURLY_DATA!E361:E9144,[1]HOURLY_DATA!H361:H9144,Daily_AQI!A361),0)</f>
        <v>9</v>
      </c>
      <c r="F361">
        <f>ROUND(AVERAGEIFS([1]HOURLY_DATA!I361:I9144,[1]HOURLY_DATA!H361:H9144,Daily_AQI!A361),2)</f>
        <v>0.75</v>
      </c>
      <c r="G361">
        <f>ROUND(AVERAGEIFS([1]HOURLY_DATA!J361:J9144,[1]HOURLY_DATA!H361:H9144,Daily_AQI!A361),0)</f>
        <v>26</v>
      </c>
      <c r="H361">
        <f>ROUND(((_xlfn.XLOOKUP(B361,[1]!PM2.5[BLO],[1]!PM2.5[IHI],,-1) - _xlfn.XLOOKUP(B361,[1]!PM2.5[BLO],[1]!PM2.5[ILO],,-1))
/
(_xlfn.XLOOKUP(B361,[1]!PM2.5[BLO],[1]!PM2.5[BHI],,-1) - _xlfn.XLOOKUP(B361,[1]!PM2.5[BLO],[1]!PM2.5[BLO],,-1)))
*
(B361 - _xlfn.XLOOKUP(B361,[1]!PM2.5[BLO],[1]!PM2.5[BLO],,-1))
+
_xlfn.XLOOKUP(B361,[1]!PM2.5[BLO],[1]!PM2.5[ILO],,-1),2)</f>
        <v>54.38</v>
      </c>
      <c r="I361">
        <f>ROUND(((_xlfn.XLOOKUP(C361,[1]!PM_10[BLO],[1]!PM_10[IHI],,-1) - _xlfn.XLOOKUP(C361,[1]!PM_10[BLO],[1]!PM_10[ILO],,-1))
/
(_xlfn.XLOOKUP(C361,[1]!PM_10[BLO],[1]!PM_10[BHI],,-1) - _xlfn.XLOOKUP(C361,[1]!PM_10[BLO],[1]!PM_10[BLO],,-1)))
*
( C361 - _xlfn.XLOOKUP(C361,[1]!PM_10[BLO],[1]!PM_10[BLO],,-1))
+
_xlfn.XLOOKUP(C361,[1]!PM_10[BLO],[1]!PM_10[ILO],,-1),2)</f>
        <v>67</v>
      </c>
      <c r="J361">
        <f>ROUND((( _xlfn.XLOOKUP(D361,[1]!NO_2[BLO],[1]!NO_2[IHI],,-1) - _xlfn.XLOOKUP(D361,[1]!NO_2[BLO],[1]!NO_2[ILO],,-1))
/
( _xlfn.XLOOKUP(D361,[1]!NO_2[BLO],[1]!NO_2[BHI],,-1) - _xlfn.XLOOKUP(D361,[1]!NO_2[BLO],[1]!NO_2[BLO],,-1) ))
*
( D361 - _xlfn.XLOOKUP(D361,[1]!NO_2[BLO],[1]!NO_2[BLO],,-1))
+
_xlfn.XLOOKUP(D361,[1]!NO_2[BLO],[1]!NO_2[ILO],,-1),2)</f>
        <v>26.25</v>
      </c>
      <c r="K361">
        <f>ROUND(( ( _xlfn.XLOOKUP(E361,[1]!SO_2[BLO],[1]!SO_2[IHI],,-1)  - _xlfn.XLOOKUP(E361,[1]!SO_2[BLO],[1]!SO_2[ILO],,-1) )
/
( _xlfn.XLOOKUP(E361,[1]!SO_2[BLO],[1]!SO_2[BHI],,-1)- _xlfn.XLOOKUP(E361,[1]!SO_2[BLO],[1]!SO_2[BLO],,-1) ))
*
( E361 - _xlfn.XLOOKUP(E361,[1]!SO_2[BLO],[1]!SO_2[BLO],,-1) )
+
_xlfn.XLOOKUP(E361,[1]!SO_2[BLO],[1]!SO_2[ILO],,-1),2)</f>
        <v>11.25</v>
      </c>
      <c r="L361">
        <f>( ( _xlfn.XLOOKUP(F361,[1]!CO[BLO],[1]!CO[IHI],,-1)
- _xlfn.XLOOKUP(F361,[1]!CO[BLO],[1]!CO[ILO],,-1) )
/
( _xlfn.XLOOKUP(F361,[1]!CO[BLO],[1]!CO[BHI],,-1) - _xlfn.XLOOKUP(F361,[1]!CO[BLO],[1]!CO[BLO],,-1)))
*
( F361 - _xlfn.XLOOKUP(F361,[1]!CO[BLO],[1]!CO[BLO],,-1) )
+
_xlfn.XLOOKUP(F361,[1]!CO[BLO],[1]!CO[ILO],,-1)</f>
        <v>37.5</v>
      </c>
      <c r="M361">
        <f>(( _xlfn.XLOOKUP(G361,[1]!O_3[BLO],[1]!O_3[IHI],,-1) - _xlfn.XLOOKUP(G361,[1]!O_3[BLO],[1]!O_3[ILO],,-1))
/
( _xlfn.XLOOKUP(G361,[1]!O_3[BLO],[1]!O_3[BHI],,-1) - _xlfn.XLOOKUP(G361,[1]!O_3[BLO],[1]!O_3[BLO],,-1)))
*
( G361 - _xlfn.XLOOKUP(G361,[1]!O_3[BLO],[1]!O_3[BLO],,-1))
+
_xlfn.XLOOKUP(G361,[1]!O_3[BLO],[1]!O_3[ILO],,-1)</f>
        <v>26</v>
      </c>
      <c r="N361">
        <f>MAX(DAILY_DATA[[#This Row],[AQI_PM2.5]:[AQI_O3]])</f>
        <v>67</v>
      </c>
      <c r="O361" t="str">
        <f>_xlfn.XLOOKUP(DAILY_DATA[[#This Row],[OVERALL_AQI]],[1]!CATEGORY[AQI_LO],[1]!CATEGORY[CATEGORY],,-1)</f>
        <v>Satisfactory</v>
      </c>
      <c r="P361" t="str" cm="1">
        <f t="array" ref="P361">INDEX(
{"PM2.5","PM10","NO2","SO2","CO","O3"},
MATCH(N361,H361:M361,0)
)</f>
        <v>PM10</v>
      </c>
    </row>
    <row r="362" spans="1:16" x14ac:dyDescent="0.25">
      <c r="A362" s="4">
        <v>45652</v>
      </c>
      <c r="B362">
        <f>ROUND(AVERAGEIFS([1]HOURLY_DATA!B362:B9145,[1]HOURLY_DATA!H362:H9145,Daily_AQI!A362),0)</f>
        <v>22</v>
      </c>
      <c r="C362">
        <f>ROUND(AVERAGEIFS([1]HOURLY_DATA!C362:C9145,[1]HOURLY_DATA!H362:H9145,Daily_AQI!A362),0)</f>
        <v>48</v>
      </c>
      <c r="D362">
        <f>ROUND(AVERAGEIFS([1]HOURLY_DATA!D362:D9145,[1]HOURLY_DATA!H362:H9145,Daily_AQI!A362),0)</f>
        <v>20</v>
      </c>
      <c r="E362">
        <f>ROUND(AVERAGEIFS([1]HOURLY_DATA!E362:E9145,[1]HOURLY_DATA!H362:H9145,Daily_AQI!A362),0)</f>
        <v>9</v>
      </c>
      <c r="F362">
        <f>ROUND(AVERAGEIFS([1]HOURLY_DATA!I362:I9145,[1]HOURLY_DATA!H362:H9145,Daily_AQI!A362),2)</f>
        <v>0.76</v>
      </c>
      <c r="G362">
        <f>ROUND(AVERAGEIFS([1]HOURLY_DATA!J362:J9145,[1]HOURLY_DATA!H362:H9145,Daily_AQI!A362),0)</f>
        <v>25</v>
      </c>
      <c r="H362">
        <f>ROUND(((_xlfn.XLOOKUP(B362,[1]!PM2.5[BLO],[1]!PM2.5[IHI],,-1) - _xlfn.XLOOKUP(B362,[1]!PM2.5[BLO],[1]!PM2.5[ILO],,-1))
/
(_xlfn.XLOOKUP(B362,[1]!PM2.5[BLO],[1]!PM2.5[BHI],,-1) - _xlfn.XLOOKUP(B362,[1]!PM2.5[BLO],[1]!PM2.5[BLO],,-1)))
*
(B362 - _xlfn.XLOOKUP(B362,[1]!PM2.5[BLO],[1]!PM2.5[BLO],,-1))
+
_xlfn.XLOOKUP(B362,[1]!PM2.5[BLO],[1]!PM2.5[ILO],,-1),2)</f>
        <v>36.67</v>
      </c>
      <c r="I362">
        <f>ROUND(((_xlfn.XLOOKUP(C362,[1]!PM_10[BLO],[1]!PM_10[IHI],,-1) - _xlfn.XLOOKUP(C362,[1]!PM_10[BLO],[1]!PM_10[ILO],,-1))
/
(_xlfn.XLOOKUP(C362,[1]!PM_10[BLO],[1]!PM_10[BHI],,-1) - _xlfn.XLOOKUP(C362,[1]!PM_10[BLO],[1]!PM_10[BLO],,-1)))
*
( C362 - _xlfn.XLOOKUP(C362,[1]!PM_10[BLO],[1]!PM_10[BLO],,-1))
+
_xlfn.XLOOKUP(C362,[1]!PM_10[BLO],[1]!PM_10[ILO],,-1),2)</f>
        <v>48</v>
      </c>
      <c r="J362">
        <f>ROUND((( _xlfn.XLOOKUP(D362,[1]!NO_2[BLO],[1]!NO_2[IHI],,-1) - _xlfn.XLOOKUP(D362,[1]!NO_2[BLO],[1]!NO_2[ILO],,-1))
/
( _xlfn.XLOOKUP(D362,[1]!NO_2[BLO],[1]!NO_2[BHI],,-1) - _xlfn.XLOOKUP(D362,[1]!NO_2[BLO],[1]!NO_2[BLO],,-1) ))
*
( D362 - _xlfn.XLOOKUP(D362,[1]!NO_2[BLO],[1]!NO_2[BLO],,-1))
+
_xlfn.XLOOKUP(D362,[1]!NO_2[BLO],[1]!NO_2[ILO],,-1),2)</f>
        <v>25</v>
      </c>
      <c r="K362">
        <f>ROUND(( ( _xlfn.XLOOKUP(E362,[1]!SO_2[BLO],[1]!SO_2[IHI],,-1)  - _xlfn.XLOOKUP(E362,[1]!SO_2[BLO],[1]!SO_2[ILO],,-1) )
/
( _xlfn.XLOOKUP(E362,[1]!SO_2[BLO],[1]!SO_2[BHI],,-1)- _xlfn.XLOOKUP(E362,[1]!SO_2[BLO],[1]!SO_2[BLO],,-1) ))
*
( E362 - _xlfn.XLOOKUP(E362,[1]!SO_2[BLO],[1]!SO_2[BLO],,-1) )
+
_xlfn.XLOOKUP(E362,[1]!SO_2[BLO],[1]!SO_2[ILO],,-1),2)</f>
        <v>11.25</v>
      </c>
      <c r="L362">
        <f>( ( _xlfn.XLOOKUP(F362,[1]!CO[BLO],[1]!CO[IHI],,-1)
- _xlfn.XLOOKUP(F362,[1]!CO[BLO],[1]!CO[ILO],,-1) )
/
( _xlfn.XLOOKUP(F362,[1]!CO[BLO],[1]!CO[BHI],,-1) - _xlfn.XLOOKUP(F362,[1]!CO[BLO],[1]!CO[BLO],,-1)))
*
( F362 - _xlfn.XLOOKUP(F362,[1]!CO[BLO],[1]!CO[BLO],,-1) )
+
_xlfn.XLOOKUP(F362,[1]!CO[BLO],[1]!CO[ILO],,-1)</f>
        <v>38</v>
      </c>
      <c r="M362">
        <f>(( _xlfn.XLOOKUP(G362,[1]!O_3[BLO],[1]!O_3[IHI],,-1) - _xlfn.XLOOKUP(G362,[1]!O_3[BLO],[1]!O_3[ILO],,-1))
/
( _xlfn.XLOOKUP(G362,[1]!O_3[BLO],[1]!O_3[BHI],,-1) - _xlfn.XLOOKUP(G362,[1]!O_3[BLO],[1]!O_3[BLO],,-1)))
*
( G362 - _xlfn.XLOOKUP(G362,[1]!O_3[BLO],[1]!O_3[BLO],,-1))
+
_xlfn.XLOOKUP(G362,[1]!O_3[BLO],[1]!O_3[ILO],,-1)</f>
        <v>25</v>
      </c>
      <c r="N362">
        <f>MAX(DAILY_DATA[[#This Row],[AQI_PM2.5]:[AQI_O3]])</f>
        <v>48</v>
      </c>
      <c r="O362" t="str">
        <f>_xlfn.XLOOKUP(DAILY_DATA[[#This Row],[OVERALL_AQI]],[1]!CATEGORY[AQI_LO],[1]!CATEGORY[CATEGORY],,-1)</f>
        <v>Good</v>
      </c>
      <c r="P362" t="str" cm="1">
        <f t="array" ref="P362">INDEX(
{"PM2.5","PM10","NO2","SO2","CO","O3"},
MATCH(N362,H362:M362,0)
)</f>
        <v>PM10</v>
      </c>
    </row>
    <row r="363" spans="1:16" x14ac:dyDescent="0.25">
      <c r="A363" s="4">
        <v>45653</v>
      </c>
      <c r="B363">
        <f>ROUND(AVERAGEIFS([1]HOURLY_DATA!B363:B9146,[1]HOURLY_DATA!H363:H9146,Daily_AQI!A363),0)</f>
        <v>25</v>
      </c>
      <c r="C363">
        <f>ROUND(AVERAGEIFS([1]HOURLY_DATA!C363:C9146,[1]HOURLY_DATA!H363:H9146,Daily_AQI!A363),0)</f>
        <v>50</v>
      </c>
      <c r="D363">
        <f>ROUND(AVERAGEIFS([1]HOURLY_DATA!D363:D9146,[1]HOURLY_DATA!H363:H9146,Daily_AQI!A363),0)</f>
        <v>20</v>
      </c>
      <c r="E363">
        <f>ROUND(AVERAGEIFS([1]HOURLY_DATA!E363:E9146,[1]HOURLY_DATA!H363:H9146,Daily_AQI!A363),0)</f>
        <v>9</v>
      </c>
      <c r="F363">
        <f>ROUND(AVERAGEIFS([1]HOURLY_DATA!I363:I9146,[1]HOURLY_DATA!H363:H9146,Daily_AQI!A363),2)</f>
        <v>0.72</v>
      </c>
      <c r="G363">
        <f>ROUND(AVERAGEIFS([1]HOURLY_DATA!J363:J9146,[1]HOURLY_DATA!H363:H9146,Daily_AQI!A363),0)</f>
        <v>24</v>
      </c>
      <c r="H363">
        <f>ROUND(((_xlfn.XLOOKUP(B363,[1]!PM2.5[BLO],[1]!PM2.5[IHI],,-1) - _xlfn.XLOOKUP(B363,[1]!PM2.5[BLO],[1]!PM2.5[ILO],,-1))
/
(_xlfn.XLOOKUP(B363,[1]!PM2.5[BLO],[1]!PM2.5[BHI],,-1) - _xlfn.XLOOKUP(B363,[1]!PM2.5[BLO],[1]!PM2.5[BLO],,-1)))
*
(B363 - _xlfn.XLOOKUP(B363,[1]!PM2.5[BLO],[1]!PM2.5[BLO],,-1))
+
_xlfn.XLOOKUP(B363,[1]!PM2.5[BLO],[1]!PM2.5[ILO],,-1),2)</f>
        <v>41.67</v>
      </c>
      <c r="I363">
        <f>ROUND(((_xlfn.XLOOKUP(C363,[1]!PM_10[BLO],[1]!PM_10[IHI],,-1) - _xlfn.XLOOKUP(C363,[1]!PM_10[BLO],[1]!PM_10[ILO],,-1))
/
(_xlfn.XLOOKUP(C363,[1]!PM_10[BLO],[1]!PM_10[BHI],,-1) - _xlfn.XLOOKUP(C363,[1]!PM_10[BLO],[1]!PM_10[BLO],,-1)))
*
( C363 - _xlfn.XLOOKUP(C363,[1]!PM_10[BLO],[1]!PM_10[BLO],,-1))
+
_xlfn.XLOOKUP(C363,[1]!PM_10[BLO],[1]!PM_10[ILO],,-1),2)</f>
        <v>50</v>
      </c>
      <c r="J363">
        <f>ROUND((( _xlfn.XLOOKUP(D363,[1]!NO_2[BLO],[1]!NO_2[IHI],,-1) - _xlfn.XLOOKUP(D363,[1]!NO_2[BLO],[1]!NO_2[ILO],,-1))
/
( _xlfn.XLOOKUP(D363,[1]!NO_2[BLO],[1]!NO_2[BHI],,-1) - _xlfn.XLOOKUP(D363,[1]!NO_2[BLO],[1]!NO_2[BLO],,-1) ))
*
( D363 - _xlfn.XLOOKUP(D363,[1]!NO_2[BLO],[1]!NO_2[BLO],,-1))
+
_xlfn.XLOOKUP(D363,[1]!NO_2[BLO],[1]!NO_2[ILO],,-1),2)</f>
        <v>25</v>
      </c>
      <c r="K363">
        <f>ROUND(( ( _xlfn.XLOOKUP(E363,[1]!SO_2[BLO],[1]!SO_2[IHI],,-1)  - _xlfn.XLOOKUP(E363,[1]!SO_2[BLO],[1]!SO_2[ILO],,-1) )
/
( _xlfn.XLOOKUP(E363,[1]!SO_2[BLO],[1]!SO_2[BHI],,-1)- _xlfn.XLOOKUP(E363,[1]!SO_2[BLO],[1]!SO_2[BLO],,-1) ))
*
( E363 - _xlfn.XLOOKUP(E363,[1]!SO_2[BLO],[1]!SO_2[BLO],,-1) )
+
_xlfn.XLOOKUP(E363,[1]!SO_2[BLO],[1]!SO_2[ILO],,-1),2)</f>
        <v>11.25</v>
      </c>
      <c r="L363">
        <f>( ( _xlfn.XLOOKUP(F363,[1]!CO[BLO],[1]!CO[IHI],,-1)
- _xlfn.XLOOKUP(F363,[1]!CO[BLO],[1]!CO[ILO],,-1) )
/
( _xlfn.XLOOKUP(F363,[1]!CO[BLO],[1]!CO[BHI],,-1) - _xlfn.XLOOKUP(F363,[1]!CO[BLO],[1]!CO[BLO],,-1)))
*
( F363 - _xlfn.XLOOKUP(F363,[1]!CO[BLO],[1]!CO[BLO],,-1) )
+
_xlfn.XLOOKUP(F363,[1]!CO[BLO],[1]!CO[ILO],,-1)</f>
        <v>36</v>
      </c>
      <c r="M363">
        <f>(( _xlfn.XLOOKUP(G363,[1]!O_3[BLO],[1]!O_3[IHI],,-1) - _xlfn.XLOOKUP(G363,[1]!O_3[BLO],[1]!O_3[ILO],,-1))
/
( _xlfn.XLOOKUP(G363,[1]!O_3[BLO],[1]!O_3[BHI],,-1) - _xlfn.XLOOKUP(G363,[1]!O_3[BLO],[1]!O_3[BLO],,-1)))
*
( G363 - _xlfn.XLOOKUP(G363,[1]!O_3[BLO],[1]!O_3[BLO],,-1))
+
_xlfn.XLOOKUP(G363,[1]!O_3[BLO],[1]!O_3[ILO],,-1)</f>
        <v>24</v>
      </c>
      <c r="N363">
        <f>MAX(DAILY_DATA[[#This Row],[AQI_PM2.5]:[AQI_O3]])</f>
        <v>50</v>
      </c>
      <c r="O363" t="str">
        <f>_xlfn.XLOOKUP(DAILY_DATA[[#This Row],[OVERALL_AQI]],[1]!CATEGORY[AQI_LO],[1]!CATEGORY[CATEGORY],,-1)</f>
        <v>Good</v>
      </c>
      <c r="P363" t="str" cm="1">
        <f t="array" ref="P363">INDEX(
{"PM2.5","PM10","NO2","SO2","CO","O3"},
MATCH(N363,H363:M363,0)
)</f>
        <v>PM10</v>
      </c>
    </row>
    <row r="364" spans="1:16" x14ac:dyDescent="0.25">
      <c r="A364" s="4">
        <v>45654</v>
      </c>
      <c r="B364">
        <f>ROUND(AVERAGEIFS([1]HOURLY_DATA!B364:B9147,[1]HOURLY_DATA!H364:H9147,Daily_AQI!A364),0)</f>
        <v>33</v>
      </c>
      <c r="C364">
        <f>ROUND(AVERAGEIFS([1]HOURLY_DATA!C364:C9147,[1]HOURLY_DATA!H364:H9147,Daily_AQI!A364),0)</f>
        <v>67</v>
      </c>
      <c r="D364">
        <f>ROUND(AVERAGEIFS([1]HOURLY_DATA!D364:D9147,[1]HOURLY_DATA!H364:H9147,Daily_AQI!A364),0)</f>
        <v>21</v>
      </c>
      <c r="E364">
        <f>ROUND(AVERAGEIFS([1]HOURLY_DATA!E364:E9147,[1]HOURLY_DATA!H364:H9147,Daily_AQI!A364),0)</f>
        <v>10</v>
      </c>
      <c r="F364">
        <f>ROUND(AVERAGEIFS([1]HOURLY_DATA!I364:I9147,[1]HOURLY_DATA!H364:H9147,Daily_AQI!A364),2)</f>
        <v>0.7</v>
      </c>
      <c r="G364">
        <f>ROUND(AVERAGEIFS([1]HOURLY_DATA!J364:J9147,[1]HOURLY_DATA!H364:H9147,Daily_AQI!A364),0)</f>
        <v>25</v>
      </c>
      <c r="H364">
        <f>ROUND(((_xlfn.XLOOKUP(B364,[1]!PM2.5[BLO],[1]!PM2.5[IHI],,-1) - _xlfn.XLOOKUP(B364,[1]!PM2.5[BLO],[1]!PM2.5[ILO],,-1))
/
(_xlfn.XLOOKUP(B364,[1]!PM2.5[BLO],[1]!PM2.5[BHI],,-1) - _xlfn.XLOOKUP(B364,[1]!PM2.5[BLO],[1]!PM2.5[BLO],,-1)))
*
(B364 - _xlfn.XLOOKUP(B364,[1]!PM2.5[BLO],[1]!PM2.5[BLO],,-1))
+
_xlfn.XLOOKUP(B364,[1]!PM2.5[BLO],[1]!PM2.5[ILO],,-1),2)</f>
        <v>54.38</v>
      </c>
      <c r="I364">
        <f>ROUND(((_xlfn.XLOOKUP(C364,[1]!PM_10[BLO],[1]!PM_10[IHI],,-1) - _xlfn.XLOOKUP(C364,[1]!PM_10[BLO],[1]!PM_10[ILO],,-1))
/
(_xlfn.XLOOKUP(C364,[1]!PM_10[BLO],[1]!PM_10[BHI],,-1) - _xlfn.XLOOKUP(C364,[1]!PM_10[BLO],[1]!PM_10[BLO],,-1)))
*
( C364 - _xlfn.XLOOKUP(C364,[1]!PM_10[BLO],[1]!PM_10[BLO],,-1))
+
_xlfn.XLOOKUP(C364,[1]!PM_10[BLO],[1]!PM_10[ILO],,-1),2)</f>
        <v>67</v>
      </c>
      <c r="J364">
        <f>ROUND((( _xlfn.XLOOKUP(D364,[1]!NO_2[BLO],[1]!NO_2[IHI],,-1) - _xlfn.XLOOKUP(D364,[1]!NO_2[BLO],[1]!NO_2[ILO],,-1))
/
( _xlfn.XLOOKUP(D364,[1]!NO_2[BLO],[1]!NO_2[BHI],,-1) - _xlfn.XLOOKUP(D364,[1]!NO_2[BLO],[1]!NO_2[BLO],,-1) ))
*
( D364 - _xlfn.XLOOKUP(D364,[1]!NO_2[BLO],[1]!NO_2[BLO],,-1))
+
_xlfn.XLOOKUP(D364,[1]!NO_2[BLO],[1]!NO_2[ILO],,-1),2)</f>
        <v>26.25</v>
      </c>
      <c r="K364">
        <f>ROUND(( ( _xlfn.XLOOKUP(E364,[1]!SO_2[BLO],[1]!SO_2[IHI],,-1)  - _xlfn.XLOOKUP(E364,[1]!SO_2[BLO],[1]!SO_2[ILO],,-1) )
/
( _xlfn.XLOOKUP(E364,[1]!SO_2[BLO],[1]!SO_2[BHI],,-1)- _xlfn.XLOOKUP(E364,[1]!SO_2[BLO],[1]!SO_2[BLO],,-1) ))
*
( E364 - _xlfn.XLOOKUP(E364,[1]!SO_2[BLO],[1]!SO_2[BLO],,-1) )
+
_xlfn.XLOOKUP(E364,[1]!SO_2[BLO],[1]!SO_2[ILO],,-1),2)</f>
        <v>12.5</v>
      </c>
      <c r="L364">
        <f>( ( _xlfn.XLOOKUP(F364,[1]!CO[BLO],[1]!CO[IHI],,-1)
- _xlfn.XLOOKUP(F364,[1]!CO[BLO],[1]!CO[ILO],,-1) )
/
( _xlfn.XLOOKUP(F364,[1]!CO[BLO],[1]!CO[BHI],,-1) - _xlfn.XLOOKUP(F364,[1]!CO[BLO],[1]!CO[BLO],,-1)))
*
( F364 - _xlfn.XLOOKUP(F364,[1]!CO[BLO],[1]!CO[BLO],,-1) )
+
_xlfn.XLOOKUP(F364,[1]!CO[BLO],[1]!CO[ILO],,-1)</f>
        <v>35</v>
      </c>
      <c r="M364">
        <f>(( _xlfn.XLOOKUP(G364,[1]!O_3[BLO],[1]!O_3[IHI],,-1) - _xlfn.XLOOKUP(G364,[1]!O_3[BLO],[1]!O_3[ILO],,-1))
/
( _xlfn.XLOOKUP(G364,[1]!O_3[BLO],[1]!O_3[BHI],,-1) - _xlfn.XLOOKUP(G364,[1]!O_3[BLO],[1]!O_3[BLO],,-1)))
*
( G364 - _xlfn.XLOOKUP(G364,[1]!O_3[BLO],[1]!O_3[BLO],,-1))
+
_xlfn.XLOOKUP(G364,[1]!O_3[BLO],[1]!O_3[ILO],,-1)</f>
        <v>25</v>
      </c>
      <c r="N364">
        <f>MAX(DAILY_DATA[[#This Row],[AQI_PM2.5]:[AQI_O3]])</f>
        <v>67</v>
      </c>
      <c r="O364" t="str">
        <f>_xlfn.XLOOKUP(DAILY_DATA[[#This Row],[OVERALL_AQI]],[1]!CATEGORY[AQI_LO],[1]!CATEGORY[CATEGORY],,-1)</f>
        <v>Satisfactory</v>
      </c>
      <c r="P364" t="str" cm="1">
        <f t="array" ref="P364">INDEX(
{"PM2.5","PM10","NO2","SO2","CO","O3"},
MATCH(N364,H364:M364,0)
)</f>
        <v>PM10</v>
      </c>
    </row>
    <row r="365" spans="1:16" x14ac:dyDescent="0.25">
      <c r="A365" s="4">
        <v>45655</v>
      </c>
      <c r="B365">
        <f>ROUND(AVERAGEIFS([1]HOURLY_DATA!B365:B9148,[1]HOURLY_DATA!H365:H9148,Daily_AQI!A365),0)</f>
        <v>31</v>
      </c>
      <c r="C365">
        <f>ROUND(AVERAGEIFS([1]HOURLY_DATA!C365:C9148,[1]HOURLY_DATA!H365:H9148,Daily_AQI!A365),0)</f>
        <v>61</v>
      </c>
      <c r="D365">
        <f>ROUND(AVERAGEIFS([1]HOURLY_DATA!D365:D9148,[1]HOURLY_DATA!H365:H9148,Daily_AQI!A365),0)</f>
        <v>22</v>
      </c>
      <c r="E365">
        <f>ROUND(AVERAGEIFS([1]HOURLY_DATA!E365:E9148,[1]HOURLY_DATA!H365:H9148,Daily_AQI!A365),0)</f>
        <v>9</v>
      </c>
      <c r="F365">
        <f>ROUND(AVERAGEIFS([1]HOURLY_DATA!I365:I9148,[1]HOURLY_DATA!H365:H9148,Daily_AQI!A365),2)</f>
        <v>0.72</v>
      </c>
      <c r="G365">
        <f>ROUND(AVERAGEIFS([1]HOURLY_DATA!J365:J9148,[1]HOURLY_DATA!H365:H9148,Daily_AQI!A365),0)</f>
        <v>26</v>
      </c>
      <c r="H365">
        <f>ROUND(((_xlfn.XLOOKUP(B365,[1]!PM2.5[BLO],[1]!PM2.5[IHI],,-1) - _xlfn.XLOOKUP(B365,[1]!PM2.5[BLO],[1]!PM2.5[ILO],,-1))
/
(_xlfn.XLOOKUP(B365,[1]!PM2.5[BLO],[1]!PM2.5[BHI],,-1) - _xlfn.XLOOKUP(B365,[1]!PM2.5[BLO],[1]!PM2.5[BLO],,-1)))
*
(B365 - _xlfn.XLOOKUP(B365,[1]!PM2.5[BLO],[1]!PM2.5[BLO],,-1))
+
_xlfn.XLOOKUP(B365,[1]!PM2.5[BLO],[1]!PM2.5[ILO],,-1),2)</f>
        <v>51</v>
      </c>
      <c r="I365">
        <f>ROUND(((_xlfn.XLOOKUP(C365,[1]!PM_10[BLO],[1]!PM_10[IHI],,-1) - _xlfn.XLOOKUP(C365,[1]!PM_10[BLO],[1]!PM_10[ILO],,-1))
/
(_xlfn.XLOOKUP(C365,[1]!PM_10[BLO],[1]!PM_10[BHI],,-1) - _xlfn.XLOOKUP(C365,[1]!PM_10[BLO],[1]!PM_10[BLO],,-1)))
*
( C365 - _xlfn.XLOOKUP(C365,[1]!PM_10[BLO],[1]!PM_10[BLO],,-1))
+
_xlfn.XLOOKUP(C365,[1]!PM_10[BLO],[1]!PM_10[ILO],,-1),2)</f>
        <v>61</v>
      </c>
      <c r="J365">
        <f>ROUND((( _xlfn.XLOOKUP(D365,[1]!NO_2[BLO],[1]!NO_2[IHI],,-1) - _xlfn.XLOOKUP(D365,[1]!NO_2[BLO],[1]!NO_2[ILO],,-1))
/
( _xlfn.XLOOKUP(D365,[1]!NO_2[BLO],[1]!NO_2[BHI],,-1) - _xlfn.XLOOKUP(D365,[1]!NO_2[BLO],[1]!NO_2[BLO],,-1) ))
*
( D365 - _xlfn.XLOOKUP(D365,[1]!NO_2[BLO],[1]!NO_2[BLO],,-1))
+
_xlfn.XLOOKUP(D365,[1]!NO_2[BLO],[1]!NO_2[ILO],,-1),2)</f>
        <v>27.5</v>
      </c>
      <c r="K365">
        <f>ROUND(( ( _xlfn.XLOOKUP(E365,[1]!SO_2[BLO],[1]!SO_2[IHI],,-1)  - _xlfn.XLOOKUP(E365,[1]!SO_2[BLO],[1]!SO_2[ILO],,-1) )
/
( _xlfn.XLOOKUP(E365,[1]!SO_2[BLO],[1]!SO_2[BHI],,-1)- _xlfn.XLOOKUP(E365,[1]!SO_2[BLO],[1]!SO_2[BLO],,-1) ))
*
( E365 - _xlfn.XLOOKUP(E365,[1]!SO_2[BLO],[1]!SO_2[BLO],,-1) )
+
_xlfn.XLOOKUP(E365,[1]!SO_2[BLO],[1]!SO_2[ILO],,-1),2)</f>
        <v>11.25</v>
      </c>
      <c r="L365">
        <f>( ( _xlfn.XLOOKUP(F365,[1]!CO[BLO],[1]!CO[IHI],,-1)
- _xlfn.XLOOKUP(F365,[1]!CO[BLO],[1]!CO[ILO],,-1) )
/
( _xlfn.XLOOKUP(F365,[1]!CO[BLO],[1]!CO[BHI],,-1) - _xlfn.XLOOKUP(F365,[1]!CO[BLO],[1]!CO[BLO],,-1)))
*
( F365 - _xlfn.XLOOKUP(F365,[1]!CO[BLO],[1]!CO[BLO],,-1) )
+
_xlfn.XLOOKUP(F365,[1]!CO[BLO],[1]!CO[ILO],,-1)</f>
        <v>36</v>
      </c>
      <c r="M365">
        <f>(( _xlfn.XLOOKUP(G365,[1]!O_3[BLO],[1]!O_3[IHI],,-1) - _xlfn.XLOOKUP(G365,[1]!O_3[BLO],[1]!O_3[ILO],,-1))
/
( _xlfn.XLOOKUP(G365,[1]!O_3[BLO],[1]!O_3[BHI],,-1) - _xlfn.XLOOKUP(G365,[1]!O_3[BLO],[1]!O_3[BLO],,-1)))
*
( G365 - _xlfn.XLOOKUP(G365,[1]!O_3[BLO],[1]!O_3[BLO],,-1))
+
_xlfn.XLOOKUP(G365,[1]!O_3[BLO],[1]!O_3[ILO],,-1)</f>
        <v>26</v>
      </c>
      <c r="N365">
        <f>MAX(DAILY_DATA[[#This Row],[AQI_PM2.5]:[AQI_O3]])</f>
        <v>61</v>
      </c>
      <c r="O365" t="str">
        <f>_xlfn.XLOOKUP(DAILY_DATA[[#This Row],[OVERALL_AQI]],[1]!CATEGORY[AQI_LO],[1]!CATEGORY[CATEGORY],,-1)</f>
        <v>Satisfactory</v>
      </c>
      <c r="P365" t="str" cm="1">
        <f t="array" ref="P365">INDEX(
{"PM2.5","PM10","NO2","SO2","CO","O3"},
MATCH(N365,H365:M365,0)
)</f>
        <v>PM10</v>
      </c>
    </row>
    <row r="366" spans="1:16" x14ac:dyDescent="0.25">
      <c r="A366" s="4">
        <v>45656</v>
      </c>
      <c r="B366">
        <f>ROUND(AVERAGEIFS([1]HOURLY_DATA!B366:B9149,[1]HOURLY_DATA!H366:H9149,Daily_AQI!A366),0)</f>
        <v>31</v>
      </c>
      <c r="C366">
        <f>ROUND(AVERAGEIFS([1]HOURLY_DATA!C366:C9149,[1]HOURLY_DATA!H366:H9149,Daily_AQI!A366),0)</f>
        <v>66</v>
      </c>
      <c r="D366">
        <f>ROUND(AVERAGEIFS([1]HOURLY_DATA!D366:D9149,[1]HOURLY_DATA!H366:H9149,Daily_AQI!A366),0)</f>
        <v>22</v>
      </c>
      <c r="E366">
        <f>ROUND(AVERAGEIFS([1]HOURLY_DATA!E366:E9149,[1]HOURLY_DATA!H366:H9149,Daily_AQI!A366),0)</f>
        <v>9</v>
      </c>
      <c r="F366">
        <f>ROUND(AVERAGEIFS([1]HOURLY_DATA!I366:I9149,[1]HOURLY_DATA!H366:H9149,Daily_AQI!A366),2)</f>
        <v>0.73</v>
      </c>
      <c r="G366">
        <f>ROUND(AVERAGEIFS([1]HOURLY_DATA!J366:J9149,[1]HOURLY_DATA!H366:H9149,Daily_AQI!A366),0)</f>
        <v>26</v>
      </c>
      <c r="H366">
        <f>ROUND(((_xlfn.XLOOKUP(B366,[1]!PM2.5[BLO],[1]!PM2.5[IHI],,-1) - _xlfn.XLOOKUP(B366,[1]!PM2.5[BLO],[1]!PM2.5[ILO],,-1))
/
(_xlfn.XLOOKUP(B366,[1]!PM2.5[BLO],[1]!PM2.5[BHI],,-1) - _xlfn.XLOOKUP(B366,[1]!PM2.5[BLO],[1]!PM2.5[BLO],,-1)))
*
(B366 - _xlfn.XLOOKUP(B366,[1]!PM2.5[BLO],[1]!PM2.5[BLO],,-1))
+
_xlfn.XLOOKUP(B366,[1]!PM2.5[BLO],[1]!PM2.5[ILO],,-1),2)</f>
        <v>51</v>
      </c>
      <c r="I366">
        <f>ROUND(((_xlfn.XLOOKUP(C366,[1]!PM_10[BLO],[1]!PM_10[IHI],,-1) - _xlfn.XLOOKUP(C366,[1]!PM_10[BLO],[1]!PM_10[ILO],,-1))
/
(_xlfn.XLOOKUP(C366,[1]!PM_10[BLO],[1]!PM_10[BHI],,-1) - _xlfn.XLOOKUP(C366,[1]!PM_10[BLO],[1]!PM_10[BLO],,-1)))
*
( C366 - _xlfn.XLOOKUP(C366,[1]!PM_10[BLO],[1]!PM_10[BLO],,-1))
+
_xlfn.XLOOKUP(C366,[1]!PM_10[BLO],[1]!PM_10[ILO],,-1),2)</f>
        <v>66</v>
      </c>
      <c r="J366">
        <f>ROUND((( _xlfn.XLOOKUP(D366,[1]!NO_2[BLO],[1]!NO_2[IHI],,-1) - _xlfn.XLOOKUP(D366,[1]!NO_2[BLO],[1]!NO_2[ILO],,-1))
/
( _xlfn.XLOOKUP(D366,[1]!NO_2[BLO],[1]!NO_2[BHI],,-1) - _xlfn.XLOOKUP(D366,[1]!NO_2[BLO],[1]!NO_2[BLO],,-1) ))
*
( D366 - _xlfn.XLOOKUP(D366,[1]!NO_2[BLO],[1]!NO_2[BLO],,-1))
+
_xlfn.XLOOKUP(D366,[1]!NO_2[BLO],[1]!NO_2[ILO],,-1),2)</f>
        <v>27.5</v>
      </c>
      <c r="K366">
        <f>ROUND(( ( _xlfn.XLOOKUP(E366,[1]!SO_2[BLO],[1]!SO_2[IHI],,-1)  - _xlfn.XLOOKUP(E366,[1]!SO_2[BLO],[1]!SO_2[ILO],,-1) )
/
( _xlfn.XLOOKUP(E366,[1]!SO_2[BLO],[1]!SO_2[BHI],,-1)- _xlfn.XLOOKUP(E366,[1]!SO_2[BLO],[1]!SO_2[BLO],,-1) ))
*
( E366 - _xlfn.XLOOKUP(E366,[1]!SO_2[BLO],[1]!SO_2[BLO],,-1) )
+
_xlfn.XLOOKUP(E366,[1]!SO_2[BLO],[1]!SO_2[ILO],,-1),2)</f>
        <v>11.25</v>
      </c>
      <c r="L366">
        <f>( ( _xlfn.XLOOKUP(F366,[1]!CO[BLO],[1]!CO[IHI],,-1)
- _xlfn.XLOOKUP(F366,[1]!CO[BLO],[1]!CO[ILO],,-1) )
/
( _xlfn.XLOOKUP(F366,[1]!CO[BLO],[1]!CO[BHI],,-1) - _xlfn.XLOOKUP(F366,[1]!CO[BLO],[1]!CO[BLO],,-1)))
*
( F366 - _xlfn.XLOOKUP(F366,[1]!CO[BLO],[1]!CO[BLO],,-1) )
+
_xlfn.XLOOKUP(F366,[1]!CO[BLO],[1]!CO[ILO],,-1)</f>
        <v>36.5</v>
      </c>
      <c r="M366">
        <f>(( _xlfn.XLOOKUP(G366,[1]!O_3[BLO],[1]!O_3[IHI],,-1) - _xlfn.XLOOKUP(G366,[1]!O_3[BLO],[1]!O_3[ILO],,-1))
/
( _xlfn.XLOOKUP(G366,[1]!O_3[BLO],[1]!O_3[BHI],,-1) - _xlfn.XLOOKUP(G366,[1]!O_3[BLO],[1]!O_3[BLO],,-1)))
*
( G366 - _xlfn.XLOOKUP(G366,[1]!O_3[BLO],[1]!O_3[BLO],,-1))
+
_xlfn.XLOOKUP(G366,[1]!O_3[BLO],[1]!O_3[ILO],,-1)</f>
        <v>26</v>
      </c>
      <c r="N366">
        <f>MAX(DAILY_DATA[[#This Row],[AQI_PM2.5]:[AQI_O3]])</f>
        <v>66</v>
      </c>
      <c r="O366" t="str">
        <f>_xlfn.XLOOKUP(DAILY_DATA[[#This Row],[OVERALL_AQI]],[1]!CATEGORY[AQI_LO],[1]!CATEGORY[CATEGORY],,-1)</f>
        <v>Satisfactory</v>
      </c>
      <c r="P366" t="str" cm="1">
        <f t="array" ref="P366">INDEX(
{"PM2.5","PM10","NO2","SO2","CO","O3"},
MATCH(N366,H366:M366,0)
)</f>
        <v>PM10</v>
      </c>
    </row>
    <row r="367" spans="1:16" x14ac:dyDescent="0.25">
      <c r="A367" s="4">
        <v>45657</v>
      </c>
      <c r="B367">
        <f>ROUND(AVERAGEIFS([1]HOURLY_DATA!B367:B9150,[1]HOURLY_DATA!H367:H9150,Daily_AQI!A367),0)</f>
        <v>31</v>
      </c>
      <c r="C367">
        <f>ROUND(AVERAGEIFS([1]HOURLY_DATA!C367:C9150,[1]HOURLY_DATA!H367:H9150,Daily_AQI!A367),0)</f>
        <v>66</v>
      </c>
      <c r="D367">
        <f>ROUND(AVERAGEIFS([1]HOURLY_DATA!D367:D9150,[1]HOURLY_DATA!H367:H9150,Daily_AQI!A367),0)</f>
        <v>22</v>
      </c>
      <c r="E367">
        <f>ROUND(AVERAGEIFS([1]HOURLY_DATA!E367:E9150,[1]HOURLY_DATA!H367:H9150,Daily_AQI!A367),0)</f>
        <v>10</v>
      </c>
      <c r="F367">
        <f>ROUND(AVERAGEIFS([1]HOURLY_DATA!I367:I9150,[1]HOURLY_DATA!H367:H9150,Daily_AQI!A367),2)</f>
        <v>0.68</v>
      </c>
      <c r="G367">
        <f>ROUND(AVERAGEIFS([1]HOURLY_DATA!J367:J9150,[1]HOURLY_DATA!H367:H9150,Daily_AQI!A367),0)</f>
        <v>26</v>
      </c>
      <c r="H367">
        <f>ROUND(((_xlfn.XLOOKUP(B367,[1]!PM2.5[BLO],[1]!PM2.5[IHI],,-1) - _xlfn.XLOOKUP(B367,[1]!PM2.5[BLO],[1]!PM2.5[ILO],,-1))
/
(_xlfn.XLOOKUP(B367,[1]!PM2.5[BLO],[1]!PM2.5[BHI],,-1) - _xlfn.XLOOKUP(B367,[1]!PM2.5[BLO],[1]!PM2.5[BLO],,-1)))
*
(B367 - _xlfn.XLOOKUP(B367,[1]!PM2.5[BLO],[1]!PM2.5[BLO],,-1))
+
_xlfn.XLOOKUP(B367,[1]!PM2.5[BLO],[1]!PM2.5[ILO],,-1),2)</f>
        <v>51</v>
      </c>
      <c r="I367">
        <f>ROUND(((_xlfn.XLOOKUP(C367,[1]!PM_10[BLO],[1]!PM_10[IHI],,-1) - _xlfn.XLOOKUP(C367,[1]!PM_10[BLO],[1]!PM_10[ILO],,-1))
/
(_xlfn.XLOOKUP(C367,[1]!PM_10[BLO],[1]!PM_10[BHI],,-1) - _xlfn.XLOOKUP(C367,[1]!PM_10[BLO],[1]!PM_10[BLO],,-1)))
*
( C367 - _xlfn.XLOOKUP(C367,[1]!PM_10[BLO],[1]!PM_10[BLO],,-1))
+
_xlfn.XLOOKUP(C367,[1]!PM_10[BLO],[1]!PM_10[ILO],,-1),2)</f>
        <v>66</v>
      </c>
      <c r="J367">
        <f>ROUND((( _xlfn.XLOOKUP(D367,[1]!NO_2[BLO],[1]!NO_2[IHI],,-1) - _xlfn.XLOOKUP(D367,[1]!NO_2[BLO],[1]!NO_2[ILO],,-1))
/
( _xlfn.XLOOKUP(D367,[1]!NO_2[BLO],[1]!NO_2[BHI],,-1) - _xlfn.XLOOKUP(D367,[1]!NO_2[BLO],[1]!NO_2[BLO],,-1) ))
*
( D367 - _xlfn.XLOOKUP(D367,[1]!NO_2[BLO],[1]!NO_2[BLO],,-1))
+
_xlfn.XLOOKUP(D367,[1]!NO_2[BLO],[1]!NO_2[ILO],,-1),2)</f>
        <v>27.5</v>
      </c>
      <c r="K367">
        <f>ROUND(( ( _xlfn.XLOOKUP(E367,[1]!SO_2[BLO],[1]!SO_2[IHI],,-1)  - _xlfn.XLOOKUP(E367,[1]!SO_2[BLO],[1]!SO_2[ILO],,-1) )
/
( _xlfn.XLOOKUP(E367,[1]!SO_2[BLO],[1]!SO_2[BHI],,-1)- _xlfn.XLOOKUP(E367,[1]!SO_2[BLO],[1]!SO_2[BLO],,-1) ))
*
( E367 - _xlfn.XLOOKUP(E367,[1]!SO_2[BLO],[1]!SO_2[BLO],,-1) )
+
_xlfn.XLOOKUP(E367,[1]!SO_2[BLO],[1]!SO_2[ILO],,-1),2)</f>
        <v>12.5</v>
      </c>
      <c r="L367">
        <f>( ( _xlfn.XLOOKUP(F367,[1]!CO[BLO],[1]!CO[IHI],,-1)
- _xlfn.XLOOKUP(F367,[1]!CO[BLO],[1]!CO[ILO],,-1) )
/
( _xlfn.XLOOKUP(F367,[1]!CO[BLO],[1]!CO[BHI],,-1) - _xlfn.XLOOKUP(F367,[1]!CO[BLO],[1]!CO[BLO],,-1)))
*
( F367 - _xlfn.XLOOKUP(F367,[1]!CO[BLO],[1]!CO[BLO],,-1) )
+
_xlfn.XLOOKUP(F367,[1]!CO[BLO],[1]!CO[ILO],,-1)</f>
        <v>34</v>
      </c>
      <c r="M367">
        <f>(( _xlfn.XLOOKUP(G367,[1]!O_3[BLO],[1]!O_3[IHI],,-1) - _xlfn.XLOOKUP(G367,[1]!O_3[BLO],[1]!O_3[ILO],,-1))
/
( _xlfn.XLOOKUP(G367,[1]!O_3[BLO],[1]!O_3[BHI],,-1) - _xlfn.XLOOKUP(G367,[1]!O_3[BLO],[1]!O_3[BLO],,-1)))
*
( G367 - _xlfn.XLOOKUP(G367,[1]!O_3[BLO],[1]!O_3[BLO],,-1))
+
_xlfn.XLOOKUP(G367,[1]!O_3[BLO],[1]!O_3[ILO],,-1)</f>
        <v>26</v>
      </c>
      <c r="N367">
        <f>MAX(DAILY_DATA[[#This Row],[AQI_PM2.5]:[AQI_O3]])</f>
        <v>66</v>
      </c>
      <c r="O367" t="str">
        <f>_xlfn.XLOOKUP(DAILY_DATA[[#This Row],[OVERALL_AQI]],[1]!CATEGORY[AQI_LO],[1]!CATEGORY[CATEGORY],,-1)</f>
        <v>Satisfactory</v>
      </c>
      <c r="P367" t="str" cm="1">
        <f t="array" ref="P367">INDEX(
{"PM2.5","PM10","NO2","SO2","CO","O3"},
MATCH(N367,H367:M367,0)
)</f>
        <v>PM10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Daily_AQI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Raj</dc:creator>
  <cp:lastModifiedBy>Venkat Raj</cp:lastModifiedBy>
  <dcterms:created xsi:type="dcterms:W3CDTF">2025-12-20T11:21:00Z</dcterms:created>
  <dcterms:modified xsi:type="dcterms:W3CDTF">2025-12-20T11:23:38Z</dcterms:modified>
</cp:coreProperties>
</file>