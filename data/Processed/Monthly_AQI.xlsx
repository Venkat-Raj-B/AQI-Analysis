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l\Desktop\EXCEL\AQI-Analysis\Data\Processed\"/>
    </mc:Choice>
  </mc:AlternateContent>
  <xr:revisionPtr revIDLastSave="0" documentId="13_ncr:1_{CB2A44FA-C925-409C-9892-5DA8DAE5ABD6}" xr6:coauthVersionLast="47" xr6:coauthVersionMax="47" xr10:uidLastSave="{00000000-0000-0000-0000-000000000000}"/>
  <bookViews>
    <workbookView xWindow="-120" yWindow="-120" windowWidth="29040" windowHeight="15720" xr2:uid="{C25F6D29-B109-4DA9-80F0-661B35D41685}"/>
  </bookViews>
  <sheets>
    <sheet name="Monthly_AQI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N13" i="2" s="1"/>
  <c r="A13" i="2"/>
  <c r="G13" i="2" s="1"/>
  <c r="M13" i="2" s="1"/>
  <c r="A12" i="2"/>
  <c r="F12" i="2" s="1"/>
  <c r="L12" i="2" s="1"/>
  <c r="H11" i="2"/>
  <c r="N11" i="2" s="1"/>
  <c r="F11" i="2"/>
  <c r="L11" i="2" s="1"/>
  <c r="A11" i="2"/>
  <c r="G11" i="2" s="1"/>
  <c r="M11" i="2" s="1"/>
  <c r="A10" i="2"/>
  <c r="H10" i="2" s="1"/>
  <c r="N10" i="2" s="1"/>
  <c r="A9" i="2"/>
  <c r="G9" i="2" s="1"/>
  <c r="M9" i="2" s="1"/>
  <c r="A8" i="2"/>
  <c r="H8" i="2" s="1"/>
  <c r="N8" i="2" s="1"/>
  <c r="H7" i="2"/>
  <c r="N7" i="2" s="1"/>
  <c r="F7" i="2"/>
  <c r="L7" i="2" s="1"/>
  <c r="A7" i="2"/>
  <c r="G7" i="2" s="1"/>
  <c r="M7" i="2" s="1"/>
  <c r="A6" i="2"/>
  <c r="I6" i="2" s="1"/>
  <c r="O6" i="2" s="1"/>
  <c r="H5" i="2"/>
  <c r="N5" i="2" s="1"/>
  <c r="F5" i="2"/>
  <c r="L5" i="2" s="1"/>
  <c r="A5" i="2"/>
  <c r="G5" i="2" s="1"/>
  <c r="M5" i="2" s="1"/>
  <c r="A4" i="2"/>
  <c r="H4" i="2" s="1"/>
  <c r="N4" i="2" s="1"/>
  <c r="H3" i="2"/>
  <c r="N3" i="2" s="1"/>
  <c r="F3" i="2"/>
  <c r="L3" i="2" s="1"/>
  <c r="A3" i="2"/>
  <c r="G3" i="2" s="1"/>
  <c r="M3" i="2" s="1"/>
  <c r="A2" i="2"/>
  <c r="H2" i="2" s="1"/>
  <c r="N2" i="2" s="1"/>
  <c r="C2" i="2" l="1"/>
  <c r="I3" i="2"/>
  <c r="O3" i="2" s="1"/>
  <c r="C6" i="2"/>
  <c r="I7" i="2"/>
  <c r="O7" i="2" s="1"/>
  <c r="I9" i="2"/>
  <c r="O9" i="2" s="1"/>
  <c r="C12" i="2"/>
  <c r="I13" i="2"/>
  <c r="O13" i="2" s="1"/>
  <c r="D2" i="2"/>
  <c r="J2" i="2" s="1"/>
  <c r="D4" i="2"/>
  <c r="J4" i="2" s="1"/>
  <c r="D6" i="2"/>
  <c r="J6" i="2" s="1"/>
  <c r="D8" i="2"/>
  <c r="J8" i="2" s="1"/>
  <c r="D10" i="2"/>
  <c r="J10" i="2" s="1"/>
  <c r="D12" i="2"/>
  <c r="J12" i="2" s="1"/>
  <c r="C4" i="2"/>
  <c r="I5" i="2"/>
  <c r="O5" i="2" s="1"/>
  <c r="C8" i="2"/>
  <c r="C10" i="2"/>
  <c r="I11" i="2"/>
  <c r="O11" i="2" s="1"/>
  <c r="E2" i="2"/>
  <c r="K2" i="2" s="1"/>
  <c r="E4" i="2"/>
  <c r="K4" i="2" s="1"/>
  <c r="E6" i="2"/>
  <c r="K6" i="2" s="1"/>
  <c r="E8" i="2"/>
  <c r="K8" i="2" s="1"/>
  <c r="E10" i="2"/>
  <c r="K10" i="2" s="1"/>
  <c r="E12" i="2"/>
  <c r="K12" i="2" s="1"/>
  <c r="F9" i="2"/>
  <c r="L9" i="2" s="1"/>
  <c r="H9" i="2"/>
  <c r="N9" i="2" s="1"/>
  <c r="F2" i="2"/>
  <c r="L2" i="2" s="1"/>
  <c r="F4" i="2"/>
  <c r="L4" i="2" s="1"/>
  <c r="G2" i="2"/>
  <c r="M2" i="2" s="1"/>
  <c r="G4" i="2"/>
  <c r="M4" i="2" s="1"/>
  <c r="G6" i="2"/>
  <c r="M6" i="2" s="1"/>
  <c r="G8" i="2"/>
  <c r="M8" i="2" s="1"/>
  <c r="G10" i="2"/>
  <c r="M10" i="2" s="1"/>
  <c r="G12" i="2"/>
  <c r="M12" i="2" s="1"/>
  <c r="F6" i="2"/>
  <c r="L6" i="2" s="1"/>
  <c r="F8" i="2"/>
  <c r="L8" i="2" s="1"/>
  <c r="F10" i="2"/>
  <c r="L10" i="2" s="1"/>
  <c r="H6" i="2"/>
  <c r="N6" i="2" s="1"/>
  <c r="H12" i="2"/>
  <c r="N12" i="2" s="1"/>
  <c r="I2" i="2"/>
  <c r="O2" i="2" s="1"/>
  <c r="C3" i="2"/>
  <c r="I4" i="2"/>
  <c r="O4" i="2" s="1"/>
  <c r="C5" i="2"/>
  <c r="C7" i="2"/>
  <c r="I8" i="2"/>
  <c r="O8" i="2" s="1"/>
  <c r="C9" i="2"/>
  <c r="I10" i="2"/>
  <c r="O10" i="2" s="1"/>
  <c r="C11" i="2"/>
  <c r="I12" i="2"/>
  <c r="O12" i="2" s="1"/>
  <c r="C13" i="2"/>
  <c r="D3" i="2"/>
  <c r="J3" i="2" s="1"/>
  <c r="P3" i="2" s="1"/>
  <c r="D5" i="2"/>
  <c r="J5" i="2" s="1"/>
  <c r="D9" i="2"/>
  <c r="J9" i="2" s="1"/>
  <c r="D11" i="2"/>
  <c r="J11" i="2" s="1"/>
  <c r="P11" i="2" s="1"/>
  <c r="D13" i="2"/>
  <c r="J13" i="2" s="1"/>
  <c r="D7" i="2"/>
  <c r="J7" i="2" s="1"/>
  <c r="E3" i="2"/>
  <c r="K3" i="2" s="1"/>
  <c r="E5" i="2"/>
  <c r="K5" i="2" s="1"/>
  <c r="E7" i="2"/>
  <c r="K7" i="2" s="1"/>
  <c r="E9" i="2"/>
  <c r="K9" i="2" s="1"/>
  <c r="E11" i="2"/>
  <c r="K11" i="2" s="1"/>
  <c r="E13" i="2"/>
  <c r="K13" i="2" s="1"/>
  <c r="F13" i="2"/>
  <c r="L13" i="2" s="1"/>
  <c r="P10" i="2" l="1"/>
  <c r="P8" i="2"/>
  <c r="P6" i="2"/>
  <c r="R11" i="2" a="1"/>
  <c r="R11" i="2" s="1"/>
  <c r="Q11" i="2"/>
  <c r="P4" i="2"/>
  <c r="P7" i="2"/>
  <c r="P2" i="2"/>
  <c r="P13" i="2"/>
  <c r="P9" i="2"/>
  <c r="P5" i="2"/>
  <c r="Q3" i="2"/>
  <c r="R3" i="2" a="1"/>
  <c r="R3" i="2" s="1"/>
  <c r="P12" i="2"/>
  <c r="Q9" i="2" l="1"/>
  <c r="R9" i="2" a="1"/>
  <c r="R9" i="2" s="1"/>
  <c r="R13" i="2" a="1"/>
  <c r="R13" i="2" s="1"/>
  <c r="Q13" i="2"/>
  <c r="R2" i="2" a="1"/>
  <c r="R2" i="2" s="1"/>
  <c r="Q2" i="2"/>
  <c r="Q7" i="2"/>
  <c r="R7" i="2" a="1"/>
  <c r="R7" i="2" s="1"/>
  <c r="R4" i="2" a="1"/>
  <c r="R4" i="2" s="1"/>
  <c r="Q4" i="2"/>
  <c r="Q5" i="2"/>
  <c r="R5" i="2" a="1"/>
  <c r="R5" i="2" s="1"/>
  <c r="R6" i="2" a="1"/>
  <c r="R6" i="2" s="1"/>
  <c r="Q6" i="2"/>
  <c r="R12" i="2" a="1"/>
  <c r="R12" i="2" s="1"/>
  <c r="Q12" i="2"/>
  <c r="R8" i="2" a="1"/>
  <c r="R8" i="2" s="1"/>
  <c r="Q8" i="2"/>
  <c r="R10" i="2" a="1"/>
  <c r="R10" i="2" s="1"/>
  <c r="Q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<sst xmlns="http://schemas.openxmlformats.org/spreadsheetml/2006/main" count="18" uniqueCount="18">
  <si>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YEAR</t>
  </si>
  <si>
    <t>MONTH_NO</t>
  </si>
  <si>
    <t>MONTH_NAME</t>
  </si>
  <si>
    <t>PM2.5</t>
  </si>
  <si>
    <t>PM10</t>
  </si>
  <si>
    <t>NO2</t>
  </si>
  <si>
    <t>SO2</t>
  </si>
  <si>
    <t>CO</t>
  </si>
  <si>
    <t>Ozone</t>
  </si>
  <si>
    <t>AQI_PM2.5</t>
  </si>
  <si>
    <t>AQI_PM10</t>
  </si>
  <si>
    <t>AQI_NO2</t>
  </si>
  <si>
    <t>AQI_SO2</t>
  </si>
  <si>
    <t>AQI_CO</t>
  </si>
  <si>
    <t>AQI_O3</t>
  </si>
  <si>
    <t>OVERALL_AQI</t>
  </si>
  <si>
    <t>CATEGORY</t>
  </si>
  <si>
    <t>DOMINAN_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</si>
</sst>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l\Desktop\EXCEL\AQI.xlsx" TargetMode="External"/><Relationship Id="rId1" Type="http://schemas.openxmlformats.org/officeDocument/2006/relationships/externalLinkPath" Target="/Users/scl/Desktop/EXCEL/AQ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URLY_DATA"/>
      <sheetName val="DAILY_DATA"/>
      <sheetName val="CALCULATIONS"/>
      <sheetName val="WORST_AQI"/>
      <sheetName val="BREAKPOINT"/>
      <sheetName val="MONTHLY_DATA"/>
      <sheetName val="GRAPH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D273D4-3E03-4DAF-B1A2-A07712D750FF}" name="MONTHLY_DATA9" displayName="MONTHLY_DATA9" ref="A1:R13" totalsRowShown="0" headerRowDxfId="8">
  <autoFilter ref="A1:R13" xr:uid="{171B165C-7C3D-43BF-905F-6DCF54D6269E}"/>
  <tableColumns count="18">
    <tableColumn id="1" xr3:uid="{5A6A5E7F-4445-4DD2-99B7-239E99CD7E36}" name="YEAR">
      <calculatedColumnFormula>YEAR([1]!DAILY_DATA[[#This Row],[DATE]])</calculatedColumnFormula>
    </tableColumn>
    <tableColumn id="2" xr3:uid="{612907A1-066B-4280-826A-17996D1A3994}" name="MONTH_NO"/>
    <tableColumn id="3" xr3:uid="{8FD8138C-6306-43E1-A868-C6103C899798}" name="MONTH_NAME">
      <calculatedColumnFormula>TEXT(DATE(A2,B2,1),"MMM")</calculatedColumnFormula>
    </tableColumn>
    <tableColumn id="4" xr3:uid="{C4F5055B-3FDC-4E92-80C0-E229815640B3}" name="PM2.5">
      <calculatedColumnFormula>AVERAGEIFS(
[1]!DAILY_DATA[PM2.5],
[1]!DAILY_DATA[DATE],
"&gt;="&amp;DATE(A2,B2,1),
[1]!DAILY_DATA[DATE],
"&lt;"&amp;EOMONTH(DATE(A2,B2,1),0)+1
)</calculatedColumnFormula>
    </tableColumn>
    <tableColumn id="5" xr3:uid="{08E81198-C1E6-4906-BC88-9194265602D3}" name="PM10">
      <calculatedColumnFormula>AVERAGEIFS(
[1]!DAILY_DATA[PM10],
[1]!DAILY_DATA[DATE],
"&gt;="&amp;DATE(A2,B2,1),
[1]!DAILY_DATA[DATE],
"&lt;"&amp;EOMONTH(DATE(A2,B2,1),0)+1
)</calculatedColumnFormula>
    </tableColumn>
    <tableColumn id="6" xr3:uid="{D4414A3B-20F2-4EFD-BB1A-033A72F9D6A2}" name="NO2">
      <calculatedColumnFormula>AVERAGEIFS(
[1]!DAILY_DATA[NO2],
[1]!DAILY_DATA[DATE],
"&gt;="&amp;DATE(A2,B2,1),
[1]!DAILY_DATA[DATE],
"&lt;"&amp;EOMONTH(DATE(A2,B2,1),0)+1
)</calculatedColumnFormula>
    </tableColumn>
    <tableColumn id="7" xr3:uid="{3AAD8B89-8A07-4B51-8B57-352620DE278E}" name="SO2">
      <calculatedColumnFormula>AVERAGEIFS(
[1]!DAILY_DATA[SO2],
[1]!DAILY_DATA[DATE],
"&gt;="&amp;DATE(A2,B2,1),
[1]!DAILY_DATA[DATE],
"&lt;"&amp;EOMONTH(DATE(A2,B2,1),0)+1
)</calculatedColumnFormula>
    </tableColumn>
    <tableColumn id="8" xr3:uid="{B2622696-3D39-48EB-B2FE-F5C9DDC8BEDD}" name="CO">
      <calculatedColumnFormula>AVERAGEIFS(
[1]!DAILY_DATA[CO],
[1]!DAILY_DATA[DATE],
"&gt;="&amp;DATE(A2,B2,1),
[1]!DAILY_DATA[DATE],
"&lt;"&amp;EOMONTH(DATE(A2,B2,1),0)+1
)</calculatedColumnFormula>
    </tableColumn>
    <tableColumn id="9" xr3:uid="{2CBBD038-B2B4-48F1-BDF9-9B0305E2ECC6}" name="Ozone">
      <calculatedColumnFormula>AVERAGEIFS(
[1]!DAILY_DATA[Ozone],
[1]!DAILY_DATA[DATE],
"&gt;="&amp;DATE(A2,B2,1),
[1]!DAILY_DATA[DATE],
"&lt;"&amp;EOMONTH(DATE(A2,B2,1),0)+1
)</calculatedColumnFormula>
    </tableColumn>
    <tableColumn id="10" xr3:uid="{7097380E-F07D-432F-A456-C1928ED19393}" name="AQI_PM2.5">
      <calculatedColumnFormula>ROUND(((_xlfn.XLOOKUP(D2,[1]!PM2.5[BLO],[1]!PM2.5[IHI],,-1) - _xlfn.XLOOKUP(D2,[1]!PM2.5[BLO],[1]!PM2.5[ILO],,-1))
/
(_xlfn.XLOOKUP(D2,[1]!PM2.5[BLO],[1]!PM2.5[BHI],,-1) - _xlfn.XLOOKUP(D2,[1]!PM2.5[BLO],[1]!PM2.5[BLO],,-1)))
*
(D2 - _xlfn.XLOOKUP(D2,[1]!PM2.5[BLO],[1]!PM2.5[BLO],,-1))
+
_xlfn.XLOOKUP(D2,[1]!PM2.5[BLO],[1]!PM2.5[ILO],,-1),2)</calculatedColumnFormula>
    </tableColumn>
    <tableColumn id="11" xr3:uid="{E5AE1C4E-55DA-43A4-806B-3E1D5B256790}" name="AQI_PM10" dataDxfId="7">
      <calculatedColumnFormula>ROUND(((_xlfn.XLOOKUP(E2,[1]!PM_10[BLO],[1]!PM_10[IHI],,-1) - _xlfn.XLOOKUP(E2,[1]!PM_10[BLO],[1]!PM_10[ILO],,-1))
/
(_xlfn.XLOOKUP(E2,[1]!PM_10[BLO],[1]!PM_10[BHI],,-1) - _xlfn.XLOOKUP(E2,[1]!PM_10[BLO],[1]!PM_10[BLO],,-1)))
*
( E2 - _xlfn.XLOOKUP(E2,[1]!PM_10[BLO],[1]!PM_10[BLO],,-1))
+
_xlfn.XLOOKUP(E2,[1]!PM_10[BLO],[1]!PM_10[ILO],,-1),2)</calculatedColumnFormula>
    </tableColumn>
    <tableColumn id="12" xr3:uid="{97ABB0FE-2424-4D70-B423-3DEAF499400C}" name="AQI_NO2" dataDxfId="6">
      <calculatedColumnFormula>ROUND((( _xlfn.XLOOKUP(F2,[1]!NO_2[BLO],[1]!NO_2[IHI],,-1) - _xlfn.XLOOKUP(F2,[1]!NO_2[BLO],[1]!NO_2[ILO],,-1))
/
( _xlfn.XLOOKUP(F2,[1]!NO_2[BLO],[1]!NO_2[BHI],,-1) - _xlfn.XLOOKUP(F2,[1]!NO_2[BLO],[1]!NO_2[BLO],,-1) ))
*
( F2 - _xlfn.XLOOKUP(F2,[1]!NO_2[BLO],[1]!NO_2[BLO],,-1))
+
_xlfn.XLOOKUP(F2,[1]!NO_2[BLO],[1]!NO_2[ILO],,-1),2)</calculatedColumnFormula>
    </tableColumn>
    <tableColumn id="13" xr3:uid="{49D451F5-5001-45DF-B839-EEC9925EA16F}" name="AQI_SO2" dataDxfId="5">
      <calculatedColumnFormula>ROUND(( ( _xlfn.XLOOKUP(G2,[1]!SO_2[BLO],[1]!SO_2[IHI],,-1)  - _xlfn.XLOOKUP(G2,[1]!SO_2[BLO],[1]!SO_2[ILO],,-1) )
/
( _xlfn.XLOOKUP(G2,[1]!SO_2[BLO],[1]!SO_2[BHI],,-1)- _xlfn.XLOOKUP(G2,[1]!SO_2[BLO],[1]!SO_2[BLO],,-1) ))
*
( G2 - _xlfn.XLOOKUP(G2,[1]!SO_2[BLO],[1]!SO_2[BLO],,-1) )
+
_xlfn.XLOOKUP(G2,[1]!SO_2[BLO],[1]!SO_2[ILO],,-1),2)</calculatedColumnFormula>
    </tableColumn>
    <tableColumn id="14" xr3:uid="{3691BA9E-84E0-4AE7-B0F9-BA5B821D4BD0}" name="AQI_CO" dataDxfId="4">
      <calculatedColumnFormula>ROUND(( ( _xlfn.XLOOKUP(H2,[1]!CO[BLO],[1]!CO[IHI],,-1)
- _xlfn.XLOOKUP(H2,[1]!CO[BLO],[1]!CO[ILO],,-1) )
/
( _xlfn.XLOOKUP(H2,[1]!CO[BLO],[1]!CO[BHI],,-1) - _xlfn.XLOOKUP(H2,[1]!CO[BLO],[1]!CO[BLO],,-1)))
*
( H2 - _xlfn.XLOOKUP(H2,[1]!CO[BLO],[1]!CO[BLO],,-1) )
+
_xlfn.XLOOKUP(H2,[1]!CO[BLO],[1]!CO[ILO],,-1),2)</calculatedColumnFormula>
    </tableColumn>
    <tableColumn id="15" xr3:uid="{01E8B123-CFAD-4196-BA01-4520095C48F9}" name="AQI_O3" dataDxfId="3">
      <calculatedColumnFormula>ROUND((( _xlfn.XLOOKUP(I2,[1]!O_3[BLO],[1]!O_3[IHI],,-1) - _xlfn.XLOOKUP(I2,[1]!O_3[BLO],[1]!O_3[ILO],,-1))
/
( _xlfn.XLOOKUP(I2,[1]!O_3[BLO],[1]!O_3[BHI],,-1) - _xlfn.XLOOKUP(I2,[1]!O_3[BLO],[1]!O_3[BLO],,-1)))
*
( I2 - _xlfn.XLOOKUP(I2,[1]!O_3[BLO],[1]!O_3[BLO],,-1))
+
_xlfn.XLOOKUP(I2,[1]!O_3[BLO],[1]!O_3[ILO],,-1),2)</calculatedColumnFormula>
    </tableColumn>
    <tableColumn id="16" xr3:uid="{342B6FBF-89AD-4A8D-8728-85798D4157A7}" name="OVERALL_AQI" dataDxfId="2">
      <calculatedColumnFormula>MAX(MONTHLY_DATA9[[#This Row],[AQI_PM2.5]:[AQI_O3]])</calculatedColumnFormula>
    </tableColumn>
    <tableColumn id="17" xr3:uid="{2F46E417-CB2E-4EB6-825A-08CF13A1F463}" name="CATEGORY" dataDxfId="1">
      <calculatedColumnFormula>_xlfn.XLOOKUP(MONTHLY_DATA9[[#This Row],[OVERALL_AQI]],[1]!CATEGORY[AQI_LO],[1]!CATEGORY[CATEGORY],,-1)</calculatedColumnFormula>
    </tableColumn>
    <tableColumn id="18" xr3:uid="{0AA2D3A8-2A04-4C08-B0D9-7CCC4CEDE615}" name="DOMINAN_ POLLUTANT" dataDxfId="0">
      <calculatedColumnFormula array="1">INDEX(
{"PM2.5","PM10","NO2","SO2","CO","O3"},
MATCH(MONTHLY_DATA9[[#This Row],[OVERALL_AQI]],MONTHLY_DATA9[[#This Row],[AQI_PM2.5]:[AQI_O3]],0)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F631-CF64-4BDB-8D09-3DA882FB53E9}">
  <dimension ref="A1:R13"/>
  <sheetViews>
    <sheetView tabSelected="1" zoomScale="160" zoomScaleNormal="160" workbookViewId="0">
      <selection activeCell="G9" sqref="G9"/>
    </sheetView>
  </sheetViews>
  <sheetFormatPr defaultRowHeight="15" x14ac:dyDescent="0.25"/>
  <cols>
    <col min="2" max="2" width="11.85546875" customWidth="1"/>
    <col min="3" max="3" width="14.28515625" customWidth="1"/>
    <col min="10" max="10" width="11.140625" customWidth="1"/>
    <col min="11" max="11" width="10.5703125" customWidth="1"/>
    <col min="12" max="12" width="9.5703125" customWidth="1"/>
    <col min="13" max="13" width="9.28515625" customWidth="1"/>
    <col min="16" max="16" width="13.7109375" customWidth="1"/>
    <col min="17" max="17" width="11.28515625" customWidth="1"/>
    <col min="18" max="18" width="21.7109375" customWidth="1"/>
  </cols>
  <sheetData>
    <row r="1" spans="1:1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4" t="s">
        <v>17</v>
      </c>
    </row>
    <row r="2" spans="1:18" x14ac:dyDescent="0.25">
      <c r="A2">
        <f>YEAR([1]!DAILY_DATA[[#This Row],[DATE]])</f>
        <v>2024</v>
      </c>
      <c r="B2">
        <v>1</v>
      </c>
      <c r="C2" t="str">
        <f t="shared" ref="C2:C13" si="0">TEXT(DATE(A2,B2,1),"MMM")</f>
        <v>Jan</v>
      </c>
      <c r="D2">
        <f>AVERAGEIFS(
[1]!DAILY_DATA[PM2.5],
[1]!DAILY_DATA[DATE],
"&gt;="&amp;DATE(A2,B2,1),
[1]!DAILY_DATA[DATE],
"&lt;"&amp;EOMONTH(DATE(A2,B2,1),0)+1
)</f>
        <v>46.161290322580648</v>
      </c>
      <c r="E2">
        <f>AVERAGEIFS(
[1]!DAILY_DATA[PM10],
[1]!DAILY_DATA[DATE],
"&gt;="&amp;DATE(A2,B2,1),
[1]!DAILY_DATA[DATE],
"&lt;"&amp;EOMONTH(DATE(A2,B2,1),0)+1
)</f>
        <v>98.741935483870961</v>
      </c>
      <c r="F2">
        <f>AVERAGEIFS(
[1]!DAILY_DATA[NO2],
[1]!DAILY_DATA[DATE],
"&gt;="&amp;DATE(A2,B2,1),
[1]!DAILY_DATA[DATE],
"&lt;"&amp;EOMONTH(DATE(A2,B2,1),0)+1
)</f>
        <v>18.06451612903226</v>
      </c>
      <c r="G2">
        <f>AVERAGEIFS(
[1]!DAILY_DATA[SO2],
[1]!DAILY_DATA[DATE],
"&gt;="&amp;DATE(A2,B2,1),
[1]!DAILY_DATA[DATE],
"&lt;"&amp;EOMONTH(DATE(A2,B2,1),0)+1
)</f>
        <v>8</v>
      </c>
      <c r="H2">
        <f>AVERAGEIFS(
[1]!DAILY_DATA[CO],
[1]!DAILY_DATA[DATE],
"&gt;="&amp;DATE(A2,B2,1),
[1]!DAILY_DATA[DATE],
"&lt;"&amp;EOMONTH(DATE(A2,B2,1),0)+1
)</f>
        <v>0.69806451612903231</v>
      </c>
      <c r="I2">
        <f>AVERAGEIFS(
[1]!DAILY_DATA[Ozone],
[1]!DAILY_DATA[DATE],
"&gt;="&amp;DATE(A2,B2,1),
[1]!DAILY_DATA[DATE],
"&lt;"&amp;EOMONTH(DATE(A2,B2,1),0)+1
)</f>
        <v>31.70967741935484</v>
      </c>
      <c r="J2">
        <f>ROUND(((_xlfn.XLOOKUP(D2,[1]!PM2.5[BLO],[1]!PM2.5[IHI],,-1) - _xlfn.XLOOKUP(D2,[1]!PM2.5[BLO],[1]!PM2.5[ILO],,-1))
/
(_xlfn.XLOOKUP(D2,[1]!PM2.5[BLO],[1]!PM2.5[BHI],,-1) - _xlfn.XLOOKUP(D2,[1]!PM2.5[BLO],[1]!PM2.5[BLO],,-1)))
*
(D2 - _xlfn.XLOOKUP(D2,[1]!PM2.5[BLO],[1]!PM2.5[BLO],,-1))
+
_xlfn.XLOOKUP(D2,[1]!PM2.5[BLO],[1]!PM2.5[ILO],,-1),2)</f>
        <v>76.62</v>
      </c>
      <c r="K2">
        <f>ROUND(((_xlfn.XLOOKUP(E2,[1]!PM_10[BLO],[1]!PM_10[IHI],,-1) - _xlfn.XLOOKUP(E2,[1]!PM_10[BLO],[1]!PM_10[ILO],,-1))
/
(_xlfn.XLOOKUP(E2,[1]!PM_10[BLO],[1]!PM_10[BHI],,-1) - _xlfn.XLOOKUP(E2,[1]!PM_10[BLO],[1]!PM_10[BLO],,-1)))
*
( E2 - _xlfn.XLOOKUP(E2,[1]!PM_10[BLO],[1]!PM_10[BLO],,-1))
+
_xlfn.XLOOKUP(E2,[1]!PM_10[BLO],[1]!PM_10[ILO],,-1),2)</f>
        <v>98.74</v>
      </c>
      <c r="L2">
        <f>ROUND((( _xlfn.XLOOKUP(F2,[1]!NO_2[BLO],[1]!NO_2[IHI],,-1) - _xlfn.XLOOKUP(F2,[1]!NO_2[BLO],[1]!NO_2[ILO],,-1))
/
( _xlfn.XLOOKUP(F2,[1]!NO_2[BLO],[1]!NO_2[BHI],,-1) - _xlfn.XLOOKUP(F2,[1]!NO_2[BLO],[1]!NO_2[BLO],,-1) ))
*
( F2 - _xlfn.XLOOKUP(F2,[1]!NO_2[BLO],[1]!NO_2[BLO],,-1))
+
_xlfn.XLOOKUP(F2,[1]!NO_2[BLO],[1]!NO_2[ILO],,-1),2)</f>
        <v>22.58</v>
      </c>
      <c r="M2">
        <f>ROUND(( ( _xlfn.XLOOKUP(G2,[1]!SO_2[BLO],[1]!SO_2[IHI],,-1)  - _xlfn.XLOOKUP(G2,[1]!SO_2[BLO],[1]!SO_2[ILO],,-1) )
/
( _xlfn.XLOOKUP(G2,[1]!SO_2[BLO],[1]!SO_2[BHI],,-1)- _xlfn.XLOOKUP(G2,[1]!SO_2[BLO],[1]!SO_2[BLO],,-1) ))
*
( G2 - _xlfn.XLOOKUP(G2,[1]!SO_2[BLO],[1]!SO_2[BLO],,-1) )
+
_xlfn.XLOOKUP(G2,[1]!SO_2[BLO],[1]!SO_2[ILO],,-1),2)</f>
        <v>10</v>
      </c>
      <c r="N2">
        <f>ROUND(( ( _xlfn.XLOOKUP(H2,[1]!CO[BLO],[1]!CO[IHI],,-1)
- _xlfn.XLOOKUP(H2,[1]!CO[BLO],[1]!CO[ILO],,-1) )
/
( _xlfn.XLOOKUP(H2,[1]!CO[BLO],[1]!CO[BHI],,-1) - _xlfn.XLOOKUP(H2,[1]!CO[BLO],[1]!CO[BLO],,-1)))
*
( H2 - _xlfn.XLOOKUP(H2,[1]!CO[BLO],[1]!CO[BLO],,-1) )
+
_xlfn.XLOOKUP(H2,[1]!CO[BLO],[1]!CO[ILO],,-1),2)</f>
        <v>34.9</v>
      </c>
      <c r="O2">
        <f>ROUND((( _xlfn.XLOOKUP(I2,[1]!O_3[BLO],[1]!O_3[IHI],,-1) - _xlfn.XLOOKUP(I2,[1]!O_3[BLO],[1]!O_3[ILO],,-1))
/
( _xlfn.XLOOKUP(I2,[1]!O_3[BLO],[1]!O_3[BHI],,-1) - _xlfn.XLOOKUP(I2,[1]!O_3[BLO],[1]!O_3[BLO],,-1)))
*
( I2 - _xlfn.XLOOKUP(I2,[1]!O_3[BLO],[1]!O_3[BLO],,-1))
+
_xlfn.XLOOKUP(I2,[1]!O_3[BLO],[1]!O_3[ILO],,-1),2)</f>
        <v>31.71</v>
      </c>
      <c r="P2">
        <f>MAX(MONTHLY_DATA9[[#This Row],[AQI_PM2.5]:[AQI_O3]])</f>
        <v>98.74</v>
      </c>
      <c r="Q2" t="str">
        <f>_xlfn.XLOOKUP(MONTHLY_DATA9[[#This Row],[OVERALL_AQI]],[1]!CATEGORY[AQI_LO],[1]!CATEGORY[CATEGORY],,-1)</f>
        <v>Satisfactory</v>
      </c>
      <c r="R2" t="str" cm="1">
        <f t="array" ref="R2">INDEX(
{"PM2.5","PM10","NO2","SO2","CO","O3"},
MATCH(MONTHLY_DATA9[[#This Row],[OVERALL_AQI]],MONTHLY_DATA9[[#This Row],[AQI_PM2.5]:[AQI_O3]],0)
)</f>
        <v>PM10</v>
      </c>
    </row>
    <row r="3" spans="1:18" x14ac:dyDescent="0.25">
      <c r="A3">
        <f>YEAR([1]!DAILY_DATA[[#This Row],[DATE]])</f>
        <v>2024</v>
      </c>
      <c r="B3">
        <v>2</v>
      </c>
      <c r="C3" t="str">
        <f t="shared" si="0"/>
        <v>Feb</v>
      </c>
      <c r="D3">
        <f>AVERAGEIFS(
[1]!DAILY_DATA[PM2.5],
[1]!DAILY_DATA[DATE],
"&gt;="&amp;DATE(A3,B3,1),
[1]!DAILY_DATA[DATE],
"&lt;"&amp;EOMONTH(DATE(A3,B3,1),0)+1
)</f>
        <v>43.896551724137929</v>
      </c>
      <c r="E3">
        <f>AVERAGEIFS(
[1]!DAILY_DATA[PM10],
[1]!DAILY_DATA[DATE],
"&gt;="&amp;DATE(A3,B3,1),
[1]!DAILY_DATA[DATE],
"&lt;"&amp;EOMONTH(DATE(A3,B3,1),0)+1
)</f>
        <v>87.965517241379317</v>
      </c>
      <c r="F3">
        <f>AVERAGEIFS(
[1]!DAILY_DATA[NO2],
[1]!DAILY_DATA[DATE],
"&gt;="&amp;DATE(A3,B3,1),
[1]!DAILY_DATA[DATE],
"&lt;"&amp;EOMONTH(DATE(A3,B3,1),0)+1
)</f>
        <v>18.551724137931036</v>
      </c>
      <c r="G3">
        <f>AVERAGEIFS(
[1]!DAILY_DATA[SO2],
[1]!DAILY_DATA[DATE],
"&gt;="&amp;DATE(A3,B3,1),
[1]!DAILY_DATA[DATE],
"&lt;"&amp;EOMONTH(DATE(A3,B3,1),0)+1
)</f>
        <v>8.3793103448275854</v>
      </c>
      <c r="H3">
        <f>AVERAGEIFS(
[1]!DAILY_DATA[CO],
[1]!DAILY_DATA[DATE],
"&gt;="&amp;DATE(A3,B3,1),
[1]!DAILY_DATA[DATE],
"&lt;"&amp;EOMONTH(DATE(A3,B3,1),0)+1
)</f>
        <v>0.69655172413793109</v>
      </c>
      <c r="I3">
        <f>AVERAGEIFS(
[1]!DAILY_DATA[Ozone],
[1]!DAILY_DATA[DATE],
"&gt;="&amp;DATE(A3,B3,1),
[1]!DAILY_DATA[DATE],
"&lt;"&amp;EOMONTH(DATE(A3,B3,1),0)+1
)</f>
        <v>33.206896551724135</v>
      </c>
      <c r="J3">
        <f>ROUND(((_xlfn.XLOOKUP(D3,[1]!PM2.5[BLO],[1]!PM2.5[IHI],,-1) - _xlfn.XLOOKUP(D3,[1]!PM2.5[BLO],[1]!PM2.5[ILO],,-1))
/
(_xlfn.XLOOKUP(D3,[1]!PM2.5[BLO],[1]!PM2.5[BHI],,-1) - _xlfn.XLOOKUP(D3,[1]!PM2.5[BLO],[1]!PM2.5[BLO],,-1)))
*
(D3 - _xlfn.XLOOKUP(D3,[1]!PM2.5[BLO],[1]!PM2.5[BLO],,-1))
+
_xlfn.XLOOKUP(D3,[1]!PM2.5[BLO],[1]!PM2.5[ILO],,-1),2)</f>
        <v>72.790000000000006</v>
      </c>
      <c r="K3">
        <f>ROUND(((_xlfn.XLOOKUP(E3,[1]!PM_10[BLO],[1]!PM_10[IHI],,-1) - _xlfn.XLOOKUP(E3,[1]!PM_10[BLO],[1]!PM_10[ILO],,-1))
/
(_xlfn.XLOOKUP(E3,[1]!PM_10[BLO],[1]!PM_10[BHI],,-1) - _xlfn.XLOOKUP(E3,[1]!PM_10[BLO],[1]!PM_10[BLO],,-1)))
*
( E3 - _xlfn.XLOOKUP(E3,[1]!PM_10[BLO],[1]!PM_10[BLO],,-1))
+
_xlfn.XLOOKUP(E3,[1]!PM_10[BLO],[1]!PM_10[ILO],,-1),2)</f>
        <v>87.97</v>
      </c>
      <c r="L3">
        <f>ROUND((( _xlfn.XLOOKUP(F3,[1]!NO_2[BLO],[1]!NO_2[IHI],,-1) - _xlfn.XLOOKUP(F3,[1]!NO_2[BLO],[1]!NO_2[ILO],,-1))
/
( _xlfn.XLOOKUP(F3,[1]!NO_2[BLO],[1]!NO_2[BHI],,-1) - _xlfn.XLOOKUP(F3,[1]!NO_2[BLO],[1]!NO_2[BLO],,-1) ))
*
( F3 - _xlfn.XLOOKUP(F3,[1]!NO_2[BLO],[1]!NO_2[BLO],,-1))
+
_xlfn.XLOOKUP(F3,[1]!NO_2[BLO],[1]!NO_2[ILO],,-1),2)</f>
        <v>23.19</v>
      </c>
      <c r="M3">
        <f>ROUND(( ( _xlfn.XLOOKUP(G3,[1]!SO_2[BLO],[1]!SO_2[IHI],,-1)  - _xlfn.XLOOKUP(G3,[1]!SO_2[BLO],[1]!SO_2[ILO],,-1) )
/
( _xlfn.XLOOKUP(G3,[1]!SO_2[BLO],[1]!SO_2[BHI],,-1)- _xlfn.XLOOKUP(G3,[1]!SO_2[BLO],[1]!SO_2[BLO],,-1) ))
*
( G3 - _xlfn.XLOOKUP(G3,[1]!SO_2[BLO],[1]!SO_2[BLO],,-1) )
+
_xlfn.XLOOKUP(G3,[1]!SO_2[BLO],[1]!SO_2[ILO],,-1),2)</f>
        <v>10.47</v>
      </c>
      <c r="N3">
        <f>ROUND(( ( _xlfn.XLOOKUP(H3,[1]!CO[BLO],[1]!CO[IHI],,-1)
- _xlfn.XLOOKUP(H3,[1]!CO[BLO],[1]!CO[ILO],,-1) )
/
( _xlfn.XLOOKUP(H3,[1]!CO[BLO],[1]!CO[BHI],,-1) - _xlfn.XLOOKUP(H3,[1]!CO[BLO],[1]!CO[BLO],,-1)))
*
( H3 - _xlfn.XLOOKUP(H3,[1]!CO[BLO],[1]!CO[BLO],,-1) )
+
_xlfn.XLOOKUP(H3,[1]!CO[BLO],[1]!CO[ILO],,-1),2)</f>
        <v>34.83</v>
      </c>
      <c r="O3">
        <f>ROUND((( _xlfn.XLOOKUP(I3,[1]!O_3[BLO],[1]!O_3[IHI],,-1) - _xlfn.XLOOKUP(I3,[1]!O_3[BLO],[1]!O_3[ILO],,-1))
/
( _xlfn.XLOOKUP(I3,[1]!O_3[BLO],[1]!O_3[BHI],,-1) - _xlfn.XLOOKUP(I3,[1]!O_3[BLO],[1]!O_3[BLO],,-1)))
*
( I3 - _xlfn.XLOOKUP(I3,[1]!O_3[BLO],[1]!O_3[BLO],,-1))
+
_xlfn.XLOOKUP(I3,[1]!O_3[BLO],[1]!O_3[ILO],,-1),2)</f>
        <v>33.21</v>
      </c>
      <c r="P3">
        <f>MAX(MONTHLY_DATA9[[#This Row],[AQI_PM2.5]:[AQI_O3]])</f>
        <v>87.97</v>
      </c>
      <c r="Q3" t="str">
        <f>_xlfn.XLOOKUP(MONTHLY_DATA9[[#This Row],[OVERALL_AQI]],[1]!CATEGORY[AQI_LO],[1]!CATEGORY[CATEGORY],,-1)</f>
        <v>Satisfactory</v>
      </c>
      <c r="R3" t="str" cm="1">
        <f t="array" ref="R3">INDEX(
{"PM2.5","PM10","NO2","SO2","CO","O3"},
MATCH(MONTHLY_DATA9[[#This Row],[OVERALL_AQI]],MONTHLY_DATA9[[#This Row],[AQI_PM2.5]:[AQI_O3]],0)
)</f>
        <v>PM10</v>
      </c>
    </row>
    <row r="4" spans="1:18" x14ac:dyDescent="0.25">
      <c r="A4">
        <f>YEAR([1]!DAILY_DATA[[#This Row],[DATE]])</f>
        <v>2024</v>
      </c>
      <c r="B4">
        <v>3</v>
      </c>
      <c r="C4" t="str">
        <f t="shared" si="0"/>
        <v>Mar</v>
      </c>
      <c r="D4">
        <f>AVERAGEIFS(
[1]!DAILY_DATA[PM2.5],
[1]!DAILY_DATA[DATE],
"&gt;="&amp;DATE(A4,B4,1),
[1]!DAILY_DATA[DATE],
"&lt;"&amp;EOMONTH(DATE(A4,B4,1),0)+1
)</f>
        <v>49.967741935483872</v>
      </c>
      <c r="E4">
        <f>AVERAGEIFS(
[1]!DAILY_DATA[PM10],
[1]!DAILY_DATA[DATE],
"&gt;="&amp;DATE(A4,B4,1),
[1]!DAILY_DATA[DATE],
"&lt;"&amp;EOMONTH(DATE(A4,B4,1),0)+1
)</f>
        <v>100.48387096774194</v>
      </c>
      <c r="F4">
        <f>AVERAGEIFS(
[1]!DAILY_DATA[NO2],
[1]!DAILY_DATA[DATE],
"&gt;="&amp;DATE(A4,B4,1),
[1]!DAILY_DATA[DATE],
"&lt;"&amp;EOMONTH(DATE(A4,B4,1),0)+1
)</f>
        <v>18.70967741935484</v>
      </c>
      <c r="G4">
        <f>AVERAGEIFS(
[1]!DAILY_DATA[SO2],
[1]!DAILY_DATA[DATE],
"&gt;="&amp;DATE(A4,B4,1),
[1]!DAILY_DATA[DATE],
"&lt;"&amp;EOMONTH(DATE(A4,B4,1),0)+1
)</f>
        <v>9.2258064516129039</v>
      </c>
      <c r="H4">
        <f>AVERAGEIFS(
[1]!DAILY_DATA[CO],
[1]!DAILY_DATA[DATE],
"&gt;="&amp;DATE(A4,B4,1),
[1]!DAILY_DATA[DATE],
"&lt;"&amp;EOMONTH(DATE(A4,B4,1),0)+1
)</f>
        <v>0.62516129032258072</v>
      </c>
      <c r="I4">
        <f>AVERAGEIFS(
[1]!DAILY_DATA[Ozone],
[1]!DAILY_DATA[DATE],
"&gt;="&amp;DATE(A4,B4,1),
[1]!DAILY_DATA[DATE],
"&lt;"&amp;EOMONTH(DATE(A4,B4,1),0)+1
)</f>
        <v>38</v>
      </c>
      <c r="J4">
        <f>ROUND(((_xlfn.XLOOKUP(D4,[1]!PM2.5[BLO],[1]!PM2.5[IHI],,-1) - _xlfn.XLOOKUP(D4,[1]!PM2.5[BLO],[1]!PM2.5[ILO],,-1))
/
(_xlfn.XLOOKUP(D4,[1]!PM2.5[BLO],[1]!PM2.5[BHI],,-1) - _xlfn.XLOOKUP(D4,[1]!PM2.5[BLO],[1]!PM2.5[BLO],,-1)))
*
(D4 - _xlfn.XLOOKUP(D4,[1]!PM2.5[BLO],[1]!PM2.5[BLO],,-1))
+
_xlfn.XLOOKUP(D4,[1]!PM2.5[BLO],[1]!PM2.5[ILO],,-1),2)</f>
        <v>83.05</v>
      </c>
      <c r="K4">
        <f>ROUND(((_xlfn.XLOOKUP(E4,[1]!PM_10[BLO],[1]!PM_10[IHI],,-1) - _xlfn.XLOOKUP(E4,[1]!PM_10[BLO],[1]!PM_10[ILO],,-1))
/
(_xlfn.XLOOKUP(E4,[1]!PM_10[BLO],[1]!PM_10[BHI],,-1) - _xlfn.XLOOKUP(E4,[1]!PM_10[BLO],[1]!PM_10[BLO],,-1)))
*
( E4 - _xlfn.XLOOKUP(E4,[1]!PM_10[BLO],[1]!PM_10[BLO],,-1))
+
_xlfn.XLOOKUP(E4,[1]!PM_10[BLO],[1]!PM_10[ILO],,-1),2)</f>
        <v>100.48</v>
      </c>
      <c r="L4">
        <f>ROUND((( _xlfn.XLOOKUP(F4,[1]!NO_2[BLO],[1]!NO_2[IHI],,-1) - _xlfn.XLOOKUP(F4,[1]!NO_2[BLO],[1]!NO_2[ILO],,-1))
/
( _xlfn.XLOOKUP(F4,[1]!NO_2[BLO],[1]!NO_2[BHI],,-1) - _xlfn.XLOOKUP(F4,[1]!NO_2[BLO],[1]!NO_2[BLO],,-1) ))
*
( F4 - _xlfn.XLOOKUP(F4,[1]!NO_2[BLO],[1]!NO_2[BLO],,-1))
+
_xlfn.XLOOKUP(F4,[1]!NO_2[BLO],[1]!NO_2[ILO],,-1),2)</f>
        <v>23.39</v>
      </c>
      <c r="M4">
        <f>ROUND(( ( _xlfn.XLOOKUP(G4,[1]!SO_2[BLO],[1]!SO_2[IHI],,-1)  - _xlfn.XLOOKUP(G4,[1]!SO_2[BLO],[1]!SO_2[ILO],,-1) )
/
( _xlfn.XLOOKUP(G4,[1]!SO_2[BLO],[1]!SO_2[BHI],,-1)- _xlfn.XLOOKUP(G4,[1]!SO_2[BLO],[1]!SO_2[BLO],,-1) ))
*
( G4 - _xlfn.XLOOKUP(G4,[1]!SO_2[BLO],[1]!SO_2[BLO],,-1) )
+
_xlfn.XLOOKUP(G4,[1]!SO_2[BLO],[1]!SO_2[ILO],,-1),2)</f>
        <v>11.53</v>
      </c>
      <c r="N4">
        <f>ROUND(( ( _xlfn.XLOOKUP(H4,[1]!CO[BLO],[1]!CO[IHI],,-1)
- _xlfn.XLOOKUP(H4,[1]!CO[BLO],[1]!CO[ILO],,-1) )
/
( _xlfn.XLOOKUP(H4,[1]!CO[BLO],[1]!CO[BHI],,-1) - _xlfn.XLOOKUP(H4,[1]!CO[BLO],[1]!CO[BLO],,-1)))
*
( H4 - _xlfn.XLOOKUP(H4,[1]!CO[BLO],[1]!CO[BLO],,-1) )
+
_xlfn.XLOOKUP(H4,[1]!CO[BLO],[1]!CO[ILO],,-1),2)</f>
        <v>31.26</v>
      </c>
      <c r="O4">
        <f>ROUND((( _xlfn.XLOOKUP(I4,[1]!O_3[BLO],[1]!O_3[IHI],,-1) - _xlfn.XLOOKUP(I4,[1]!O_3[BLO],[1]!O_3[ILO],,-1))
/
( _xlfn.XLOOKUP(I4,[1]!O_3[BLO],[1]!O_3[BHI],,-1) - _xlfn.XLOOKUP(I4,[1]!O_3[BLO],[1]!O_3[BLO],,-1)))
*
( I4 - _xlfn.XLOOKUP(I4,[1]!O_3[BLO],[1]!O_3[BLO],,-1))
+
_xlfn.XLOOKUP(I4,[1]!O_3[BLO],[1]!O_3[ILO],,-1),2)</f>
        <v>38</v>
      </c>
      <c r="P4">
        <f>MAX(MONTHLY_DATA9[[#This Row],[AQI_PM2.5]:[AQI_O3]])</f>
        <v>100.48</v>
      </c>
      <c r="Q4" t="str">
        <f>_xlfn.XLOOKUP(MONTHLY_DATA9[[#This Row],[OVERALL_AQI]],[1]!CATEGORY[AQI_LO],[1]!CATEGORY[CATEGORY],,-1)</f>
        <v>Satisfactory</v>
      </c>
      <c r="R4" t="str" cm="1">
        <f t="array" ref="R4">INDEX(
{"PM2.5","PM10","NO2","SO2","CO","O3"},
MATCH(MONTHLY_DATA9[[#This Row],[OVERALL_AQI]],MONTHLY_DATA9[[#This Row],[AQI_PM2.5]:[AQI_O3]],0)
)</f>
        <v>PM10</v>
      </c>
    </row>
    <row r="5" spans="1:18" x14ac:dyDescent="0.25">
      <c r="A5">
        <f>YEAR([1]!DAILY_DATA[[#This Row],[DATE]])</f>
        <v>2024</v>
      </c>
      <c r="B5">
        <v>4</v>
      </c>
      <c r="C5" t="str">
        <f t="shared" si="0"/>
        <v>Apr</v>
      </c>
      <c r="D5">
        <f>AVERAGEIFS(
[1]!DAILY_DATA[PM2.5],
[1]!DAILY_DATA[DATE],
"&gt;="&amp;DATE(A5,B5,1),
[1]!DAILY_DATA[DATE],
"&lt;"&amp;EOMONTH(DATE(A5,B5,1),0)+1
)</f>
        <v>38.466666666666669</v>
      </c>
      <c r="E5">
        <f>AVERAGEIFS(
[1]!DAILY_DATA[PM10],
[1]!DAILY_DATA[DATE],
"&gt;="&amp;DATE(A5,B5,1),
[1]!DAILY_DATA[DATE],
"&lt;"&amp;EOMONTH(DATE(A5,B5,1),0)+1
)</f>
        <v>79.266666666666666</v>
      </c>
      <c r="F5">
        <f>AVERAGEIFS(
[1]!DAILY_DATA[NO2],
[1]!DAILY_DATA[DATE],
"&gt;="&amp;DATE(A5,B5,1),
[1]!DAILY_DATA[DATE],
"&lt;"&amp;EOMONTH(DATE(A5,B5,1),0)+1
)</f>
        <v>15.533333333333333</v>
      </c>
      <c r="G5">
        <f>AVERAGEIFS(
[1]!DAILY_DATA[SO2],
[1]!DAILY_DATA[DATE],
"&gt;="&amp;DATE(A5,B5,1),
[1]!DAILY_DATA[DATE],
"&lt;"&amp;EOMONTH(DATE(A5,B5,1),0)+1
)</f>
        <v>8.3666666666666671</v>
      </c>
      <c r="H5">
        <f>AVERAGEIFS(
[1]!DAILY_DATA[CO],
[1]!DAILY_DATA[DATE],
"&gt;="&amp;DATE(A5,B5,1),
[1]!DAILY_DATA[DATE],
"&lt;"&amp;EOMONTH(DATE(A5,B5,1),0)+1
)</f>
        <v>0.52766666666666662</v>
      </c>
      <c r="I5">
        <f>AVERAGEIFS(
[1]!DAILY_DATA[Ozone],
[1]!DAILY_DATA[DATE],
"&gt;="&amp;DATE(A5,B5,1),
[1]!DAILY_DATA[DATE],
"&lt;"&amp;EOMONTH(DATE(A5,B5,1),0)+1
)</f>
        <v>33.533333333333331</v>
      </c>
      <c r="J5">
        <f>ROUND(((_xlfn.XLOOKUP(D5,[1]!PM2.5[BLO],[1]!PM2.5[IHI],,-1) - _xlfn.XLOOKUP(D5,[1]!PM2.5[BLO],[1]!PM2.5[ILO],,-1))
/
(_xlfn.XLOOKUP(D5,[1]!PM2.5[BLO],[1]!PM2.5[BHI],,-1) - _xlfn.XLOOKUP(D5,[1]!PM2.5[BLO],[1]!PM2.5[BLO],,-1)))
*
(D5 - _xlfn.XLOOKUP(D5,[1]!PM2.5[BLO],[1]!PM2.5[BLO],,-1))
+
_xlfn.XLOOKUP(D5,[1]!PM2.5[BLO],[1]!PM2.5[ILO],,-1),2)</f>
        <v>63.62</v>
      </c>
      <c r="K5">
        <f>ROUND(((_xlfn.XLOOKUP(E5,[1]!PM_10[BLO],[1]!PM_10[IHI],,-1) - _xlfn.XLOOKUP(E5,[1]!PM_10[BLO],[1]!PM_10[ILO],,-1))
/
(_xlfn.XLOOKUP(E5,[1]!PM_10[BLO],[1]!PM_10[BHI],,-1) - _xlfn.XLOOKUP(E5,[1]!PM_10[BLO],[1]!PM_10[BLO],,-1)))
*
( E5 - _xlfn.XLOOKUP(E5,[1]!PM_10[BLO],[1]!PM_10[BLO],,-1))
+
_xlfn.XLOOKUP(E5,[1]!PM_10[BLO],[1]!PM_10[ILO],,-1),2)</f>
        <v>79.27</v>
      </c>
      <c r="L5">
        <f>ROUND((( _xlfn.XLOOKUP(F5,[1]!NO_2[BLO],[1]!NO_2[IHI],,-1) - _xlfn.XLOOKUP(F5,[1]!NO_2[BLO],[1]!NO_2[ILO],,-1))
/
( _xlfn.XLOOKUP(F5,[1]!NO_2[BLO],[1]!NO_2[BHI],,-1) - _xlfn.XLOOKUP(F5,[1]!NO_2[BLO],[1]!NO_2[BLO],,-1) ))
*
( F5 - _xlfn.XLOOKUP(F5,[1]!NO_2[BLO],[1]!NO_2[BLO],,-1))
+
_xlfn.XLOOKUP(F5,[1]!NO_2[BLO],[1]!NO_2[ILO],,-1),2)</f>
        <v>19.420000000000002</v>
      </c>
      <c r="M5">
        <f>ROUND(( ( _xlfn.XLOOKUP(G5,[1]!SO_2[BLO],[1]!SO_2[IHI],,-1)  - _xlfn.XLOOKUP(G5,[1]!SO_2[BLO],[1]!SO_2[ILO],,-1) )
/
( _xlfn.XLOOKUP(G5,[1]!SO_2[BLO],[1]!SO_2[BHI],,-1)- _xlfn.XLOOKUP(G5,[1]!SO_2[BLO],[1]!SO_2[BLO],,-1) ))
*
( G5 - _xlfn.XLOOKUP(G5,[1]!SO_2[BLO],[1]!SO_2[BLO],,-1) )
+
_xlfn.XLOOKUP(G5,[1]!SO_2[BLO],[1]!SO_2[ILO],,-1),2)</f>
        <v>10.46</v>
      </c>
      <c r="N5">
        <f>ROUND(( ( _xlfn.XLOOKUP(H5,[1]!CO[BLO],[1]!CO[IHI],,-1)
- _xlfn.XLOOKUP(H5,[1]!CO[BLO],[1]!CO[ILO],,-1) )
/
( _xlfn.XLOOKUP(H5,[1]!CO[BLO],[1]!CO[BHI],,-1) - _xlfn.XLOOKUP(H5,[1]!CO[BLO],[1]!CO[BLO],,-1)))
*
( H5 - _xlfn.XLOOKUP(H5,[1]!CO[BLO],[1]!CO[BLO],,-1) )
+
_xlfn.XLOOKUP(H5,[1]!CO[BLO],[1]!CO[ILO],,-1),2)</f>
        <v>26.38</v>
      </c>
      <c r="O5">
        <f>ROUND((( _xlfn.XLOOKUP(I5,[1]!O_3[BLO],[1]!O_3[IHI],,-1) - _xlfn.XLOOKUP(I5,[1]!O_3[BLO],[1]!O_3[ILO],,-1))
/
( _xlfn.XLOOKUP(I5,[1]!O_3[BLO],[1]!O_3[BHI],,-1) - _xlfn.XLOOKUP(I5,[1]!O_3[BLO],[1]!O_3[BLO],,-1)))
*
( I5 - _xlfn.XLOOKUP(I5,[1]!O_3[BLO],[1]!O_3[BLO],,-1))
+
_xlfn.XLOOKUP(I5,[1]!O_3[BLO],[1]!O_3[ILO],,-1),2)</f>
        <v>33.53</v>
      </c>
      <c r="P5">
        <f>MAX(MONTHLY_DATA9[[#This Row],[AQI_PM2.5]:[AQI_O3]])</f>
        <v>79.27</v>
      </c>
      <c r="Q5" t="str">
        <f>_xlfn.XLOOKUP(MONTHLY_DATA9[[#This Row],[OVERALL_AQI]],[1]!CATEGORY[AQI_LO],[1]!CATEGORY[CATEGORY],,-1)</f>
        <v>Satisfactory</v>
      </c>
      <c r="R5" t="str" cm="1">
        <f t="array" ref="R5">INDEX(
{"PM2.5","PM10","NO2","SO2","CO","O3"},
MATCH(MONTHLY_DATA9[[#This Row],[OVERALL_AQI]],MONTHLY_DATA9[[#This Row],[AQI_PM2.5]:[AQI_O3]],0)
)</f>
        <v>PM10</v>
      </c>
    </row>
    <row r="6" spans="1:18" x14ac:dyDescent="0.25">
      <c r="A6">
        <f>YEAR([1]!DAILY_DATA[[#This Row],[DATE]])</f>
        <v>2024</v>
      </c>
      <c r="B6">
        <v>5</v>
      </c>
      <c r="C6" t="str">
        <f t="shared" si="0"/>
        <v>May</v>
      </c>
      <c r="D6">
        <f>AVERAGEIFS(
[1]!DAILY_DATA[PM2.5],
[1]!DAILY_DATA[DATE],
"&gt;="&amp;DATE(A6,B6,1),
[1]!DAILY_DATA[DATE],
"&lt;"&amp;EOMONTH(DATE(A6,B6,1),0)+1
)</f>
        <v>27.193548387096776</v>
      </c>
      <c r="E6">
        <f>AVERAGEIFS(
[1]!DAILY_DATA[PM10],
[1]!DAILY_DATA[DATE],
"&gt;="&amp;DATE(A6,B6,1),
[1]!DAILY_DATA[DATE],
"&lt;"&amp;EOMONTH(DATE(A6,B6,1),0)+1
)</f>
        <v>64.645161290322577</v>
      </c>
      <c r="F6">
        <f>AVERAGEIFS(
[1]!DAILY_DATA[NO2],
[1]!DAILY_DATA[DATE],
"&gt;="&amp;DATE(A6,B6,1),
[1]!DAILY_DATA[DATE],
"&lt;"&amp;EOMONTH(DATE(A6,B6,1),0)+1
)</f>
        <v>13.903225806451612</v>
      </c>
      <c r="G6">
        <f>AVERAGEIFS(
[1]!DAILY_DATA[SO2],
[1]!DAILY_DATA[DATE],
"&gt;="&amp;DATE(A6,B6,1),
[1]!DAILY_DATA[DATE],
"&lt;"&amp;EOMONTH(DATE(A6,B6,1),0)+1
)</f>
        <v>7.903225806451613</v>
      </c>
      <c r="H6">
        <f>AVERAGEIFS(
[1]!DAILY_DATA[CO],
[1]!DAILY_DATA[DATE],
"&gt;="&amp;DATE(A6,B6,1),
[1]!DAILY_DATA[DATE],
"&lt;"&amp;EOMONTH(DATE(A6,B6,1),0)+1
)</f>
        <v>0.58064516129032262</v>
      </c>
      <c r="I6">
        <f>AVERAGEIFS(
[1]!DAILY_DATA[Ozone],
[1]!DAILY_DATA[DATE],
"&gt;="&amp;DATE(A6,B6,1),
[1]!DAILY_DATA[DATE],
"&lt;"&amp;EOMONTH(DATE(A6,B6,1),0)+1
)</f>
        <v>32.774193548387096</v>
      </c>
      <c r="J6">
        <f>ROUND(((_xlfn.XLOOKUP(D6,[1]!PM2.5[BLO],[1]!PM2.5[IHI],,-1) - _xlfn.XLOOKUP(D6,[1]!PM2.5[BLO],[1]!PM2.5[ILO],,-1))
/
(_xlfn.XLOOKUP(D6,[1]!PM2.5[BLO],[1]!PM2.5[BHI],,-1) - _xlfn.XLOOKUP(D6,[1]!PM2.5[BLO],[1]!PM2.5[BLO],,-1)))
*
(D6 - _xlfn.XLOOKUP(D6,[1]!PM2.5[BLO],[1]!PM2.5[BLO],,-1))
+
_xlfn.XLOOKUP(D6,[1]!PM2.5[BLO],[1]!PM2.5[ILO],,-1),2)</f>
        <v>45.32</v>
      </c>
      <c r="K6">
        <f>ROUND(((_xlfn.XLOOKUP(E6,[1]!PM_10[BLO],[1]!PM_10[IHI],,-1) - _xlfn.XLOOKUP(E6,[1]!PM_10[BLO],[1]!PM_10[ILO],,-1))
/
(_xlfn.XLOOKUP(E6,[1]!PM_10[BLO],[1]!PM_10[BHI],,-1) - _xlfn.XLOOKUP(E6,[1]!PM_10[BLO],[1]!PM_10[BLO],,-1)))
*
( E6 - _xlfn.XLOOKUP(E6,[1]!PM_10[BLO],[1]!PM_10[BLO],,-1))
+
_xlfn.XLOOKUP(E6,[1]!PM_10[BLO],[1]!PM_10[ILO],,-1),2)</f>
        <v>64.650000000000006</v>
      </c>
      <c r="L6">
        <f>ROUND((( _xlfn.XLOOKUP(F6,[1]!NO_2[BLO],[1]!NO_2[IHI],,-1) - _xlfn.XLOOKUP(F6,[1]!NO_2[BLO],[1]!NO_2[ILO],,-1))
/
( _xlfn.XLOOKUP(F6,[1]!NO_2[BLO],[1]!NO_2[BHI],,-1) - _xlfn.XLOOKUP(F6,[1]!NO_2[BLO],[1]!NO_2[BLO],,-1) ))
*
( F6 - _xlfn.XLOOKUP(F6,[1]!NO_2[BLO],[1]!NO_2[BLO],,-1))
+
_xlfn.XLOOKUP(F6,[1]!NO_2[BLO],[1]!NO_2[ILO],,-1),2)</f>
        <v>17.38</v>
      </c>
      <c r="M6">
        <f>ROUND(( ( _xlfn.XLOOKUP(G6,[1]!SO_2[BLO],[1]!SO_2[IHI],,-1)  - _xlfn.XLOOKUP(G6,[1]!SO_2[BLO],[1]!SO_2[ILO],,-1) )
/
( _xlfn.XLOOKUP(G6,[1]!SO_2[BLO],[1]!SO_2[BHI],,-1)- _xlfn.XLOOKUP(G6,[1]!SO_2[BLO],[1]!SO_2[BLO],,-1) ))
*
( G6 - _xlfn.XLOOKUP(G6,[1]!SO_2[BLO],[1]!SO_2[BLO],,-1) )
+
_xlfn.XLOOKUP(G6,[1]!SO_2[BLO],[1]!SO_2[ILO],,-1),2)</f>
        <v>9.8800000000000008</v>
      </c>
      <c r="N6">
        <f>ROUND(( ( _xlfn.XLOOKUP(H6,[1]!CO[BLO],[1]!CO[IHI],,-1)
- _xlfn.XLOOKUP(H6,[1]!CO[BLO],[1]!CO[ILO],,-1) )
/
( _xlfn.XLOOKUP(H6,[1]!CO[BLO],[1]!CO[BHI],,-1) - _xlfn.XLOOKUP(H6,[1]!CO[BLO],[1]!CO[BLO],,-1)))
*
( H6 - _xlfn.XLOOKUP(H6,[1]!CO[BLO],[1]!CO[BLO],,-1) )
+
_xlfn.XLOOKUP(H6,[1]!CO[BLO],[1]!CO[ILO],,-1),2)</f>
        <v>29.03</v>
      </c>
      <c r="O6">
        <f>ROUND((( _xlfn.XLOOKUP(I6,[1]!O_3[BLO],[1]!O_3[IHI],,-1) - _xlfn.XLOOKUP(I6,[1]!O_3[BLO],[1]!O_3[ILO],,-1))
/
( _xlfn.XLOOKUP(I6,[1]!O_3[BLO],[1]!O_3[BHI],,-1) - _xlfn.XLOOKUP(I6,[1]!O_3[BLO],[1]!O_3[BLO],,-1)))
*
( I6 - _xlfn.XLOOKUP(I6,[1]!O_3[BLO],[1]!O_3[BLO],,-1))
+
_xlfn.XLOOKUP(I6,[1]!O_3[BLO],[1]!O_3[ILO],,-1),2)</f>
        <v>32.770000000000003</v>
      </c>
      <c r="P6">
        <f>MAX(MONTHLY_DATA9[[#This Row],[AQI_PM2.5]:[AQI_O3]])</f>
        <v>64.650000000000006</v>
      </c>
      <c r="Q6" t="str">
        <f>_xlfn.XLOOKUP(MONTHLY_DATA9[[#This Row],[OVERALL_AQI]],[1]!CATEGORY[AQI_LO],[1]!CATEGORY[CATEGORY],,-1)</f>
        <v>Satisfactory</v>
      </c>
      <c r="R6" t="str" cm="1">
        <f t="array" ref="R6">INDEX(
{"PM2.5","PM10","NO2","SO2","CO","O3"},
MATCH(MONTHLY_DATA9[[#This Row],[OVERALL_AQI]],MONTHLY_DATA9[[#This Row],[AQI_PM2.5]:[AQI_O3]],0)
)</f>
        <v>PM10</v>
      </c>
    </row>
    <row r="7" spans="1:18" x14ac:dyDescent="0.25">
      <c r="A7">
        <f>YEAR([1]!DAILY_DATA[[#This Row],[DATE]])</f>
        <v>2024</v>
      </c>
      <c r="B7">
        <v>6</v>
      </c>
      <c r="C7" t="str">
        <f t="shared" si="0"/>
        <v>Jun</v>
      </c>
      <c r="D7">
        <f>AVERAGEIFS(
[1]!DAILY_DATA[PM2.5],
[1]!DAILY_DATA[DATE],
"&gt;="&amp;DATE(A7,B7,1),
[1]!DAILY_DATA[DATE],
"&lt;"&amp;EOMONTH(DATE(A7,B7,1),0)+1
)</f>
        <v>17.866666666666667</v>
      </c>
      <c r="E7">
        <f>AVERAGEIFS(
[1]!DAILY_DATA[PM10],
[1]!DAILY_DATA[DATE],
"&gt;="&amp;DATE(A7,B7,1),
[1]!DAILY_DATA[DATE],
"&lt;"&amp;EOMONTH(DATE(A7,B7,1),0)+1
)</f>
        <v>44.766666666666666</v>
      </c>
      <c r="F7">
        <f>AVERAGEIFS(
[1]!DAILY_DATA[NO2],
[1]!DAILY_DATA[DATE],
"&gt;="&amp;DATE(A7,B7,1),
[1]!DAILY_DATA[DATE],
"&lt;"&amp;EOMONTH(DATE(A7,B7,1),0)+1
)</f>
        <v>15.433333333333334</v>
      </c>
      <c r="G7">
        <f>AVERAGEIFS(
[1]!DAILY_DATA[SO2],
[1]!DAILY_DATA[DATE],
"&gt;="&amp;DATE(A7,B7,1),
[1]!DAILY_DATA[DATE],
"&lt;"&amp;EOMONTH(DATE(A7,B7,1),0)+1
)</f>
        <v>8.4333333333333336</v>
      </c>
      <c r="H7">
        <f>AVERAGEIFS(
[1]!DAILY_DATA[CO],
[1]!DAILY_DATA[DATE],
"&gt;="&amp;DATE(A7,B7,1),
[1]!DAILY_DATA[DATE],
"&lt;"&amp;EOMONTH(DATE(A7,B7,1),0)+1
)</f>
        <v>0.64700000000000013</v>
      </c>
      <c r="I7">
        <f>AVERAGEIFS(
[1]!DAILY_DATA[Ozone],
[1]!DAILY_DATA[DATE],
"&gt;="&amp;DATE(A7,B7,1),
[1]!DAILY_DATA[DATE],
"&lt;"&amp;EOMONTH(DATE(A7,B7,1),0)+1
)</f>
        <v>29.1</v>
      </c>
      <c r="J7">
        <f>ROUND(((_xlfn.XLOOKUP(D7,[1]!PM2.5[BLO],[1]!PM2.5[IHI],,-1) - _xlfn.XLOOKUP(D7,[1]!PM2.5[BLO],[1]!PM2.5[ILO],,-1))
/
(_xlfn.XLOOKUP(D7,[1]!PM2.5[BLO],[1]!PM2.5[BHI],,-1) - _xlfn.XLOOKUP(D7,[1]!PM2.5[BLO],[1]!PM2.5[BLO],,-1)))
*
(D7 - _xlfn.XLOOKUP(D7,[1]!PM2.5[BLO],[1]!PM2.5[BLO],,-1))
+
_xlfn.XLOOKUP(D7,[1]!PM2.5[BLO],[1]!PM2.5[ILO],,-1),2)</f>
        <v>29.78</v>
      </c>
      <c r="K7">
        <f>ROUND(((_xlfn.XLOOKUP(E7,[1]!PM_10[BLO],[1]!PM_10[IHI],,-1) - _xlfn.XLOOKUP(E7,[1]!PM_10[BLO],[1]!PM_10[ILO],,-1))
/
(_xlfn.XLOOKUP(E7,[1]!PM_10[BLO],[1]!PM_10[BHI],,-1) - _xlfn.XLOOKUP(E7,[1]!PM_10[BLO],[1]!PM_10[BLO],,-1)))
*
( E7 - _xlfn.XLOOKUP(E7,[1]!PM_10[BLO],[1]!PM_10[BLO],,-1))
+
_xlfn.XLOOKUP(E7,[1]!PM_10[BLO],[1]!PM_10[ILO],,-1),2)</f>
        <v>44.77</v>
      </c>
      <c r="L7">
        <f>ROUND((( _xlfn.XLOOKUP(F7,[1]!NO_2[BLO],[1]!NO_2[IHI],,-1) - _xlfn.XLOOKUP(F7,[1]!NO_2[BLO],[1]!NO_2[ILO],,-1))
/
( _xlfn.XLOOKUP(F7,[1]!NO_2[BLO],[1]!NO_2[BHI],,-1) - _xlfn.XLOOKUP(F7,[1]!NO_2[BLO],[1]!NO_2[BLO],,-1) ))
*
( F7 - _xlfn.XLOOKUP(F7,[1]!NO_2[BLO],[1]!NO_2[BLO],,-1))
+
_xlfn.XLOOKUP(F7,[1]!NO_2[BLO],[1]!NO_2[ILO],,-1),2)</f>
        <v>19.29</v>
      </c>
      <c r="M7">
        <f>ROUND(( ( _xlfn.XLOOKUP(G7,[1]!SO_2[BLO],[1]!SO_2[IHI],,-1)  - _xlfn.XLOOKUP(G7,[1]!SO_2[BLO],[1]!SO_2[ILO],,-1) )
/
( _xlfn.XLOOKUP(G7,[1]!SO_2[BLO],[1]!SO_2[BHI],,-1)- _xlfn.XLOOKUP(G7,[1]!SO_2[BLO],[1]!SO_2[BLO],,-1) ))
*
( G7 - _xlfn.XLOOKUP(G7,[1]!SO_2[BLO],[1]!SO_2[BLO],,-1) )
+
_xlfn.XLOOKUP(G7,[1]!SO_2[BLO],[1]!SO_2[ILO],,-1),2)</f>
        <v>10.54</v>
      </c>
      <c r="N7">
        <f>ROUND(( ( _xlfn.XLOOKUP(H7,[1]!CO[BLO],[1]!CO[IHI],,-1)
- _xlfn.XLOOKUP(H7,[1]!CO[BLO],[1]!CO[ILO],,-1) )
/
( _xlfn.XLOOKUP(H7,[1]!CO[BLO],[1]!CO[BHI],,-1) - _xlfn.XLOOKUP(H7,[1]!CO[BLO],[1]!CO[BLO],,-1)))
*
( H7 - _xlfn.XLOOKUP(H7,[1]!CO[BLO],[1]!CO[BLO],,-1) )
+
_xlfn.XLOOKUP(H7,[1]!CO[BLO],[1]!CO[ILO],,-1),2)</f>
        <v>32.35</v>
      </c>
      <c r="O7">
        <f>ROUND((( _xlfn.XLOOKUP(I7,[1]!O_3[BLO],[1]!O_3[IHI],,-1) - _xlfn.XLOOKUP(I7,[1]!O_3[BLO],[1]!O_3[ILO],,-1))
/
( _xlfn.XLOOKUP(I7,[1]!O_3[BLO],[1]!O_3[BHI],,-1) - _xlfn.XLOOKUP(I7,[1]!O_3[BLO],[1]!O_3[BLO],,-1)))
*
( I7 - _xlfn.XLOOKUP(I7,[1]!O_3[BLO],[1]!O_3[BLO],,-1))
+
_xlfn.XLOOKUP(I7,[1]!O_3[BLO],[1]!O_3[ILO],,-1),2)</f>
        <v>29.1</v>
      </c>
      <c r="P7">
        <f>MAX(MONTHLY_DATA9[[#This Row],[AQI_PM2.5]:[AQI_O3]])</f>
        <v>44.77</v>
      </c>
      <c r="Q7" t="str">
        <f>_xlfn.XLOOKUP(MONTHLY_DATA9[[#This Row],[OVERALL_AQI]],[1]!CATEGORY[AQI_LO],[1]!CATEGORY[CATEGORY],,-1)</f>
        <v>Good</v>
      </c>
      <c r="R7" t="str" cm="1">
        <f t="array" ref="R7">INDEX(
{"PM2.5","PM10","NO2","SO2","CO","O3"},
MATCH(MONTHLY_DATA9[[#This Row],[OVERALL_AQI]],MONTHLY_DATA9[[#This Row],[AQI_PM2.5]:[AQI_O3]],0)
)</f>
        <v>PM10</v>
      </c>
    </row>
    <row r="8" spans="1:18" x14ac:dyDescent="0.25">
      <c r="A8">
        <f>YEAR([1]!DAILY_DATA[[#This Row],[DATE]])</f>
        <v>2024</v>
      </c>
      <c r="B8">
        <v>7</v>
      </c>
      <c r="C8" t="str">
        <f t="shared" si="0"/>
        <v>Jul</v>
      </c>
      <c r="D8">
        <f>AVERAGEIFS(
[1]!DAILY_DATA[PM2.5],
[1]!DAILY_DATA[DATE],
"&gt;="&amp;DATE(A8,B8,1),
[1]!DAILY_DATA[DATE],
"&lt;"&amp;EOMONTH(DATE(A8,B8,1),0)+1
)</f>
        <v>17.258064516129032</v>
      </c>
      <c r="E8">
        <f>AVERAGEIFS(
[1]!DAILY_DATA[PM10],
[1]!DAILY_DATA[DATE],
"&gt;="&amp;DATE(A8,B8,1),
[1]!DAILY_DATA[DATE],
"&lt;"&amp;EOMONTH(DATE(A8,B8,1),0)+1
)</f>
        <v>45.032258064516128</v>
      </c>
      <c r="F8">
        <f>AVERAGEIFS(
[1]!DAILY_DATA[NO2],
[1]!DAILY_DATA[DATE],
"&gt;="&amp;DATE(A8,B8,1),
[1]!DAILY_DATA[DATE],
"&lt;"&amp;EOMONTH(DATE(A8,B8,1),0)+1
)</f>
        <v>16.870967741935484</v>
      </c>
      <c r="G8">
        <f>AVERAGEIFS(
[1]!DAILY_DATA[SO2],
[1]!DAILY_DATA[DATE],
"&gt;="&amp;DATE(A8,B8,1),
[1]!DAILY_DATA[DATE],
"&lt;"&amp;EOMONTH(DATE(A8,B8,1),0)+1
)</f>
        <v>8.5483870967741939</v>
      </c>
      <c r="H8">
        <f>AVERAGEIFS(
[1]!DAILY_DATA[CO],
[1]!DAILY_DATA[DATE],
"&gt;="&amp;DATE(A8,B8,1),
[1]!DAILY_DATA[DATE],
"&lt;"&amp;EOMONTH(DATE(A8,B8,1),0)+1
)</f>
        <v>0.62709677419354837</v>
      </c>
      <c r="I8">
        <f>AVERAGEIFS(
[1]!DAILY_DATA[Ozone],
[1]!DAILY_DATA[DATE],
"&gt;="&amp;DATE(A8,B8,1),
[1]!DAILY_DATA[DATE],
"&lt;"&amp;EOMONTH(DATE(A8,B8,1),0)+1
)</f>
        <v>25.612903225806452</v>
      </c>
      <c r="J8">
        <f>ROUND(((_xlfn.XLOOKUP(D8,[1]!PM2.5[BLO],[1]!PM2.5[IHI],,-1) - _xlfn.XLOOKUP(D8,[1]!PM2.5[BLO],[1]!PM2.5[ILO],,-1))
/
(_xlfn.XLOOKUP(D8,[1]!PM2.5[BLO],[1]!PM2.5[BHI],,-1) - _xlfn.XLOOKUP(D8,[1]!PM2.5[BLO],[1]!PM2.5[BLO],,-1)))
*
(D8 - _xlfn.XLOOKUP(D8,[1]!PM2.5[BLO],[1]!PM2.5[BLO],,-1))
+
_xlfn.XLOOKUP(D8,[1]!PM2.5[BLO],[1]!PM2.5[ILO],,-1),2)</f>
        <v>28.76</v>
      </c>
      <c r="K8">
        <f>ROUND(((_xlfn.XLOOKUP(E8,[1]!PM_10[BLO],[1]!PM_10[IHI],,-1) - _xlfn.XLOOKUP(E8,[1]!PM_10[BLO],[1]!PM_10[ILO],,-1))
/
(_xlfn.XLOOKUP(E8,[1]!PM_10[BLO],[1]!PM_10[BHI],,-1) - _xlfn.XLOOKUP(E8,[1]!PM_10[BLO],[1]!PM_10[BLO],,-1)))
*
( E8 - _xlfn.XLOOKUP(E8,[1]!PM_10[BLO],[1]!PM_10[BLO],,-1))
+
_xlfn.XLOOKUP(E8,[1]!PM_10[BLO],[1]!PM_10[ILO],,-1),2)</f>
        <v>45.03</v>
      </c>
      <c r="L8">
        <f>ROUND((( _xlfn.XLOOKUP(F8,[1]!NO_2[BLO],[1]!NO_2[IHI],,-1) - _xlfn.XLOOKUP(F8,[1]!NO_2[BLO],[1]!NO_2[ILO],,-1))
/
( _xlfn.XLOOKUP(F8,[1]!NO_2[BLO],[1]!NO_2[BHI],,-1) - _xlfn.XLOOKUP(F8,[1]!NO_2[BLO],[1]!NO_2[BLO],,-1) ))
*
( F8 - _xlfn.XLOOKUP(F8,[1]!NO_2[BLO],[1]!NO_2[BLO],,-1))
+
_xlfn.XLOOKUP(F8,[1]!NO_2[BLO],[1]!NO_2[ILO],,-1),2)</f>
        <v>21.09</v>
      </c>
      <c r="M8">
        <f>ROUND(( ( _xlfn.XLOOKUP(G8,[1]!SO_2[BLO],[1]!SO_2[IHI],,-1)  - _xlfn.XLOOKUP(G8,[1]!SO_2[BLO],[1]!SO_2[ILO],,-1) )
/
( _xlfn.XLOOKUP(G8,[1]!SO_2[BLO],[1]!SO_2[BHI],,-1)- _xlfn.XLOOKUP(G8,[1]!SO_2[BLO],[1]!SO_2[BLO],,-1) ))
*
( G8 - _xlfn.XLOOKUP(G8,[1]!SO_2[BLO],[1]!SO_2[BLO],,-1) )
+
_xlfn.XLOOKUP(G8,[1]!SO_2[BLO],[1]!SO_2[ILO],,-1),2)</f>
        <v>10.69</v>
      </c>
      <c r="N8">
        <f>ROUND(( ( _xlfn.XLOOKUP(H8,[1]!CO[BLO],[1]!CO[IHI],,-1)
- _xlfn.XLOOKUP(H8,[1]!CO[BLO],[1]!CO[ILO],,-1) )
/
( _xlfn.XLOOKUP(H8,[1]!CO[BLO],[1]!CO[BHI],,-1) - _xlfn.XLOOKUP(H8,[1]!CO[BLO],[1]!CO[BLO],,-1)))
*
( H8 - _xlfn.XLOOKUP(H8,[1]!CO[BLO],[1]!CO[BLO],,-1) )
+
_xlfn.XLOOKUP(H8,[1]!CO[BLO],[1]!CO[ILO],,-1),2)</f>
        <v>31.35</v>
      </c>
      <c r="O8">
        <f>ROUND((( _xlfn.XLOOKUP(I8,[1]!O_3[BLO],[1]!O_3[IHI],,-1) - _xlfn.XLOOKUP(I8,[1]!O_3[BLO],[1]!O_3[ILO],,-1))
/
( _xlfn.XLOOKUP(I8,[1]!O_3[BLO],[1]!O_3[BHI],,-1) - _xlfn.XLOOKUP(I8,[1]!O_3[BLO],[1]!O_3[BLO],,-1)))
*
( I8 - _xlfn.XLOOKUP(I8,[1]!O_3[BLO],[1]!O_3[BLO],,-1))
+
_xlfn.XLOOKUP(I8,[1]!O_3[BLO],[1]!O_3[ILO],,-1),2)</f>
        <v>25.61</v>
      </c>
      <c r="P8">
        <f>MAX(MONTHLY_DATA9[[#This Row],[AQI_PM2.5]:[AQI_O3]])</f>
        <v>45.03</v>
      </c>
      <c r="Q8" t="str">
        <f>_xlfn.XLOOKUP(MONTHLY_DATA9[[#This Row],[OVERALL_AQI]],[1]!CATEGORY[AQI_LO],[1]!CATEGORY[CATEGORY],,-1)</f>
        <v>Good</v>
      </c>
      <c r="R8" t="str" cm="1">
        <f t="array" ref="R8">INDEX(
{"PM2.5","PM10","NO2","SO2","CO","O3"},
MATCH(MONTHLY_DATA9[[#This Row],[OVERALL_AQI]],MONTHLY_DATA9[[#This Row],[AQI_PM2.5]:[AQI_O3]],0)
)</f>
        <v>PM10</v>
      </c>
    </row>
    <row r="9" spans="1:18" x14ac:dyDescent="0.25">
      <c r="A9">
        <f>YEAR([1]!DAILY_DATA[[#This Row],[DATE]])</f>
        <v>2024</v>
      </c>
      <c r="B9">
        <v>8</v>
      </c>
      <c r="C9" t="str">
        <f t="shared" si="0"/>
        <v>Aug</v>
      </c>
      <c r="D9">
        <f>AVERAGEIFS(
[1]!DAILY_DATA[PM2.5],
[1]!DAILY_DATA[DATE],
"&gt;="&amp;DATE(A9,B9,1),
[1]!DAILY_DATA[DATE],
"&lt;"&amp;EOMONTH(DATE(A9,B9,1),0)+1
)</f>
        <v>22.741935483870968</v>
      </c>
      <c r="E9">
        <f>AVERAGEIFS(
[1]!DAILY_DATA[PM10],
[1]!DAILY_DATA[DATE],
"&gt;="&amp;DATE(A9,B9,1),
[1]!DAILY_DATA[DATE],
"&lt;"&amp;EOMONTH(DATE(A9,B9,1),0)+1
)</f>
        <v>53.387096774193552</v>
      </c>
      <c r="F9">
        <f>AVERAGEIFS(
[1]!DAILY_DATA[NO2],
[1]!DAILY_DATA[DATE],
"&gt;="&amp;DATE(A9,B9,1),
[1]!DAILY_DATA[DATE],
"&lt;"&amp;EOMONTH(DATE(A9,B9,1),0)+1
)</f>
        <v>17.096774193548388</v>
      </c>
      <c r="G9">
        <f>AVERAGEIFS(
[1]!DAILY_DATA[SO2],
[1]!DAILY_DATA[DATE],
"&gt;="&amp;DATE(A9,B9,1),
[1]!DAILY_DATA[DATE],
"&lt;"&amp;EOMONTH(DATE(A9,B9,1),0)+1
)</f>
        <v>8.8387096774193541</v>
      </c>
      <c r="H9">
        <f>AVERAGEIFS(
[1]!DAILY_DATA[CO],
[1]!DAILY_DATA[DATE],
"&gt;="&amp;DATE(A9,B9,1),
[1]!DAILY_DATA[DATE],
"&lt;"&amp;EOMONTH(DATE(A9,B9,1),0)+1
)</f>
        <v>0.69870967741935475</v>
      </c>
      <c r="I9">
        <f>AVERAGEIFS(
[1]!DAILY_DATA[Ozone],
[1]!DAILY_DATA[DATE],
"&gt;="&amp;DATE(A9,B9,1),
[1]!DAILY_DATA[DATE],
"&lt;"&amp;EOMONTH(DATE(A9,B9,1),0)+1
)</f>
        <v>25.741935483870968</v>
      </c>
      <c r="J9">
        <f>ROUND(((_xlfn.XLOOKUP(D9,[1]!PM2.5[BLO],[1]!PM2.5[IHI],,-1) - _xlfn.XLOOKUP(D9,[1]!PM2.5[BLO],[1]!PM2.5[ILO],,-1))
/
(_xlfn.XLOOKUP(D9,[1]!PM2.5[BLO],[1]!PM2.5[BHI],,-1) - _xlfn.XLOOKUP(D9,[1]!PM2.5[BLO],[1]!PM2.5[BLO],,-1)))
*
(D9 - _xlfn.XLOOKUP(D9,[1]!PM2.5[BLO],[1]!PM2.5[BLO],,-1))
+
_xlfn.XLOOKUP(D9,[1]!PM2.5[BLO],[1]!PM2.5[ILO],,-1),2)</f>
        <v>37.9</v>
      </c>
      <c r="K9">
        <f>ROUND(((_xlfn.XLOOKUP(E9,[1]!PM_10[BLO],[1]!PM_10[IHI],,-1) - _xlfn.XLOOKUP(E9,[1]!PM_10[BLO],[1]!PM_10[ILO],,-1))
/
(_xlfn.XLOOKUP(E9,[1]!PM_10[BLO],[1]!PM_10[BHI],,-1) - _xlfn.XLOOKUP(E9,[1]!PM_10[BLO],[1]!PM_10[BLO],,-1)))
*
( E9 - _xlfn.XLOOKUP(E9,[1]!PM_10[BLO],[1]!PM_10[BLO],,-1))
+
_xlfn.XLOOKUP(E9,[1]!PM_10[BLO],[1]!PM_10[ILO],,-1),2)</f>
        <v>53.39</v>
      </c>
      <c r="L9">
        <f>ROUND((( _xlfn.XLOOKUP(F9,[1]!NO_2[BLO],[1]!NO_2[IHI],,-1) - _xlfn.XLOOKUP(F9,[1]!NO_2[BLO],[1]!NO_2[ILO],,-1))
/
( _xlfn.XLOOKUP(F9,[1]!NO_2[BLO],[1]!NO_2[BHI],,-1) - _xlfn.XLOOKUP(F9,[1]!NO_2[BLO],[1]!NO_2[BLO],,-1) ))
*
( F9 - _xlfn.XLOOKUP(F9,[1]!NO_2[BLO],[1]!NO_2[BLO],,-1))
+
_xlfn.XLOOKUP(F9,[1]!NO_2[BLO],[1]!NO_2[ILO],,-1),2)</f>
        <v>21.37</v>
      </c>
      <c r="M9">
        <f>ROUND(( ( _xlfn.XLOOKUP(G9,[1]!SO_2[BLO],[1]!SO_2[IHI],,-1)  - _xlfn.XLOOKUP(G9,[1]!SO_2[BLO],[1]!SO_2[ILO],,-1) )
/
( _xlfn.XLOOKUP(G9,[1]!SO_2[BLO],[1]!SO_2[BHI],,-1)- _xlfn.XLOOKUP(G9,[1]!SO_2[BLO],[1]!SO_2[BLO],,-1) ))
*
( G9 - _xlfn.XLOOKUP(G9,[1]!SO_2[BLO],[1]!SO_2[BLO],,-1) )
+
_xlfn.XLOOKUP(G9,[1]!SO_2[BLO],[1]!SO_2[ILO],,-1),2)</f>
        <v>11.05</v>
      </c>
      <c r="N9">
        <f>ROUND(( ( _xlfn.XLOOKUP(H9,[1]!CO[BLO],[1]!CO[IHI],,-1)
- _xlfn.XLOOKUP(H9,[1]!CO[BLO],[1]!CO[ILO],,-1) )
/
( _xlfn.XLOOKUP(H9,[1]!CO[BLO],[1]!CO[BHI],,-1) - _xlfn.XLOOKUP(H9,[1]!CO[BLO],[1]!CO[BLO],,-1)))
*
( H9 - _xlfn.XLOOKUP(H9,[1]!CO[BLO],[1]!CO[BLO],,-1) )
+
_xlfn.XLOOKUP(H9,[1]!CO[BLO],[1]!CO[ILO],,-1),2)</f>
        <v>34.94</v>
      </c>
      <c r="O9">
        <f>ROUND((( _xlfn.XLOOKUP(I9,[1]!O_3[BLO],[1]!O_3[IHI],,-1) - _xlfn.XLOOKUP(I9,[1]!O_3[BLO],[1]!O_3[ILO],,-1))
/
( _xlfn.XLOOKUP(I9,[1]!O_3[BLO],[1]!O_3[BHI],,-1) - _xlfn.XLOOKUP(I9,[1]!O_3[BLO],[1]!O_3[BLO],,-1)))
*
( I9 - _xlfn.XLOOKUP(I9,[1]!O_3[BLO],[1]!O_3[BLO],,-1))
+
_xlfn.XLOOKUP(I9,[1]!O_3[BLO],[1]!O_3[ILO],,-1),2)</f>
        <v>25.74</v>
      </c>
      <c r="P9">
        <f>MAX(MONTHLY_DATA9[[#This Row],[AQI_PM2.5]:[AQI_O3]])</f>
        <v>53.39</v>
      </c>
      <c r="Q9" t="str">
        <f>_xlfn.XLOOKUP(MONTHLY_DATA9[[#This Row],[OVERALL_AQI]],[1]!CATEGORY[AQI_LO],[1]!CATEGORY[CATEGORY],,-1)</f>
        <v>Satisfactory</v>
      </c>
      <c r="R9" t="str" cm="1">
        <f t="array" ref="R9">INDEX(
{"PM2.5","PM10","NO2","SO2","CO","O3"},
MATCH(MONTHLY_DATA9[[#This Row],[OVERALL_AQI]],MONTHLY_DATA9[[#This Row],[AQI_PM2.5]:[AQI_O3]],0)
)</f>
        <v>PM10</v>
      </c>
    </row>
    <row r="10" spans="1:18" x14ac:dyDescent="0.25">
      <c r="A10">
        <f>YEAR([1]!DAILY_DATA[[#This Row],[DATE]])</f>
        <v>2024</v>
      </c>
      <c r="B10">
        <v>9</v>
      </c>
      <c r="C10" t="str">
        <f t="shared" si="0"/>
        <v>Sep</v>
      </c>
      <c r="D10">
        <f>AVERAGEIFS(
[1]!DAILY_DATA[PM2.5],
[1]!DAILY_DATA[DATE],
"&gt;="&amp;DATE(A10,B10,1),
[1]!DAILY_DATA[DATE],
"&lt;"&amp;EOMONTH(DATE(A10,B10,1),0)+1
)</f>
        <v>23.8</v>
      </c>
      <c r="E10">
        <f>AVERAGEIFS(
[1]!DAILY_DATA[PM10],
[1]!DAILY_DATA[DATE],
"&gt;="&amp;DATE(A10,B10,1),
[1]!DAILY_DATA[DATE],
"&lt;"&amp;EOMONTH(DATE(A10,B10,1),0)+1
)</f>
        <v>53.56666666666667</v>
      </c>
      <c r="F10">
        <f>AVERAGEIFS(
[1]!DAILY_DATA[NO2],
[1]!DAILY_DATA[DATE],
"&gt;="&amp;DATE(A10,B10,1),
[1]!DAILY_DATA[DATE],
"&lt;"&amp;EOMONTH(DATE(A10,B10,1),0)+1
)</f>
        <v>15.733333333333333</v>
      </c>
      <c r="G10">
        <f>AVERAGEIFS(
[1]!DAILY_DATA[SO2],
[1]!DAILY_DATA[DATE],
"&gt;="&amp;DATE(A10,B10,1),
[1]!DAILY_DATA[DATE],
"&lt;"&amp;EOMONTH(DATE(A10,B10,1),0)+1
)</f>
        <v>8.5</v>
      </c>
      <c r="H10">
        <f>AVERAGEIFS(
[1]!DAILY_DATA[CO],
[1]!DAILY_DATA[DATE],
"&gt;="&amp;DATE(A10,B10,1),
[1]!DAILY_DATA[DATE],
"&lt;"&amp;EOMONTH(DATE(A10,B10,1),0)+1
)</f>
        <v>0.68966666666666676</v>
      </c>
      <c r="I10">
        <f>AVERAGEIFS(
[1]!DAILY_DATA[Ozone],
[1]!DAILY_DATA[DATE],
"&gt;="&amp;DATE(A10,B10,1),
[1]!DAILY_DATA[DATE],
"&lt;"&amp;EOMONTH(DATE(A10,B10,1),0)+1
)</f>
        <v>21.7</v>
      </c>
      <c r="J10">
        <f>ROUND(((_xlfn.XLOOKUP(D10,[1]!PM2.5[BLO],[1]!PM2.5[IHI],,-1) - _xlfn.XLOOKUP(D10,[1]!PM2.5[BLO],[1]!PM2.5[ILO],,-1))
/
(_xlfn.XLOOKUP(D10,[1]!PM2.5[BLO],[1]!PM2.5[BHI],,-1) - _xlfn.XLOOKUP(D10,[1]!PM2.5[BLO],[1]!PM2.5[BLO],,-1)))
*
(D10 - _xlfn.XLOOKUP(D10,[1]!PM2.5[BLO],[1]!PM2.5[BLO],,-1))
+
_xlfn.XLOOKUP(D10,[1]!PM2.5[BLO],[1]!PM2.5[ILO],,-1),2)</f>
        <v>39.67</v>
      </c>
      <c r="K10">
        <f>ROUND(((_xlfn.XLOOKUP(E10,[1]!PM_10[BLO],[1]!PM_10[IHI],,-1) - _xlfn.XLOOKUP(E10,[1]!PM_10[BLO],[1]!PM_10[ILO],,-1))
/
(_xlfn.XLOOKUP(E10,[1]!PM_10[BLO],[1]!PM_10[BHI],,-1) - _xlfn.XLOOKUP(E10,[1]!PM_10[BLO],[1]!PM_10[BLO],,-1)))
*
( E10 - _xlfn.XLOOKUP(E10,[1]!PM_10[BLO],[1]!PM_10[BLO],,-1))
+
_xlfn.XLOOKUP(E10,[1]!PM_10[BLO],[1]!PM_10[ILO],,-1),2)</f>
        <v>53.57</v>
      </c>
      <c r="L10">
        <f>ROUND((( _xlfn.XLOOKUP(F10,[1]!NO_2[BLO],[1]!NO_2[IHI],,-1) - _xlfn.XLOOKUP(F10,[1]!NO_2[BLO],[1]!NO_2[ILO],,-1))
/
( _xlfn.XLOOKUP(F10,[1]!NO_2[BLO],[1]!NO_2[BHI],,-1) - _xlfn.XLOOKUP(F10,[1]!NO_2[BLO],[1]!NO_2[BLO],,-1) ))
*
( F10 - _xlfn.XLOOKUP(F10,[1]!NO_2[BLO],[1]!NO_2[BLO],,-1))
+
_xlfn.XLOOKUP(F10,[1]!NO_2[BLO],[1]!NO_2[ILO],,-1),2)</f>
        <v>19.670000000000002</v>
      </c>
      <c r="M10">
        <f>ROUND(( ( _xlfn.XLOOKUP(G10,[1]!SO_2[BLO],[1]!SO_2[IHI],,-1)  - _xlfn.XLOOKUP(G10,[1]!SO_2[BLO],[1]!SO_2[ILO],,-1) )
/
( _xlfn.XLOOKUP(G10,[1]!SO_2[BLO],[1]!SO_2[BHI],,-1)- _xlfn.XLOOKUP(G10,[1]!SO_2[BLO],[1]!SO_2[BLO],,-1) ))
*
( G10 - _xlfn.XLOOKUP(G10,[1]!SO_2[BLO],[1]!SO_2[BLO],,-1) )
+
_xlfn.XLOOKUP(G10,[1]!SO_2[BLO],[1]!SO_2[ILO],,-1),2)</f>
        <v>10.63</v>
      </c>
      <c r="N10">
        <f>ROUND(( ( _xlfn.XLOOKUP(H10,[1]!CO[BLO],[1]!CO[IHI],,-1)
- _xlfn.XLOOKUP(H10,[1]!CO[BLO],[1]!CO[ILO],,-1) )
/
( _xlfn.XLOOKUP(H10,[1]!CO[BLO],[1]!CO[BHI],,-1) - _xlfn.XLOOKUP(H10,[1]!CO[BLO],[1]!CO[BLO],,-1)))
*
( H10 - _xlfn.XLOOKUP(H10,[1]!CO[BLO],[1]!CO[BLO],,-1) )
+
_xlfn.XLOOKUP(H10,[1]!CO[BLO],[1]!CO[ILO],,-1),2)</f>
        <v>34.479999999999997</v>
      </c>
      <c r="O10">
        <f>ROUND((( _xlfn.XLOOKUP(I10,[1]!O_3[BLO],[1]!O_3[IHI],,-1) - _xlfn.XLOOKUP(I10,[1]!O_3[BLO],[1]!O_3[ILO],,-1))
/
( _xlfn.XLOOKUP(I10,[1]!O_3[BLO],[1]!O_3[BHI],,-1) - _xlfn.XLOOKUP(I10,[1]!O_3[BLO],[1]!O_3[BLO],,-1)))
*
( I10 - _xlfn.XLOOKUP(I10,[1]!O_3[BLO],[1]!O_3[BLO],,-1))
+
_xlfn.XLOOKUP(I10,[1]!O_3[BLO],[1]!O_3[ILO],,-1),2)</f>
        <v>21.7</v>
      </c>
      <c r="P10">
        <f>MAX(MONTHLY_DATA9[[#This Row],[AQI_PM2.5]:[AQI_O3]])</f>
        <v>53.57</v>
      </c>
      <c r="Q10" t="str">
        <f>_xlfn.XLOOKUP(MONTHLY_DATA9[[#This Row],[OVERALL_AQI]],[1]!CATEGORY[AQI_LO],[1]!CATEGORY[CATEGORY],,-1)</f>
        <v>Satisfactory</v>
      </c>
      <c r="R10" t="str" cm="1">
        <f t="array" ref="R10">INDEX(
{"PM2.5","PM10","NO2","SO2","CO","O3"},
MATCH(MONTHLY_DATA9[[#This Row],[OVERALL_AQI]],MONTHLY_DATA9[[#This Row],[AQI_PM2.5]:[AQI_O3]],0)
)</f>
        <v>PM10</v>
      </c>
    </row>
    <row r="11" spans="1:18" x14ac:dyDescent="0.25">
      <c r="A11">
        <f>YEAR([1]!DAILY_DATA[[#This Row],[DATE]])</f>
        <v>2024</v>
      </c>
      <c r="B11">
        <v>10</v>
      </c>
      <c r="C11" t="str">
        <f t="shared" si="0"/>
        <v>Oct</v>
      </c>
      <c r="D11">
        <f>AVERAGEIFS(
[1]!DAILY_DATA[PM2.5],
[1]!DAILY_DATA[DATE],
"&gt;="&amp;DATE(A11,B11,1),
[1]!DAILY_DATA[DATE],
"&lt;"&amp;EOMONTH(DATE(A11,B11,1),0)+1
)</f>
        <v>32.645161290322584</v>
      </c>
      <c r="E11">
        <f>AVERAGEIFS(
[1]!DAILY_DATA[PM10],
[1]!DAILY_DATA[DATE],
"&gt;="&amp;DATE(A11,B11,1),
[1]!DAILY_DATA[DATE],
"&lt;"&amp;EOMONTH(DATE(A11,B11,1),0)+1
)</f>
        <v>65.806451612903231</v>
      </c>
      <c r="F11">
        <f>AVERAGEIFS(
[1]!DAILY_DATA[NO2],
[1]!DAILY_DATA[DATE],
"&gt;="&amp;DATE(A11,B11,1),
[1]!DAILY_DATA[DATE],
"&lt;"&amp;EOMONTH(DATE(A11,B11,1),0)+1
)</f>
        <v>18.903225806451612</v>
      </c>
      <c r="G11">
        <f>AVERAGEIFS(
[1]!DAILY_DATA[SO2],
[1]!DAILY_DATA[DATE],
"&gt;="&amp;DATE(A11,B11,1),
[1]!DAILY_DATA[DATE],
"&lt;"&amp;EOMONTH(DATE(A11,B11,1),0)+1
)</f>
        <v>7.290322580645161</v>
      </c>
      <c r="H11">
        <f>AVERAGEIFS(
[1]!DAILY_DATA[CO],
[1]!DAILY_DATA[DATE],
"&gt;="&amp;DATE(A11,B11,1),
[1]!DAILY_DATA[DATE],
"&lt;"&amp;EOMONTH(DATE(A11,B11,1),0)+1
)</f>
        <v>0.78677419354838696</v>
      </c>
      <c r="I11">
        <f>AVERAGEIFS(
[1]!DAILY_DATA[Ozone],
[1]!DAILY_DATA[DATE],
"&gt;="&amp;DATE(A11,B11,1),
[1]!DAILY_DATA[DATE],
"&lt;"&amp;EOMONTH(DATE(A11,B11,1),0)+1
)</f>
        <v>23.548387096774192</v>
      </c>
      <c r="J11">
        <f>ROUND(((_xlfn.XLOOKUP(D11,[1]!PM2.5[BLO],[1]!PM2.5[IHI],,-1) - _xlfn.XLOOKUP(D11,[1]!PM2.5[BLO],[1]!PM2.5[ILO],,-1))
/
(_xlfn.XLOOKUP(D11,[1]!PM2.5[BLO],[1]!PM2.5[BHI],,-1) - _xlfn.XLOOKUP(D11,[1]!PM2.5[BLO],[1]!PM2.5[BLO],,-1)))
*
(D11 - _xlfn.XLOOKUP(D11,[1]!PM2.5[BLO],[1]!PM2.5[BLO],,-1))
+
_xlfn.XLOOKUP(D11,[1]!PM2.5[BLO],[1]!PM2.5[ILO],,-1),2)</f>
        <v>53.78</v>
      </c>
      <c r="K11">
        <f>ROUND(((_xlfn.XLOOKUP(E11,[1]!PM_10[BLO],[1]!PM_10[IHI],,-1) - _xlfn.XLOOKUP(E11,[1]!PM_10[BLO],[1]!PM_10[ILO],,-1))
/
(_xlfn.XLOOKUP(E11,[1]!PM_10[BLO],[1]!PM_10[BHI],,-1) - _xlfn.XLOOKUP(E11,[1]!PM_10[BLO],[1]!PM_10[BLO],,-1)))
*
( E11 - _xlfn.XLOOKUP(E11,[1]!PM_10[BLO],[1]!PM_10[BLO],,-1))
+
_xlfn.XLOOKUP(E11,[1]!PM_10[BLO],[1]!PM_10[ILO],,-1),2)</f>
        <v>65.81</v>
      </c>
      <c r="L11">
        <f>ROUND((( _xlfn.XLOOKUP(F11,[1]!NO_2[BLO],[1]!NO_2[IHI],,-1) - _xlfn.XLOOKUP(F11,[1]!NO_2[BLO],[1]!NO_2[ILO],,-1))
/
( _xlfn.XLOOKUP(F11,[1]!NO_2[BLO],[1]!NO_2[BHI],,-1) - _xlfn.XLOOKUP(F11,[1]!NO_2[BLO],[1]!NO_2[BLO],,-1) ))
*
( F11 - _xlfn.XLOOKUP(F11,[1]!NO_2[BLO],[1]!NO_2[BLO],,-1))
+
_xlfn.XLOOKUP(F11,[1]!NO_2[BLO],[1]!NO_2[ILO],,-1),2)</f>
        <v>23.63</v>
      </c>
      <c r="M11">
        <f>ROUND(( ( _xlfn.XLOOKUP(G11,[1]!SO_2[BLO],[1]!SO_2[IHI],,-1)  - _xlfn.XLOOKUP(G11,[1]!SO_2[BLO],[1]!SO_2[ILO],,-1) )
/
( _xlfn.XLOOKUP(G11,[1]!SO_2[BLO],[1]!SO_2[BHI],,-1)- _xlfn.XLOOKUP(G11,[1]!SO_2[BLO],[1]!SO_2[BLO],,-1) ))
*
( G11 - _xlfn.XLOOKUP(G11,[1]!SO_2[BLO],[1]!SO_2[BLO],,-1) )
+
_xlfn.XLOOKUP(G11,[1]!SO_2[BLO],[1]!SO_2[ILO],,-1),2)</f>
        <v>9.11</v>
      </c>
      <c r="N11">
        <f>ROUND(( ( _xlfn.XLOOKUP(H11,[1]!CO[BLO],[1]!CO[IHI],,-1)
- _xlfn.XLOOKUP(H11,[1]!CO[BLO],[1]!CO[ILO],,-1) )
/
( _xlfn.XLOOKUP(H11,[1]!CO[BLO],[1]!CO[BHI],,-1) - _xlfn.XLOOKUP(H11,[1]!CO[BLO],[1]!CO[BLO],,-1)))
*
( H11 - _xlfn.XLOOKUP(H11,[1]!CO[BLO],[1]!CO[BLO],,-1) )
+
_xlfn.XLOOKUP(H11,[1]!CO[BLO],[1]!CO[ILO],,-1),2)</f>
        <v>39.340000000000003</v>
      </c>
      <c r="O11">
        <f>ROUND((( _xlfn.XLOOKUP(I11,[1]!O_3[BLO],[1]!O_3[IHI],,-1) - _xlfn.XLOOKUP(I11,[1]!O_3[BLO],[1]!O_3[ILO],,-1))
/
( _xlfn.XLOOKUP(I11,[1]!O_3[BLO],[1]!O_3[BHI],,-1) - _xlfn.XLOOKUP(I11,[1]!O_3[BLO],[1]!O_3[BLO],,-1)))
*
( I11 - _xlfn.XLOOKUP(I11,[1]!O_3[BLO],[1]!O_3[BLO],,-1))
+
_xlfn.XLOOKUP(I11,[1]!O_3[BLO],[1]!O_3[ILO],,-1),2)</f>
        <v>23.55</v>
      </c>
      <c r="P11">
        <f>MAX(MONTHLY_DATA9[[#This Row],[AQI_PM2.5]:[AQI_O3]])</f>
        <v>65.81</v>
      </c>
      <c r="Q11" t="str">
        <f>_xlfn.XLOOKUP(MONTHLY_DATA9[[#This Row],[OVERALL_AQI]],[1]!CATEGORY[AQI_LO],[1]!CATEGORY[CATEGORY],,-1)</f>
        <v>Satisfactory</v>
      </c>
      <c r="R11" t="str" cm="1">
        <f t="array" ref="R11">INDEX(
{"PM2.5","PM10","NO2","SO2","CO","O3"},
MATCH(MONTHLY_DATA9[[#This Row],[OVERALL_AQI]],MONTHLY_DATA9[[#This Row],[AQI_PM2.5]:[AQI_O3]],0)
)</f>
        <v>PM10</v>
      </c>
    </row>
    <row r="12" spans="1:18" x14ac:dyDescent="0.25">
      <c r="A12">
        <f>YEAR([1]!DAILY_DATA[[#This Row],[DATE]])</f>
        <v>2024</v>
      </c>
      <c r="B12">
        <v>11</v>
      </c>
      <c r="C12" t="str">
        <f t="shared" si="0"/>
        <v>Nov</v>
      </c>
      <c r="D12">
        <f>AVERAGEIFS(
[1]!DAILY_DATA[PM2.5],
[1]!DAILY_DATA[DATE],
"&gt;="&amp;DATE(A12,B12,1),
[1]!DAILY_DATA[DATE],
"&lt;"&amp;EOMONTH(DATE(A12,B12,1),0)+1
)</f>
        <v>39.4</v>
      </c>
      <c r="E12">
        <f>AVERAGEIFS(
[1]!DAILY_DATA[PM10],
[1]!DAILY_DATA[DATE],
"&gt;="&amp;DATE(A12,B12,1),
[1]!DAILY_DATA[DATE],
"&lt;"&amp;EOMONTH(DATE(A12,B12,1),0)+1
)</f>
        <v>80.766666666666666</v>
      </c>
      <c r="F12">
        <f>AVERAGEIFS(
[1]!DAILY_DATA[NO2],
[1]!DAILY_DATA[DATE],
"&gt;="&amp;DATE(A12,B12,1),
[1]!DAILY_DATA[DATE],
"&lt;"&amp;EOMONTH(DATE(A12,B12,1),0)+1
)</f>
        <v>19.066666666666666</v>
      </c>
      <c r="G12">
        <f>AVERAGEIFS(
[1]!DAILY_DATA[SO2],
[1]!DAILY_DATA[DATE],
"&gt;="&amp;DATE(A12,B12,1),
[1]!DAILY_DATA[DATE],
"&lt;"&amp;EOMONTH(DATE(A12,B12,1),0)+1
)</f>
        <v>9.9666666666666668</v>
      </c>
      <c r="H12">
        <f>AVERAGEIFS(
[1]!DAILY_DATA[CO],
[1]!DAILY_DATA[DATE],
"&gt;="&amp;DATE(A12,B12,1),
[1]!DAILY_DATA[DATE],
"&lt;"&amp;EOMONTH(DATE(A12,B12,1),0)+1
)</f>
        <v>0.95200000000000007</v>
      </c>
      <c r="I12">
        <f>AVERAGEIFS(
[1]!DAILY_DATA[Ozone],
[1]!DAILY_DATA[DATE],
"&gt;="&amp;DATE(A12,B12,1),
[1]!DAILY_DATA[DATE],
"&lt;"&amp;EOMONTH(DATE(A12,B12,1),0)+1
)</f>
        <v>24.033333333333335</v>
      </c>
      <c r="J12">
        <f>ROUND(((_xlfn.XLOOKUP(D12,[1]!PM2.5[BLO],[1]!PM2.5[IHI],,-1) - _xlfn.XLOOKUP(D12,[1]!PM2.5[BLO],[1]!PM2.5[ILO],,-1))
/
(_xlfn.XLOOKUP(D12,[1]!PM2.5[BLO],[1]!PM2.5[BHI],,-1) - _xlfn.XLOOKUP(D12,[1]!PM2.5[BLO],[1]!PM2.5[BLO],,-1)))
*
(D12 - _xlfn.XLOOKUP(D12,[1]!PM2.5[BLO],[1]!PM2.5[BLO],,-1))
+
_xlfn.XLOOKUP(D12,[1]!PM2.5[BLO],[1]!PM2.5[ILO],,-1),2)</f>
        <v>65.19</v>
      </c>
      <c r="K12">
        <f>ROUND(((_xlfn.XLOOKUP(E12,[1]!PM_10[BLO],[1]!PM_10[IHI],,-1) - _xlfn.XLOOKUP(E12,[1]!PM_10[BLO],[1]!PM_10[ILO],,-1))
/
(_xlfn.XLOOKUP(E12,[1]!PM_10[BLO],[1]!PM_10[BHI],,-1) - _xlfn.XLOOKUP(E12,[1]!PM_10[BLO],[1]!PM_10[BLO],,-1)))
*
( E12 - _xlfn.XLOOKUP(E12,[1]!PM_10[BLO],[1]!PM_10[BLO],,-1))
+
_xlfn.XLOOKUP(E12,[1]!PM_10[BLO],[1]!PM_10[ILO],,-1),2)</f>
        <v>80.77</v>
      </c>
      <c r="L12">
        <f>ROUND((( _xlfn.XLOOKUP(F12,[1]!NO_2[BLO],[1]!NO_2[IHI],,-1) - _xlfn.XLOOKUP(F12,[1]!NO_2[BLO],[1]!NO_2[ILO],,-1))
/
( _xlfn.XLOOKUP(F12,[1]!NO_2[BLO],[1]!NO_2[BHI],,-1) - _xlfn.XLOOKUP(F12,[1]!NO_2[BLO],[1]!NO_2[BLO],,-1) ))
*
( F12 - _xlfn.XLOOKUP(F12,[1]!NO_2[BLO],[1]!NO_2[BLO],,-1))
+
_xlfn.XLOOKUP(F12,[1]!NO_2[BLO],[1]!NO_2[ILO],,-1),2)</f>
        <v>23.83</v>
      </c>
      <c r="M12">
        <f>ROUND(( ( _xlfn.XLOOKUP(G12,[1]!SO_2[BLO],[1]!SO_2[IHI],,-1)  - _xlfn.XLOOKUP(G12,[1]!SO_2[BLO],[1]!SO_2[ILO],,-1) )
/
( _xlfn.XLOOKUP(G12,[1]!SO_2[BLO],[1]!SO_2[BHI],,-1)- _xlfn.XLOOKUP(G12,[1]!SO_2[BLO],[1]!SO_2[BLO],,-1) ))
*
( G12 - _xlfn.XLOOKUP(G12,[1]!SO_2[BLO],[1]!SO_2[BLO],,-1) )
+
_xlfn.XLOOKUP(G12,[1]!SO_2[BLO],[1]!SO_2[ILO],,-1),2)</f>
        <v>12.46</v>
      </c>
      <c r="N12">
        <f>ROUND(( ( _xlfn.XLOOKUP(H12,[1]!CO[BLO],[1]!CO[IHI],,-1)
- _xlfn.XLOOKUP(H12,[1]!CO[BLO],[1]!CO[ILO],,-1) )
/
( _xlfn.XLOOKUP(H12,[1]!CO[BLO],[1]!CO[BHI],,-1) - _xlfn.XLOOKUP(H12,[1]!CO[BLO],[1]!CO[BLO],,-1)))
*
( H12 - _xlfn.XLOOKUP(H12,[1]!CO[BLO],[1]!CO[BLO],,-1) )
+
_xlfn.XLOOKUP(H12,[1]!CO[BLO],[1]!CO[ILO],,-1),2)</f>
        <v>47.6</v>
      </c>
      <c r="O12">
        <f>ROUND((( _xlfn.XLOOKUP(I12,[1]!O_3[BLO],[1]!O_3[IHI],,-1) - _xlfn.XLOOKUP(I12,[1]!O_3[BLO],[1]!O_3[ILO],,-1))
/
( _xlfn.XLOOKUP(I12,[1]!O_3[BLO],[1]!O_3[BHI],,-1) - _xlfn.XLOOKUP(I12,[1]!O_3[BLO],[1]!O_3[BLO],,-1)))
*
( I12 - _xlfn.XLOOKUP(I12,[1]!O_3[BLO],[1]!O_3[BLO],,-1))
+
_xlfn.XLOOKUP(I12,[1]!O_3[BLO],[1]!O_3[ILO],,-1),2)</f>
        <v>24.03</v>
      </c>
      <c r="P12">
        <f>MAX(MONTHLY_DATA9[[#This Row],[AQI_PM2.5]:[AQI_O3]])</f>
        <v>80.77</v>
      </c>
      <c r="Q12" t="str">
        <f>_xlfn.XLOOKUP(MONTHLY_DATA9[[#This Row],[OVERALL_AQI]],[1]!CATEGORY[AQI_LO],[1]!CATEGORY[CATEGORY],,-1)</f>
        <v>Satisfactory</v>
      </c>
      <c r="R12" t="str" cm="1">
        <f t="array" ref="R12">INDEX(
{"PM2.5","PM10","NO2","SO2","CO","O3"},
MATCH(MONTHLY_DATA9[[#This Row],[OVERALL_AQI]],MONTHLY_DATA9[[#This Row],[AQI_PM2.5]:[AQI_O3]],0)
)</f>
        <v>PM10</v>
      </c>
    </row>
    <row r="13" spans="1:18" x14ac:dyDescent="0.25">
      <c r="A13">
        <f>YEAR([1]!DAILY_DATA[[#This Row],[DATE]])</f>
        <v>2024</v>
      </c>
      <c r="B13">
        <v>12</v>
      </c>
      <c r="C13" t="str">
        <f t="shared" si="0"/>
        <v>Dec</v>
      </c>
      <c r="D13">
        <f>AVERAGEIFS(
[1]!DAILY_DATA[PM2.5],
[1]!DAILY_DATA[DATE],
"&gt;="&amp;DATE(A13,B13,1),
[1]!DAILY_DATA[DATE],
"&lt;"&amp;EOMONTH(DATE(A13,B13,1),0)+1
)</f>
        <v>34.258064516129032</v>
      </c>
      <c r="E13">
        <f>AVERAGEIFS(
[1]!DAILY_DATA[PM10],
[1]!DAILY_DATA[DATE],
"&gt;="&amp;DATE(A13,B13,1),
[1]!DAILY_DATA[DATE],
"&lt;"&amp;EOMONTH(DATE(A13,B13,1),0)+1
)</f>
        <v>69.838709677419359</v>
      </c>
      <c r="F13">
        <f>AVERAGEIFS(
[1]!DAILY_DATA[NO2],
[1]!DAILY_DATA[DATE],
"&gt;="&amp;DATE(A13,B13,1),
[1]!DAILY_DATA[DATE],
"&lt;"&amp;EOMONTH(DATE(A13,B13,1),0)+1
)</f>
        <v>20.548387096774192</v>
      </c>
      <c r="G13">
        <f>AVERAGEIFS(
[1]!DAILY_DATA[SO2],
[1]!DAILY_DATA[DATE],
"&gt;="&amp;DATE(A13,B13,1),
[1]!DAILY_DATA[DATE],
"&lt;"&amp;EOMONTH(DATE(A13,B13,1),0)+1
)</f>
        <v>9</v>
      </c>
      <c r="H13">
        <f>AVERAGEIFS(
[1]!DAILY_DATA[CO],
[1]!DAILY_DATA[DATE],
"&gt;="&amp;DATE(A13,B13,1),
[1]!DAILY_DATA[DATE],
"&lt;"&amp;EOMONTH(DATE(A13,B13,1),0)+1
)</f>
        <v>0.77967741935483881</v>
      </c>
      <c r="I13">
        <f>AVERAGEIFS(
[1]!DAILY_DATA[Ozone],
[1]!DAILY_DATA[DATE],
"&gt;="&amp;DATE(A13,B13,1),
[1]!DAILY_DATA[DATE],
"&lt;"&amp;EOMONTH(DATE(A13,B13,1),0)+1
)</f>
        <v>24.741935483870968</v>
      </c>
      <c r="J13">
        <f>ROUND(((_xlfn.XLOOKUP(D13,[1]!PM2.5[BLO],[1]!PM2.5[IHI],,-1) - _xlfn.XLOOKUP(D13,[1]!PM2.5[BLO],[1]!PM2.5[ILO],,-1))
/
(_xlfn.XLOOKUP(D13,[1]!PM2.5[BLO],[1]!PM2.5[BHI],,-1) - _xlfn.XLOOKUP(D13,[1]!PM2.5[BLO],[1]!PM2.5[BLO],,-1)))
*
(D13 - _xlfn.XLOOKUP(D13,[1]!PM2.5[BLO],[1]!PM2.5[BLO],,-1))
+
_xlfn.XLOOKUP(D13,[1]!PM2.5[BLO],[1]!PM2.5[ILO],,-1),2)</f>
        <v>56.51</v>
      </c>
      <c r="K13">
        <f>ROUND(((_xlfn.XLOOKUP(E13,[1]!PM_10[BLO],[1]!PM_10[IHI],,-1) - _xlfn.XLOOKUP(E13,[1]!PM_10[BLO],[1]!PM_10[ILO],,-1))
/
(_xlfn.XLOOKUP(E13,[1]!PM_10[BLO],[1]!PM_10[BHI],,-1) - _xlfn.XLOOKUP(E13,[1]!PM_10[BLO],[1]!PM_10[BLO],,-1)))
*
( E13 - _xlfn.XLOOKUP(E13,[1]!PM_10[BLO],[1]!PM_10[BLO],,-1))
+
_xlfn.XLOOKUP(E13,[1]!PM_10[BLO],[1]!PM_10[ILO],,-1),2)</f>
        <v>69.84</v>
      </c>
      <c r="L13">
        <f>ROUND((( _xlfn.XLOOKUP(F13,[1]!NO_2[BLO],[1]!NO_2[IHI],,-1) - _xlfn.XLOOKUP(F13,[1]!NO_2[BLO],[1]!NO_2[ILO],,-1))
/
( _xlfn.XLOOKUP(F13,[1]!NO_2[BLO],[1]!NO_2[BHI],,-1) - _xlfn.XLOOKUP(F13,[1]!NO_2[BLO],[1]!NO_2[BLO],,-1) ))
*
( F13 - _xlfn.XLOOKUP(F13,[1]!NO_2[BLO],[1]!NO_2[BLO],,-1))
+
_xlfn.XLOOKUP(F13,[1]!NO_2[BLO],[1]!NO_2[ILO],,-1),2)</f>
        <v>25.69</v>
      </c>
      <c r="M13">
        <f>ROUND(( ( _xlfn.XLOOKUP(G13,[1]!SO_2[BLO],[1]!SO_2[IHI],,-1)  - _xlfn.XLOOKUP(G13,[1]!SO_2[BLO],[1]!SO_2[ILO],,-1) )
/
( _xlfn.XLOOKUP(G13,[1]!SO_2[BLO],[1]!SO_2[BHI],,-1)- _xlfn.XLOOKUP(G13,[1]!SO_2[BLO],[1]!SO_2[BLO],,-1) ))
*
( G13 - _xlfn.XLOOKUP(G13,[1]!SO_2[BLO],[1]!SO_2[BLO],,-1) )
+
_xlfn.XLOOKUP(G13,[1]!SO_2[BLO],[1]!SO_2[ILO],,-1),2)</f>
        <v>11.25</v>
      </c>
      <c r="N13">
        <f>ROUND(( ( _xlfn.XLOOKUP(H13,[1]!CO[BLO],[1]!CO[IHI],,-1)
- _xlfn.XLOOKUP(H13,[1]!CO[BLO],[1]!CO[ILO],,-1) )
/
( _xlfn.XLOOKUP(H13,[1]!CO[BLO],[1]!CO[BHI],,-1) - _xlfn.XLOOKUP(H13,[1]!CO[BLO],[1]!CO[BLO],,-1)))
*
( H13 - _xlfn.XLOOKUP(H13,[1]!CO[BLO],[1]!CO[BLO],,-1) )
+
_xlfn.XLOOKUP(H13,[1]!CO[BLO],[1]!CO[ILO],,-1),2)</f>
        <v>38.979999999999997</v>
      </c>
      <c r="O13">
        <f>ROUND((( _xlfn.XLOOKUP(I13,[1]!O_3[BLO],[1]!O_3[IHI],,-1) - _xlfn.XLOOKUP(I13,[1]!O_3[BLO],[1]!O_3[ILO],,-1))
/
( _xlfn.XLOOKUP(I13,[1]!O_3[BLO],[1]!O_3[BHI],,-1) - _xlfn.XLOOKUP(I13,[1]!O_3[BLO],[1]!O_3[BLO],,-1)))
*
( I13 - _xlfn.XLOOKUP(I13,[1]!O_3[BLO],[1]!O_3[BLO],,-1))
+
_xlfn.XLOOKUP(I13,[1]!O_3[BLO],[1]!O_3[ILO],,-1),2)</f>
        <v>24.74</v>
      </c>
      <c r="P13">
        <f>MAX(MONTHLY_DATA9[[#This Row],[AQI_PM2.5]:[AQI_O3]])</f>
        <v>69.84</v>
      </c>
      <c r="Q13" t="str">
        <f>_xlfn.XLOOKUP(MONTHLY_DATA9[[#This Row],[OVERALL_AQI]],[1]!CATEGORY[AQI_LO],[1]!CATEGORY[CATEGORY],,-1)</f>
        <v>Satisfactory</v>
      </c>
      <c r="R13" t="str" cm="1">
        <f t="array" ref="R13">INDEX(
{"PM2.5","PM10","NO2","SO2","CO","O3"},
MATCH(MONTHLY_DATA9[[#This Row],[OVERALL_AQI]],MONTHLY_DATA9[[#This Row],[AQI_PM2.5]:[AQI_O3]],0)
)</f>
        <v>PM10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Monthly_AQI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Raj</dc:creator>
  <cp:lastModifiedBy>Venkat Raj</cp:lastModifiedBy>
  <dcterms:created xsi:type="dcterms:W3CDTF">2025-12-20T11:23:59Z</dcterms:created>
  <dcterms:modified xsi:type="dcterms:W3CDTF">2025-12-20T11:25:29Z</dcterms:modified>
</cp:coreProperties>
</file>